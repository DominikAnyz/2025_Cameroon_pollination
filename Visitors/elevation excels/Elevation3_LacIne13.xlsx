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E0EF3EF7-6805-4238-B39D-C78101D931A7}" xr6:coauthVersionLast="47" xr6:coauthVersionMax="47" xr10:uidLastSave="{00000000-0000-0000-0000-000000000000}"/>
  <bookViews>
    <workbookView xWindow="28680" yWindow="-120" windowWidth="29040" windowHeight="15720" xr2:uid="{00000000-000D-0000-FFFF-FFFF00000000}"/>
  </bookViews>
  <sheets>
    <sheet name="LacIne13" sheetId="3" r:id="rId1"/>
    <sheet name="Morphospecies" sheetId="1" r:id="rId2"/>
  </sheets>
  <definedNames>
    <definedName name="_xlnm._FilterDatabase" localSheetId="0" hidden="1">LacIne13!$A$2:$AZ$1461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1448" i="3" l="1"/>
  <c r="AB1449" i="3"/>
  <c r="AA1450" i="3"/>
  <c r="AB1450" i="3" s="1"/>
  <c r="AG1450" i="3"/>
  <c r="AH1450" i="3" s="1"/>
  <c r="P1443" i="3"/>
  <c r="Q1443" i="3" s="1"/>
  <c r="AA1443" i="3"/>
  <c r="AB1443" i="3" s="1"/>
  <c r="AG1443" i="3"/>
  <c r="AH1443" i="3" s="1"/>
  <c r="AJ1443" i="3"/>
  <c r="AL1443" i="3"/>
  <c r="AN1443" i="3"/>
  <c r="AP1443" i="3"/>
  <c r="AR1443" i="3"/>
  <c r="P1444" i="3"/>
  <c r="AA1444" i="3"/>
  <c r="AB1444" i="3" s="1"/>
  <c r="AG1444" i="3"/>
  <c r="AH1444" i="3" s="1"/>
  <c r="AJ1444" i="3"/>
  <c r="AL1444" i="3"/>
  <c r="AN1444" i="3"/>
  <c r="AP1444" i="3"/>
  <c r="AR1444" i="3"/>
  <c r="P1445" i="3"/>
  <c r="Q1445" i="3" s="1"/>
  <c r="AA1445" i="3"/>
  <c r="AB1445" i="3" s="1"/>
  <c r="AG1445" i="3"/>
  <c r="AH1445" i="3" s="1"/>
  <c r="AJ1445" i="3"/>
  <c r="AL1445" i="3"/>
  <c r="AN1445" i="3"/>
  <c r="AP1445" i="3"/>
  <c r="AR1445" i="3"/>
  <c r="P1446" i="3"/>
  <c r="T1446" i="3" s="1"/>
  <c r="AA1446" i="3"/>
  <c r="AB1446" i="3" s="1"/>
  <c r="AG1446" i="3"/>
  <c r="AH1446" i="3" s="1"/>
  <c r="AJ1446" i="3"/>
  <c r="AL1446" i="3"/>
  <c r="AN1446" i="3"/>
  <c r="AP1446" i="3"/>
  <c r="AR1446" i="3"/>
  <c r="P1447" i="3"/>
  <c r="Q1447" i="3" s="1"/>
  <c r="AA1447" i="3"/>
  <c r="AB1447" i="3" s="1"/>
  <c r="AG1447" i="3"/>
  <c r="AH1447" i="3" s="1"/>
  <c r="AJ1447" i="3"/>
  <c r="AL1447" i="3"/>
  <c r="AN1447" i="3"/>
  <c r="AP1447" i="3"/>
  <c r="AR1447" i="3"/>
  <c r="P1448" i="3"/>
  <c r="AJ1448" i="3"/>
  <c r="AL1448" i="3"/>
  <c r="AN1448" i="3"/>
  <c r="AP1448" i="3"/>
  <c r="AR1448" i="3"/>
  <c r="P1449" i="3"/>
  <c r="AJ1449" i="3"/>
  <c r="AL1449" i="3"/>
  <c r="AN1449" i="3"/>
  <c r="AP1449" i="3"/>
  <c r="AR1449" i="3"/>
  <c r="P1450" i="3"/>
  <c r="AY1450" i="3" s="1"/>
  <c r="AZ1450" i="3" s="1"/>
  <c r="AJ1450" i="3"/>
  <c r="AL1450" i="3"/>
  <c r="AN1450" i="3"/>
  <c r="AP1450" i="3"/>
  <c r="AR1450" i="3"/>
  <c r="P1451" i="3"/>
  <c r="T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T1453" i="3" s="1"/>
  <c r="AA1453" i="3"/>
  <c r="AB1453" i="3" s="1"/>
  <c r="AG1453" i="3"/>
  <c r="AH1453" i="3" s="1"/>
  <c r="AJ1453" i="3"/>
  <c r="AL1453" i="3"/>
  <c r="AN1453" i="3"/>
  <c r="AP1453" i="3"/>
  <c r="AR1453" i="3"/>
  <c r="P1454" i="3"/>
  <c r="T1454" i="3" s="1"/>
  <c r="AA1454" i="3"/>
  <c r="AB1454" i="3" s="1"/>
  <c r="AG1454" i="3"/>
  <c r="AH1454" i="3" s="1"/>
  <c r="AJ1454" i="3"/>
  <c r="AL1454" i="3"/>
  <c r="AN1454" i="3"/>
  <c r="AP1454" i="3"/>
  <c r="AR1454" i="3"/>
  <c r="P1455" i="3"/>
  <c r="T1455" i="3" s="1"/>
  <c r="AA1455" i="3"/>
  <c r="AB1455" i="3" s="1"/>
  <c r="AG1455" i="3"/>
  <c r="AH1455" i="3" s="1"/>
  <c r="AJ1455" i="3"/>
  <c r="AL1455" i="3"/>
  <c r="AN1455" i="3"/>
  <c r="AP1455" i="3"/>
  <c r="AR1455" i="3"/>
  <c r="P1456" i="3"/>
  <c r="AW1456" i="3" s="1"/>
  <c r="AX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T1458" i="3" s="1"/>
  <c r="AA1458" i="3"/>
  <c r="AB1458" i="3" s="1"/>
  <c r="AG1458" i="3"/>
  <c r="AH1458" i="3" s="1"/>
  <c r="AJ1458" i="3"/>
  <c r="AL1458" i="3"/>
  <c r="AN1458" i="3"/>
  <c r="AP1458" i="3"/>
  <c r="AR1458" i="3"/>
  <c r="P1459" i="3"/>
  <c r="T1459" i="3" s="1"/>
  <c r="AA1459" i="3"/>
  <c r="AB1459" i="3" s="1"/>
  <c r="AG1459" i="3"/>
  <c r="AH1459" i="3" s="1"/>
  <c r="AJ1459" i="3"/>
  <c r="AL1459" i="3"/>
  <c r="AN1459" i="3"/>
  <c r="AP1459" i="3"/>
  <c r="AR1459" i="3"/>
  <c r="P1460" i="3"/>
  <c r="T1460" i="3" s="1"/>
  <c r="AA1460" i="3"/>
  <c r="AB1460" i="3" s="1"/>
  <c r="AG1460" i="3"/>
  <c r="AH1460" i="3" s="1"/>
  <c r="AJ1460" i="3"/>
  <c r="AL1460" i="3"/>
  <c r="AN1460" i="3"/>
  <c r="AP1460" i="3"/>
  <c r="AR1460" i="3"/>
  <c r="P1461" i="3"/>
  <c r="Q1461" i="3" s="1"/>
  <c r="AA1461" i="3"/>
  <c r="AB1461" i="3" s="1"/>
  <c r="AG1461" i="3"/>
  <c r="AH1461" i="3" s="1"/>
  <c r="AJ1461" i="3"/>
  <c r="AL1461" i="3"/>
  <c r="AN1461" i="3"/>
  <c r="AP1461" i="3"/>
  <c r="AR1461" i="3"/>
  <c r="AW1447" i="3" l="1"/>
  <c r="AX1447" i="3" s="1"/>
  <c r="AW1443" i="3"/>
  <c r="AX1443" i="3" s="1"/>
  <c r="AD1450" i="3"/>
  <c r="AD1459" i="3"/>
  <c r="Q1459" i="3"/>
  <c r="Q1455" i="3"/>
  <c r="AD1451" i="3"/>
  <c r="Q1460" i="3"/>
  <c r="AW1451" i="3"/>
  <c r="AX1451" i="3" s="1"/>
  <c r="AY1459" i="3"/>
  <c r="AZ1459" i="3" s="1"/>
  <c r="AW1459" i="3"/>
  <c r="AX1459" i="3" s="1"/>
  <c r="AY1460" i="3"/>
  <c r="AZ1460" i="3" s="1"/>
  <c r="AD1460" i="3"/>
  <c r="AY1447" i="3"/>
  <c r="AZ1447" i="3" s="1"/>
  <c r="AD1447" i="3"/>
  <c r="AW1460" i="3"/>
  <c r="AX1460" i="3" s="1"/>
  <c r="AD1445" i="3"/>
  <c r="AW1445" i="3"/>
  <c r="AX1445" i="3" s="1"/>
  <c r="AY1455" i="3"/>
  <c r="AZ1455" i="3" s="1"/>
  <c r="AW1452" i="3"/>
  <c r="AX1452" i="3" s="1"/>
  <c r="Q1451" i="3"/>
  <c r="AY1443" i="3"/>
  <c r="AZ1443" i="3" s="1"/>
  <c r="AD1443" i="3"/>
  <c r="AY1457" i="3"/>
  <c r="AZ1457" i="3" s="1"/>
  <c r="AD1455" i="3"/>
  <c r="AW1457" i="3"/>
  <c r="AX1457" i="3" s="1"/>
  <c r="AD1457" i="3"/>
  <c r="AW1455" i="3"/>
  <c r="AX1455" i="3" s="1"/>
  <c r="T1443" i="3"/>
  <c r="AY1451" i="3"/>
  <c r="AZ1451" i="3" s="1"/>
  <c r="AY1446" i="3"/>
  <c r="AZ1446" i="3" s="1"/>
  <c r="T1445" i="3"/>
  <c r="T1447" i="3"/>
  <c r="AW1449" i="3"/>
  <c r="AX1449" i="3" s="1"/>
  <c r="AY1456" i="3"/>
  <c r="AZ1456" i="3" s="1"/>
  <c r="T1456" i="3"/>
  <c r="AD1456" i="3"/>
  <c r="AY1444" i="3"/>
  <c r="AZ1444" i="3" s="1"/>
  <c r="AW1444" i="3"/>
  <c r="AX1444" i="3" s="1"/>
  <c r="T1444" i="3"/>
  <c r="AD1444" i="3"/>
  <c r="AY1461" i="3"/>
  <c r="AZ1461" i="3" s="1"/>
  <c r="AY1458" i="3"/>
  <c r="AZ1458" i="3" s="1"/>
  <c r="T1457" i="3"/>
  <c r="AW1453" i="3"/>
  <c r="AX1453" i="3" s="1"/>
  <c r="AD1453" i="3"/>
  <c r="AY1452" i="3"/>
  <c r="AZ1452" i="3" s="1"/>
  <c r="T1452" i="3"/>
  <c r="AD1452" i="3"/>
  <c r="Q1450" i="3"/>
  <c r="AW1450" i="3"/>
  <c r="AX1450" i="3" s="1"/>
  <c r="AY1448" i="3"/>
  <c r="AZ1448" i="3" s="1"/>
  <c r="AW1448" i="3"/>
  <c r="AX1448" i="3" s="1"/>
  <c r="T1461" i="3"/>
  <c r="Q1458" i="3"/>
  <c r="AD1458" i="3"/>
  <c r="AW1458" i="3"/>
  <c r="AX1458" i="3" s="1"/>
  <c r="Q1454" i="3"/>
  <c r="AD1454" i="3"/>
  <c r="AW1454" i="3"/>
  <c r="AX1454" i="3" s="1"/>
  <c r="Q1453" i="3"/>
  <c r="AY1453" i="3"/>
  <c r="AZ1453" i="3" s="1"/>
  <c r="AW1461" i="3"/>
  <c r="AX1461" i="3" s="1"/>
  <c r="AD1461" i="3"/>
  <c r="Q1456" i="3"/>
  <c r="AY1454" i="3"/>
  <c r="AZ1454" i="3" s="1"/>
  <c r="T1450" i="3"/>
  <c r="Q1444" i="3"/>
  <c r="AY1449" i="3"/>
  <c r="AZ1449" i="3" s="1"/>
  <c r="AY1445" i="3"/>
  <c r="AZ1445" i="3" s="1"/>
  <c r="Q1446" i="3"/>
  <c r="AD1446" i="3"/>
  <c r="AW1446" i="3"/>
  <c r="AX1446" i="3" s="1"/>
  <c r="AA4" i="3" l="1"/>
  <c r="AA6" i="3"/>
  <c r="AA7" i="3"/>
  <c r="AA8" i="3"/>
  <c r="AA9" i="3"/>
  <c r="AA11" i="3"/>
  <c r="AA12" i="3"/>
  <c r="AA13" i="3"/>
  <c r="AA15" i="3"/>
  <c r="AA18" i="3"/>
  <c r="AA19" i="3"/>
  <c r="AA20" i="3"/>
  <c r="AA22" i="3"/>
  <c r="AA23" i="3"/>
  <c r="AA24" i="3"/>
  <c r="AA25" i="3"/>
  <c r="AA26" i="3"/>
  <c r="AA27" i="3"/>
  <c r="AA28"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6" i="3"/>
  <c r="AA87" i="3"/>
  <c r="AA88" i="3"/>
  <c r="AA89" i="3"/>
  <c r="AA90" i="3"/>
  <c r="AA91" i="3"/>
  <c r="AA92" i="3"/>
  <c r="AA93" i="3"/>
  <c r="AA94" i="3"/>
  <c r="AA95" i="3"/>
  <c r="AA96" i="3"/>
  <c r="AA97" i="3"/>
  <c r="AA98" i="3"/>
  <c r="AA99" i="3"/>
  <c r="AA100" i="3"/>
  <c r="AA101" i="3"/>
  <c r="AA103" i="3"/>
  <c r="AA105" i="3"/>
  <c r="AA106" i="3"/>
  <c r="AA107" i="3"/>
  <c r="AA108" i="3"/>
  <c r="AA109" i="3"/>
  <c r="AA110" i="3"/>
  <c r="AA111" i="3"/>
  <c r="AA112" i="3"/>
  <c r="AA114" i="3"/>
  <c r="AA116" i="3"/>
  <c r="AA117" i="3"/>
  <c r="AA118" i="3"/>
  <c r="AA119" i="3"/>
  <c r="AA120" i="3"/>
  <c r="AA121" i="3"/>
  <c r="AA122" i="3"/>
  <c r="AA123" i="3"/>
  <c r="AA124" i="3"/>
  <c r="AA125" i="3"/>
  <c r="AA126" i="3"/>
  <c r="AA127" i="3"/>
  <c r="AA128" i="3"/>
  <c r="AA130" i="3"/>
  <c r="AA131" i="3"/>
  <c r="AA132" i="3"/>
  <c r="AA133" i="3"/>
  <c r="AA134" i="3"/>
  <c r="AA135" i="3"/>
  <c r="AA137" i="3"/>
  <c r="AA138" i="3"/>
  <c r="AA139" i="3"/>
  <c r="AA140" i="3"/>
  <c r="AA141" i="3"/>
  <c r="AA142" i="3"/>
  <c r="AA143" i="3"/>
  <c r="AA144" i="3"/>
  <c r="AA145" i="3"/>
  <c r="AA146" i="3"/>
  <c r="AA147" i="3"/>
  <c r="AA148" i="3"/>
  <c r="AA149" i="3"/>
  <c r="AA150" i="3"/>
  <c r="AA151" i="3"/>
  <c r="AA152" i="3"/>
  <c r="AA154" i="3"/>
  <c r="AA155" i="3"/>
  <c r="AA156" i="3"/>
  <c r="AA157" i="3"/>
  <c r="AA158" i="3"/>
  <c r="AA159" i="3"/>
  <c r="AA160"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3" i="3"/>
  <c r="AA204" i="3"/>
  <c r="AA205" i="3"/>
  <c r="AA206" i="3"/>
  <c r="AA207" i="3"/>
  <c r="AA208" i="3"/>
  <c r="AA209" i="3"/>
  <c r="AA210" i="3"/>
  <c r="AA211" i="3"/>
  <c r="AA212" i="3"/>
  <c r="AA213" i="3"/>
  <c r="AA214" i="3"/>
  <c r="AA216" i="3"/>
  <c r="AA220" i="3"/>
  <c r="AA221" i="3"/>
  <c r="AA222" i="3"/>
  <c r="AA223" i="3"/>
  <c r="AA224" i="3"/>
  <c r="AA225" i="3"/>
  <c r="AA226" i="3"/>
  <c r="AA227" i="3"/>
  <c r="AA228" i="3"/>
  <c r="AA229" i="3"/>
  <c r="AA230" i="3"/>
  <c r="AA232" i="3"/>
  <c r="AA233" i="3"/>
  <c r="AA235" i="3"/>
  <c r="AA236" i="3"/>
  <c r="AA238" i="3"/>
  <c r="AA239" i="3"/>
  <c r="AA240" i="3"/>
  <c r="AA241" i="3"/>
  <c r="AA242" i="3"/>
  <c r="AA244" i="3"/>
  <c r="AA245" i="3"/>
  <c r="AA246" i="3"/>
  <c r="AA247" i="3"/>
  <c r="AA248" i="3"/>
  <c r="AA249" i="3"/>
  <c r="AA250" i="3"/>
  <c r="AA251" i="3"/>
  <c r="AA252" i="3"/>
  <c r="AA253" i="3"/>
  <c r="AA255" i="3"/>
  <c r="AA256" i="3"/>
  <c r="AA257" i="3"/>
  <c r="AA258" i="3"/>
  <c r="AA259" i="3"/>
  <c r="AA260" i="3"/>
  <c r="AA261" i="3"/>
  <c r="AA262" i="3"/>
  <c r="AA263" i="3"/>
  <c r="AA264" i="3"/>
  <c r="AA265" i="3"/>
  <c r="AA266" i="3"/>
  <c r="AA267" i="3"/>
  <c r="AA270" i="3"/>
  <c r="AA271" i="3"/>
  <c r="AA272" i="3"/>
  <c r="AA273" i="3"/>
  <c r="AA274" i="3"/>
  <c r="AA275" i="3"/>
  <c r="AA276" i="3"/>
  <c r="AA277" i="3"/>
  <c r="AA278" i="3"/>
  <c r="AA279" i="3"/>
  <c r="AA281" i="3"/>
  <c r="AA282" i="3"/>
  <c r="AA283" i="3"/>
  <c r="AA284" i="3"/>
  <c r="AA285" i="3"/>
  <c r="AA286" i="3"/>
  <c r="AA287" i="3"/>
  <c r="AA288" i="3"/>
  <c r="AA289" i="3"/>
  <c r="AA290" i="3"/>
  <c r="AA291" i="3"/>
  <c r="AA293" i="3"/>
  <c r="AA294" i="3"/>
  <c r="AA295" i="3"/>
  <c r="AA296" i="3"/>
  <c r="AA297" i="3"/>
  <c r="AA298" i="3"/>
  <c r="AA299" i="3"/>
  <c r="AA300" i="3"/>
  <c r="AA301" i="3"/>
  <c r="AA302" i="3"/>
  <c r="AA303" i="3"/>
  <c r="AA304" i="3"/>
  <c r="AA305" i="3"/>
  <c r="AA306" i="3"/>
  <c r="AA307" i="3"/>
  <c r="AA308"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5" i="3"/>
  <c r="AA1256" i="3"/>
  <c r="AA1257" i="3"/>
  <c r="AA1258" i="3"/>
  <c r="AA1259" i="3"/>
  <c r="AA1260" i="3"/>
  <c r="AA1261" i="3"/>
  <c r="AA1262" i="3"/>
  <c r="AA1264" i="3"/>
  <c r="AA1265" i="3"/>
  <c r="AA1266" i="3"/>
  <c r="AA1267" i="3"/>
  <c r="AA1268" i="3"/>
  <c r="AA1270" i="3"/>
  <c r="AA1271" i="3"/>
  <c r="AA1272" i="3"/>
  <c r="AA1273" i="3"/>
  <c r="AA1274" i="3"/>
  <c r="AA1275" i="3"/>
  <c r="AA1276" i="3"/>
  <c r="AA1277" i="3"/>
  <c r="AA1278" i="3"/>
  <c r="AA1279" i="3"/>
  <c r="AA1280" i="3"/>
  <c r="AA1281" i="3"/>
  <c r="AA1282" i="3"/>
  <c r="AA1283" i="3"/>
  <c r="AA1284" i="3"/>
  <c r="AA1286" i="3"/>
  <c r="AA1287" i="3"/>
  <c r="AA1288" i="3"/>
  <c r="AA1290" i="3"/>
  <c r="AA1291" i="3"/>
  <c r="AA1292" i="3"/>
  <c r="AA1293" i="3"/>
  <c r="AA1294" i="3"/>
  <c r="AA1295" i="3"/>
  <c r="AA1300" i="3"/>
  <c r="AA1301" i="3"/>
  <c r="AA1302" i="3"/>
  <c r="AA1303" i="3"/>
  <c r="AA1304" i="3"/>
  <c r="AA1307" i="3"/>
  <c r="AA1308" i="3"/>
  <c r="AA1309" i="3"/>
  <c r="AA1310" i="3"/>
  <c r="AA1311" i="3"/>
  <c r="AA1312" i="3"/>
  <c r="AA1313" i="3"/>
  <c r="AA1314" i="3"/>
  <c r="AA1315" i="3"/>
  <c r="AA1318" i="3"/>
  <c r="AA1319" i="3"/>
  <c r="AA1320" i="3"/>
  <c r="AA1321" i="3"/>
  <c r="AA1324" i="3"/>
  <c r="AA1325" i="3"/>
  <c r="AA1326" i="3"/>
  <c r="AA1327" i="3"/>
  <c r="AA1328" i="3"/>
  <c r="AA1331" i="3"/>
  <c r="AA1332" i="3"/>
  <c r="AA1333" i="3"/>
  <c r="AA1334" i="3"/>
  <c r="AA1335" i="3"/>
  <c r="AA1336" i="3"/>
  <c r="AA1337" i="3"/>
  <c r="AA1338" i="3"/>
  <c r="AA1339" i="3"/>
  <c r="AA1340" i="3"/>
  <c r="AA1341" i="3"/>
  <c r="AA1342" i="3"/>
  <c r="AA1343" i="3"/>
  <c r="AA1344" i="3"/>
  <c r="AA1346" i="3"/>
  <c r="AA1347" i="3"/>
  <c r="AA1349" i="3"/>
  <c r="AA1351" i="3"/>
  <c r="AA1352" i="3"/>
  <c r="AA1353" i="3"/>
  <c r="AA1354" i="3"/>
  <c r="AA1355" i="3"/>
  <c r="AA1356" i="3"/>
  <c r="AA1357" i="3"/>
  <c r="AA1358" i="3"/>
  <c r="AA1359" i="3"/>
  <c r="AA1360" i="3"/>
  <c r="AA1361" i="3"/>
  <c r="AA1362" i="3"/>
  <c r="AA1363" i="3"/>
  <c r="AA1364" i="3"/>
  <c r="AA1365" i="3"/>
  <c r="AA1366" i="3"/>
  <c r="AA1367" i="3"/>
  <c r="AA1368" i="3"/>
  <c r="AA1369" i="3"/>
  <c r="AA1371" i="3"/>
  <c r="AA1372" i="3"/>
  <c r="AA1373" i="3"/>
  <c r="AA1374" i="3"/>
  <c r="AA1375" i="3"/>
  <c r="AA1376" i="3"/>
  <c r="AA1377" i="3"/>
  <c r="AA1397" i="3"/>
  <c r="AA1398" i="3"/>
  <c r="AA1399" i="3"/>
  <c r="AA1400" i="3"/>
  <c r="AA1401" i="3"/>
  <c r="AA1402" i="3"/>
  <c r="AA1403" i="3"/>
  <c r="AA1404" i="3"/>
  <c r="AA1405" i="3"/>
  <c r="AA1406" i="3"/>
  <c r="AA1407" i="3"/>
  <c r="AA1408" i="3"/>
  <c r="AA1409" i="3"/>
  <c r="AA1410" i="3"/>
  <c r="AA1411" i="3"/>
  <c r="AA1413" i="3"/>
  <c r="AA1414" i="3"/>
  <c r="AA1415" i="3"/>
  <c r="AA1416" i="3"/>
  <c r="AA1417" i="3"/>
  <c r="AA1418" i="3"/>
  <c r="AA1419"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H12" i="3" s="1"/>
  <c r="AG13" i="3"/>
  <c r="AH13" i="3" s="1"/>
  <c r="AG14" i="3"/>
  <c r="AH14" i="3" s="1"/>
  <c r="AG15" i="3"/>
  <c r="AH15" i="3" s="1"/>
  <c r="AG16" i="3"/>
  <c r="AG17" i="3"/>
  <c r="AH17" i="3" s="1"/>
  <c r="AG18" i="3"/>
  <c r="AH18" i="3" s="1"/>
  <c r="AG19" i="3"/>
  <c r="AH19" i="3" s="1"/>
  <c r="AG20" i="3"/>
  <c r="AG22" i="3"/>
  <c r="AG23" i="3"/>
  <c r="AH23" i="3" s="1"/>
  <c r="AG24" i="3"/>
  <c r="AH24" i="3" s="1"/>
  <c r="AG25" i="3"/>
  <c r="AH25" i="3" s="1"/>
  <c r="AG26" i="3"/>
  <c r="AH26" i="3" s="1"/>
  <c r="AG27" i="3"/>
  <c r="AH27" i="3" s="1"/>
  <c r="AG28" i="3"/>
  <c r="AH28" i="3" s="1"/>
  <c r="AG29" i="3"/>
  <c r="AG30" i="3"/>
  <c r="AH30" i="3" s="1"/>
  <c r="AG31" i="3"/>
  <c r="AH31" i="3" s="1"/>
  <c r="AG32" i="3"/>
  <c r="AH32" i="3" s="1"/>
  <c r="AG33" i="3"/>
  <c r="AG34" i="3"/>
  <c r="AH34" i="3" s="1"/>
  <c r="AG35" i="3"/>
  <c r="AH35" i="3" s="1"/>
  <c r="AG36" i="3"/>
  <c r="AH36" i="3" s="1"/>
  <c r="AG37" i="3"/>
  <c r="AH37" i="3" s="1"/>
  <c r="AG38" i="3"/>
  <c r="AH38" i="3" s="1"/>
  <c r="AG39" i="3"/>
  <c r="AH39" i="3" s="1"/>
  <c r="AG40" i="3"/>
  <c r="AH40" i="3" s="1"/>
  <c r="AG41" i="3"/>
  <c r="AH41" i="3" s="1"/>
  <c r="AG42" i="3"/>
  <c r="AH42" i="3" s="1"/>
  <c r="AG43" i="3"/>
  <c r="AH43" i="3" s="1"/>
  <c r="AG44" i="3"/>
  <c r="AH44" i="3" s="1"/>
  <c r="AG45" i="3"/>
  <c r="AG46" i="3"/>
  <c r="AH46" i="3" s="1"/>
  <c r="AG47" i="3"/>
  <c r="AH47" i="3" s="1"/>
  <c r="AG48" i="3"/>
  <c r="AH48" i="3" s="1"/>
  <c r="AG49" i="3"/>
  <c r="AH49" i="3" s="1"/>
  <c r="AG50" i="3"/>
  <c r="AH50" i="3" s="1"/>
  <c r="AG51" i="3"/>
  <c r="AH51" i="3" s="1"/>
  <c r="AG52" i="3"/>
  <c r="AH52" i="3" s="1"/>
  <c r="AG53" i="3"/>
  <c r="AG54" i="3"/>
  <c r="AG55" i="3"/>
  <c r="AH55" i="3" s="1"/>
  <c r="AG56" i="3"/>
  <c r="AH56" i="3" s="1"/>
  <c r="AG57" i="3"/>
  <c r="AH57" i="3" s="1"/>
  <c r="AG58" i="3"/>
  <c r="AH58" i="3" s="1"/>
  <c r="AG59" i="3"/>
  <c r="AH59" i="3" s="1"/>
  <c r="AG60" i="3"/>
  <c r="AH60" i="3" s="1"/>
  <c r="AG61" i="3"/>
  <c r="AH61" i="3" s="1"/>
  <c r="AG62" i="3"/>
  <c r="AH62" i="3" s="1"/>
  <c r="AG63" i="3"/>
  <c r="AH63" i="3" s="1"/>
  <c r="AG64" i="3"/>
  <c r="AH64" i="3" s="1"/>
  <c r="AG65" i="3"/>
  <c r="AG66" i="3"/>
  <c r="AH66" i="3" s="1"/>
  <c r="AG67" i="3"/>
  <c r="AH67" i="3" s="1"/>
  <c r="AG68" i="3"/>
  <c r="AH68" i="3" s="1"/>
  <c r="AG69" i="3"/>
  <c r="AH69" i="3" s="1"/>
  <c r="AG70" i="3"/>
  <c r="AH70" i="3" s="1"/>
  <c r="AG71" i="3"/>
  <c r="AH71" i="3" s="1"/>
  <c r="AG72" i="3"/>
  <c r="AH72" i="3" s="1"/>
  <c r="AG73" i="3"/>
  <c r="AH73" i="3" s="1"/>
  <c r="AG74" i="3"/>
  <c r="AH74" i="3" s="1"/>
  <c r="AG75" i="3"/>
  <c r="AH75" i="3" s="1"/>
  <c r="AG76" i="3"/>
  <c r="AH76" i="3" s="1"/>
  <c r="AG77" i="3"/>
  <c r="AH77" i="3" s="1"/>
  <c r="AG78" i="3"/>
  <c r="AG79" i="3"/>
  <c r="AH79" i="3" s="1"/>
  <c r="AG80" i="3"/>
  <c r="AH80" i="3" s="1"/>
  <c r="AG81" i="3"/>
  <c r="AG82" i="3"/>
  <c r="AH82" i="3" s="1"/>
  <c r="AG83" i="3"/>
  <c r="AH83" i="3" s="1"/>
  <c r="AG84" i="3"/>
  <c r="AH84" i="3" s="1"/>
  <c r="AG85" i="3"/>
  <c r="AH85" i="3" s="1"/>
  <c r="AG86" i="3"/>
  <c r="AH86" i="3" s="1"/>
  <c r="AG87" i="3"/>
  <c r="AH87" i="3" s="1"/>
  <c r="AG88" i="3"/>
  <c r="AH88" i="3" s="1"/>
  <c r="AG89" i="3"/>
  <c r="AG90" i="3"/>
  <c r="AH90" i="3" s="1"/>
  <c r="AG91" i="3"/>
  <c r="AH91" i="3" s="1"/>
  <c r="AG92" i="3"/>
  <c r="AH92" i="3" s="1"/>
  <c r="AG93" i="3"/>
  <c r="AG94" i="3"/>
  <c r="AH94" i="3" s="1"/>
  <c r="AG95" i="3"/>
  <c r="AH95" i="3" s="1"/>
  <c r="AG96" i="3"/>
  <c r="AH96" i="3" s="1"/>
  <c r="AG97" i="3"/>
  <c r="AH97" i="3" s="1"/>
  <c r="AG98" i="3"/>
  <c r="AH98" i="3" s="1"/>
  <c r="AG99" i="3"/>
  <c r="AH99" i="3" s="1"/>
  <c r="AG100" i="3"/>
  <c r="AH100" i="3" s="1"/>
  <c r="AG101" i="3"/>
  <c r="AH101" i="3" s="1"/>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H116" i="3" s="1"/>
  <c r="AG117" i="3"/>
  <c r="AH117" i="3" s="1"/>
  <c r="AG118" i="3"/>
  <c r="AG119" i="3"/>
  <c r="AH119" i="3" s="1"/>
  <c r="AG120" i="3"/>
  <c r="AH120" i="3" s="1"/>
  <c r="AG121" i="3"/>
  <c r="AH121" i="3" s="1"/>
  <c r="AG122" i="3"/>
  <c r="AH122" i="3" s="1"/>
  <c r="AG123" i="3"/>
  <c r="AH123" i="3" s="1"/>
  <c r="AG124" i="3"/>
  <c r="AH124" i="3" s="1"/>
  <c r="AG125" i="3"/>
  <c r="AG126" i="3"/>
  <c r="AH126" i="3" s="1"/>
  <c r="AG127" i="3"/>
  <c r="AH127" i="3" s="1"/>
  <c r="AG128" i="3"/>
  <c r="AH128" i="3" s="1"/>
  <c r="AG129" i="3"/>
  <c r="AH129" i="3" s="1"/>
  <c r="AG130" i="3"/>
  <c r="AH130" i="3" s="1"/>
  <c r="AG131" i="3"/>
  <c r="AH131" i="3" s="1"/>
  <c r="AG132" i="3"/>
  <c r="AH132" i="3" s="1"/>
  <c r="AG133" i="3"/>
  <c r="AH133" i="3" s="1"/>
  <c r="AG134" i="3"/>
  <c r="AH134" i="3" s="1"/>
  <c r="AG135" i="3"/>
  <c r="AH135" i="3" s="1"/>
  <c r="AG136" i="3"/>
  <c r="AH136" i="3" s="1"/>
  <c r="AG137" i="3"/>
  <c r="AH137" i="3" s="1"/>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H149" i="3" s="1"/>
  <c r="AG150" i="3"/>
  <c r="AG151" i="3"/>
  <c r="AH151" i="3" s="1"/>
  <c r="AG152" i="3"/>
  <c r="AH152" i="3" s="1"/>
  <c r="AG153" i="3"/>
  <c r="AH153" i="3" s="1"/>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H165" i="3" s="1"/>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G178" i="3"/>
  <c r="AH178" i="3" s="1"/>
  <c r="AG179" i="3"/>
  <c r="AH179" i="3" s="1"/>
  <c r="AG180" i="3"/>
  <c r="AH180" i="3" s="1"/>
  <c r="AG181" i="3"/>
  <c r="AH181" i="3" s="1"/>
  <c r="AG182" i="3"/>
  <c r="AH182" i="3" s="1"/>
  <c r="AG183" i="3"/>
  <c r="AH183" i="3" s="1"/>
  <c r="AG184" i="3"/>
  <c r="AH184" i="3" s="1"/>
  <c r="AG185" i="3"/>
  <c r="AH185" i="3" s="1"/>
  <c r="AG186" i="3"/>
  <c r="AG187" i="3"/>
  <c r="AH187" i="3" s="1"/>
  <c r="AG188" i="3"/>
  <c r="AH188" i="3" s="1"/>
  <c r="AG189" i="3"/>
  <c r="AH189" i="3" s="1"/>
  <c r="AG190" i="3"/>
  <c r="AG191" i="3"/>
  <c r="AH191" i="3" s="1"/>
  <c r="AG192" i="3"/>
  <c r="AH192"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G214" i="3"/>
  <c r="AG215" i="3"/>
  <c r="AH215" i="3" s="1"/>
  <c r="AG216" i="3"/>
  <c r="AH216" i="3" s="1"/>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H229" i="3" s="1"/>
  <c r="AG230" i="3"/>
  <c r="AH230" i="3" s="1"/>
  <c r="AG231" i="3"/>
  <c r="AH231" i="3" s="1"/>
  <c r="AG232" i="3"/>
  <c r="AH232" i="3" s="1"/>
  <c r="AG233" i="3"/>
  <c r="AH233" i="3" s="1"/>
  <c r="AG234" i="3"/>
  <c r="AH234" i="3" s="1"/>
  <c r="AG235" i="3"/>
  <c r="AH235" i="3" s="1"/>
  <c r="AG236" i="3"/>
  <c r="AH236" i="3" s="1"/>
  <c r="AG237" i="3"/>
  <c r="AH237" i="3" s="1"/>
  <c r="AG238" i="3"/>
  <c r="AH238" i="3" s="1"/>
  <c r="AG239" i="3"/>
  <c r="AH239" i="3" s="1"/>
  <c r="AG240" i="3"/>
  <c r="AG241" i="3"/>
  <c r="AH241" i="3" s="1"/>
  <c r="AG242" i="3"/>
  <c r="AH242" i="3" s="1"/>
  <c r="AG243" i="3"/>
  <c r="AH243" i="3" s="1"/>
  <c r="AG244" i="3"/>
  <c r="AH244" i="3" s="1"/>
  <c r="AG245" i="3"/>
  <c r="AH245" i="3" s="1"/>
  <c r="AG246" i="3"/>
  <c r="AG247" i="3"/>
  <c r="AH247" i="3" s="1"/>
  <c r="AG248" i="3"/>
  <c r="AG249" i="3"/>
  <c r="AH249" i="3" s="1"/>
  <c r="AG250" i="3"/>
  <c r="AG251" i="3"/>
  <c r="AH251" i="3" s="1"/>
  <c r="AG252" i="3"/>
  <c r="AH252" i="3" s="1"/>
  <c r="AG253" i="3"/>
  <c r="AH253" i="3" s="1"/>
  <c r="AG254" i="3"/>
  <c r="AH254" i="3" s="1"/>
  <c r="AG255" i="3"/>
  <c r="AH255" i="3" s="1"/>
  <c r="AG256" i="3"/>
  <c r="AH256" i="3" s="1"/>
  <c r="AG257" i="3"/>
  <c r="AH257" i="3" s="1"/>
  <c r="AG258" i="3"/>
  <c r="AG259" i="3"/>
  <c r="AH259" i="3" s="1"/>
  <c r="AG260" i="3"/>
  <c r="AH260" i="3" s="1"/>
  <c r="AG261" i="3"/>
  <c r="AH261" i="3" s="1"/>
  <c r="AG262" i="3"/>
  <c r="AH262" i="3" s="1"/>
  <c r="AG263" i="3"/>
  <c r="AH263" i="3" s="1"/>
  <c r="AG264" i="3"/>
  <c r="AH264" i="3" s="1"/>
  <c r="AG265" i="3"/>
  <c r="AH265" i="3" s="1"/>
  <c r="AG266" i="3"/>
  <c r="AH266" i="3" s="1"/>
  <c r="AG267" i="3"/>
  <c r="AH267" i="3" s="1"/>
  <c r="AG268" i="3"/>
  <c r="AH268" i="3" s="1"/>
  <c r="AG269" i="3"/>
  <c r="AH269" i="3" s="1"/>
  <c r="AG270" i="3"/>
  <c r="AG271" i="3"/>
  <c r="AH271" i="3" s="1"/>
  <c r="AG272" i="3"/>
  <c r="AH272" i="3" s="1"/>
  <c r="AG273" i="3"/>
  <c r="AH273" i="3" s="1"/>
  <c r="AG274" i="3"/>
  <c r="AH274" i="3" s="1"/>
  <c r="AG275" i="3"/>
  <c r="AH275" i="3" s="1"/>
  <c r="AG276" i="3"/>
  <c r="AH276" i="3" s="1"/>
  <c r="AG277" i="3"/>
  <c r="AH277" i="3" s="1"/>
  <c r="AG278" i="3"/>
  <c r="AH278" i="3" s="1"/>
  <c r="AG279" i="3"/>
  <c r="AH279" i="3" s="1"/>
  <c r="AG280" i="3"/>
  <c r="AH280" i="3" s="1"/>
  <c r="AG281" i="3"/>
  <c r="AH281" i="3" s="1"/>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H292" i="3" s="1"/>
  <c r="AG293" i="3"/>
  <c r="AH293" i="3" s="1"/>
  <c r="AG294" i="3"/>
  <c r="AH294" i="3" s="1"/>
  <c r="AG295" i="3"/>
  <c r="AH295" i="3" s="1"/>
  <c r="AG296" i="3"/>
  <c r="AH296" i="3" s="1"/>
  <c r="AG297" i="3"/>
  <c r="AH297" i="3" s="1"/>
  <c r="AG298" i="3"/>
  <c r="AH298" i="3" s="1"/>
  <c r="AG299" i="3"/>
  <c r="AH299" i="3" s="1"/>
  <c r="AG300" i="3"/>
  <c r="AH300" i="3" s="1"/>
  <c r="AG301" i="3"/>
  <c r="AH301" i="3" s="1"/>
  <c r="AG302" i="3"/>
  <c r="AH302" i="3" s="1"/>
  <c r="AG303" i="3"/>
  <c r="AH303" i="3" s="1"/>
  <c r="AG304" i="3"/>
  <c r="AH304" i="3" s="1"/>
  <c r="AG305" i="3"/>
  <c r="AH305" i="3" s="1"/>
  <c r="AG306" i="3"/>
  <c r="AG307" i="3"/>
  <c r="AH307" i="3" s="1"/>
  <c r="AG308" i="3"/>
  <c r="AH308" i="3" s="1"/>
  <c r="AG309" i="3"/>
  <c r="AH309" i="3" s="1"/>
  <c r="AG310" i="3"/>
  <c r="AH310" i="3" s="1"/>
  <c r="AG311" i="3"/>
  <c r="AH311" i="3" s="1"/>
  <c r="AG312" i="3"/>
  <c r="AG313" i="3"/>
  <c r="AH313" i="3" s="1"/>
  <c r="AG314" i="3"/>
  <c r="AH314" i="3" s="1"/>
  <c r="AG315" i="3"/>
  <c r="AH315" i="3" s="1"/>
  <c r="AG316" i="3"/>
  <c r="AH316" i="3" s="1"/>
  <c r="AG317" i="3"/>
  <c r="AH317" i="3" s="1"/>
  <c r="AG318" i="3"/>
  <c r="AH318" i="3" s="1"/>
  <c r="AG319" i="3"/>
  <c r="AH319" i="3" s="1"/>
  <c r="AG320" i="3"/>
  <c r="AG321" i="3"/>
  <c r="AH321" i="3" s="1"/>
  <c r="AG322" i="3"/>
  <c r="AG323" i="3"/>
  <c r="AH323" i="3" s="1"/>
  <c r="AG324" i="3"/>
  <c r="AH324" i="3" s="1"/>
  <c r="AG325" i="3"/>
  <c r="AH325" i="3" s="1"/>
  <c r="AG326" i="3"/>
  <c r="AH326" i="3" s="1"/>
  <c r="AG327" i="3"/>
  <c r="AH327" i="3" s="1"/>
  <c r="AG328" i="3"/>
  <c r="AH328" i="3" s="1"/>
  <c r="AG329" i="3"/>
  <c r="AH329" i="3" s="1"/>
  <c r="AG330" i="3"/>
  <c r="AH330" i="3" s="1"/>
  <c r="AG331" i="3"/>
  <c r="AH331" i="3" s="1"/>
  <c r="AG332" i="3"/>
  <c r="AH332" i="3" s="1"/>
  <c r="AG333" i="3"/>
  <c r="AH333" i="3" s="1"/>
  <c r="AG334" i="3"/>
  <c r="AH334" i="3" s="1"/>
  <c r="AG335" i="3"/>
  <c r="AH335" i="3" s="1"/>
  <c r="AG336" i="3"/>
  <c r="AH336" i="3" s="1"/>
  <c r="AG337" i="3"/>
  <c r="AH337" i="3" s="1"/>
  <c r="AG338" i="3"/>
  <c r="AH338" i="3" s="1"/>
  <c r="AG339" i="3"/>
  <c r="AH339" i="3" s="1"/>
  <c r="AG340" i="3"/>
  <c r="AH340" i="3" s="1"/>
  <c r="AG341" i="3"/>
  <c r="AH341" i="3" s="1"/>
  <c r="AG342" i="3"/>
  <c r="AH342" i="3" s="1"/>
  <c r="AG343" i="3"/>
  <c r="AH343" i="3" s="1"/>
  <c r="AG344" i="3"/>
  <c r="AG345" i="3"/>
  <c r="AH345" i="3" s="1"/>
  <c r="AG346" i="3"/>
  <c r="AG347" i="3"/>
  <c r="AH347" i="3" s="1"/>
  <c r="AG348" i="3"/>
  <c r="AH348" i="3" s="1"/>
  <c r="AG349" i="3"/>
  <c r="AH349" i="3" s="1"/>
  <c r="AG350" i="3"/>
  <c r="AH350" i="3" s="1"/>
  <c r="AG351" i="3"/>
  <c r="AH351" i="3" s="1"/>
  <c r="AG352" i="3"/>
  <c r="AH352" i="3" s="1"/>
  <c r="AG353" i="3"/>
  <c r="AH353" i="3" s="1"/>
  <c r="AG354" i="3"/>
  <c r="AH354" i="3" s="1"/>
  <c r="AG355" i="3"/>
  <c r="AH355" i="3" s="1"/>
  <c r="AG356" i="3"/>
  <c r="AH356" i="3" s="1"/>
  <c r="AG357" i="3"/>
  <c r="AH357" i="3" s="1"/>
  <c r="AG358" i="3"/>
  <c r="AH358" i="3" s="1"/>
  <c r="AG359" i="3"/>
  <c r="AH359" i="3" s="1"/>
  <c r="AG360" i="3"/>
  <c r="AH360" i="3" s="1"/>
  <c r="AG361" i="3"/>
  <c r="AH361" i="3" s="1"/>
  <c r="AG362" i="3"/>
  <c r="AH362" i="3" s="1"/>
  <c r="AG363" i="3"/>
  <c r="AH363" i="3" s="1"/>
  <c r="AG364" i="3"/>
  <c r="AH364" i="3" s="1"/>
  <c r="AG365" i="3"/>
  <c r="AH365" i="3" s="1"/>
  <c r="AG366" i="3"/>
  <c r="AH366" i="3" s="1"/>
  <c r="AG367" i="3"/>
  <c r="AH367" i="3" s="1"/>
  <c r="AG368" i="3"/>
  <c r="AH368" i="3" s="1"/>
  <c r="AG369" i="3"/>
  <c r="AH369" i="3" s="1"/>
  <c r="AG370" i="3"/>
  <c r="AG371" i="3"/>
  <c r="AH371" i="3" s="1"/>
  <c r="AG372" i="3"/>
  <c r="AG373" i="3"/>
  <c r="AH373" i="3" s="1"/>
  <c r="AG374" i="3"/>
  <c r="AH374" i="3" s="1"/>
  <c r="AG375" i="3"/>
  <c r="AH375" i="3" s="1"/>
  <c r="AG376" i="3"/>
  <c r="AH376" i="3" s="1"/>
  <c r="AG377" i="3"/>
  <c r="AH377" i="3" s="1"/>
  <c r="AG378" i="3"/>
  <c r="AH378" i="3" s="1"/>
  <c r="AG379" i="3"/>
  <c r="AH379" i="3" s="1"/>
  <c r="AG380" i="3"/>
  <c r="AH380" i="3" s="1"/>
  <c r="AG381" i="3"/>
  <c r="AH381" i="3" s="1"/>
  <c r="AG382" i="3"/>
  <c r="AG383" i="3"/>
  <c r="AH383" i="3" s="1"/>
  <c r="AG384" i="3"/>
  <c r="AH384" i="3" s="1"/>
  <c r="AG385" i="3"/>
  <c r="AH385" i="3" s="1"/>
  <c r="AG386" i="3"/>
  <c r="AG387" i="3"/>
  <c r="AH387" i="3" s="1"/>
  <c r="AG388" i="3"/>
  <c r="AH388" i="3" s="1"/>
  <c r="AG389" i="3"/>
  <c r="AH389" i="3" s="1"/>
  <c r="AG390" i="3"/>
  <c r="AH390" i="3" s="1"/>
  <c r="AG391" i="3"/>
  <c r="AH391" i="3" s="1"/>
  <c r="AG392" i="3"/>
  <c r="AG393" i="3"/>
  <c r="AH393" i="3" s="1"/>
  <c r="AG394" i="3"/>
  <c r="AH394" i="3" s="1"/>
  <c r="AG395" i="3"/>
  <c r="AH395" i="3" s="1"/>
  <c r="AG396" i="3"/>
  <c r="AH396" i="3" s="1"/>
  <c r="AG397" i="3"/>
  <c r="AH397" i="3" s="1"/>
  <c r="AG398" i="3"/>
  <c r="AH398" i="3" s="1"/>
  <c r="AG399" i="3"/>
  <c r="AH399" i="3" s="1"/>
  <c r="AG400" i="3"/>
  <c r="AH400" i="3" s="1"/>
  <c r="AG401" i="3"/>
  <c r="AH401" i="3" s="1"/>
  <c r="AG402" i="3"/>
  <c r="AG403" i="3"/>
  <c r="AH403" i="3" s="1"/>
  <c r="AG404" i="3"/>
  <c r="AH404" i="3" s="1"/>
  <c r="AG405" i="3"/>
  <c r="AH405" i="3" s="1"/>
  <c r="AG406" i="3"/>
  <c r="AG407" i="3"/>
  <c r="AH407" i="3" s="1"/>
  <c r="AG408" i="3"/>
  <c r="AH408" i="3" s="1"/>
  <c r="AG409" i="3"/>
  <c r="AH409" i="3" s="1"/>
  <c r="AG410" i="3"/>
  <c r="AH410" i="3" s="1"/>
  <c r="AG411" i="3"/>
  <c r="AH411" i="3" s="1"/>
  <c r="AG412" i="3"/>
  <c r="AH412" i="3" s="1"/>
  <c r="AG413" i="3"/>
  <c r="AH413" i="3" s="1"/>
  <c r="AG414" i="3"/>
  <c r="AG415" i="3"/>
  <c r="AH415" i="3" s="1"/>
  <c r="AG416" i="3"/>
  <c r="AH416" i="3" s="1"/>
  <c r="AG417" i="3"/>
  <c r="AH417" i="3" s="1"/>
  <c r="AG418" i="3"/>
  <c r="AG419" i="3"/>
  <c r="AH419" i="3" s="1"/>
  <c r="AG420" i="3"/>
  <c r="AH420" i="3" s="1"/>
  <c r="AG421" i="3"/>
  <c r="AH421" i="3" s="1"/>
  <c r="AG422" i="3"/>
  <c r="AH422" i="3" s="1"/>
  <c r="AG423" i="3"/>
  <c r="AH423" i="3" s="1"/>
  <c r="AG424" i="3"/>
  <c r="AH424" i="3" s="1"/>
  <c r="AG425" i="3"/>
  <c r="AH425" i="3" s="1"/>
  <c r="AG426" i="3"/>
  <c r="AH426" i="3" s="1"/>
  <c r="AG427" i="3"/>
  <c r="AH427" i="3" s="1"/>
  <c r="AG428" i="3"/>
  <c r="AH428" i="3" s="1"/>
  <c r="AG429" i="3"/>
  <c r="AH429" i="3" s="1"/>
  <c r="AG430" i="3"/>
  <c r="AG431" i="3"/>
  <c r="AH431" i="3" s="1"/>
  <c r="AG432" i="3"/>
  <c r="AH432" i="3" s="1"/>
  <c r="AG433" i="3"/>
  <c r="AH433" i="3" s="1"/>
  <c r="AG434" i="3"/>
  <c r="AH434" i="3" s="1"/>
  <c r="AG435" i="3"/>
  <c r="AH435" i="3" s="1"/>
  <c r="AG436" i="3"/>
  <c r="AH436" i="3" s="1"/>
  <c r="AG437" i="3"/>
  <c r="AH437" i="3" s="1"/>
  <c r="AG438" i="3"/>
  <c r="AG439" i="3"/>
  <c r="AH439" i="3" s="1"/>
  <c r="AG440" i="3"/>
  <c r="AG441" i="3"/>
  <c r="AH441" i="3" s="1"/>
  <c r="AG442" i="3"/>
  <c r="AH442" i="3" s="1"/>
  <c r="AG443" i="3"/>
  <c r="AH443" i="3" s="1"/>
  <c r="AG444" i="3"/>
  <c r="AH444" i="3" s="1"/>
  <c r="AG445" i="3"/>
  <c r="AH445" i="3" s="1"/>
  <c r="AG446" i="3"/>
  <c r="AH446" i="3" s="1"/>
  <c r="AG447" i="3"/>
  <c r="AH447" i="3" s="1"/>
  <c r="AG448" i="3"/>
  <c r="AH448" i="3" s="1"/>
  <c r="AG449" i="3"/>
  <c r="AH449" i="3" s="1"/>
  <c r="AG450" i="3"/>
  <c r="AG451" i="3"/>
  <c r="AH451" i="3" s="1"/>
  <c r="AG452" i="3"/>
  <c r="AH452" i="3" s="1"/>
  <c r="AG453" i="3"/>
  <c r="AH453" i="3" s="1"/>
  <c r="AG454" i="3"/>
  <c r="AG455" i="3"/>
  <c r="AH455" i="3" s="1"/>
  <c r="AG456" i="3"/>
  <c r="AH456" i="3" s="1"/>
  <c r="AG457" i="3"/>
  <c r="AH457" i="3" s="1"/>
  <c r="AG458" i="3"/>
  <c r="AH458" i="3" s="1"/>
  <c r="AG459" i="3"/>
  <c r="AH459" i="3" s="1"/>
  <c r="AG460" i="3"/>
  <c r="AH460" i="3" s="1"/>
  <c r="AG461" i="3"/>
  <c r="AH461" i="3" s="1"/>
  <c r="AG462" i="3"/>
  <c r="AG463" i="3"/>
  <c r="AH463" i="3" s="1"/>
  <c r="AG464" i="3"/>
  <c r="AG465" i="3"/>
  <c r="AH465" i="3" s="1"/>
  <c r="AG466" i="3"/>
  <c r="AG467" i="3"/>
  <c r="AH467" i="3" s="1"/>
  <c r="AG468" i="3"/>
  <c r="AH468" i="3" s="1"/>
  <c r="AG469" i="3"/>
  <c r="AH469" i="3" s="1"/>
  <c r="AG470" i="3"/>
  <c r="AH470" i="3" s="1"/>
  <c r="AG471" i="3"/>
  <c r="AH471" i="3" s="1"/>
  <c r="AG472" i="3"/>
  <c r="AH472" i="3" s="1"/>
  <c r="AG473" i="3"/>
  <c r="AH473" i="3" s="1"/>
  <c r="AG474" i="3"/>
  <c r="AH474" i="3" s="1"/>
  <c r="AG475" i="3"/>
  <c r="AH475" i="3" s="1"/>
  <c r="AG476" i="3"/>
  <c r="AH476" i="3" s="1"/>
  <c r="AG477" i="3"/>
  <c r="AH477" i="3" s="1"/>
  <c r="AG478" i="3"/>
  <c r="AG479" i="3"/>
  <c r="AH479" i="3" s="1"/>
  <c r="AG480" i="3"/>
  <c r="AG481" i="3"/>
  <c r="AH481" i="3" s="1"/>
  <c r="AG482" i="3"/>
  <c r="AH482" i="3" s="1"/>
  <c r="AG483" i="3"/>
  <c r="AH483" i="3" s="1"/>
  <c r="AG484" i="3"/>
  <c r="AH484" i="3" s="1"/>
  <c r="AG485" i="3"/>
  <c r="AH485" i="3" s="1"/>
  <c r="AG486" i="3"/>
  <c r="AG487" i="3"/>
  <c r="AH487" i="3" s="1"/>
  <c r="AG488" i="3"/>
  <c r="AH488" i="3" s="1"/>
  <c r="AG489" i="3"/>
  <c r="AH489" i="3" s="1"/>
  <c r="AG490" i="3"/>
  <c r="AG491" i="3"/>
  <c r="AH491" i="3" s="1"/>
  <c r="AG492" i="3"/>
  <c r="AH492" i="3" s="1"/>
  <c r="AG493" i="3"/>
  <c r="AH493" i="3" s="1"/>
  <c r="AG494" i="3"/>
  <c r="AH494" i="3" s="1"/>
  <c r="AG495" i="3"/>
  <c r="AH495" i="3" s="1"/>
  <c r="AG496" i="3"/>
  <c r="AH496" i="3" s="1"/>
  <c r="AG497" i="3"/>
  <c r="AH497" i="3" s="1"/>
  <c r="AG498" i="3"/>
  <c r="AG499" i="3"/>
  <c r="AH499" i="3" s="1"/>
  <c r="AG500" i="3"/>
  <c r="AH500" i="3" s="1"/>
  <c r="AG501" i="3"/>
  <c r="AH501" i="3" s="1"/>
  <c r="AG502" i="3"/>
  <c r="AG503" i="3"/>
  <c r="AH503" i="3" s="1"/>
  <c r="AG504" i="3"/>
  <c r="AH504" i="3" s="1"/>
  <c r="AG505" i="3"/>
  <c r="AH505" i="3" s="1"/>
  <c r="AG506" i="3"/>
  <c r="AH506" i="3" s="1"/>
  <c r="AG507" i="3"/>
  <c r="AH507" i="3" s="1"/>
  <c r="AG508" i="3"/>
  <c r="AH508" i="3" s="1"/>
  <c r="AG509" i="3"/>
  <c r="AH509" i="3" s="1"/>
  <c r="AG510" i="3"/>
  <c r="AG511" i="3"/>
  <c r="AH511" i="3" s="1"/>
  <c r="AG512" i="3"/>
  <c r="AG513" i="3"/>
  <c r="AH513" i="3" s="1"/>
  <c r="AG514" i="3"/>
  <c r="AG515" i="3"/>
  <c r="AH515" i="3" s="1"/>
  <c r="AG516" i="3"/>
  <c r="AH516" i="3" s="1"/>
  <c r="AG517" i="3"/>
  <c r="AH517" i="3" s="1"/>
  <c r="AG518" i="3"/>
  <c r="AH518" i="3" s="1"/>
  <c r="AG519" i="3"/>
  <c r="AH519" i="3" s="1"/>
  <c r="AG520" i="3"/>
  <c r="AH520" i="3" s="1"/>
  <c r="AG521" i="3"/>
  <c r="AH521" i="3" s="1"/>
  <c r="AG522" i="3"/>
  <c r="AH522" i="3" s="1"/>
  <c r="AG523" i="3"/>
  <c r="AH523" i="3" s="1"/>
  <c r="AG524" i="3"/>
  <c r="AH524" i="3" s="1"/>
  <c r="AG525" i="3"/>
  <c r="AH525" i="3" s="1"/>
  <c r="AG526" i="3"/>
  <c r="AG527" i="3"/>
  <c r="AH527" i="3" s="1"/>
  <c r="AG528" i="3"/>
  <c r="AG529" i="3"/>
  <c r="AH529" i="3" s="1"/>
  <c r="AG530" i="3"/>
  <c r="AH530" i="3" s="1"/>
  <c r="AG531" i="3"/>
  <c r="AH531" i="3" s="1"/>
  <c r="AG532" i="3"/>
  <c r="AH532" i="3" s="1"/>
  <c r="AG533" i="3"/>
  <c r="AH533" i="3" s="1"/>
  <c r="AG534" i="3"/>
  <c r="AG535" i="3"/>
  <c r="AH535" i="3" s="1"/>
  <c r="AG536" i="3"/>
  <c r="AH536" i="3" s="1"/>
  <c r="AG537" i="3"/>
  <c r="AH537" i="3" s="1"/>
  <c r="AG538" i="3"/>
  <c r="AH538" i="3" s="1"/>
  <c r="AG539" i="3"/>
  <c r="AH539" i="3" s="1"/>
  <c r="AG540" i="3"/>
  <c r="AH540" i="3" s="1"/>
  <c r="AG541" i="3"/>
  <c r="AH541" i="3" s="1"/>
  <c r="AG542" i="3"/>
  <c r="AH542" i="3" s="1"/>
  <c r="AG543" i="3"/>
  <c r="AH543" i="3" s="1"/>
  <c r="AG544" i="3"/>
  <c r="AH544" i="3" s="1"/>
  <c r="AG545" i="3"/>
  <c r="AH545" i="3" s="1"/>
  <c r="AG546" i="3"/>
  <c r="AH546" i="3" s="1"/>
  <c r="AG547" i="3"/>
  <c r="AH547" i="3" s="1"/>
  <c r="AG548" i="3"/>
  <c r="AH548" i="3" s="1"/>
  <c r="AG549" i="3"/>
  <c r="AH549" i="3" s="1"/>
  <c r="AG550" i="3"/>
  <c r="AG551" i="3"/>
  <c r="AH551" i="3" s="1"/>
  <c r="AG552" i="3"/>
  <c r="AG553" i="3"/>
  <c r="AH553" i="3" s="1"/>
  <c r="AG554" i="3"/>
  <c r="AH554" i="3" s="1"/>
  <c r="AG555" i="3"/>
  <c r="AH555" i="3" s="1"/>
  <c r="AG556" i="3"/>
  <c r="AH556" i="3" s="1"/>
  <c r="AG557" i="3"/>
  <c r="AH557" i="3" s="1"/>
  <c r="AG558" i="3"/>
  <c r="AG559" i="3"/>
  <c r="AH559" i="3" s="1"/>
  <c r="AG560" i="3"/>
  <c r="AH560" i="3" s="1"/>
  <c r="AG561" i="3"/>
  <c r="AH561" i="3" s="1"/>
  <c r="AG562" i="3"/>
  <c r="AG563" i="3"/>
  <c r="AH563" i="3" s="1"/>
  <c r="AG564" i="3"/>
  <c r="AH564" i="3" s="1"/>
  <c r="AG565" i="3"/>
  <c r="AH565" i="3" s="1"/>
  <c r="AG566" i="3"/>
  <c r="AH566" i="3" s="1"/>
  <c r="AG567" i="3"/>
  <c r="AH567" i="3" s="1"/>
  <c r="AG568" i="3"/>
  <c r="AH568" i="3" s="1"/>
  <c r="AG569" i="3"/>
  <c r="AH569" i="3" s="1"/>
  <c r="AG570" i="3"/>
  <c r="AG571" i="3"/>
  <c r="AH571" i="3" s="1"/>
  <c r="AG572" i="3"/>
  <c r="AH572" i="3" s="1"/>
  <c r="AG573" i="3"/>
  <c r="AH573" i="3" s="1"/>
  <c r="AG574" i="3"/>
  <c r="AG575" i="3"/>
  <c r="AH575" i="3" s="1"/>
  <c r="AG576" i="3"/>
  <c r="AH576" i="3" s="1"/>
  <c r="AG577" i="3"/>
  <c r="AH577" i="3" s="1"/>
  <c r="AG578" i="3"/>
  <c r="AH578" i="3" s="1"/>
  <c r="AG579" i="3"/>
  <c r="AH579" i="3" s="1"/>
  <c r="AG580" i="3"/>
  <c r="AH580" i="3" s="1"/>
  <c r="AG581" i="3"/>
  <c r="AH581" i="3" s="1"/>
  <c r="AG582" i="3"/>
  <c r="AG583" i="3"/>
  <c r="AH583" i="3" s="1"/>
  <c r="AG584" i="3"/>
  <c r="AG585" i="3"/>
  <c r="AH585" i="3" s="1"/>
  <c r="AG586" i="3"/>
  <c r="AG587" i="3"/>
  <c r="AH587" i="3" s="1"/>
  <c r="AG588" i="3"/>
  <c r="AH588" i="3" s="1"/>
  <c r="AG589" i="3"/>
  <c r="AH589" i="3" s="1"/>
  <c r="AG590" i="3"/>
  <c r="AH590" i="3" s="1"/>
  <c r="AG591" i="3"/>
  <c r="AH591" i="3" s="1"/>
  <c r="AG592" i="3"/>
  <c r="AH592" i="3" s="1"/>
  <c r="AG593" i="3"/>
  <c r="AH593" i="3" s="1"/>
  <c r="AG594" i="3"/>
  <c r="AH594" i="3" s="1"/>
  <c r="AG595" i="3"/>
  <c r="AH595" i="3" s="1"/>
  <c r="AG596" i="3"/>
  <c r="AH596" i="3" s="1"/>
  <c r="AG597" i="3"/>
  <c r="AH597" i="3" s="1"/>
  <c r="AG598" i="3"/>
  <c r="AG599" i="3"/>
  <c r="AH599" i="3" s="1"/>
  <c r="AG600" i="3"/>
  <c r="AH600" i="3" s="1"/>
  <c r="AG601" i="3"/>
  <c r="AH601" i="3" s="1"/>
  <c r="AG602" i="3"/>
  <c r="AH602" i="3" s="1"/>
  <c r="AG603" i="3"/>
  <c r="AH603" i="3" s="1"/>
  <c r="AG604" i="3"/>
  <c r="AH604" i="3" s="1"/>
  <c r="AG605" i="3"/>
  <c r="AH605" i="3" s="1"/>
  <c r="AG606" i="3"/>
  <c r="AG607" i="3"/>
  <c r="AG608" i="3"/>
  <c r="AH608" i="3" s="1"/>
  <c r="AG609" i="3"/>
  <c r="AH609" i="3" s="1"/>
  <c r="AG610" i="3"/>
  <c r="AG611" i="3"/>
  <c r="AH611" i="3" s="1"/>
  <c r="AG612" i="3"/>
  <c r="AH612" i="3" s="1"/>
  <c r="AG613" i="3"/>
  <c r="AH613" i="3" s="1"/>
  <c r="AG614" i="3"/>
  <c r="AH614" i="3" s="1"/>
  <c r="AG615" i="3"/>
  <c r="AH615" i="3" s="1"/>
  <c r="AG616" i="3"/>
  <c r="AH616" i="3" s="1"/>
  <c r="AG617" i="3"/>
  <c r="AH617" i="3" s="1"/>
  <c r="AG618" i="3"/>
  <c r="AG619" i="3"/>
  <c r="AH619" i="3" s="1"/>
  <c r="AG620" i="3"/>
  <c r="AH620" i="3" s="1"/>
  <c r="AG621" i="3"/>
  <c r="AH621" i="3" s="1"/>
  <c r="AG622" i="3"/>
  <c r="AG623" i="3"/>
  <c r="AH623" i="3" s="1"/>
  <c r="AG624" i="3"/>
  <c r="AH624" i="3" s="1"/>
  <c r="AG625" i="3"/>
  <c r="AH625" i="3" s="1"/>
  <c r="AG626" i="3"/>
  <c r="AH626" i="3" s="1"/>
  <c r="AG627" i="3"/>
  <c r="AH627" i="3" s="1"/>
  <c r="AG628" i="3"/>
  <c r="AH628" i="3" s="1"/>
  <c r="AG629" i="3"/>
  <c r="AH629" i="3" s="1"/>
  <c r="AG630" i="3"/>
  <c r="AG631" i="3"/>
  <c r="AH631" i="3" s="1"/>
  <c r="AG632" i="3"/>
  <c r="AG633" i="3"/>
  <c r="AH633" i="3" s="1"/>
  <c r="AG634" i="3"/>
  <c r="AG635" i="3"/>
  <c r="AH635" i="3" s="1"/>
  <c r="AG636" i="3"/>
  <c r="AH636" i="3" s="1"/>
  <c r="AG637" i="3"/>
  <c r="AH637" i="3" s="1"/>
  <c r="AG638" i="3"/>
  <c r="AH638" i="3" s="1"/>
  <c r="AG639" i="3"/>
  <c r="AH639" i="3" s="1"/>
  <c r="AG640" i="3"/>
  <c r="AH640" i="3" s="1"/>
  <c r="AG641" i="3"/>
  <c r="AH641" i="3" s="1"/>
  <c r="AG642" i="3"/>
  <c r="AG643" i="3"/>
  <c r="AH643" i="3" s="1"/>
  <c r="AG644" i="3"/>
  <c r="AH644" i="3" s="1"/>
  <c r="AG645" i="3"/>
  <c r="AH645" i="3" s="1"/>
  <c r="AG646" i="3"/>
  <c r="AG647" i="3"/>
  <c r="AH647" i="3" s="1"/>
  <c r="AG648" i="3"/>
  <c r="AG649" i="3"/>
  <c r="AH649" i="3" s="1"/>
  <c r="AG650" i="3"/>
  <c r="AH650" i="3" s="1"/>
  <c r="AG651" i="3"/>
  <c r="AH651" i="3" s="1"/>
  <c r="AG652" i="3"/>
  <c r="AH652" i="3" s="1"/>
  <c r="AG653" i="3"/>
  <c r="AH653" i="3" s="1"/>
  <c r="AG654" i="3"/>
  <c r="AG655" i="3"/>
  <c r="AH655" i="3" s="1"/>
  <c r="AG656" i="3"/>
  <c r="AH656" i="3" s="1"/>
  <c r="AG657" i="3"/>
  <c r="AH657" i="3" s="1"/>
  <c r="AG658" i="3"/>
  <c r="AG659" i="3"/>
  <c r="AH659" i="3" s="1"/>
  <c r="AG660" i="3"/>
  <c r="AH660" i="3" s="1"/>
  <c r="AG661" i="3"/>
  <c r="AH661" i="3" s="1"/>
  <c r="AG662" i="3"/>
  <c r="AH662" i="3" s="1"/>
  <c r="AG663" i="3"/>
  <c r="AH663" i="3" s="1"/>
  <c r="AG664" i="3"/>
  <c r="AH664" i="3" s="1"/>
  <c r="AG665" i="3"/>
  <c r="AH665" i="3" s="1"/>
  <c r="AG666" i="3"/>
  <c r="AG667" i="3"/>
  <c r="AH667" i="3" s="1"/>
  <c r="AG668" i="3"/>
  <c r="AH668" i="3" s="1"/>
  <c r="AG669" i="3"/>
  <c r="AH669" i="3" s="1"/>
  <c r="AG670" i="3"/>
  <c r="AG671" i="3"/>
  <c r="AH671" i="3" s="1"/>
  <c r="AG672" i="3"/>
  <c r="AH672" i="3" s="1"/>
  <c r="AG673" i="3"/>
  <c r="AH673" i="3" s="1"/>
  <c r="AG674" i="3"/>
  <c r="AH674" i="3" s="1"/>
  <c r="AG675" i="3"/>
  <c r="AH675" i="3" s="1"/>
  <c r="AG676" i="3"/>
  <c r="AH676" i="3" s="1"/>
  <c r="AG677" i="3"/>
  <c r="AH677" i="3" s="1"/>
  <c r="AG678" i="3"/>
  <c r="AG679" i="3"/>
  <c r="AH679" i="3" s="1"/>
  <c r="AG680" i="3"/>
  <c r="AG681" i="3"/>
  <c r="AH681" i="3" s="1"/>
  <c r="AG682" i="3"/>
  <c r="AG683" i="3"/>
  <c r="AH683" i="3" s="1"/>
  <c r="AG684" i="3"/>
  <c r="AH684" i="3" s="1"/>
  <c r="AG685" i="3"/>
  <c r="AH685" i="3" s="1"/>
  <c r="AG686" i="3"/>
  <c r="AH686" i="3" s="1"/>
  <c r="AG687" i="3"/>
  <c r="AH687" i="3" s="1"/>
  <c r="AG688" i="3"/>
  <c r="AH688" i="3" s="1"/>
  <c r="AG689" i="3"/>
  <c r="AH689" i="3" s="1"/>
  <c r="AG690" i="3"/>
  <c r="AG691" i="3"/>
  <c r="AH691" i="3" s="1"/>
  <c r="AG692" i="3"/>
  <c r="AH692" i="3" s="1"/>
  <c r="AG693" i="3"/>
  <c r="AH693" i="3" s="1"/>
  <c r="AG694" i="3"/>
  <c r="AG695" i="3"/>
  <c r="AH695" i="3" s="1"/>
  <c r="AG696" i="3"/>
  <c r="AG697" i="3"/>
  <c r="AH697" i="3" s="1"/>
  <c r="AG698" i="3"/>
  <c r="AH698" i="3" s="1"/>
  <c r="AG699" i="3"/>
  <c r="AH699" i="3" s="1"/>
  <c r="AG700" i="3"/>
  <c r="AH700" i="3" s="1"/>
  <c r="AG701" i="3"/>
  <c r="AH701" i="3" s="1"/>
  <c r="AG702" i="3"/>
  <c r="AG703" i="3"/>
  <c r="AH703" i="3" s="1"/>
  <c r="AG704" i="3"/>
  <c r="AH704" i="3" s="1"/>
  <c r="AG705" i="3"/>
  <c r="AH705" i="3" s="1"/>
  <c r="AG706" i="3"/>
  <c r="AG707" i="3"/>
  <c r="AH707" i="3" s="1"/>
  <c r="AG708" i="3"/>
  <c r="AH708" i="3" s="1"/>
  <c r="AG709" i="3"/>
  <c r="AH709" i="3" s="1"/>
  <c r="AG710" i="3"/>
  <c r="AH710" i="3" s="1"/>
  <c r="AG711" i="3"/>
  <c r="AH711" i="3" s="1"/>
  <c r="AG712" i="3"/>
  <c r="AH712" i="3" s="1"/>
  <c r="AG713" i="3"/>
  <c r="AH713" i="3" s="1"/>
  <c r="AG714" i="3"/>
  <c r="AG715" i="3"/>
  <c r="AH715" i="3" s="1"/>
  <c r="AG716" i="3"/>
  <c r="AH716" i="3" s="1"/>
  <c r="AG717" i="3"/>
  <c r="AH717" i="3" s="1"/>
  <c r="AG718" i="3"/>
  <c r="AG719" i="3"/>
  <c r="AH719" i="3" s="1"/>
  <c r="AG720" i="3"/>
  <c r="AH720" i="3" s="1"/>
  <c r="AG721" i="3"/>
  <c r="AH721" i="3" s="1"/>
  <c r="AG722" i="3"/>
  <c r="AH722" i="3" s="1"/>
  <c r="AG723" i="3"/>
  <c r="AH723" i="3" s="1"/>
  <c r="AG724" i="3"/>
  <c r="AH724" i="3" s="1"/>
  <c r="AG725" i="3"/>
  <c r="AH725" i="3" s="1"/>
  <c r="AG726" i="3"/>
  <c r="AG727" i="3"/>
  <c r="AH727" i="3" s="1"/>
  <c r="AG728" i="3"/>
  <c r="AG729" i="3"/>
  <c r="AH729" i="3" s="1"/>
  <c r="AG730" i="3"/>
  <c r="AG731" i="3"/>
  <c r="AH731" i="3" s="1"/>
  <c r="AG732" i="3"/>
  <c r="AH732" i="3" s="1"/>
  <c r="AG733" i="3"/>
  <c r="AH733" i="3" s="1"/>
  <c r="AG734" i="3"/>
  <c r="AH734" i="3" s="1"/>
  <c r="AG735" i="3"/>
  <c r="AH735" i="3" s="1"/>
  <c r="AG736" i="3"/>
  <c r="AH736" i="3" s="1"/>
  <c r="AG737" i="3"/>
  <c r="AH737" i="3" s="1"/>
  <c r="AG738" i="3"/>
  <c r="AG739" i="3"/>
  <c r="AH739" i="3" s="1"/>
  <c r="AG740" i="3"/>
  <c r="AH740" i="3" s="1"/>
  <c r="AG741" i="3"/>
  <c r="AH741" i="3" s="1"/>
  <c r="AG742" i="3"/>
  <c r="AG743" i="3"/>
  <c r="AH743" i="3" s="1"/>
  <c r="AG744" i="3"/>
  <c r="AG745" i="3"/>
  <c r="AH745" i="3" s="1"/>
  <c r="AG746" i="3"/>
  <c r="AH746" i="3" s="1"/>
  <c r="AG747" i="3"/>
  <c r="AH747" i="3" s="1"/>
  <c r="AG748" i="3"/>
  <c r="AH748" i="3" s="1"/>
  <c r="AG749" i="3"/>
  <c r="AH749" i="3" s="1"/>
  <c r="AG750" i="3"/>
  <c r="AG751" i="3"/>
  <c r="AH751" i="3" s="1"/>
  <c r="AG752" i="3"/>
  <c r="AH752" i="3" s="1"/>
  <c r="AG753" i="3"/>
  <c r="AH753" i="3" s="1"/>
  <c r="AG754" i="3"/>
  <c r="AG755" i="3"/>
  <c r="AH755" i="3" s="1"/>
  <c r="AG756" i="3"/>
  <c r="AH756" i="3" s="1"/>
  <c r="AG757" i="3"/>
  <c r="AH757" i="3" s="1"/>
  <c r="AG758" i="3"/>
  <c r="AH758" i="3" s="1"/>
  <c r="AG759" i="3"/>
  <c r="AH759" i="3" s="1"/>
  <c r="AG760" i="3"/>
  <c r="AH760" i="3" s="1"/>
  <c r="AG761" i="3"/>
  <c r="AH761" i="3" s="1"/>
  <c r="AG762" i="3"/>
  <c r="AG763" i="3"/>
  <c r="AH763" i="3" s="1"/>
  <c r="AG764" i="3"/>
  <c r="AH764" i="3" s="1"/>
  <c r="AG765" i="3"/>
  <c r="AH765" i="3" s="1"/>
  <c r="AG766" i="3"/>
  <c r="AG767" i="3"/>
  <c r="AH767" i="3" s="1"/>
  <c r="AG768" i="3"/>
  <c r="AG769" i="3"/>
  <c r="AH769" i="3" s="1"/>
  <c r="AG770" i="3"/>
  <c r="AH770" i="3" s="1"/>
  <c r="AG771" i="3"/>
  <c r="AH771" i="3" s="1"/>
  <c r="AG772" i="3"/>
  <c r="AH772" i="3" s="1"/>
  <c r="AG773" i="3"/>
  <c r="AH773" i="3" s="1"/>
  <c r="AG774" i="3"/>
  <c r="AG775" i="3"/>
  <c r="AH775" i="3" s="1"/>
  <c r="AG776" i="3"/>
  <c r="AH776" i="3" s="1"/>
  <c r="AG777" i="3"/>
  <c r="AH777" i="3" s="1"/>
  <c r="AG778" i="3"/>
  <c r="AG779" i="3"/>
  <c r="AH779" i="3" s="1"/>
  <c r="AG780" i="3"/>
  <c r="AH780" i="3" s="1"/>
  <c r="AG781" i="3"/>
  <c r="AH781" i="3" s="1"/>
  <c r="AG782" i="3"/>
  <c r="AH782" i="3" s="1"/>
  <c r="AG783" i="3"/>
  <c r="AH783" i="3" s="1"/>
  <c r="AG784" i="3"/>
  <c r="AH784" i="3" s="1"/>
  <c r="AG785" i="3"/>
  <c r="AH785" i="3" s="1"/>
  <c r="AG786" i="3"/>
  <c r="AG787" i="3"/>
  <c r="AH787" i="3" s="1"/>
  <c r="AG788" i="3"/>
  <c r="AH788" i="3" s="1"/>
  <c r="AG789" i="3"/>
  <c r="AH789" i="3" s="1"/>
  <c r="AG790" i="3"/>
  <c r="AG791" i="3"/>
  <c r="AH791" i="3" s="1"/>
  <c r="AG792" i="3"/>
  <c r="AH792" i="3" s="1"/>
  <c r="AG793" i="3"/>
  <c r="AH793" i="3" s="1"/>
  <c r="AG794" i="3"/>
  <c r="AH794" i="3" s="1"/>
  <c r="AG795" i="3"/>
  <c r="AH795" i="3" s="1"/>
  <c r="AG796" i="3"/>
  <c r="AH796" i="3" s="1"/>
  <c r="AG797" i="3"/>
  <c r="AH797" i="3" s="1"/>
  <c r="AG798" i="3"/>
  <c r="AG799" i="3"/>
  <c r="AH799" i="3" s="1"/>
  <c r="AG800" i="3"/>
  <c r="AG801" i="3"/>
  <c r="AH801" i="3" s="1"/>
  <c r="AG802" i="3"/>
  <c r="AG803" i="3"/>
  <c r="AH803" i="3" s="1"/>
  <c r="AG804" i="3"/>
  <c r="AH804" i="3" s="1"/>
  <c r="AG805" i="3"/>
  <c r="AH805" i="3" s="1"/>
  <c r="AG806" i="3"/>
  <c r="AH806" i="3" s="1"/>
  <c r="AG807" i="3"/>
  <c r="AH807" i="3" s="1"/>
  <c r="AG808" i="3"/>
  <c r="AH808" i="3" s="1"/>
  <c r="AG809" i="3"/>
  <c r="AH809" i="3" s="1"/>
  <c r="AG810" i="3"/>
  <c r="AG811" i="3"/>
  <c r="AH811" i="3" s="1"/>
  <c r="AG812" i="3"/>
  <c r="AH812" i="3" s="1"/>
  <c r="AG813" i="3"/>
  <c r="AH813" i="3" s="1"/>
  <c r="AG814" i="3"/>
  <c r="AG815" i="3"/>
  <c r="AH815" i="3" s="1"/>
  <c r="AG816" i="3"/>
  <c r="AH816" i="3" s="1"/>
  <c r="AG817" i="3"/>
  <c r="AH817" i="3" s="1"/>
  <c r="AG818" i="3"/>
  <c r="AH818" i="3" s="1"/>
  <c r="AG819" i="3"/>
  <c r="AH819" i="3" s="1"/>
  <c r="AG820" i="3"/>
  <c r="AH820" i="3" s="1"/>
  <c r="AG821" i="3"/>
  <c r="AH821" i="3" s="1"/>
  <c r="AG822" i="3"/>
  <c r="AG823" i="3"/>
  <c r="AH823" i="3" s="1"/>
  <c r="AG824" i="3"/>
  <c r="AH824" i="3" s="1"/>
  <c r="AG825" i="3"/>
  <c r="AH825" i="3" s="1"/>
  <c r="AG826" i="3"/>
  <c r="AG827" i="3"/>
  <c r="AH827" i="3" s="1"/>
  <c r="AG828" i="3"/>
  <c r="AH828" i="3" s="1"/>
  <c r="AG829" i="3"/>
  <c r="AH829" i="3" s="1"/>
  <c r="AG830" i="3"/>
  <c r="AH830" i="3" s="1"/>
  <c r="AG831" i="3"/>
  <c r="AH831" i="3" s="1"/>
  <c r="AG832" i="3"/>
  <c r="AH832" i="3" s="1"/>
  <c r="AG833" i="3"/>
  <c r="AH833" i="3" s="1"/>
  <c r="AG834" i="3"/>
  <c r="AG835" i="3"/>
  <c r="AH835" i="3" s="1"/>
  <c r="AG836" i="3"/>
  <c r="AH836" i="3" s="1"/>
  <c r="AG837" i="3"/>
  <c r="AH837" i="3" s="1"/>
  <c r="AG838" i="3"/>
  <c r="AG839" i="3"/>
  <c r="AH839" i="3" s="1"/>
  <c r="AG840" i="3"/>
  <c r="AH840" i="3" s="1"/>
  <c r="AG841" i="3"/>
  <c r="AH841" i="3" s="1"/>
  <c r="AG842" i="3"/>
  <c r="AH842" i="3" s="1"/>
  <c r="AG843" i="3"/>
  <c r="AH843" i="3" s="1"/>
  <c r="AG844" i="3"/>
  <c r="AH844" i="3" s="1"/>
  <c r="AG845" i="3"/>
  <c r="AH845" i="3" s="1"/>
  <c r="AG846" i="3"/>
  <c r="AG847" i="3"/>
  <c r="AH847" i="3" s="1"/>
  <c r="AG848" i="3"/>
  <c r="AH848" i="3" s="1"/>
  <c r="AG849" i="3"/>
  <c r="AH849" i="3" s="1"/>
  <c r="AG850" i="3"/>
  <c r="AG851" i="3"/>
  <c r="AH851" i="3" s="1"/>
  <c r="AG852" i="3"/>
  <c r="AH852" i="3" s="1"/>
  <c r="AG853" i="3"/>
  <c r="AH853" i="3" s="1"/>
  <c r="AG854" i="3"/>
  <c r="AH854" i="3" s="1"/>
  <c r="AG855" i="3"/>
  <c r="AH855" i="3" s="1"/>
  <c r="AG856" i="3"/>
  <c r="AH856" i="3" s="1"/>
  <c r="AG857" i="3"/>
  <c r="AH857" i="3" s="1"/>
  <c r="AG858" i="3"/>
  <c r="AG859" i="3"/>
  <c r="AH859" i="3" s="1"/>
  <c r="AG860" i="3"/>
  <c r="AH860" i="3" s="1"/>
  <c r="AG861" i="3"/>
  <c r="AH861" i="3" s="1"/>
  <c r="AG862" i="3"/>
  <c r="AG863" i="3"/>
  <c r="AH863" i="3" s="1"/>
  <c r="AG864" i="3"/>
  <c r="AH864" i="3" s="1"/>
  <c r="AG865" i="3"/>
  <c r="AH865" i="3" s="1"/>
  <c r="AG866" i="3"/>
  <c r="AH866" i="3" s="1"/>
  <c r="AG867" i="3"/>
  <c r="AH867" i="3" s="1"/>
  <c r="AG868" i="3"/>
  <c r="AH868" i="3" s="1"/>
  <c r="AG869" i="3"/>
  <c r="AH869" i="3" s="1"/>
  <c r="AG870" i="3"/>
  <c r="AG871" i="3"/>
  <c r="AH871" i="3" s="1"/>
  <c r="AG872" i="3"/>
  <c r="AH872" i="3" s="1"/>
  <c r="AG873" i="3"/>
  <c r="AH873" i="3" s="1"/>
  <c r="AG874" i="3"/>
  <c r="AG875" i="3"/>
  <c r="AH875" i="3" s="1"/>
  <c r="AG876" i="3"/>
  <c r="AH876" i="3" s="1"/>
  <c r="AG877" i="3"/>
  <c r="AH877" i="3" s="1"/>
  <c r="AG878" i="3"/>
  <c r="AH878" i="3" s="1"/>
  <c r="AG879" i="3"/>
  <c r="AH879" i="3" s="1"/>
  <c r="AG880" i="3"/>
  <c r="AH880" i="3" s="1"/>
  <c r="AG881" i="3"/>
  <c r="AH881" i="3" s="1"/>
  <c r="AG882" i="3"/>
  <c r="AG883" i="3"/>
  <c r="AH883" i="3" s="1"/>
  <c r="AG884" i="3"/>
  <c r="AH884" i="3" s="1"/>
  <c r="AG885" i="3"/>
  <c r="AH885" i="3" s="1"/>
  <c r="AG886" i="3"/>
  <c r="AG887" i="3"/>
  <c r="AH887" i="3" s="1"/>
  <c r="AG888" i="3"/>
  <c r="AH888" i="3" s="1"/>
  <c r="AG889" i="3"/>
  <c r="AG890" i="3"/>
  <c r="AH890" i="3" s="1"/>
  <c r="AG891" i="3"/>
  <c r="AH891" i="3" s="1"/>
  <c r="AG892" i="3"/>
  <c r="AH892" i="3" s="1"/>
  <c r="AG893" i="3"/>
  <c r="AH893" i="3" s="1"/>
  <c r="AG894" i="3"/>
  <c r="AG895" i="3"/>
  <c r="AH895" i="3" s="1"/>
  <c r="AG896" i="3"/>
  <c r="AH896" i="3" s="1"/>
  <c r="AG897" i="3"/>
  <c r="AH897" i="3" s="1"/>
  <c r="AG898" i="3"/>
  <c r="AG899" i="3"/>
  <c r="AH899" i="3" s="1"/>
  <c r="AG900" i="3"/>
  <c r="AH900" i="3" s="1"/>
  <c r="AG901" i="3"/>
  <c r="AH901" i="3" s="1"/>
  <c r="AG902" i="3"/>
  <c r="AH902" i="3" s="1"/>
  <c r="AG903" i="3"/>
  <c r="AH903" i="3" s="1"/>
  <c r="AG904" i="3"/>
  <c r="AH904" i="3" s="1"/>
  <c r="AG905" i="3"/>
  <c r="AH905" i="3" s="1"/>
  <c r="AG906" i="3"/>
  <c r="AG907" i="3"/>
  <c r="AH907" i="3" s="1"/>
  <c r="AG908" i="3"/>
  <c r="AH908" i="3" s="1"/>
  <c r="AG909" i="3"/>
  <c r="AH909" i="3" s="1"/>
  <c r="AG910" i="3"/>
  <c r="AG911" i="3"/>
  <c r="AH911" i="3" s="1"/>
  <c r="AG912" i="3"/>
  <c r="AH912" i="3" s="1"/>
  <c r="AG913" i="3"/>
  <c r="AH913" i="3" s="1"/>
  <c r="AG914" i="3"/>
  <c r="AH914" i="3" s="1"/>
  <c r="AG915" i="3"/>
  <c r="AH915" i="3" s="1"/>
  <c r="AG916" i="3"/>
  <c r="AH916" i="3" s="1"/>
  <c r="AG917" i="3"/>
  <c r="AH917" i="3" s="1"/>
  <c r="AG918" i="3"/>
  <c r="AG919" i="3"/>
  <c r="AH919" i="3" s="1"/>
  <c r="AG920" i="3"/>
  <c r="AH920" i="3" s="1"/>
  <c r="AG921" i="3"/>
  <c r="AH921" i="3" s="1"/>
  <c r="AG922" i="3"/>
  <c r="AG923" i="3"/>
  <c r="AH923" i="3" s="1"/>
  <c r="AG924" i="3"/>
  <c r="AH924" i="3" s="1"/>
  <c r="AG925" i="3"/>
  <c r="AH925" i="3" s="1"/>
  <c r="AG926" i="3"/>
  <c r="AH926" i="3" s="1"/>
  <c r="AG927" i="3"/>
  <c r="AH927" i="3" s="1"/>
  <c r="AG928" i="3"/>
  <c r="AH928" i="3" s="1"/>
  <c r="AG929" i="3"/>
  <c r="AH929" i="3" s="1"/>
  <c r="AG930" i="3"/>
  <c r="AG931" i="3"/>
  <c r="AH931" i="3" s="1"/>
  <c r="AG932" i="3"/>
  <c r="AG933" i="3"/>
  <c r="AH933" i="3" s="1"/>
  <c r="AG934" i="3"/>
  <c r="AG935" i="3"/>
  <c r="AH935" i="3" s="1"/>
  <c r="AG936" i="3"/>
  <c r="AH936" i="3" s="1"/>
  <c r="AG937" i="3"/>
  <c r="AH937" i="3" s="1"/>
  <c r="AG938" i="3"/>
  <c r="AH938" i="3" s="1"/>
  <c r="AG939" i="3"/>
  <c r="AH939" i="3" s="1"/>
  <c r="AG940" i="3"/>
  <c r="AH940" i="3" s="1"/>
  <c r="AG941" i="3"/>
  <c r="AH941" i="3" s="1"/>
  <c r="AG942" i="3"/>
  <c r="AG943" i="3"/>
  <c r="AH943" i="3" s="1"/>
  <c r="AG944" i="3"/>
  <c r="AH944" i="3" s="1"/>
  <c r="AG945" i="3"/>
  <c r="AH945" i="3" s="1"/>
  <c r="AG946" i="3"/>
  <c r="AG947" i="3"/>
  <c r="AH947" i="3" s="1"/>
  <c r="AG948" i="3"/>
  <c r="AH948" i="3" s="1"/>
  <c r="AG949" i="3"/>
  <c r="AH949" i="3" s="1"/>
  <c r="AG950" i="3"/>
  <c r="AH950" i="3" s="1"/>
  <c r="AG951" i="3"/>
  <c r="AH951" i="3" s="1"/>
  <c r="AG952" i="3"/>
  <c r="AH952" i="3" s="1"/>
  <c r="AG953" i="3"/>
  <c r="AH953" i="3" s="1"/>
  <c r="AG954" i="3"/>
  <c r="AG955" i="3"/>
  <c r="AH955" i="3" s="1"/>
  <c r="AG956" i="3"/>
  <c r="AH956" i="3" s="1"/>
  <c r="AG957" i="3"/>
  <c r="AH957" i="3" s="1"/>
  <c r="AG958" i="3"/>
  <c r="AG959" i="3"/>
  <c r="AH959" i="3" s="1"/>
  <c r="AG960" i="3"/>
  <c r="AH960" i="3" s="1"/>
  <c r="AG961" i="3"/>
  <c r="AH961" i="3" s="1"/>
  <c r="AG962" i="3"/>
  <c r="AH962" i="3" s="1"/>
  <c r="AG963" i="3"/>
  <c r="AH963" i="3" s="1"/>
  <c r="AG964" i="3"/>
  <c r="AH964" i="3" s="1"/>
  <c r="AG965" i="3"/>
  <c r="AH965" i="3" s="1"/>
  <c r="AG966" i="3"/>
  <c r="AG967" i="3"/>
  <c r="AH967" i="3" s="1"/>
  <c r="AG968" i="3"/>
  <c r="AH968" i="3" s="1"/>
  <c r="AG969" i="3"/>
  <c r="AH969" i="3" s="1"/>
  <c r="AG970" i="3"/>
  <c r="AG971" i="3"/>
  <c r="AH971" i="3" s="1"/>
  <c r="AG972" i="3"/>
  <c r="AH972" i="3" s="1"/>
  <c r="AG973" i="3"/>
  <c r="AH973" i="3" s="1"/>
  <c r="AG974" i="3"/>
  <c r="AH974" i="3" s="1"/>
  <c r="AG975" i="3"/>
  <c r="AH975" i="3" s="1"/>
  <c r="AG976" i="3"/>
  <c r="AH976" i="3" s="1"/>
  <c r="AG977" i="3"/>
  <c r="AH977" i="3" s="1"/>
  <c r="AG978" i="3"/>
  <c r="AG979" i="3"/>
  <c r="AH979" i="3" s="1"/>
  <c r="AG980" i="3"/>
  <c r="AH980" i="3" s="1"/>
  <c r="AG981" i="3"/>
  <c r="AH981" i="3" s="1"/>
  <c r="AG982" i="3"/>
  <c r="AG983" i="3"/>
  <c r="AH983" i="3" s="1"/>
  <c r="AG984" i="3"/>
  <c r="AH984" i="3" s="1"/>
  <c r="AG985" i="3"/>
  <c r="AH985" i="3" s="1"/>
  <c r="AG986" i="3"/>
  <c r="AH986" i="3" s="1"/>
  <c r="AG987" i="3"/>
  <c r="AH987" i="3" s="1"/>
  <c r="AG988" i="3"/>
  <c r="AH988" i="3" s="1"/>
  <c r="AG989" i="3"/>
  <c r="AH989" i="3" s="1"/>
  <c r="AG990" i="3"/>
  <c r="AG991" i="3"/>
  <c r="AH991" i="3" s="1"/>
  <c r="AG992" i="3"/>
  <c r="AH992" i="3" s="1"/>
  <c r="AG993" i="3"/>
  <c r="AH993" i="3" s="1"/>
  <c r="AG994" i="3"/>
  <c r="AG995" i="3"/>
  <c r="AH995" i="3" s="1"/>
  <c r="AG996" i="3"/>
  <c r="AH996" i="3" s="1"/>
  <c r="AG997" i="3"/>
  <c r="AH997" i="3" s="1"/>
  <c r="AG998" i="3"/>
  <c r="AH998" i="3" s="1"/>
  <c r="AG999" i="3"/>
  <c r="AH999" i="3" s="1"/>
  <c r="AG1000" i="3"/>
  <c r="AH1000" i="3" s="1"/>
  <c r="AG1001" i="3"/>
  <c r="AH1001" i="3" s="1"/>
  <c r="AG1002" i="3"/>
  <c r="AG1003" i="3"/>
  <c r="AH1003" i="3" s="1"/>
  <c r="AG1004" i="3"/>
  <c r="AH1004" i="3" s="1"/>
  <c r="AG1005" i="3"/>
  <c r="AH1005" i="3" s="1"/>
  <c r="AG1006" i="3"/>
  <c r="AG1007" i="3"/>
  <c r="AH1007" i="3" s="1"/>
  <c r="AG1008" i="3"/>
  <c r="AH1008" i="3" s="1"/>
  <c r="AG1009" i="3"/>
  <c r="AH1009" i="3" s="1"/>
  <c r="AG1010" i="3"/>
  <c r="AH1010" i="3" s="1"/>
  <c r="AG1011" i="3"/>
  <c r="AH1011" i="3" s="1"/>
  <c r="AG1012" i="3"/>
  <c r="AH1012" i="3" s="1"/>
  <c r="AG1013" i="3"/>
  <c r="AH1013" i="3" s="1"/>
  <c r="AG1014" i="3"/>
  <c r="AG1015" i="3"/>
  <c r="AH1015" i="3" s="1"/>
  <c r="AG1016" i="3"/>
  <c r="AH1016" i="3" s="1"/>
  <c r="AG1017" i="3"/>
  <c r="AH1017" i="3" s="1"/>
  <c r="AG1018" i="3"/>
  <c r="AG1019" i="3"/>
  <c r="AH1019" i="3" s="1"/>
  <c r="AG1020" i="3"/>
  <c r="AH1020" i="3" s="1"/>
  <c r="AG1021" i="3"/>
  <c r="AH1021" i="3" s="1"/>
  <c r="AG1022" i="3"/>
  <c r="AH1022" i="3" s="1"/>
  <c r="AG1023" i="3"/>
  <c r="AH1023" i="3" s="1"/>
  <c r="AG1024" i="3"/>
  <c r="AH1024" i="3" s="1"/>
  <c r="AG1025" i="3"/>
  <c r="AH1025" i="3" s="1"/>
  <c r="AG1026" i="3"/>
  <c r="AG1027" i="3"/>
  <c r="AH1027" i="3" s="1"/>
  <c r="AG1028" i="3"/>
  <c r="AG1029" i="3"/>
  <c r="AH1029" i="3" s="1"/>
  <c r="AG1030" i="3"/>
  <c r="AG1031" i="3"/>
  <c r="AH1031" i="3" s="1"/>
  <c r="AG1032" i="3"/>
  <c r="AH1032" i="3" s="1"/>
  <c r="AG1033" i="3"/>
  <c r="AH1033" i="3" s="1"/>
  <c r="AG1034" i="3"/>
  <c r="AH1034" i="3" s="1"/>
  <c r="AG1035" i="3"/>
  <c r="AH1035" i="3" s="1"/>
  <c r="AG1036" i="3"/>
  <c r="AH1036" i="3" s="1"/>
  <c r="AG1037" i="3"/>
  <c r="AH1037" i="3" s="1"/>
  <c r="AG1038" i="3"/>
  <c r="AG1039" i="3"/>
  <c r="AH1039" i="3" s="1"/>
  <c r="AG1040" i="3"/>
  <c r="AH1040" i="3" s="1"/>
  <c r="AG1041" i="3"/>
  <c r="AH1041" i="3" s="1"/>
  <c r="AG1042" i="3"/>
  <c r="AG1043" i="3"/>
  <c r="AH1043" i="3" s="1"/>
  <c r="AG1044" i="3"/>
  <c r="AH1044" i="3" s="1"/>
  <c r="AG1045" i="3"/>
  <c r="AH1045" i="3" s="1"/>
  <c r="AG1046" i="3"/>
  <c r="AH1046" i="3" s="1"/>
  <c r="AG1047" i="3"/>
  <c r="AH1047" i="3" s="1"/>
  <c r="AG1048" i="3"/>
  <c r="AH1048" i="3" s="1"/>
  <c r="AG1049" i="3"/>
  <c r="AH1049" i="3" s="1"/>
  <c r="AG1050" i="3"/>
  <c r="AG1051" i="3"/>
  <c r="AH1051" i="3" s="1"/>
  <c r="AG1052" i="3"/>
  <c r="AH1052" i="3" s="1"/>
  <c r="AG1053" i="3"/>
  <c r="AH1053" i="3" s="1"/>
  <c r="AG1054" i="3"/>
  <c r="AG1055" i="3"/>
  <c r="AH1055" i="3" s="1"/>
  <c r="AG1056" i="3"/>
  <c r="AH1056" i="3" s="1"/>
  <c r="AG1057" i="3"/>
  <c r="AH1057" i="3" s="1"/>
  <c r="AG1058" i="3"/>
  <c r="AH1058" i="3" s="1"/>
  <c r="AG1059" i="3"/>
  <c r="AH1059" i="3" s="1"/>
  <c r="AG1060" i="3"/>
  <c r="AH1060" i="3" s="1"/>
  <c r="AG1061" i="3"/>
  <c r="AH1061" i="3" s="1"/>
  <c r="AG1062" i="3"/>
  <c r="AG1063" i="3"/>
  <c r="AH1063" i="3" s="1"/>
  <c r="AG1064" i="3"/>
  <c r="AH1064" i="3" s="1"/>
  <c r="AG1065" i="3"/>
  <c r="AH1065" i="3" s="1"/>
  <c r="AG1066" i="3"/>
  <c r="AG1067" i="3"/>
  <c r="AH1067" i="3" s="1"/>
  <c r="AG1068" i="3"/>
  <c r="AH1068" i="3" s="1"/>
  <c r="AG1069" i="3"/>
  <c r="AH1069" i="3" s="1"/>
  <c r="AG1070" i="3"/>
  <c r="AH1070" i="3" s="1"/>
  <c r="AG1071" i="3"/>
  <c r="AH1071" i="3" s="1"/>
  <c r="AG1072" i="3"/>
  <c r="AH1072" i="3" s="1"/>
  <c r="AG1073" i="3"/>
  <c r="AH1073" i="3" s="1"/>
  <c r="AG1074" i="3"/>
  <c r="AG1075" i="3"/>
  <c r="AH1075" i="3" s="1"/>
  <c r="AG1076" i="3"/>
  <c r="AH1076" i="3" s="1"/>
  <c r="AG1077" i="3"/>
  <c r="AH1077" i="3" s="1"/>
  <c r="AG1078" i="3"/>
  <c r="AG1079" i="3"/>
  <c r="AH1079" i="3" s="1"/>
  <c r="AG1080" i="3"/>
  <c r="AH1080" i="3" s="1"/>
  <c r="AG1081" i="3"/>
  <c r="AH1081" i="3" s="1"/>
  <c r="AG1082" i="3"/>
  <c r="AH1082" i="3" s="1"/>
  <c r="AG1083" i="3"/>
  <c r="AH1083" i="3" s="1"/>
  <c r="AG1084" i="3"/>
  <c r="AH1084" i="3" s="1"/>
  <c r="AG1085" i="3"/>
  <c r="AH1085" i="3" s="1"/>
  <c r="AG1086" i="3"/>
  <c r="AG1087" i="3"/>
  <c r="AH1087" i="3" s="1"/>
  <c r="AG1088" i="3"/>
  <c r="AH1088" i="3" s="1"/>
  <c r="AG1089" i="3"/>
  <c r="AH1089" i="3" s="1"/>
  <c r="AG1090" i="3"/>
  <c r="AG1091" i="3"/>
  <c r="AH1091" i="3" s="1"/>
  <c r="AG1092" i="3"/>
  <c r="AH1092" i="3" s="1"/>
  <c r="AG1093" i="3"/>
  <c r="AH1093" i="3" s="1"/>
  <c r="AG1094" i="3"/>
  <c r="AH1094" i="3" s="1"/>
  <c r="AG1095" i="3"/>
  <c r="AH1095" i="3" s="1"/>
  <c r="AG1096" i="3"/>
  <c r="AH1096" i="3" s="1"/>
  <c r="AG1097" i="3"/>
  <c r="AH1097" i="3" s="1"/>
  <c r="AG1098" i="3"/>
  <c r="AG1099" i="3"/>
  <c r="AH1099" i="3" s="1"/>
  <c r="AG1100" i="3"/>
  <c r="AH1100" i="3" s="1"/>
  <c r="AG1101" i="3"/>
  <c r="AH1101" i="3" s="1"/>
  <c r="AG1102" i="3"/>
  <c r="AG1103" i="3"/>
  <c r="AH1103" i="3" s="1"/>
  <c r="AG1104" i="3"/>
  <c r="AH1104" i="3" s="1"/>
  <c r="AG1105" i="3"/>
  <c r="AH1105" i="3" s="1"/>
  <c r="AG1106" i="3"/>
  <c r="AH1106" i="3" s="1"/>
  <c r="AG1107" i="3"/>
  <c r="AH1107" i="3" s="1"/>
  <c r="AG1108" i="3"/>
  <c r="AH1108" i="3" s="1"/>
  <c r="AG1109" i="3"/>
  <c r="AH1109" i="3" s="1"/>
  <c r="AG1110" i="3"/>
  <c r="AG1111" i="3"/>
  <c r="AH1111" i="3" s="1"/>
  <c r="AG1112" i="3"/>
  <c r="AG1113" i="3"/>
  <c r="AH1113" i="3" s="1"/>
  <c r="AG1114" i="3"/>
  <c r="AG1115" i="3"/>
  <c r="AH1115" i="3" s="1"/>
  <c r="AG1116" i="3"/>
  <c r="AH1116" i="3" s="1"/>
  <c r="AG1117" i="3"/>
  <c r="AH1117" i="3" s="1"/>
  <c r="AG1118" i="3"/>
  <c r="AH1118" i="3" s="1"/>
  <c r="AG1119" i="3"/>
  <c r="AH1119" i="3" s="1"/>
  <c r="AG1120" i="3"/>
  <c r="AH1120" i="3" s="1"/>
  <c r="AG1121" i="3"/>
  <c r="AH1121" i="3" s="1"/>
  <c r="AG1122" i="3"/>
  <c r="AG1123" i="3"/>
  <c r="AH1123" i="3" s="1"/>
  <c r="AG1124" i="3"/>
  <c r="AH1124" i="3" s="1"/>
  <c r="AG1125" i="3"/>
  <c r="AH1125" i="3" s="1"/>
  <c r="AG1126" i="3"/>
  <c r="AG1127" i="3"/>
  <c r="AH1127" i="3" s="1"/>
  <c r="AG1128" i="3"/>
  <c r="AH1128" i="3" s="1"/>
  <c r="AG1129" i="3"/>
  <c r="AH1129" i="3" s="1"/>
  <c r="AG1130" i="3"/>
  <c r="AH1130" i="3" s="1"/>
  <c r="AG1131" i="3"/>
  <c r="AH1131" i="3" s="1"/>
  <c r="AG1132" i="3"/>
  <c r="AH1132" i="3" s="1"/>
  <c r="AG1133" i="3"/>
  <c r="AH1133" i="3" s="1"/>
  <c r="AG1134" i="3"/>
  <c r="AG1135" i="3"/>
  <c r="AH1135" i="3" s="1"/>
  <c r="AG1136" i="3"/>
  <c r="AG1137" i="3"/>
  <c r="AH1137" i="3" s="1"/>
  <c r="AG1138" i="3"/>
  <c r="AG1139" i="3"/>
  <c r="AH1139" i="3" s="1"/>
  <c r="AG1140" i="3"/>
  <c r="AH1140" i="3" s="1"/>
  <c r="AG1141" i="3"/>
  <c r="AH1141" i="3" s="1"/>
  <c r="AG1142" i="3"/>
  <c r="AH1142" i="3" s="1"/>
  <c r="AG1143" i="3"/>
  <c r="AH1143" i="3" s="1"/>
  <c r="AG1144" i="3"/>
  <c r="AH1144" i="3" s="1"/>
  <c r="AG1145" i="3"/>
  <c r="AH1145" i="3" s="1"/>
  <c r="AG1146" i="3"/>
  <c r="AG1147" i="3"/>
  <c r="AH1147" i="3" s="1"/>
  <c r="AG1148" i="3"/>
  <c r="AH1148" i="3" s="1"/>
  <c r="AG1149" i="3"/>
  <c r="AH1149" i="3" s="1"/>
  <c r="AG1150" i="3"/>
  <c r="AG1151" i="3"/>
  <c r="AH1151" i="3" s="1"/>
  <c r="AG1152" i="3"/>
  <c r="AG1153" i="3"/>
  <c r="AH1153" i="3" s="1"/>
  <c r="AG1154" i="3"/>
  <c r="AH1154" i="3" s="1"/>
  <c r="AG1155" i="3"/>
  <c r="AH1155" i="3" s="1"/>
  <c r="AG1156" i="3"/>
  <c r="AH1156" i="3" s="1"/>
  <c r="AG1157" i="3"/>
  <c r="AH1157" i="3" s="1"/>
  <c r="AG1158" i="3"/>
  <c r="AG1159" i="3"/>
  <c r="AH1159" i="3" s="1"/>
  <c r="AG1160" i="3"/>
  <c r="AG1161" i="3"/>
  <c r="AH1161" i="3" s="1"/>
  <c r="AG1162" i="3"/>
  <c r="AG1163" i="3"/>
  <c r="AH1163" i="3" s="1"/>
  <c r="AG1164" i="3"/>
  <c r="AH1164" i="3" s="1"/>
  <c r="AG1165" i="3"/>
  <c r="AH1165" i="3" s="1"/>
  <c r="AG1166" i="3"/>
  <c r="AH1166" i="3" s="1"/>
  <c r="AG1167" i="3"/>
  <c r="AH1167" i="3" s="1"/>
  <c r="AG1168" i="3"/>
  <c r="AH1168" i="3" s="1"/>
  <c r="AG1169" i="3"/>
  <c r="AH1169" i="3" s="1"/>
  <c r="AG1170" i="3"/>
  <c r="AG1171" i="3"/>
  <c r="AH1171" i="3" s="1"/>
  <c r="AG1172" i="3"/>
  <c r="AH1172" i="3" s="1"/>
  <c r="AG1173" i="3"/>
  <c r="AH1173" i="3" s="1"/>
  <c r="AG1174" i="3"/>
  <c r="AG1175" i="3"/>
  <c r="AH1175" i="3" s="1"/>
  <c r="AG1176" i="3"/>
  <c r="AG1177" i="3"/>
  <c r="AH1177" i="3" s="1"/>
  <c r="AG1178" i="3"/>
  <c r="AH1178" i="3" s="1"/>
  <c r="AG1179" i="3"/>
  <c r="AH1179" i="3" s="1"/>
  <c r="AG1180" i="3"/>
  <c r="AH1180" i="3" s="1"/>
  <c r="AG1181" i="3"/>
  <c r="AH1181" i="3" s="1"/>
  <c r="AG1182" i="3"/>
  <c r="AG1183" i="3"/>
  <c r="AH1183" i="3" s="1"/>
  <c r="AG1184" i="3"/>
  <c r="AH1184" i="3" s="1"/>
  <c r="AG1185" i="3"/>
  <c r="AH1185" i="3" s="1"/>
  <c r="AG1186" i="3"/>
  <c r="AG1187" i="3"/>
  <c r="AH1187" i="3" s="1"/>
  <c r="AG1188" i="3"/>
  <c r="AH1188" i="3" s="1"/>
  <c r="AG1189" i="3"/>
  <c r="AH1189" i="3" s="1"/>
  <c r="AG1190" i="3"/>
  <c r="AH1190" i="3" s="1"/>
  <c r="AG1191" i="3"/>
  <c r="AH1191" i="3" s="1"/>
  <c r="AG1192" i="3"/>
  <c r="AH1192" i="3" s="1"/>
  <c r="AG1193" i="3"/>
  <c r="AH1193" i="3" s="1"/>
  <c r="AG1194" i="3"/>
  <c r="AG1195" i="3"/>
  <c r="AH1195" i="3" s="1"/>
  <c r="AG1196" i="3"/>
  <c r="AH1196" i="3" s="1"/>
  <c r="AG1197" i="3"/>
  <c r="AH1197" i="3" s="1"/>
  <c r="AG1198" i="3"/>
  <c r="AG1199" i="3"/>
  <c r="AH1199" i="3" s="1"/>
  <c r="AG1200" i="3"/>
  <c r="AH1200" i="3" s="1"/>
  <c r="AG1201" i="3"/>
  <c r="AH1201" i="3" s="1"/>
  <c r="AG1202" i="3"/>
  <c r="AH1202" i="3" s="1"/>
  <c r="AG1203" i="3"/>
  <c r="AH1203" i="3" s="1"/>
  <c r="AG1204" i="3"/>
  <c r="AH1204" i="3" s="1"/>
  <c r="AG1205" i="3"/>
  <c r="AH1205" i="3" s="1"/>
  <c r="AG1206" i="3"/>
  <c r="AG1207" i="3"/>
  <c r="AH1207" i="3" s="1"/>
  <c r="AG1208" i="3"/>
  <c r="AH1208" i="3" s="1"/>
  <c r="AG1209" i="3"/>
  <c r="AH1209" i="3" s="1"/>
  <c r="AG1210" i="3"/>
  <c r="AG1211" i="3"/>
  <c r="AH1211" i="3" s="1"/>
  <c r="AG1212" i="3"/>
  <c r="AH1212" i="3" s="1"/>
  <c r="AG1213" i="3"/>
  <c r="AH1213" i="3" s="1"/>
  <c r="AG1214" i="3"/>
  <c r="AH1214" i="3" s="1"/>
  <c r="AG1215" i="3"/>
  <c r="AH1215" i="3" s="1"/>
  <c r="AG1216" i="3"/>
  <c r="AH1216" i="3" s="1"/>
  <c r="AG1217" i="3"/>
  <c r="AH1217" i="3" s="1"/>
  <c r="AG1218" i="3"/>
  <c r="AG1219" i="3"/>
  <c r="AH1219" i="3" s="1"/>
  <c r="AG1220" i="3"/>
  <c r="AH1220" i="3" s="1"/>
  <c r="AG1221" i="3"/>
  <c r="AH1221" i="3" s="1"/>
  <c r="AG1222" i="3"/>
  <c r="AG1223" i="3"/>
  <c r="AH1223" i="3" s="1"/>
  <c r="AG1224" i="3"/>
  <c r="AH1224" i="3" s="1"/>
  <c r="AG1225" i="3"/>
  <c r="AH1225" i="3" s="1"/>
  <c r="AG1226" i="3"/>
  <c r="AH1226" i="3" s="1"/>
  <c r="AG1227" i="3"/>
  <c r="AH1227" i="3" s="1"/>
  <c r="AG1228" i="3"/>
  <c r="AH1228" i="3" s="1"/>
  <c r="AG1229" i="3"/>
  <c r="AH1229" i="3" s="1"/>
  <c r="AG1230" i="3"/>
  <c r="AG1231" i="3"/>
  <c r="AH1231" i="3" s="1"/>
  <c r="AG1232" i="3"/>
  <c r="AG1233" i="3"/>
  <c r="AH1233" i="3" s="1"/>
  <c r="AG1234" i="3"/>
  <c r="AG1235" i="3"/>
  <c r="AH1235" i="3" s="1"/>
  <c r="AG1236" i="3"/>
  <c r="AH1236" i="3" s="1"/>
  <c r="AG1237" i="3"/>
  <c r="AH1237" i="3" s="1"/>
  <c r="AG1238" i="3"/>
  <c r="AH1238" i="3" s="1"/>
  <c r="AG1239" i="3"/>
  <c r="AH1239" i="3" s="1"/>
  <c r="AG1240" i="3"/>
  <c r="AH1240" i="3" s="1"/>
  <c r="AG1241" i="3"/>
  <c r="AH1241" i="3" s="1"/>
  <c r="AG1242" i="3"/>
  <c r="AG1243" i="3"/>
  <c r="AH1243" i="3" s="1"/>
  <c r="AG1244" i="3"/>
  <c r="AH1244" i="3" s="1"/>
  <c r="AG1245" i="3"/>
  <c r="AH1245" i="3" s="1"/>
  <c r="AG1246" i="3"/>
  <c r="AG1247" i="3"/>
  <c r="AH1247" i="3" s="1"/>
  <c r="AG1248" i="3"/>
  <c r="AG1249" i="3"/>
  <c r="AH1249" i="3" s="1"/>
  <c r="AG1250" i="3"/>
  <c r="AH1250" i="3" s="1"/>
  <c r="AG1251" i="3"/>
  <c r="AH1251" i="3" s="1"/>
  <c r="AG1252" i="3"/>
  <c r="AH1252" i="3" s="1"/>
  <c r="AG1253" i="3"/>
  <c r="AH1253" i="3" s="1"/>
  <c r="AG1254" i="3"/>
  <c r="AG1255" i="3"/>
  <c r="AH1255" i="3" s="1"/>
  <c r="AG1256" i="3"/>
  <c r="AH1256" i="3" s="1"/>
  <c r="AG1257" i="3"/>
  <c r="AH1257" i="3" s="1"/>
  <c r="AG1258" i="3"/>
  <c r="AG1259" i="3"/>
  <c r="AH1259" i="3" s="1"/>
  <c r="AG1260" i="3"/>
  <c r="AH1260" i="3" s="1"/>
  <c r="AG1261" i="3"/>
  <c r="AH1261" i="3" s="1"/>
  <c r="AG1262" i="3"/>
  <c r="AH1262" i="3" s="1"/>
  <c r="AG1264" i="3"/>
  <c r="AH1264" i="3" s="1"/>
  <c r="AG1265" i="3"/>
  <c r="AH1265" i="3" s="1"/>
  <c r="AG1266" i="3"/>
  <c r="AH1266" i="3" s="1"/>
  <c r="AG1267" i="3"/>
  <c r="AH1267" i="3" s="1"/>
  <c r="AG1268" i="3"/>
  <c r="AH1268" i="3" s="1"/>
  <c r="AG1269" i="3"/>
  <c r="AH1269" i="3" s="1"/>
  <c r="AG1270" i="3"/>
  <c r="AH1270" i="3" s="1"/>
  <c r="AG1271" i="3"/>
  <c r="AH1271" i="3" s="1"/>
  <c r="AG1272" i="3"/>
  <c r="AG1273" i="3"/>
  <c r="AH1273" i="3" s="1"/>
  <c r="AG1274" i="3"/>
  <c r="AH1274" i="3" s="1"/>
  <c r="AG1275" i="3"/>
  <c r="AH1275" i="3" s="1"/>
  <c r="AG1276" i="3"/>
  <c r="AG1277" i="3"/>
  <c r="AH1277" i="3" s="1"/>
  <c r="AG1278" i="3"/>
  <c r="AH1278" i="3" s="1"/>
  <c r="AG1279" i="3"/>
  <c r="AH1279" i="3" s="1"/>
  <c r="AG1280" i="3"/>
  <c r="AH1280" i="3" s="1"/>
  <c r="AG1281" i="3"/>
  <c r="AG1282" i="3"/>
  <c r="AH1282" i="3" s="1"/>
  <c r="AG1283" i="3"/>
  <c r="AH1283" i="3" s="1"/>
  <c r="AG1284" i="3"/>
  <c r="AH1284" i="3" s="1"/>
  <c r="AG1286" i="3"/>
  <c r="AH1286" i="3" s="1"/>
  <c r="AG1287" i="3"/>
  <c r="AH1287" i="3" s="1"/>
  <c r="AG1288" i="3"/>
  <c r="AH1288" i="3" s="1"/>
  <c r="AG1289" i="3"/>
  <c r="AG1290" i="3"/>
  <c r="AH1290" i="3" s="1"/>
  <c r="AG1291" i="3"/>
  <c r="AH1291" i="3" s="1"/>
  <c r="AG1292" i="3"/>
  <c r="AG1293" i="3"/>
  <c r="AG1294" i="3"/>
  <c r="AH1294" i="3" s="1"/>
  <c r="AG1295" i="3"/>
  <c r="AH1295" i="3" s="1"/>
  <c r="AG1296" i="3"/>
  <c r="AG1298" i="3"/>
  <c r="AH1298" i="3" s="1"/>
  <c r="AG1299" i="3"/>
  <c r="AH1299" i="3" s="1"/>
  <c r="AG1300" i="3"/>
  <c r="AH1300" i="3" s="1"/>
  <c r="AG1301" i="3"/>
  <c r="AH1301" i="3" s="1"/>
  <c r="AG1302" i="3"/>
  <c r="AH1302" i="3" s="1"/>
  <c r="AG1303" i="3"/>
  <c r="AH1303" i="3" s="1"/>
  <c r="AG1304" i="3"/>
  <c r="AH1304" i="3" s="1"/>
  <c r="AG1305" i="3"/>
  <c r="AG1306" i="3"/>
  <c r="AG1307" i="3"/>
  <c r="AH1307" i="3" s="1"/>
  <c r="AG1308" i="3"/>
  <c r="AH1308" i="3" s="1"/>
  <c r="AG1309" i="3"/>
  <c r="AG1310" i="3"/>
  <c r="AH1310" i="3" s="1"/>
  <c r="AG1311" i="3"/>
  <c r="AH1311" i="3" s="1"/>
  <c r="AG1312" i="3"/>
  <c r="AH1312" i="3" s="1"/>
  <c r="AG1313" i="3"/>
  <c r="AH1313" i="3" s="1"/>
  <c r="AG1314" i="3"/>
  <c r="AH1314" i="3" s="1"/>
  <c r="AG1315" i="3"/>
  <c r="AH1315" i="3" s="1"/>
  <c r="AG1316" i="3"/>
  <c r="AH1316" i="3" s="1"/>
  <c r="AG1317" i="3"/>
  <c r="AG1318" i="3"/>
  <c r="AH1318" i="3" s="1"/>
  <c r="AG1319" i="3"/>
  <c r="AH1319" i="3" s="1"/>
  <c r="AG1320" i="3"/>
  <c r="AH1320" i="3" s="1"/>
  <c r="AG1321" i="3"/>
  <c r="AG1322" i="3"/>
  <c r="AG1323" i="3"/>
  <c r="AH1323" i="3" s="1"/>
  <c r="AG1324" i="3"/>
  <c r="AH1324" i="3" s="1"/>
  <c r="AG1325" i="3"/>
  <c r="AH1325" i="3" s="1"/>
  <c r="AG1326" i="3"/>
  <c r="AG1327" i="3"/>
  <c r="AH1327" i="3" s="1"/>
  <c r="AG1328" i="3"/>
  <c r="AH1328" i="3" s="1"/>
  <c r="AG1329" i="3"/>
  <c r="AG1330" i="3"/>
  <c r="AH1330" i="3" s="1"/>
  <c r="AG1331" i="3"/>
  <c r="AH1331" i="3" s="1"/>
  <c r="AG1332" i="3"/>
  <c r="AH1332" i="3" s="1"/>
  <c r="AG1333" i="3"/>
  <c r="AG1334" i="3"/>
  <c r="AH1334" i="3" s="1"/>
  <c r="AG1335" i="3"/>
  <c r="AH1335" i="3" s="1"/>
  <c r="AG1336" i="3"/>
  <c r="AH1336" i="3" s="1"/>
  <c r="AG1337" i="3"/>
  <c r="AH1337" i="3" s="1"/>
  <c r="AG1338" i="3"/>
  <c r="AG1339" i="3"/>
  <c r="AH1339" i="3" s="1"/>
  <c r="AG1340" i="3"/>
  <c r="AH1340" i="3" s="1"/>
  <c r="AG1341" i="3"/>
  <c r="AG1342" i="3"/>
  <c r="AH1342" i="3" s="1"/>
  <c r="AG1343" i="3"/>
  <c r="AH1343" i="3" s="1"/>
  <c r="AG1344" i="3"/>
  <c r="AH1344" i="3" s="1"/>
  <c r="AG1345" i="3"/>
  <c r="AG1346" i="3"/>
  <c r="AH1346" i="3" s="1"/>
  <c r="AG1347" i="3"/>
  <c r="AH1347" i="3" s="1"/>
  <c r="AG1349" i="3"/>
  <c r="AH1349" i="3" s="1"/>
  <c r="AG1350" i="3"/>
  <c r="AH1350" i="3" s="1"/>
  <c r="AG1351" i="3"/>
  <c r="AH1351" i="3" s="1"/>
  <c r="AG1352" i="3"/>
  <c r="AH1352" i="3" s="1"/>
  <c r="AG1353" i="3"/>
  <c r="AH1353" i="3" s="1"/>
  <c r="AG1354" i="3"/>
  <c r="AG1355" i="3"/>
  <c r="AH1355" i="3" s="1"/>
  <c r="AG1356" i="3"/>
  <c r="AG1357" i="3"/>
  <c r="AH1357" i="3" s="1"/>
  <c r="AG1358" i="3"/>
  <c r="AG1359" i="3"/>
  <c r="AH1359" i="3" s="1"/>
  <c r="AG1360" i="3"/>
  <c r="AH1360" i="3" s="1"/>
  <c r="AG1361" i="3"/>
  <c r="AH1361" i="3" s="1"/>
  <c r="AG1362" i="3"/>
  <c r="AH1362" i="3" s="1"/>
  <c r="AG1363" i="3"/>
  <c r="AH1363" i="3" s="1"/>
  <c r="AG1364" i="3"/>
  <c r="AH1364" i="3" s="1"/>
  <c r="AG1365" i="3"/>
  <c r="AH1365" i="3" s="1"/>
  <c r="AG1366" i="3"/>
  <c r="AG1367" i="3"/>
  <c r="AH1367" i="3" s="1"/>
  <c r="AG1368" i="3"/>
  <c r="AH1368" i="3" s="1"/>
  <c r="AG1369" i="3"/>
  <c r="AH1369" i="3" s="1"/>
  <c r="AG1371" i="3"/>
  <c r="AH1371" i="3" s="1"/>
  <c r="AG1372" i="3"/>
  <c r="AG1373" i="3"/>
  <c r="AH1373" i="3" s="1"/>
  <c r="AG1374" i="3"/>
  <c r="AH1374" i="3" s="1"/>
  <c r="AG1375" i="3"/>
  <c r="AH1375" i="3" s="1"/>
  <c r="AG1376" i="3"/>
  <c r="AG1377" i="3"/>
  <c r="AH1377" i="3" s="1"/>
  <c r="AG1397" i="3"/>
  <c r="AH1397" i="3" s="1"/>
  <c r="AG1398" i="3"/>
  <c r="AG1399" i="3"/>
  <c r="AH1399" i="3" s="1"/>
  <c r="AG1400" i="3"/>
  <c r="AG1401" i="3"/>
  <c r="AH1401" i="3" s="1"/>
  <c r="AG1402" i="3"/>
  <c r="AG1403" i="3"/>
  <c r="AH1403" i="3" s="1"/>
  <c r="AG1404" i="3"/>
  <c r="AH1404" i="3" s="1"/>
  <c r="AG1405" i="3"/>
  <c r="AH1405" i="3" s="1"/>
  <c r="AG1406" i="3"/>
  <c r="AH1406" i="3" s="1"/>
  <c r="AG1407" i="3"/>
  <c r="AH1407" i="3" s="1"/>
  <c r="AG1408" i="3"/>
  <c r="AH1408" i="3" s="1"/>
  <c r="AG1409" i="3"/>
  <c r="AH1409" i="3" s="1"/>
  <c r="AG1410" i="3"/>
  <c r="AG1411" i="3"/>
  <c r="AH1411" i="3" s="1"/>
  <c r="AG1413" i="3"/>
  <c r="AH1413" i="3" s="1"/>
  <c r="AG1414" i="3"/>
  <c r="AH1414" i="3" s="1"/>
  <c r="AG1415" i="3"/>
  <c r="AH1415" i="3" s="1"/>
  <c r="AG1416" i="3"/>
  <c r="AH1416" i="3" s="1"/>
  <c r="AG1417" i="3"/>
  <c r="AG1418" i="3"/>
  <c r="AH1418" i="3" s="1"/>
  <c r="AG1419" i="3"/>
  <c r="AH1419" i="3" s="1"/>
  <c r="AG1425" i="3"/>
  <c r="AH1425" i="3" s="1"/>
  <c r="AG1426" i="3"/>
  <c r="AH1426" i="3" s="1"/>
  <c r="AG1427" i="3"/>
  <c r="AH1427" i="3" s="1"/>
  <c r="AG1428" i="3"/>
  <c r="AG1429" i="3"/>
  <c r="AG1430" i="3"/>
  <c r="AG1431" i="3"/>
  <c r="AH1431" i="3" s="1"/>
  <c r="AG1432" i="3"/>
  <c r="AG1433" i="3"/>
  <c r="AG1434" i="3"/>
  <c r="AH1434" i="3" s="1"/>
  <c r="AG1435" i="3"/>
  <c r="AH1435" i="3" s="1"/>
  <c r="AG1436" i="3"/>
  <c r="AG1437" i="3"/>
  <c r="AH1437" i="3" s="1"/>
  <c r="AG1438" i="3"/>
  <c r="AH1438" i="3" s="1"/>
  <c r="AG1439" i="3"/>
  <c r="AH1439" i="3" s="1"/>
  <c r="AG1440" i="3"/>
  <c r="AG1441" i="3"/>
  <c r="AH1441" i="3" s="1"/>
  <c r="AG1442" i="3"/>
  <c r="AH1442" i="3" s="1"/>
  <c r="AG3" i="3"/>
  <c r="AH3" i="3" s="1"/>
  <c r="AH4" i="3"/>
  <c r="AJ4" i="3"/>
  <c r="AL4" i="3"/>
  <c r="AN4" i="3"/>
  <c r="AP4" i="3"/>
  <c r="AR4" i="3"/>
  <c r="AH5" i="3"/>
  <c r="AJ5" i="3"/>
  <c r="AL5" i="3"/>
  <c r="AP5" i="3"/>
  <c r="AR5" i="3"/>
  <c r="AJ6" i="3"/>
  <c r="AL6" i="3"/>
  <c r="AN6" i="3"/>
  <c r="AP6" i="3"/>
  <c r="AR6" i="3"/>
  <c r="AJ7" i="3"/>
  <c r="AL7" i="3"/>
  <c r="AN7" i="3"/>
  <c r="AP7" i="3"/>
  <c r="AR7" i="3"/>
  <c r="AJ8" i="3"/>
  <c r="AL8" i="3"/>
  <c r="AN8" i="3"/>
  <c r="AP8" i="3"/>
  <c r="AR8" i="3"/>
  <c r="AJ9" i="3"/>
  <c r="AL9" i="3"/>
  <c r="AN9" i="3"/>
  <c r="AP9" i="3"/>
  <c r="AR9" i="3"/>
  <c r="AJ10" i="3"/>
  <c r="AL10" i="3"/>
  <c r="AP10" i="3"/>
  <c r="AR10" i="3"/>
  <c r="AJ11" i="3"/>
  <c r="AL11" i="3"/>
  <c r="AN11" i="3"/>
  <c r="AP11" i="3"/>
  <c r="AR11" i="3"/>
  <c r="AJ12" i="3"/>
  <c r="AL12" i="3"/>
  <c r="AN12" i="3"/>
  <c r="AP12" i="3"/>
  <c r="AR12" i="3"/>
  <c r="AJ13" i="3"/>
  <c r="AL13" i="3"/>
  <c r="AN13" i="3"/>
  <c r="AP13" i="3"/>
  <c r="AR13" i="3"/>
  <c r="AJ14" i="3"/>
  <c r="AL14" i="3"/>
  <c r="AP14" i="3"/>
  <c r="AR14" i="3"/>
  <c r="AJ15" i="3"/>
  <c r="AL15" i="3"/>
  <c r="AN15" i="3"/>
  <c r="AP15" i="3"/>
  <c r="AR15" i="3"/>
  <c r="AH16" i="3"/>
  <c r="AJ16" i="3"/>
  <c r="AL16" i="3"/>
  <c r="AP16" i="3"/>
  <c r="AR16" i="3"/>
  <c r="AJ17" i="3"/>
  <c r="AL17" i="3"/>
  <c r="AP17" i="3"/>
  <c r="AR17" i="3"/>
  <c r="AJ18" i="3"/>
  <c r="AL18" i="3"/>
  <c r="AN18" i="3"/>
  <c r="AP18" i="3"/>
  <c r="AR18" i="3"/>
  <c r="AJ19" i="3"/>
  <c r="AL19" i="3"/>
  <c r="AN19" i="3"/>
  <c r="AP19" i="3"/>
  <c r="AR19" i="3"/>
  <c r="AH20" i="3"/>
  <c r="AJ20" i="3"/>
  <c r="AL20" i="3"/>
  <c r="AN20" i="3"/>
  <c r="AP20" i="3"/>
  <c r="AR20" i="3"/>
  <c r="AJ21" i="3"/>
  <c r="AL21" i="3"/>
  <c r="AN21" i="3"/>
  <c r="AP21" i="3"/>
  <c r="AR21" i="3"/>
  <c r="AH22"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H29" i="3"/>
  <c r="AJ29" i="3"/>
  <c r="AL29" i="3"/>
  <c r="AP29" i="3"/>
  <c r="AR29" i="3"/>
  <c r="AJ30" i="3"/>
  <c r="AL30" i="3"/>
  <c r="AN30" i="3"/>
  <c r="AP30" i="3"/>
  <c r="AR30" i="3"/>
  <c r="AJ31" i="3"/>
  <c r="AL31" i="3"/>
  <c r="AN31" i="3"/>
  <c r="AP31" i="3"/>
  <c r="AR31" i="3"/>
  <c r="AJ32" i="3"/>
  <c r="AL32" i="3"/>
  <c r="AN32" i="3"/>
  <c r="AP32" i="3"/>
  <c r="AR32" i="3"/>
  <c r="AH33"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P56" i="3"/>
  <c r="AR56"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H65"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H78"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P85" i="3"/>
  <c r="AR85"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J101" i="3"/>
  <c r="AL101" i="3"/>
  <c r="AN101" i="3"/>
  <c r="AP101" i="3"/>
  <c r="AR101" i="3"/>
  <c r="AJ102" i="3"/>
  <c r="AL102" i="3"/>
  <c r="AP102" i="3"/>
  <c r="AR102" i="3"/>
  <c r="AJ103" i="3"/>
  <c r="AL103" i="3"/>
  <c r="AN103" i="3"/>
  <c r="AP103" i="3"/>
  <c r="AR103" i="3"/>
  <c r="AJ104" i="3"/>
  <c r="AL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P113" i="3"/>
  <c r="AR113" i="3"/>
  <c r="AJ114" i="3"/>
  <c r="AL114" i="3"/>
  <c r="AN114" i="3"/>
  <c r="AP114" i="3"/>
  <c r="AR114" i="3"/>
  <c r="AJ115" i="3"/>
  <c r="AL115" i="3"/>
  <c r="AP115" i="3"/>
  <c r="AR115" i="3"/>
  <c r="AJ116" i="3"/>
  <c r="AL116" i="3"/>
  <c r="AN116" i="3"/>
  <c r="AP116" i="3"/>
  <c r="AR116" i="3"/>
  <c r="AJ117" i="3"/>
  <c r="AL117" i="3"/>
  <c r="AN117" i="3"/>
  <c r="AP117" i="3"/>
  <c r="AR117" i="3"/>
  <c r="AH118"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J126" i="3"/>
  <c r="AL126" i="3"/>
  <c r="AN126" i="3"/>
  <c r="AP126" i="3"/>
  <c r="AR126" i="3"/>
  <c r="AJ127" i="3"/>
  <c r="AL127" i="3"/>
  <c r="AN127" i="3"/>
  <c r="AP127" i="3"/>
  <c r="AR127" i="3"/>
  <c r="AJ128" i="3"/>
  <c r="AL128" i="3"/>
  <c r="AN128" i="3"/>
  <c r="AP128" i="3"/>
  <c r="AR128" i="3"/>
  <c r="AJ129" i="3"/>
  <c r="AL129" i="3"/>
  <c r="AP129" i="3"/>
  <c r="AR129" i="3"/>
  <c r="AJ130" i="3"/>
  <c r="AL130" i="3"/>
  <c r="AN130" i="3"/>
  <c r="AP130" i="3"/>
  <c r="AR130" i="3"/>
  <c r="AJ131" i="3"/>
  <c r="AL131" i="3"/>
  <c r="AN131" i="3"/>
  <c r="AP131" i="3"/>
  <c r="AR131" i="3"/>
  <c r="AJ132" i="3"/>
  <c r="AL132" i="3"/>
  <c r="AN132" i="3"/>
  <c r="AP132" i="3"/>
  <c r="AR132" i="3"/>
  <c r="AJ133" i="3"/>
  <c r="AL133" i="3"/>
  <c r="AN133" i="3"/>
  <c r="AP133" i="3"/>
  <c r="AR133" i="3"/>
  <c r="AJ134" i="3"/>
  <c r="AL134" i="3"/>
  <c r="AN134" i="3"/>
  <c r="AP134" i="3"/>
  <c r="AR134" i="3"/>
  <c r="AJ135" i="3"/>
  <c r="AL135" i="3"/>
  <c r="AN135" i="3"/>
  <c r="AP135" i="3"/>
  <c r="AR135" i="3"/>
  <c r="AJ136" i="3"/>
  <c r="AL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J153" i="3"/>
  <c r="AL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H177" i="3"/>
  <c r="AJ177" i="3"/>
  <c r="AL177" i="3"/>
  <c r="AN177" i="3"/>
  <c r="AP177" i="3"/>
  <c r="AR177" i="3"/>
  <c r="AJ178" i="3"/>
  <c r="AL178" i="3"/>
  <c r="AN178" i="3"/>
  <c r="AP178" i="3"/>
  <c r="AR178" i="3"/>
  <c r="AJ179" i="3"/>
  <c r="AL179" i="3"/>
  <c r="AN179" i="3"/>
  <c r="AP179" i="3"/>
  <c r="AR179"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J185" i="3"/>
  <c r="AL185" i="3"/>
  <c r="AN185" i="3"/>
  <c r="AP185" i="3"/>
  <c r="AR185" i="3"/>
  <c r="AH186" i="3"/>
  <c r="AJ186" i="3"/>
  <c r="AL186" i="3"/>
  <c r="AN186" i="3"/>
  <c r="AP186" i="3"/>
  <c r="AR186" i="3"/>
  <c r="AJ187" i="3"/>
  <c r="AL187" i="3"/>
  <c r="AN187" i="3"/>
  <c r="AP187" i="3"/>
  <c r="AR187" i="3"/>
  <c r="AJ188" i="3"/>
  <c r="AL188" i="3"/>
  <c r="AN188" i="3"/>
  <c r="AP188" i="3"/>
  <c r="AR188"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P215" i="3"/>
  <c r="AR215" i="3"/>
  <c r="AJ216" i="3"/>
  <c r="AL216" i="3"/>
  <c r="AN216" i="3"/>
  <c r="AP216" i="3"/>
  <c r="AR216" i="3"/>
  <c r="AJ217" i="3"/>
  <c r="AL217" i="3"/>
  <c r="AN217" i="3"/>
  <c r="AP217" i="3"/>
  <c r="AR217" i="3"/>
  <c r="AJ218" i="3"/>
  <c r="AL218" i="3"/>
  <c r="AP218" i="3"/>
  <c r="AR218" i="3"/>
  <c r="AJ219" i="3"/>
  <c r="AL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J229" i="3"/>
  <c r="AL229" i="3"/>
  <c r="AN229" i="3"/>
  <c r="AP229" i="3"/>
  <c r="AR229" i="3"/>
  <c r="AJ230" i="3"/>
  <c r="AL230" i="3"/>
  <c r="AN230" i="3"/>
  <c r="AP230" i="3"/>
  <c r="AR230" i="3"/>
  <c r="AJ231" i="3"/>
  <c r="AL231" i="3"/>
  <c r="AP231" i="3"/>
  <c r="AR231" i="3"/>
  <c r="AJ232" i="3"/>
  <c r="AL232" i="3"/>
  <c r="AN232" i="3"/>
  <c r="AP232" i="3"/>
  <c r="AR232" i="3"/>
  <c r="AJ233" i="3"/>
  <c r="AL233" i="3"/>
  <c r="AN233" i="3"/>
  <c r="AP233" i="3"/>
  <c r="AR233" i="3"/>
  <c r="AJ234" i="3"/>
  <c r="AL234" i="3"/>
  <c r="AP234" i="3"/>
  <c r="AR234" i="3"/>
  <c r="AJ235" i="3"/>
  <c r="AL235" i="3"/>
  <c r="AN235" i="3"/>
  <c r="AP235" i="3"/>
  <c r="AR235" i="3"/>
  <c r="AJ236" i="3"/>
  <c r="AL236" i="3"/>
  <c r="AN236" i="3"/>
  <c r="AP236" i="3"/>
  <c r="AR236" i="3"/>
  <c r="AJ237" i="3"/>
  <c r="AL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P243" i="3"/>
  <c r="AR243"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J254" i="3"/>
  <c r="AL254" i="3"/>
  <c r="AP254" i="3"/>
  <c r="AR254" i="3"/>
  <c r="AJ255" i="3"/>
  <c r="AL255" i="3"/>
  <c r="AN255" i="3"/>
  <c r="AP255" i="3"/>
  <c r="AR255" i="3"/>
  <c r="AJ256" i="3"/>
  <c r="AL256" i="3"/>
  <c r="AN256" i="3"/>
  <c r="AP256" i="3"/>
  <c r="AR256" i="3"/>
  <c r="AJ257" i="3"/>
  <c r="AL257" i="3"/>
  <c r="AN257" i="3"/>
  <c r="AP257" i="3"/>
  <c r="AR257" i="3"/>
  <c r="AH258"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J265" i="3"/>
  <c r="AL265" i="3"/>
  <c r="AN265" i="3"/>
  <c r="AP265" i="3"/>
  <c r="AR265" i="3"/>
  <c r="AJ266" i="3"/>
  <c r="AL266" i="3"/>
  <c r="AN266" i="3"/>
  <c r="AP266" i="3"/>
  <c r="AR266" i="3"/>
  <c r="AJ267" i="3"/>
  <c r="AL267" i="3"/>
  <c r="AN267" i="3"/>
  <c r="AP267" i="3"/>
  <c r="AR267" i="3"/>
  <c r="AJ268" i="3"/>
  <c r="AL268" i="3"/>
  <c r="AP268" i="3"/>
  <c r="AR268" i="3"/>
  <c r="AJ269" i="3"/>
  <c r="AL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J276" i="3"/>
  <c r="AL276" i="3"/>
  <c r="AN276" i="3"/>
  <c r="AP276" i="3"/>
  <c r="AR276" i="3"/>
  <c r="AJ277" i="3"/>
  <c r="AL277" i="3"/>
  <c r="AN277" i="3"/>
  <c r="AP277" i="3"/>
  <c r="AR277" i="3"/>
  <c r="AJ278" i="3"/>
  <c r="AL278" i="3"/>
  <c r="AN278" i="3"/>
  <c r="AP278" i="3"/>
  <c r="AR278" i="3"/>
  <c r="AJ279" i="3"/>
  <c r="AL279" i="3"/>
  <c r="AN279" i="3"/>
  <c r="AP279" i="3"/>
  <c r="AR279" i="3"/>
  <c r="AJ280" i="3"/>
  <c r="AL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P292" i="3"/>
  <c r="AR292"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H306" i="3"/>
  <c r="AJ306" i="3"/>
  <c r="AL306" i="3"/>
  <c r="AN306" i="3"/>
  <c r="AP306" i="3"/>
  <c r="AR306" i="3"/>
  <c r="AJ307" i="3"/>
  <c r="AL307" i="3"/>
  <c r="AN307" i="3"/>
  <c r="AP307" i="3"/>
  <c r="AR307" i="3"/>
  <c r="AJ308" i="3"/>
  <c r="AL308" i="3"/>
  <c r="AN308" i="3"/>
  <c r="AP308" i="3"/>
  <c r="AR308" i="3"/>
  <c r="AJ309" i="3"/>
  <c r="AL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H322" i="3"/>
  <c r="AJ322" i="3"/>
  <c r="AL322" i="3"/>
  <c r="AN322" i="3"/>
  <c r="AP322" i="3"/>
  <c r="AR322" i="3"/>
  <c r="AJ323" i="3"/>
  <c r="AL323" i="3"/>
  <c r="AN323" i="3"/>
  <c r="AP323" i="3"/>
  <c r="AR323" i="3"/>
  <c r="AJ324" i="3"/>
  <c r="AL324" i="3"/>
  <c r="AN324" i="3"/>
  <c r="AP324" i="3"/>
  <c r="AR324" i="3"/>
  <c r="AJ325" i="3"/>
  <c r="AL325" i="3"/>
  <c r="AN325" i="3"/>
  <c r="AP325" i="3"/>
  <c r="AR325" i="3"/>
  <c r="AJ326" i="3"/>
  <c r="AL326" i="3"/>
  <c r="AN326" i="3"/>
  <c r="AP326" i="3"/>
  <c r="AR326" i="3"/>
  <c r="AJ327" i="3"/>
  <c r="AL327" i="3"/>
  <c r="AN327" i="3"/>
  <c r="AP327" i="3"/>
  <c r="AR327" i="3"/>
  <c r="AJ328" i="3"/>
  <c r="AL328" i="3"/>
  <c r="AN328" i="3"/>
  <c r="AP328" i="3"/>
  <c r="AR328"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J342" i="3"/>
  <c r="AL342" i="3"/>
  <c r="AN342" i="3"/>
  <c r="AP342" i="3"/>
  <c r="AR342" i="3"/>
  <c r="AJ343" i="3"/>
  <c r="AL343" i="3"/>
  <c r="AN343" i="3"/>
  <c r="AP343" i="3"/>
  <c r="AR343" i="3"/>
  <c r="AH344" i="3"/>
  <c r="AJ344" i="3"/>
  <c r="AL344" i="3"/>
  <c r="AN344" i="3"/>
  <c r="AP344" i="3"/>
  <c r="AR344" i="3"/>
  <c r="AJ345" i="3"/>
  <c r="AL345" i="3"/>
  <c r="AN345" i="3"/>
  <c r="AP345" i="3"/>
  <c r="AR345" i="3"/>
  <c r="AH346"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J357" i="3"/>
  <c r="AL357" i="3"/>
  <c r="AN357" i="3"/>
  <c r="AP357" i="3"/>
  <c r="AR357"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P365" i="3"/>
  <c r="AR365" i="3"/>
  <c r="AJ366" i="3"/>
  <c r="AL366" i="3"/>
  <c r="AN366" i="3"/>
  <c r="AP366" i="3"/>
  <c r="AR366" i="3"/>
  <c r="AJ367" i="3"/>
  <c r="AL367" i="3"/>
  <c r="AN367" i="3"/>
  <c r="AP367" i="3"/>
  <c r="AR367" i="3"/>
  <c r="AJ368" i="3"/>
  <c r="AL368" i="3"/>
  <c r="AN368" i="3"/>
  <c r="AP368" i="3"/>
  <c r="AR368" i="3"/>
  <c r="AJ369" i="3"/>
  <c r="AL369" i="3"/>
  <c r="AN369" i="3"/>
  <c r="AP369" i="3"/>
  <c r="AR369" i="3"/>
  <c r="AH370"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H386" i="3"/>
  <c r="AJ386" i="3"/>
  <c r="AL386" i="3"/>
  <c r="AN386" i="3"/>
  <c r="AP386" i="3"/>
  <c r="AR386" i="3"/>
  <c r="AJ387" i="3"/>
  <c r="AL387" i="3"/>
  <c r="AN387" i="3"/>
  <c r="AP387" i="3"/>
  <c r="AR387"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H402" i="3"/>
  <c r="AJ402" i="3"/>
  <c r="AL402" i="3"/>
  <c r="AN402" i="3"/>
  <c r="AP402" i="3"/>
  <c r="AR402" i="3"/>
  <c r="AJ403" i="3"/>
  <c r="AL403" i="3"/>
  <c r="AN403" i="3"/>
  <c r="AP403" i="3"/>
  <c r="AR403" i="3"/>
  <c r="AJ404" i="3"/>
  <c r="AL404" i="3"/>
  <c r="AN404" i="3"/>
  <c r="AP404" i="3"/>
  <c r="AR404" i="3"/>
  <c r="AJ405" i="3"/>
  <c r="AL405" i="3"/>
  <c r="AN405" i="3"/>
  <c r="AP405" i="3"/>
  <c r="AR405" i="3"/>
  <c r="AH406" i="3"/>
  <c r="AJ406" i="3"/>
  <c r="AL406" i="3"/>
  <c r="AN406" i="3"/>
  <c r="AP406" i="3"/>
  <c r="AR406" i="3"/>
  <c r="AJ407" i="3"/>
  <c r="AL407" i="3"/>
  <c r="AN407" i="3"/>
  <c r="AP407" i="3"/>
  <c r="AR407" i="3"/>
  <c r="AJ408" i="3"/>
  <c r="AL408" i="3"/>
  <c r="AN408" i="3"/>
  <c r="AP408" i="3"/>
  <c r="AR408"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J415" i="3"/>
  <c r="AL415" i="3"/>
  <c r="AN415" i="3"/>
  <c r="AP415" i="3"/>
  <c r="AR415" i="3"/>
  <c r="AJ416" i="3"/>
  <c r="AL416" i="3"/>
  <c r="AN416" i="3"/>
  <c r="AP416" i="3"/>
  <c r="AR416" i="3"/>
  <c r="AJ417" i="3"/>
  <c r="AL417" i="3"/>
  <c r="AN417" i="3"/>
  <c r="AP417" i="3"/>
  <c r="AR417" i="3"/>
  <c r="AH418" i="3"/>
  <c r="AJ418" i="3"/>
  <c r="AL418" i="3"/>
  <c r="AN418" i="3"/>
  <c r="AP418" i="3"/>
  <c r="AR418" i="3"/>
  <c r="AJ419" i="3"/>
  <c r="AL419" i="3"/>
  <c r="AN419" i="3"/>
  <c r="AP419" i="3"/>
  <c r="AR419" i="3"/>
  <c r="AJ420" i="3"/>
  <c r="AL420" i="3"/>
  <c r="AN420" i="3"/>
  <c r="AP420" i="3"/>
  <c r="AR420" i="3"/>
  <c r="AJ421" i="3"/>
  <c r="AL421" i="3"/>
  <c r="AN421" i="3"/>
  <c r="AP421" i="3"/>
  <c r="AR421"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J437" i="3"/>
  <c r="AL437" i="3"/>
  <c r="AN437" i="3"/>
  <c r="AP437" i="3"/>
  <c r="AR437" i="3"/>
  <c r="AH438" i="3"/>
  <c r="AJ438" i="3"/>
  <c r="AL438" i="3"/>
  <c r="AN438" i="3"/>
  <c r="AP438" i="3"/>
  <c r="AR438" i="3"/>
  <c r="AJ439" i="3"/>
  <c r="AL439" i="3"/>
  <c r="AN439" i="3"/>
  <c r="AP439" i="3"/>
  <c r="AR439" i="3"/>
  <c r="AH440" i="3"/>
  <c r="AJ440" i="3"/>
  <c r="AL440" i="3"/>
  <c r="AN440" i="3"/>
  <c r="AP440" i="3"/>
  <c r="AR440" i="3"/>
  <c r="AJ441" i="3"/>
  <c r="AL441" i="3"/>
  <c r="AN441" i="3"/>
  <c r="AP441" i="3"/>
  <c r="AR441"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H450" i="3"/>
  <c r="AJ450" i="3"/>
  <c r="AL450" i="3"/>
  <c r="AN450" i="3"/>
  <c r="AP450" i="3"/>
  <c r="AR450" i="3"/>
  <c r="AJ451" i="3"/>
  <c r="AL451" i="3"/>
  <c r="AN451" i="3"/>
  <c r="AP451" i="3"/>
  <c r="AR451" i="3"/>
  <c r="AJ452" i="3"/>
  <c r="AL452" i="3"/>
  <c r="AN452" i="3"/>
  <c r="AP452" i="3"/>
  <c r="AR452" i="3"/>
  <c r="AJ453" i="3"/>
  <c r="AL453" i="3"/>
  <c r="AN453" i="3"/>
  <c r="AP453" i="3"/>
  <c r="AR453" i="3"/>
  <c r="AH454" i="3"/>
  <c r="AJ454" i="3"/>
  <c r="AL454" i="3"/>
  <c r="AN454" i="3"/>
  <c r="AP454" i="3"/>
  <c r="AR454" i="3"/>
  <c r="AJ455" i="3"/>
  <c r="AL455" i="3"/>
  <c r="AN455" i="3"/>
  <c r="AP455" i="3"/>
  <c r="AR455"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H462" i="3"/>
  <c r="AJ462" i="3"/>
  <c r="AL462" i="3"/>
  <c r="AN462" i="3"/>
  <c r="AP462" i="3"/>
  <c r="AR462" i="3"/>
  <c r="AJ463" i="3"/>
  <c r="AL463" i="3"/>
  <c r="AN463" i="3"/>
  <c r="AP463" i="3"/>
  <c r="AR463" i="3"/>
  <c r="AH464" i="3"/>
  <c r="AJ464" i="3"/>
  <c r="AL464" i="3"/>
  <c r="AN464" i="3"/>
  <c r="AP464" i="3"/>
  <c r="AR464" i="3"/>
  <c r="AJ465" i="3"/>
  <c r="AL465" i="3"/>
  <c r="AN465" i="3"/>
  <c r="AP465" i="3"/>
  <c r="AR465" i="3"/>
  <c r="AH466" i="3"/>
  <c r="AJ466" i="3"/>
  <c r="AL466" i="3"/>
  <c r="AN466" i="3"/>
  <c r="AP466" i="3"/>
  <c r="AR466" i="3"/>
  <c r="AJ467" i="3"/>
  <c r="AL467" i="3"/>
  <c r="AN467" i="3"/>
  <c r="AP467" i="3"/>
  <c r="AR467" i="3"/>
  <c r="AJ468" i="3"/>
  <c r="AL468" i="3"/>
  <c r="AN468" i="3"/>
  <c r="AP468" i="3"/>
  <c r="AR468" i="3"/>
  <c r="AJ469" i="3"/>
  <c r="AL469" i="3"/>
  <c r="AN469" i="3"/>
  <c r="AP469" i="3"/>
  <c r="AR469" i="3"/>
  <c r="AJ470" i="3"/>
  <c r="AL470" i="3"/>
  <c r="AN470" i="3"/>
  <c r="AP470" i="3"/>
  <c r="AR470" i="3"/>
  <c r="AJ471" i="3"/>
  <c r="AL471" i="3"/>
  <c r="AN471" i="3"/>
  <c r="AP471" i="3"/>
  <c r="AR471"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H478"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J485" i="3"/>
  <c r="AL485" i="3"/>
  <c r="AN485" i="3"/>
  <c r="AP485" i="3"/>
  <c r="AR485" i="3"/>
  <c r="AH486" i="3"/>
  <c r="AJ486" i="3"/>
  <c r="AL486" i="3"/>
  <c r="AN486" i="3"/>
  <c r="AP486" i="3"/>
  <c r="AR486" i="3"/>
  <c r="AJ487" i="3"/>
  <c r="AL487" i="3"/>
  <c r="AN487" i="3"/>
  <c r="AP487" i="3"/>
  <c r="AR487" i="3"/>
  <c r="AJ488" i="3"/>
  <c r="AL488" i="3"/>
  <c r="AN488" i="3"/>
  <c r="AP488" i="3"/>
  <c r="AR488"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H498" i="3"/>
  <c r="AJ498" i="3"/>
  <c r="AL498" i="3"/>
  <c r="AN498" i="3"/>
  <c r="AP498" i="3"/>
  <c r="AR498" i="3"/>
  <c r="AJ499" i="3"/>
  <c r="AL499" i="3"/>
  <c r="AN499" i="3"/>
  <c r="AP499" i="3"/>
  <c r="AR499" i="3"/>
  <c r="AJ500" i="3"/>
  <c r="AL500" i="3"/>
  <c r="AN500" i="3"/>
  <c r="AP500" i="3"/>
  <c r="AR500" i="3"/>
  <c r="AJ501" i="3"/>
  <c r="AL501" i="3"/>
  <c r="AN501" i="3"/>
  <c r="AP501" i="3"/>
  <c r="AR501" i="3"/>
  <c r="AH502" i="3"/>
  <c r="AJ502" i="3"/>
  <c r="AL502" i="3"/>
  <c r="AN502" i="3"/>
  <c r="AP502" i="3"/>
  <c r="AR502" i="3"/>
  <c r="AJ503" i="3"/>
  <c r="AL503" i="3"/>
  <c r="AN503" i="3"/>
  <c r="AP503" i="3"/>
  <c r="AR503"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H510" i="3"/>
  <c r="AJ510" i="3"/>
  <c r="AL510" i="3"/>
  <c r="AN510" i="3"/>
  <c r="AP510" i="3"/>
  <c r="AR510" i="3"/>
  <c r="AJ511" i="3"/>
  <c r="AL511" i="3"/>
  <c r="AN511" i="3"/>
  <c r="AP511" i="3"/>
  <c r="AR511" i="3"/>
  <c r="AH512" i="3"/>
  <c r="AJ512" i="3"/>
  <c r="AL512" i="3"/>
  <c r="AN512" i="3"/>
  <c r="AP512" i="3"/>
  <c r="AR512" i="3"/>
  <c r="AJ513" i="3"/>
  <c r="AL513" i="3"/>
  <c r="AN513" i="3"/>
  <c r="AP513" i="3"/>
  <c r="AR513" i="3"/>
  <c r="AH514" i="3"/>
  <c r="AJ514" i="3"/>
  <c r="AL514" i="3"/>
  <c r="AN514" i="3"/>
  <c r="AP514" i="3"/>
  <c r="AR514" i="3"/>
  <c r="AJ515" i="3"/>
  <c r="AL515" i="3"/>
  <c r="AN515" i="3"/>
  <c r="AP515" i="3"/>
  <c r="AR515" i="3"/>
  <c r="AJ516" i="3"/>
  <c r="AL516" i="3"/>
  <c r="AN516" i="3"/>
  <c r="AP516" i="3"/>
  <c r="AR516" i="3"/>
  <c r="AJ517" i="3"/>
  <c r="AL517" i="3"/>
  <c r="AN517" i="3"/>
  <c r="AP517" i="3"/>
  <c r="AR517" i="3"/>
  <c r="AJ518" i="3"/>
  <c r="AL518" i="3"/>
  <c r="AN518" i="3"/>
  <c r="AP518" i="3"/>
  <c r="AR518" i="3"/>
  <c r="AJ519" i="3"/>
  <c r="AL519" i="3"/>
  <c r="AN519" i="3"/>
  <c r="AP519" i="3"/>
  <c r="AR519" i="3"/>
  <c r="AJ520" i="3"/>
  <c r="AL520" i="3"/>
  <c r="AN520" i="3"/>
  <c r="AP520" i="3"/>
  <c r="AR520" i="3"/>
  <c r="AJ521" i="3"/>
  <c r="AL521" i="3"/>
  <c r="AN521" i="3"/>
  <c r="AP521" i="3"/>
  <c r="AR521" i="3"/>
  <c r="AJ522" i="3"/>
  <c r="AL522" i="3"/>
  <c r="AN522" i="3"/>
  <c r="AP522" i="3"/>
  <c r="AR522" i="3"/>
  <c r="AJ523" i="3"/>
  <c r="AL523" i="3"/>
  <c r="AN523" i="3"/>
  <c r="AP523" i="3"/>
  <c r="AR523" i="3"/>
  <c r="AJ524" i="3"/>
  <c r="AL524" i="3"/>
  <c r="AN524" i="3"/>
  <c r="AP524" i="3"/>
  <c r="AR524" i="3"/>
  <c r="AJ525" i="3"/>
  <c r="AL525" i="3"/>
  <c r="AN525" i="3"/>
  <c r="AP525" i="3"/>
  <c r="AR525" i="3"/>
  <c r="AH526"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J532" i="3"/>
  <c r="AL532" i="3"/>
  <c r="AN532" i="3"/>
  <c r="AP532" i="3"/>
  <c r="AR532" i="3"/>
  <c r="AJ533" i="3"/>
  <c r="AL533" i="3"/>
  <c r="AN533" i="3"/>
  <c r="AP533" i="3"/>
  <c r="AR533" i="3"/>
  <c r="AH534" i="3"/>
  <c r="AJ534" i="3"/>
  <c r="AL534" i="3"/>
  <c r="AN534" i="3"/>
  <c r="AP534" i="3"/>
  <c r="AR534" i="3"/>
  <c r="AJ535" i="3"/>
  <c r="AL535" i="3"/>
  <c r="AN535" i="3"/>
  <c r="AP535" i="3"/>
  <c r="AR535"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J556" i="3"/>
  <c r="AL556" i="3"/>
  <c r="AN556" i="3"/>
  <c r="AP556" i="3"/>
  <c r="AR556"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H562" i="3"/>
  <c r="AJ562" i="3"/>
  <c r="AL562" i="3"/>
  <c r="AN562" i="3"/>
  <c r="AP562" i="3"/>
  <c r="AR562" i="3"/>
  <c r="AJ563" i="3"/>
  <c r="AL563" i="3"/>
  <c r="AN563" i="3"/>
  <c r="AP563" i="3"/>
  <c r="AR563" i="3"/>
  <c r="AJ564" i="3"/>
  <c r="AL564" i="3"/>
  <c r="AN564" i="3"/>
  <c r="AP564" i="3"/>
  <c r="AR564" i="3"/>
  <c r="AJ565" i="3"/>
  <c r="AL565" i="3"/>
  <c r="AN565" i="3"/>
  <c r="AP565" i="3"/>
  <c r="AR565" i="3"/>
  <c r="AJ566" i="3"/>
  <c r="AL566" i="3"/>
  <c r="AN566" i="3"/>
  <c r="AP566" i="3"/>
  <c r="AR566" i="3"/>
  <c r="AJ567" i="3"/>
  <c r="AL567" i="3"/>
  <c r="AN567" i="3"/>
  <c r="AP567" i="3"/>
  <c r="AR567" i="3"/>
  <c r="AJ568" i="3"/>
  <c r="AL568" i="3"/>
  <c r="AN568" i="3"/>
  <c r="AP568" i="3"/>
  <c r="AR568" i="3"/>
  <c r="AJ569" i="3"/>
  <c r="AL569" i="3"/>
  <c r="AN569" i="3"/>
  <c r="AP569" i="3"/>
  <c r="AR569" i="3"/>
  <c r="AH570" i="3"/>
  <c r="AJ570" i="3"/>
  <c r="AL570" i="3"/>
  <c r="AN570" i="3"/>
  <c r="AP570" i="3"/>
  <c r="AR570" i="3"/>
  <c r="AJ571" i="3"/>
  <c r="AL571" i="3"/>
  <c r="AN571" i="3"/>
  <c r="AP571" i="3"/>
  <c r="AR571" i="3"/>
  <c r="AJ572" i="3"/>
  <c r="AL572" i="3"/>
  <c r="AN572" i="3"/>
  <c r="AP572" i="3"/>
  <c r="AR572"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H586"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J597" i="3"/>
  <c r="AL597" i="3"/>
  <c r="AN597" i="3"/>
  <c r="AP597" i="3"/>
  <c r="AR597" i="3"/>
  <c r="AH598" i="3"/>
  <c r="AJ598" i="3"/>
  <c r="AL598" i="3"/>
  <c r="AN598" i="3"/>
  <c r="AP598" i="3"/>
  <c r="AR598" i="3"/>
  <c r="AJ599" i="3"/>
  <c r="AL599" i="3"/>
  <c r="AN599" i="3"/>
  <c r="AP599" i="3"/>
  <c r="AR599" i="3"/>
  <c r="AJ600" i="3"/>
  <c r="AL600" i="3"/>
  <c r="AN600" i="3"/>
  <c r="AP600" i="3"/>
  <c r="AR600" i="3"/>
  <c r="AJ601" i="3"/>
  <c r="AL601" i="3"/>
  <c r="AN601" i="3"/>
  <c r="AP601" i="3"/>
  <c r="AR601" i="3"/>
  <c r="AJ602" i="3"/>
  <c r="AL602" i="3"/>
  <c r="AN602" i="3"/>
  <c r="AP602" i="3"/>
  <c r="AR602" i="3"/>
  <c r="AJ603" i="3"/>
  <c r="AL603" i="3"/>
  <c r="AN603" i="3"/>
  <c r="AP603" i="3"/>
  <c r="AR603" i="3"/>
  <c r="AJ604" i="3"/>
  <c r="AL604" i="3"/>
  <c r="AN604" i="3"/>
  <c r="AP604" i="3"/>
  <c r="AR604"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H610" i="3"/>
  <c r="AJ610" i="3"/>
  <c r="AL610" i="3"/>
  <c r="AN610" i="3"/>
  <c r="AP610" i="3"/>
  <c r="AR610" i="3"/>
  <c r="AJ611" i="3"/>
  <c r="AL611" i="3"/>
  <c r="AN611" i="3"/>
  <c r="AP611" i="3"/>
  <c r="AR611" i="3"/>
  <c r="AJ612" i="3"/>
  <c r="AL612" i="3"/>
  <c r="AN612" i="3"/>
  <c r="AP612" i="3"/>
  <c r="AR612" i="3"/>
  <c r="AJ613" i="3"/>
  <c r="AL613" i="3"/>
  <c r="AN613" i="3"/>
  <c r="AP613" i="3"/>
  <c r="AR613" i="3"/>
  <c r="AJ614" i="3"/>
  <c r="AL614" i="3"/>
  <c r="AN614" i="3"/>
  <c r="AP614" i="3"/>
  <c r="AR614" i="3"/>
  <c r="AJ615" i="3"/>
  <c r="AL615" i="3"/>
  <c r="AN615" i="3"/>
  <c r="AP615" i="3"/>
  <c r="AR615" i="3"/>
  <c r="AJ616" i="3"/>
  <c r="AL616" i="3"/>
  <c r="AN616" i="3"/>
  <c r="AP616" i="3"/>
  <c r="AR616"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H642" i="3"/>
  <c r="AJ642" i="3"/>
  <c r="AL642" i="3"/>
  <c r="AN642" i="3"/>
  <c r="AP642" i="3"/>
  <c r="AR642" i="3"/>
  <c r="AJ643" i="3"/>
  <c r="AL643" i="3"/>
  <c r="AN643" i="3"/>
  <c r="AP643" i="3"/>
  <c r="AR643"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H658" i="3"/>
  <c r="AJ658" i="3"/>
  <c r="AL658" i="3"/>
  <c r="AN658" i="3"/>
  <c r="AP658" i="3"/>
  <c r="AR658" i="3"/>
  <c r="AJ659" i="3"/>
  <c r="AL659" i="3"/>
  <c r="AN659" i="3"/>
  <c r="AP659" i="3"/>
  <c r="AR659" i="3"/>
  <c r="AJ660" i="3"/>
  <c r="AL660" i="3"/>
  <c r="AN660" i="3"/>
  <c r="AP660" i="3"/>
  <c r="AR660" i="3"/>
  <c r="AJ661" i="3"/>
  <c r="AL661" i="3"/>
  <c r="AN661" i="3"/>
  <c r="AP661" i="3"/>
  <c r="AR661" i="3"/>
  <c r="AJ662" i="3"/>
  <c r="AL662" i="3"/>
  <c r="AN662" i="3"/>
  <c r="AP662" i="3"/>
  <c r="AR662" i="3"/>
  <c r="AJ663" i="3"/>
  <c r="AL663" i="3"/>
  <c r="AN663" i="3"/>
  <c r="AP663" i="3"/>
  <c r="AR663" i="3"/>
  <c r="AJ664" i="3"/>
  <c r="AL664" i="3"/>
  <c r="AN664" i="3"/>
  <c r="AP664" i="3"/>
  <c r="AR664"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H690" i="3"/>
  <c r="AJ690" i="3"/>
  <c r="AL690" i="3"/>
  <c r="AN690" i="3"/>
  <c r="AP690" i="3"/>
  <c r="AR690" i="3"/>
  <c r="AJ691" i="3"/>
  <c r="AL691" i="3"/>
  <c r="AN691" i="3"/>
  <c r="AP691" i="3"/>
  <c r="AR691"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J700" i="3"/>
  <c r="AL700" i="3"/>
  <c r="AN700" i="3"/>
  <c r="AP700" i="3"/>
  <c r="AR700"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H706" i="3"/>
  <c r="AJ706" i="3"/>
  <c r="AL706" i="3"/>
  <c r="AN706" i="3"/>
  <c r="AP706" i="3"/>
  <c r="AR706" i="3"/>
  <c r="AJ707" i="3"/>
  <c r="AL707" i="3"/>
  <c r="AN707" i="3"/>
  <c r="AP707" i="3"/>
  <c r="AR707" i="3"/>
  <c r="AJ708" i="3"/>
  <c r="AL708" i="3"/>
  <c r="AN708" i="3"/>
  <c r="AP708" i="3"/>
  <c r="AR708" i="3"/>
  <c r="AJ709" i="3"/>
  <c r="AL709" i="3"/>
  <c r="AN709" i="3"/>
  <c r="AP709" i="3"/>
  <c r="AR709" i="3"/>
  <c r="AJ710" i="3"/>
  <c r="AL710" i="3"/>
  <c r="AN710" i="3"/>
  <c r="AP710" i="3"/>
  <c r="AR710" i="3"/>
  <c r="AJ711" i="3"/>
  <c r="AL711" i="3"/>
  <c r="AN711" i="3"/>
  <c r="AP711" i="3"/>
  <c r="AR711" i="3"/>
  <c r="AJ712" i="3"/>
  <c r="AL712" i="3"/>
  <c r="AN712" i="3"/>
  <c r="AP712" i="3"/>
  <c r="AR712"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H738" i="3"/>
  <c r="AJ738" i="3"/>
  <c r="AL738" i="3"/>
  <c r="AN738" i="3"/>
  <c r="AP738" i="3"/>
  <c r="AR738" i="3"/>
  <c r="AJ739" i="3"/>
  <c r="AL739" i="3"/>
  <c r="AN739" i="3"/>
  <c r="AP739" i="3"/>
  <c r="AR739"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J748" i="3"/>
  <c r="AL748" i="3"/>
  <c r="AN748" i="3"/>
  <c r="AP748" i="3"/>
  <c r="AR748"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H754" i="3"/>
  <c r="AJ754" i="3"/>
  <c r="AL754" i="3"/>
  <c r="AN754" i="3"/>
  <c r="AP754" i="3"/>
  <c r="AR754" i="3"/>
  <c r="AJ755" i="3"/>
  <c r="AL755" i="3"/>
  <c r="AN755" i="3"/>
  <c r="AP755" i="3"/>
  <c r="AR755"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J773" i="3"/>
  <c r="AL773" i="3"/>
  <c r="AN773" i="3"/>
  <c r="AP773" i="3"/>
  <c r="AR773" i="3"/>
  <c r="AH774" i="3"/>
  <c r="AJ774" i="3"/>
  <c r="AL774" i="3"/>
  <c r="AN774" i="3"/>
  <c r="AP774" i="3"/>
  <c r="AR774" i="3"/>
  <c r="AJ775" i="3"/>
  <c r="AL775" i="3"/>
  <c r="AN775" i="3"/>
  <c r="AP775" i="3"/>
  <c r="AR775" i="3"/>
  <c r="AJ776" i="3"/>
  <c r="AL776" i="3"/>
  <c r="AN776" i="3"/>
  <c r="AP776" i="3"/>
  <c r="AR776"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H786" i="3"/>
  <c r="AJ786" i="3"/>
  <c r="AL786" i="3"/>
  <c r="AN786" i="3"/>
  <c r="AP786" i="3"/>
  <c r="AR786" i="3"/>
  <c r="AJ787" i="3"/>
  <c r="AL787" i="3"/>
  <c r="AN787" i="3"/>
  <c r="AP787" i="3"/>
  <c r="AR787" i="3"/>
  <c r="AJ788" i="3"/>
  <c r="AL788" i="3"/>
  <c r="AN788" i="3"/>
  <c r="AP788" i="3"/>
  <c r="AR788" i="3"/>
  <c r="AJ789" i="3"/>
  <c r="AL789" i="3"/>
  <c r="AN789" i="3"/>
  <c r="AP789" i="3"/>
  <c r="AR789" i="3"/>
  <c r="AH790"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J796" i="3"/>
  <c r="AL796" i="3"/>
  <c r="AN796" i="3"/>
  <c r="AP796" i="3"/>
  <c r="AR796"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H802" i="3"/>
  <c r="AJ802" i="3"/>
  <c r="AL802" i="3"/>
  <c r="AN802" i="3"/>
  <c r="AP802" i="3"/>
  <c r="AR802" i="3"/>
  <c r="AJ803" i="3"/>
  <c r="AL803" i="3"/>
  <c r="AN803" i="3"/>
  <c r="AP803" i="3"/>
  <c r="AR803"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J820" i="3"/>
  <c r="AL820" i="3"/>
  <c r="AN820" i="3"/>
  <c r="AP820" i="3"/>
  <c r="AR820" i="3"/>
  <c r="AJ821" i="3"/>
  <c r="AL821" i="3"/>
  <c r="AN821" i="3"/>
  <c r="AP821" i="3"/>
  <c r="AR821" i="3"/>
  <c r="AH822" i="3"/>
  <c r="AJ822" i="3"/>
  <c r="AL822" i="3"/>
  <c r="AN822" i="3"/>
  <c r="AP822" i="3"/>
  <c r="AR822" i="3"/>
  <c r="AJ823" i="3"/>
  <c r="AL823" i="3"/>
  <c r="AN823" i="3"/>
  <c r="AP823" i="3"/>
  <c r="AR823"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H834" i="3"/>
  <c r="AJ834" i="3"/>
  <c r="AL834" i="3"/>
  <c r="AN834" i="3"/>
  <c r="AP834" i="3"/>
  <c r="AR834" i="3"/>
  <c r="AJ835" i="3"/>
  <c r="AL835" i="3"/>
  <c r="AN835" i="3"/>
  <c r="AP835" i="3"/>
  <c r="AR835" i="3"/>
  <c r="AJ836" i="3"/>
  <c r="AL836" i="3"/>
  <c r="AN836" i="3"/>
  <c r="AP836" i="3"/>
  <c r="AR836" i="3"/>
  <c r="AJ837" i="3"/>
  <c r="AL837" i="3"/>
  <c r="AN837" i="3"/>
  <c r="AP837" i="3"/>
  <c r="AR837" i="3"/>
  <c r="AH838"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J844" i="3"/>
  <c r="AL844" i="3"/>
  <c r="AN844" i="3"/>
  <c r="AP844" i="3"/>
  <c r="AR844"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H850" i="3"/>
  <c r="AJ850" i="3"/>
  <c r="AL850" i="3"/>
  <c r="AN850" i="3"/>
  <c r="AP850" i="3"/>
  <c r="AR850" i="3"/>
  <c r="AJ851" i="3"/>
  <c r="AL851" i="3"/>
  <c r="AN851" i="3"/>
  <c r="AP851" i="3"/>
  <c r="AR851" i="3"/>
  <c r="AJ852" i="3"/>
  <c r="AL852" i="3"/>
  <c r="AN852" i="3"/>
  <c r="AP852" i="3"/>
  <c r="AR852" i="3"/>
  <c r="AJ853" i="3"/>
  <c r="AL853" i="3"/>
  <c r="AN853" i="3"/>
  <c r="AP853" i="3"/>
  <c r="AR853" i="3"/>
  <c r="AJ854" i="3"/>
  <c r="AL854" i="3"/>
  <c r="AN854" i="3"/>
  <c r="AP854" i="3"/>
  <c r="AR854" i="3"/>
  <c r="AJ855" i="3"/>
  <c r="AL855" i="3"/>
  <c r="AN855" i="3"/>
  <c r="AP855" i="3"/>
  <c r="AR855" i="3"/>
  <c r="AJ856" i="3"/>
  <c r="AL856" i="3"/>
  <c r="AN856" i="3"/>
  <c r="AP856" i="3"/>
  <c r="AR856"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J868" i="3"/>
  <c r="AL868" i="3"/>
  <c r="AN868" i="3"/>
  <c r="AP868" i="3"/>
  <c r="AR868" i="3"/>
  <c r="AJ869" i="3"/>
  <c r="AL869" i="3"/>
  <c r="AN869" i="3"/>
  <c r="AP869" i="3"/>
  <c r="AR869" i="3"/>
  <c r="AH870" i="3"/>
  <c r="AJ870" i="3"/>
  <c r="AL870" i="3"/>
  <c r="AN870" i="3"/>
  <c r="AP870" i="3"/>
  <c r="AR870" i="3"/>
  <c r="AJ871" i="3"/>
  <c r="AL871" i="3"/>
  <c r="AN871" i="3"/>
  <c r="AP871" i="3"/>
  <c r="AR871" i="3"/>
  <c r="AJ872" i="3"/>
  <c r="AL872" i="3"/>
  <c r="AN872" i="3"/>
  <c r="AP872" i="3"/>
  <c r="AR872"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H882" i="3"/>
  <c r="AJ882" i="3"/>
  <c r="AL882" i="3"/>
  <c r="AN882" i="3"/>
  <c r="AP882" i="3"/>
  <c r="AR882" i="3"/>
  <c r="AJ883" i="3"/>
  <c r="AL883" i="3"/>
  <c r="AN883" i="3"/>
  <c r="AP883" i="3"/>
  <c r="AR883" i="3"/>
  <c r="AJ884" i="3"/>
  <c r="AL884" i="3"/>
  <c r="AN884" i="3"/>
  <c r="AP884" i="3"/>
  <c r="AR884" i="3"/>
  <c r="AJ885" i="3"/>
  <c r="AL885" i="3"/>
  <c r="AN885" i="3"/>
  <c r="AP885" i="3"/>
  <c r="AR885" i="3"/>
  <c r="AH886"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H898" i="3"/>
  <c r="AJ898" i="3"/>
  <c r="AL898" i="3"/>
  <c r="AN898" i="3"/>
  <c r="AP898" i="3"/>
  <c r="AR898" i="3"/>
  <c r="AJ899" i="3"/>
  <c r="AL899" i="3"/>
  <c r="AN899" i="3"/>
  <c r="AP899" i="3"/>
  <c r="AR899"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H906" i="3"/>
  <c r="AJ906" i="3"/>
  <c r="AL906" i="3"/>
  <c r="AN906" i="3"/>
  <c r="AP906" i="3"/>
  <c r="AR906" i="3"/>
  <c r="AJ907" i="3"/>
  <c r="AL907" i="3"/>
  <c r="AN907" i="3"/>
  <c r="AP907" i="3"/>
  <c r="AR907" i="3"/>
  <c r="AJ908" i="3"/>
  <c r="AL908" i="3"/>
  <c r="AN908" i="3"/>
  <c r="AP908" i="3"/>
  <c r="AR908"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J917" i="3"/>
  <c r="AL917" i="3"/>
  <c r="AN917" i="3"/>
  <c r="AP917" i="3"/>
  <c r="AR917" i="3"/>
  <c r="AH918" i="3"/>
  <c r="AJ918" i="3"/>
  <c r="AL918" i="3"/>
  <c r="AN918" i="3"/>
  <c r="AP918" i="3"/>
  <c r="AR918" i="3"/>
  <c r="AJ919" i="3"/>
  <c r="AL919" i="3"/>
  <c r="AN919" i="3"/>
  <c r="AP919" i="3"/>
  <c r="AR919"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H930" i="3"/>
  <c r="AJ930" i="3"/>
  <c r="AL930" i="3"/>
  <c r="AN930" i="3"/>
  <c r="AP930" i="3"/>
  <c r="AR930"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J936" i="3"/>
  <c r="AL936" i="3"/>
  <c r="AN936" i="3"/>
  <c r="AP936" i="3"/>
  <c r="AR936" i="3"/>
  <c r="AJ937" i="3"/>
  <c r="AL937" i="3"/>
  <c r="AN937" i="3"/>
  <c r="AP937" i="3"/>
  <c r="AR937" i="3"/>
  <c r="AJ938" i="3"/>
  <c r="AL938" i="3"/>
  <c r="AN938" i="3"/>
  <c r="AP938" i="3"/>
  <c r="AR938" i="3"/>
  <c r="AJ939" i="3"/>
  <c r="AL939" i="3"/>
  <c r="AN939" i="3"/>
  <c r="AP939" i="3"/>
  <c r="AR939" i="3"/>
  <c r="AJ940" i="3"/>
  <c r="AL940" i="3"/>
  <c r="AN940" i="3"/>
  <c r="AP940" i="3"/>
  <c r="AR940"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H946" i="3"/>
  <c r="AJ946" i="3"/>
  <c r="AL946" i="3"/>
  <c r="AN946" i="3"/>
  <c r="AP946" i="3"/>
  <c r="AR946" i="3"/>
  <c r="AJ947" i="3"/>
  <c r="AL947" i="3"/>
  <c r="AN947" i="3"/>
  <c r="AP947" i="3"/>
  <c r="AR947" i="3"/>
  <c r="AJ948" i="3"/>
  <c r="AL948" i="3"/>
  <c r="AN948" i="3"/>
  <c r="AP948" i="3"/>
  <c r="AR948" i="3"/>
  <c r="AJ949" i="3"/>
  <c r="AL949" i="3"/>
  <c r="AN949" i="3"/>
  <c r="AP949" i="3"/>
  <c r="AR949" i="3"/>
  <c r="AJ950" i="3"/>
  <c r="AL950" i="3"/>
  <c r="AN950" i="3"/>
  <c r="AP950" i="3"/>
  <c r="AR950" i="3"/>
  <c r="AJ951" i="3"/>
  <c r="AL951" i="3"/>
  <c r="AN951" i="3"/>
  <c r="AP951" i="3"/>
  <c r="AR951"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J965" i="3"/>
  <c r="AL965" i="3"/>
  <c r="AN965" i="3"/>
  <c r="AP965" i="3"/>
  <c r="AR965" i="3"/>
  <c r="AH966" i="3"/>
  <c r="AJ966" i="3"/>
  <c r="AL966" i="3"/>
  <c r="AN966" i="3"/>
  <c r="AP966" i="3"/>
  <c r="AR966" i="3"/>
  <c r="AJ967" i="3"/>
  <c r="AL967" i="3"/>
  <c r="AN967" i="3"/>
  <c r="AP967" i="3"/>
  <c r="AR967"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H978" i="3"/>
  <c r="AJ978" i="3"/>
  <c r="AL978" i="3"/>
  <c r="AN978" i="3"/>
  <c r="AP978" i="3"/>
  <c r="AR978" i="3"/>
  <c r="AJ979" i="3"/>
  <c r="AL979" i="3"/>
  <c r="AN979" i="3"/>
  <c r="AP979" i="3"/>
  <c r="AR979" i="3"/>
  <c r="AJ980" i="3"/>
  <c r="AL980" i="3"/>
  <c r="AN980" i="3"/>
  <c r="AP980" i="3"/>
  <c r="AR980" i="3"/>
  <c r="AJ981" i="3"/>
  <c r="AL981" i="3"/>
  <c r="AN981" i="3"/>
  <c r="AP981" i="3"/>
  <c r="AR981" i="3"/>
  <c r="AH982" i="3"/>
  <c r="AJ982" i="3"/>
  <c r="AL982" i="3"/>
  <c r="AN982" i="3"/>
  <c r="AP982" i="3"/>
  <c r="AR982" i="3"/>
  <c r="AJ983" i="3"/>
  <c r="AL983" i="3"/>
  <c r="AN983" i="3"/>
  <c r="AP983" i="3"/>
  <c r="AR983" i="3"/>
  <c r="AJ984" i="3"/>
  <c r="AL984" i="3"/>
  <c r="AN984" i="3"/>
  <c r="AP984" i="3"/>
  <c r="AR984" i="3"/>
  <c r="AJ985" i="3"/>
  <c r="AL985" i="3"/>
  <c r="AN985" i="3"/>
  <c r="AP985" i="3"/>
  <c r="AR985" i="3"/>
  <c r="AJ986" i="3"/>
  <c r="AL986" i="3"/>
  <c r="AN986" i="3"/>
  <c r="AP986" i="3"/>
  <c r="AR986" i="3"/>
  <c r="AJ987" i="3"/>
  <c r="AL987" i="3"/>
  <c r="AN987" i="3"/>
  <c r="AP987" i="3"/>
  <c r="AR987"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H994" i="3"/>
  <c r="AJ994" i="3"/>
  <c r="AL994" i="3"/>
  <c r="AN994" i="3"/>
  <c r="AP994" i="3"/>
  <c r="AR994" i="3"/>
  <c r="AJ995" i="3"/>
  <c r="AL995" i="3"/>
  <c r="AN995" i="3"/>
  <c r="AP995" i="3"/>
  <c r="AR995" i="3"/>
  <c r="AJ996" i="3"/>
  <c r="AL996" i="3"/>
  <c r="AN996" i="3"/>
  <c r="AP996" i="3"/>
  <c r="AR996" i="3"/>
  <c r="AJ997" i="3"/>
  <c r="AL997" i="3"/>
  <c r="AN997" i="3"/>
  <c r="AP997" i="3"/>
  <c r="AR997" i="3"/>
  <c r="AJ998" i="3"/>
  <c r="AL998" i="3"/>
  <c r="AN998" i="3"/>
  <c r="AP998" i="3"/>
  <c r="AR998" i="3"/>
  <c r="AJ999" i="3"/>
  <c r="AL999" i="3"/>
  <c r="AN999" i="3"/>
  <c r="AP999" i="3"/>
  <c r="AR999"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H1026"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J1033" i="3"/>
  <c r="AL1033" i="3"/>
  <c r="AN1033" i="3"/>
  <c r="AP1033" i="3"/>
  <c r="AR1033" i="3"/>
  <c r="AJ1034" i="3"/>
  <c r="AL1034" i="3"/>
  <c r="AN1034" i="3"/>
  <c r="AP1034" i="3"/>
  <c r="AR1034" i="3"/>
  <c r="AJ1035" i="3"/>
  <c r="AL1035" i="3"/>
  <c r="AN1035" i="3"/>
  <c r="AP1035" i="3"/>
  <c r="AR1035" i="3"/>
  <c r="AJ1036" i="3"/>
  <c r="AL1036" i="3"/>
  <c r="AN1036" i="3"/>
  <c r="AP1036" i="3"/>
  <c r="AR1036"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H1042" i="3"/>
  <c r="AJ1042" i="3"/>
  <c r="AL1042" i="3"/>
  <c r="AN1042" i="3"/>
  <c r="AP1042" i="3"/>
  <c r="AR1042" i="3"/>
  <c r="AJ1043" i="3"/>
  <c r="AL1043" i="3"/>
  <c r="AN1043" i="3"/>
  <c r="AP1043" i="3"/>
  <c r="AR1043" i="3"/>
  <c r="AJ1044" i="3"/>
  <c r="AL1044" i="3"/>
  <c r="AN1044" i="3"/>
  <c r="AP1044" i="3"/>
  <c r="AR1044" i="3"/>
  <c r="AJ1045" i="3"/>
  <c r="AL1045" i="3"/>
  <c r="AN1045" i="3"/>
  <c r="AP1045" i="3"/>
  <c r="AR1045" i="3"/>
  <c r="AJ1046" i="3"/>
  <c r="AL1046" i="3"/>
  <c r="AN1046" i="3"/>
  <c r="AP1046" i="3"/>
  <c r="AR1046" i="3"/>
  <c r="AJ1047" i="3"/>
  <c r="AL1047" i="3"/>
  <c r="AN1047" i="3"/>
  <c r="AP1047" i="3"/>
  <c r="AR1047"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H1074" i="3"/>
  <c r="AJ1074" i="3"/>
  <c r="AL1074" i="3"/>
  <c r="AN1074" i="3"/>
  <c r="AP1074" i="3"/>
  <c r="AR1074" i="3"/>
  <c r="AJ1075" i="3"/>
  <c r="AL1075" i="3"/>
  <c r="AN1075" i="3"/>
  <c r="AP1075" i="3"/>
  <c r="AR1075" i="3"/>
  <c r="AJ1076" i="3"/>
  <c r="AL1076" i="3"/>
  <c r="AN1076" i="3"/>
  <c r="AP1076" i="3"/>
  <c r="AR1076"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H1090" i="3"/>
  <c r="AJ1090" i="3"/>
  <c r="AL1090" i="3"/>
  <c r="AN1090" i="3"/>
  <c r="AP1090" i="3"/>
  <c r="AR1090" i="3"/>
  <c r="AJ1091" i="3"/>
  <c r="AL1091" i="3"/>
  <c r="AN1091" i="3"/>
  <c r="AP1091" i="3"/>
  <c r="AR1091" i="3"/>
  <c r="AJ1092" i="3"/>
  <c r="AL1092" i="3"/>
  <c r="AN1092" i="3"/>
  <c r="AP1092" i="3"/>
  <c r="AR1092" i="3"/>
  <c r="AJ1093" i="3"/>
  <c r="AL1093" i="3"/>
  <c r="AN1093" i="3"/>
  <c r="AP1093" i="3"/>
  <c r="AR1093" i="3"/>
  <c r="AJ1094" i="3"/>
  <c r="AL1094" i="3"/>
  <c r="AN1094" i="3"/>
  <c r="AP1094" i="3"/>
  <c r="AR1094" i="3"/>
  <c r="AJ1095" i="3"/>
  <c r="AL1095" i="3"/>
  <c r="AN1095" i="3"/>
  <c r="AP1095" i="3"/>
  <c r="AR1095"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H1122" i="3"/>
  <c r="AJ1122" i="3"/>
  <c r="AL1122" i="3"/>
  <c r="AN1122" i="3"/>
  <c r="AP1122" i="3"/>
  <c r="AR1122" i="3"/>
  <c r="AJ1123" i="3"/>
  <c r="AL1123" i="3"/>
  <c r="AN1123" i="3"/>
  <c r="AP1123" i="3"/>
  <c r="AR1123"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J1128" i="3"/>
  <c r="AL1128" i="3"/>
  <c r="AN1128" i="3"/>
  <c r="AP1128" i="3"/>
  <c r="AR1128" i="3"/>
  <c r="AJ1129" i="3"/>
  <c r="AL1129" i="3"/>
  <c r="AN1129" i="3"/>
  <c r="AP1129" i="3"/>
  <c r="AR1129" i="3"/>
  <c r="AJ1130" i="3"/>
  <c r="AL1130" i="3"/>
  <c r="AN1130" i="3"/>
  <c r="AP1130" i="3"/>
  <c r="AR1130" i="3"/>
  <c r="AJ1131" i="3"/>
  <c r="AL1131" i="3"/>
  <c r="AN1131" i="3"/>
  <c r="AP1131" i="3"/>
  <c r="AR1131"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J1139" i="3"/>
  <c r="AL1139" i="3"/>
  <c r="AN1139" i="3"/>
  <c r="AP1139" i="3"/>
  <c r="AR1139" i="3"/>
  <c r="AJ1140" i="3"/>
  <c r="AL1140" i="3"/>
  <c r="AN1140" i="3"/>
  <c r="AP1140" i="3"/>
  <c r="AR1140" i="3"/>
  <c r="AJ1141" i="3"/>
  <c r="AL1141" i="3"/>
  <c r="AN1141" i="3"/>
  <c r="AP1141" i="3"/>
  <c r="AR1141" i="3"/>
  <c r="AJ1142" i="3"/>
  <c r="AL1142" i="3"/>
  <c r="AN1142" i="3"/>
  <c r="AP1142" i="3"/>
  <c r="AR1142" i="3"/>
  <c r="AJ1143" i="3"/>
  <c r="AL1143" i="3"/>
  <c r="AN1143" i="3"/>
  <c r="AP1143" i="3"/>
  <c r="AR1143"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H1170" i="3"/>
  <c r="AJ1170" i="3"/>
  <c r="AL1170" i="3"/>
  <c r="AN1170" i="3"/>
  <c r="AP1170" i="3"/>
  <c r="AR1170" i="3"/>
  <c r="AJ1171" i="3"/>
  <c r="AL1171" i="3"/>
  <c r="AN1171" i="3"/>
  <c r="AP1171" i="3"/>
  <c r="AR1171"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H1186" i="3"/>
  <c r="AJ1186" i="3"/>
  <c r="AL1186" i="3"/>
  <c r="AN1186" i="3"/>
  <c r="AP1186" i="3"/>
  <c r="AR1186" i="3"/>
  <c r="AJ1187" i="3"/>
  <c r="AL1187" i="3"/>
  <c r="AN1187" i="3"/>
  <c r="AP1187" i="3"/>
  <c r="AR1187" i="3"/>
  <c r="AJ1188" i="3"/>
  <c r="AL1188" i="3"/>
  <c r="AN1188" i="3"/>
  <c r="AP1188" i="3"/>
  <c r="AR1188" i="3"/>
  <c r="AJ1189" i="3"/>
  <c r="AL1189" i="3"/>
  <c r="AN1189" i="3"/>
  <c r="AP1189" i="3"/>
  <c r="AR1189" i="3"/>
  <c r="AJ1190" i="3"/>
  <c r="AL1190" i="3"/>
  <c r="AN1190" i="3"/>
  <c r="AP1190" i="3"/>
  <c r="AR1190" i="3"/>
  <c r="AJ1191" i="3"/>
  <c r="AL1191" i="3"/>
  <c r="AN1191" i="3"/>
  <c r="AP1191" i="3"/>
  <c r="AR1191"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J1224" i="3"/>
  <c r="AL1224" i="3"/>
  <c r="AN1224" i="3"/>
  <c r="AP1224" i="3"/>
  <c r="AR1224" i="3"/>
  <c r="AJ1225" i="3"/>
  <c r="AL1225" i="3"/>
  <c r="AN1225" i="3"/>
  <c r="AP1225" i="3"/>
  <c r="AR1225" i="3"/>
  <c r="AJ1226" i="3"/>
  <c r="AL1226" i="3"/>
  <c r="AN1226" i="3"/>
  <c r="AP1226" i="3"/>
  <c r="AR1226" i="3"/>
  <c r="AJ1227" i="3"/>
  <c r="AL1227" i="3"/>
  <c r="AN1227" i="3"/>
  <c r="AP1227" i="3"/>
  <c r="AR1227"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J1233" i="3"/>
  <c r="AL1233" i="3"/>
  <c r="AN1233" i="3"/>
  <c r="AP1233" i="3"/>
  <c r="AR1233" i="3"/>
  <c r="AH1234"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J1240" i="3"/>
  <c r="AL1240" i="3"/>
  <c r="AN1240" i="3"/>
  <c r="AP1240" i="3"/>
  <c r="AR1240"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J1249" i="3"/>
  <c r="AL1249" i="3"/>
  <c r="AN1249" i="3"/>
  <c r="AP1249" i="3"/>
  <c r="AR1249" i="3"/>
  <c r="AJ1250" i="3"/>
  <c r="AL1250" i="3"/>
  <c r="AN1250" i="3"/>
  <c r="AP1250" i="3"/>
  <c r="AR1250" i="3"/>
  <c r="AJ1251" i="3"/>
  <c r="AL1251" i="3"/>
  <c r="AN1251" i="3"/>
  <c r="AP1251" i="3"/>
  <c r="AR1251" i="3"/>
  <c r="AJ1252" i="3"/>
  <c r="AL1252" i="3"/>
  <c r="AN1252" i="3"/>
  <c r="AP1252" i="3"/>
  <c r="AR1252" i="3"/>
  <c r="AJ1253" i="3"/>
  <c r="AL1253" i="3"/>
  <c r="AN1253" i="3"/>
  <c r="AP1253" i="3"/>
  <c r="AR1253" i="3"/>
  <c r="AH1254" i="3"/>
  <c r="AJ1254" i="3"/>
  <c r="AL1254" i="3"/>
  <c r="AP1254" i="3"/>
  <c r="AR1254" i="3"/>
  <c r="AJ1255" i="3"/>
  <c r="AL1255" i="3"/>
  <c r="AN1255" i="3"/>
  <c r="AP1255" i="3"/>
  <c r="AR1255"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J1263" i="3"/>
  <c r="AL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P1269" i="3"/>
  <c r="AR1269"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H1296" i="3"/>
  <c r="AJ1296" i="3"/>
  <c r="AL1296" i="3"/>
  <c r="AP1296" i="3"/>
  <c r="AR1296" i="3"/>
  <c r="AJ1297" i="3"/>
  <c r="AL1297" i="3"/>
  <c r="AN1297" i="3"/>
  <c r="AP1297" i="3"/>
  <c r="AR1297" i="3"/>
  <c r="AJ1298" i="3"/>
  <c r="AL1298" i="3"/>
  <c r="AP1298" i="3"/>
  <c r="AR1298" i="3"/>
  <c r="AJ1299" i="3"/>
  <c r="AL1299" i="3"/>
  <c r="AP1299" i="3"/>
  <c r="AR1299" i="3"/>
  <c r="AJ1300" i="3"/>
  <c r="AL1300" i="3"/>
  <c r="AN1300" i="3"/>
  <c r="AP1300" i="3"/>
  <c r="AR1300" i="3"/>
  <c r="AJ1301" i="3"/>
  <c r="AL1301" i="3"/>
  <c r="AN1301" i="3"/>
  <c r="AP1301" i="3"/>
  <c r="AR1301" i="3"/>
  <c r="AJ1302" i="3"/>
  <c r="AL1302" i="3"/>
  <c r="AN1302" i="3"/>
  <c r="AP1302" i="3"/>
  <c r="AR1302" i="3"/>
  <c r="AJ1303" i="3"/>
  <c r="AL1303" i="3"/>
  <c r="AN1303" i="3"/>
  <c r="AP1303" i="3"/>
  <c r="AR1303" i="3"/>
  <c r="AJ1304" i="3"/>
  <c r="AL1304" i="3"/>
  <c r="AN1304" i="3"/>
  <c r="AP1304" i="3"/>
  <c r="AR1304" i="3"/>
  <c r="AH1305" i="3"/>
  <c r="AJ1305" i="3"/>
  <c r="AL1305" i="3"/>
  <c r="AP1305" i="3"/>
  <c r="AR1305" i="3"/>
  <c r="AH1306" i="3"/>
  <c r="AJ1306" i="3"/>
  <c r="AL1306" i="3"/>
  <c r="AP1306" i="3"/>
  <c r="AR1306" i="3"/>
  <c r="AJ1307" i="3"/>
  <c r="AL1307" i="3"/>
  <c r="AN1307" i="3"/>
  <c r="AP1307" i="3"/>
  <c r="AR1307"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J1316" i="3"/>
  <c r="AL1316" i="3"/>
  <c r="AP1316" i="3"/>
  <c r="AR1316" i="3"/>
  <c r="AH1317" i="3"/>
  <c r="AJ1317" i="3"/>
  <c r="AL1317" i="3"/>
  <c r="AP1317" i="3"/>
  <c r="AR1317" i="3"/>
  <c r="AJ1318" i="3"/>
  <c r="AL1318" i="3"/>
  <c r="AN1318" i="3"/>
  <c r="AP1318" i="3"/>
  <c r="AR1318" i="3"/>
  <c r="AJ1319" i="3"/>
  <c r="AL1319" i="3"/>
  <c r="AN1319" i="3"/>
  <c r="AP1319" i="3"/>
  <c r="AR1319" i="3"/>
  <c r="AJ1320" i="3"/>
  <c r="AL1320" i="3"/>
  <c r="AN1320" i="3"/>
  <c r="AP1320" i="3"/>
  <c r="AR1320" i="3"/>
  <c r="AH1321" i="3"/>
  <c r="AJ1321" i="3"/>
  <c r="AL1321" i="3"/>
  <c r="AN1321" i="3"/>
  <c r="AP1321" i="3"/>
  <c r="AR1321" i="3"/>
  <c r="AH1322" i="3"/>
  <c r="AJ1322" i="3"/>
  <c r="AL1322" i="3"/>
  <c r="AP1322" i="3"/>
  <c r="AR1322" i="3"/>
  <c r="AJ1323" i="3"/>
  <c r="AL1323" i="3"/>
  <c r="AP1323" i="3"/>
  <c r="AR1323"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H1329" i="3"/>
  <c r="AJ1329" i="3"/>
  <c r="AL1329" i="3"/>
  <c r="AP1329" i="3"/>
  <c r="AR1329" i="3"/>
  <c r="AJ1330" i="3"/>
  <c r="AL1330" i="3"/>
  <c r="AP1330" i="3"/>
  <c r="AR1330" i="3"/>
  <c r="AJ1331" i="3"/>
  <c r="AL1331" i="3"/>
  <c r="AN1331" i="3"/>
  <c r="AP1331" i="3"/>
  <c r="AR1331" i="3"/>
  <c r="AJ1332" i="3"/>
  <c r="AL1332" i="3"/>
  <c r="AN1332" i="3"/>
  <c r="AP1332" i="3"/>
  <c r="AR1332" i="3"/>
  <c r="AH1333"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J1342" i="3"/>
  <c r="AL1342" i="3"/>
  <c r="AN1342" i="3"/>
  <c r="AP1342" i="3"/>
  <c r="AR1342" i="3"/>
  <c r="AJ1343" i="3"/>
  <c r="AL1343" i="3"/>
  <c r="AN1343" i="3"/>
  <c r="AP1343" i="3"/>
  <c r="AR1343" i="3"/>
  <c r="AJ1344" i="3"/>
  <c r="AL1344" i="3"/>
  <c r="AN1344" i="3"/>
  <c r="AP1344" i="3"/>
  <c r="AR1344" i="3"/>
  <c r="AH1345" i="3"/>
  <c r="AJ1345" i="3"/>
  <c r="AL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P1350" i="3"/>
  <c r="AR1350" i="3"/>
  <c r="AJ1351" i="3"/>
  <c r="AL1351" i="3"/>
  <c r="AN1351" i="3"/>
  <c r="AP1351" i="3"/>
  <c r="AR1351"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J1368" i="3"/>
  <c r="AL1368" i="3"/>
  <c r="AN1368" i="3"/>
  <c r="AP1368" i="3"/>
  <c r="AR1368"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H1376" i="3"/>
  <c r="AJ1376" i="3"/>
  <c r="AL1376" i="3"/>
  <c r="AN1376" i="3"/>
  <c r="AP1376" i="3"/>
  <c r="AR1376" i="3"/>
  <c r="AJ1377" i="3"/>
  <c r="AL1377" i="3"/>
  <c r="AN1377" i="3"/>
  <c r="AP1377" i="3"/>
  <c r="AR1377" i="3"/>
  <c r="AJ1378" i="3"/>
  <c r="AL1378" i="3"/>
  <c r="AP1378" i="3"/>
  <c r="AR1378" i="3"/>
  <c r="AJ1379" i="3"/>
  <c r="AL1379" i="3"/>
  <c r="AP1379" i="3"/>
  <c r="AR1379" i="3"/>
  <c r="AJ1380" i="3"/>
  <c r="AL1380" i="3"/>
  <c r="AP1380" i="3"/>
  <c r="AR1380" i="3"/>
  <c r="AJ1381" i="3"/>
  <c r="AL1381" i="3"/>
  <c r="AP1381" i="3"/>
  <c r="AR1381" i="3"/>
  <c r="AJ1382" i="3"/>
  <c r="AL1382" i="3"/>
  <c r="AP1382" i="3"/>
  <c r="AR1382" i="3"/>
  <c r="AJ1383" i="3"/>
  <c r="AL1383" i="3"/>
  <c r="AP1383" i="3"/>
  <c r="AR1383" i="3"/>
  <c r="AJ1384" i="3"/>
  <c r="AL1384" i="3"/>
  <c r="AP1384" i="3"/>
  <c r="AR1384" i="3"/>
  <c r="AJ1385" i="3"/>
  <c r="AL1385" i="3"/>
  <c r="AP1385" i="3"/>
  <c r="AR1385" i="3"/>
  <c r="AJ1386" i="3"/>
  <c r="AL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H1440"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AB1422" i="3"/>
  <c r="P1422" i="3"/>
  <c r="AB1421" i="3"/>
  <c r="P1421" i="3"/>
  <c r="AB1420" i="3"/>
  <c r="P1420" i="3"/>
  <c r="AB1419" i="3"/>
  <c r="P1419" i="3"/>
  <c r="AB1418" i="3"/>
  <c r="P1418" i="3"/>
  <c r="AB1417" i="3"/>
  <c r="P1417" i="3"/>
  <c r="AD1417" i="3" s="1"/>
  <c r="AB1416" i="3"/>
  <c r="P1416" i="3"/>
  <c r="Q1416" i="3" s="1"/>
  <c r="AB1415" i="3"/>
  <c r="P1415" i="3"/>
  <c r="AB1414" i="3"/>
  <c r="P1414" i="3"/>
  <c r="AB1413" i="3"/>
  <c r="P1413" i="3"/>
  <c r="AB1412" i="3"/>
  <c r="P1412" i="3"/>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AB1394" i="3"/>
  <c r="P1394" i="3"/>
  <c r="AB1393" i="3"/>
  <c r="P1393" i="3"/>
  <c r="AB1392" i="3"/>
  <c r="P1392" i="3"/>
  <c r="AB1391" i="3"/>
  <c r="P1391" i="3"/>
  <c r="AB1390" i="3"/>
  <c r="P1390" i="3"/>
  <c r="AB1389" i="3"/>
  <c r="P1389" i="3"/>
  <c r="AB1388" i="3"/>
  <c r="P1388" i="3"/>
  <c r="AB1387" i="3"/>
  <c r="P1387" i="3"/>
  <c r="AB1386" i="3"/>
  <c r="P1386" i="3"/>
  <c r="Q1386" i="3" s="1"/>
  <c r="AB1385" i="3"/>
  <c r="P1385" i="3"/>
  <c r="AB1384" i="3"/>
  <c r="P1384" i="3"/>
  <c r="AB1383" i="3"/>
  <c r="P1383" i="3"/>
  <c r="T1383" i="3" s="1"/>
  <c r="AB1382" i="3"/>
  <c r="P1382" i="3"/>
  <c r="AB1381" i="3"/>
  <c r="P1381" i="3"/>
  <c r="Q1381" i="3" s="1"/>
  <c r="AB1380" i="3"/>
  <c r="P1380" i="3"/>
  <c r="AB1379" i="3"/>
  <c r="P1379" i="3"/>
  <c r="AB1378" i="3"/>
  <c r="P1378" i="3"/>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AB1328" i="3"/>
  <c r="P1328" i="3"/>
  <c r="AB1327" i="3"/>
  <c r="P1327" i="3"/>
  <c r="T1327" i="3" s="1"/>
  <c r="AB1326" i="3"/>
  <c r="P1326" i="3"/>
  <c r="AB1325" i="3"/>
  <c r="P1325" i="3"/>
  <c r="AB1324" i="3"/>
  <c r="P1324" i="3"/>
  <c r="AB1323" i="3"/>
  <c r="P1323" i="3"/>
  <c r="AB1322" i="3"/>
  <c r="P1322" i="3"/>
  <c r="AB1321" i="3"/>
  <c r="P1321" i="3"/>
  <c r="AB1320" i="3"/>
  <c r="P1320" i="3"/>
  <c r="AB1319" i="3"/>
  <c r="P1319" i="3"/>
  <c r="AB1318" i="3"/>
  <c r="P1318" i="3"/>
  <c r="AB1317" i="3"/>
  <c r="P1317" i="3"/>
  <c r="AB1316" i="3"/>
  <c r="P1316" i="3"/>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AB1298" i="3"/>
  <c r="P1298" i="3"/>
  <c r="AB1297" i="3"/>
  <c r="P1297" i="3"/>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Q1267" i="3"/>
  <c r="P1267" i="3"/>
  <c r="AD1267" i="3" s="1"/>
  <c r="AB1266" i="3"/>
  <c r="P1266" i="3"/>
  <c r="AB1265" i="3"/>
  <c r="P1265" i="3"/>
  <c r="T1265" i="3" s="1"/>
  <c r="AB1264" i="3"/>
  <c r="P1264" i="3"/>
  <c r="AB1263" i="3"/>
  <c r="P1263" i="3"/>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Q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AB28" i="3"/>
  <c r="P28" i="3"/>
  <c r="AB27" i="3"/>
  <c r="P27" i="3"/>
  <c r="AB26" i="3"/>
  <c r="P26" i="3"/>
  <c r="AB25" i="3"/>
  <c r="P25" i="3"/>
  <c r="Q25" i="3" s="1"/>
  <c r="AB24" i="3"/>
  <c r="P24" i="3"/>
  <c r="AD24" i="3" s="1"/>
  <c r="AB23" i="3"/>
  <c r="P23" i="3"/>
  <c r="Q23" i="3" s="1"/>
  <c r="AB22" i="3"/>
  <c r="P22" i="3"/>
  <c r="AB21" i="3"/>
  <c r="P21" i="3"/>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B3" i="3"/>
  <c r="P3" i="3"/>
  <c r="H3" i="3"/>
  <c r="Q754" i="3" l="1"/>
  <c r="AD584" i="3"/>
  <c r="Q297" i="3"/>
  <c r="T583" i="3"/>
  <c r="Q1173" i="3"/>
  <c r="Q560" i="3"/>
  <c r="Q1244" i="3"/>
  <c r="Q1015" i="3"/>
  <c r="T1367" i="3"/>
  <c r="Q1431" i="3"/>
  <c r="T981" i="3"/>
  <c r="T986" i="3"/>
  <c r="Q422" i="3"/>
  <c r="T1333" i="3"/>
  <c r="Q428" i="3"/>
  <c r="T435" i="3"/>
  <c r="AD526" i="3"/>
  <c r="Q880" i="3"/>
  <c r="AD887" i="3"/>
  <c r="Q946" i="3"/>
  <c r="AD949" i="3"/>
  <c r="Q973" i="3"/>
  <c r="AD545" i="3"/>
  <c r="Q778" i="3"/>
  <c r="Q1116" i="3"/>
  <c r="T25" i="3"/>
  <c r="AD40" i="3"/>
  <c r="Q403" i="3"/>
  <c r="T561" i="3"/>
  <c r="T576" i="3"/>
  <c r="T1168" i="3"/>
  <c r="Q536" i="3"/>
  <c r="T1157" i="3"/>
  <c r="T124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288" i="3"/>
  <c r="AD1342" i="3"/>
  <c r="AD446" i="3"/>
  <c r="Q884" i="3"/>
  <c r="T962" i="3"/>
  <c r="T1108" i="3"/>
  <c r="T1166" i="3"/>
  <c r="Q1172" i="3"/>
  <c r="T1176" i="3"/>
  <c r="T1251"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X56" i="3"/>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AX104" i="3"/>
  <c r="AZ104" i="3"/>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Z215" i="3"/>
  <c r="AX215" i="3"/>
  <c r="AD222" i="3"/>
  <c r="AY222" i="3"/>
  <c r="AZ222" i="3" s="1"/>
  <c r="AW222" i="3"/>
  <c r="AX222" i="3" s="1"/>
  <c r="AD224" i="3"/>
  <c r="AY224" i="3"/>
  <c r="AZ224" i="3" s="1"/>
  <c r="AW224" i="3"/>
  <c r="AX224" i="3" s="1"/>
  <c r="Q224" i="3"/>
  <c r="AY252" i="3"/>
  <c r="AZ252" i="3" s="1"/>
  <c r="AW252" i="3"/>
  <c r="AX252"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AY3" i="3"/>
  <c r="AZ3" i="3" s="1"/>
  <c r="AW3" i="3"/>
  <c r="AX3" i="3" s="1"/>
  <c r="AX10" i="3"/>
  <c r="AZ10" i="3"/>
  <c r="AW13" i="3"/>
  <c r="AX13" i="3" s="1"/>
  <c r="AY13" i="3"/>
  <c r="AZ13" i="3" s="1"/>
  <c r="Q13" i="3"/>
  <c r="Q19" i="3"/>
  <c r="Q20"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T118" i="3"/>
  <c r="AY127" i="3"/>
  <c r="AZ127" i="3" s="1"/>
  <c r="AW127" i="3"/>
  <c r="AX127" i="3" s="1"/>
  <c r="T127" i="3"/>
  <c r="AY159" i="3"/>
  <c r="AZ159" i="3" s="1"/>
  <c r="AW159" i="3"/>
  <c r="AX159"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Z231" i="3"/>
  <c r="AX231" i="3"/>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AX5" i="3"/>
  <c r="AZ5" i="3"/>
  <c r="T7" i="3"/>
  <c r="AW7" i="3"/>
  <c r="AX7" i="3" s="1"/>
  <c r="AY7" i="3"/>
  <c r="AZ7" i="3" s="1"/>
  <c r="T9" i="3"/>
  <c r="AY9" i="3"/>
  <c r="AZ9" i="3" s="1"/>
  <c r="AW9" i="3"/>
  <c r="AX9" i="3" s="1"/>
  <c r="AW12" i="3"/>
  <c r="AX12" i="3" s="1"/>
  <c r="AY12" i="3"/>
  <c r="AZ12" i="3" s="1"/>
  <c r="Q12" i="3"/>
  <c r="T13" i="3"/>
  <c r="AZ16" i="3"/>
  <c r="AX16" i="3"/>
  <c r="AZ17" i="3"/>
  <c r="AX17" i="3"/>
  <c r="AW18" i="3"/>
  <c r="AX18" i="3" s="1"/>
  <c r="AY18" i="3"/>
  <c r="AZ18" i="3" s="1"/>
  <c r="T19" i="3"/>
  <c r="AW26" i="3"/>
  <c r="AX26" i="3" s="1"/>
  <c r="AY26" i="3"/>
  <c r="AZ26" i="3" s="1"/>
  <c r="AZ29" i="3"/>
  <c r="AX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AZ102" i="3"/>
  <c r="AX102" i="3"/>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AW163" i="3"/>
  <c r="AX163" i="3" s="1"/>
  <c r="AY163" i="3"/>
  <c r="AZ163" i="3" s="1"/>
  <c r="T174" i="3"/>
  <c r="AY176" i="3"/>
  <c r="AZ176" i="3" s="1"/>
  <c r="AW176" i="3"/>
  <c r="AX176" i="3" s="1"/>
  <c r="T176" i="3"/>
  <c r="AZ202" i="3"/>
  <c r="AX202" i="3"/>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Z218" i="3" s="1"/>
  <c r="AD220" i="3"/>
  <c r="AY220" i="3"/>
  <c r="AZ220" i="3" s="1"/>
  <c r="AW220" i="3"/>
  <c r="AX220" i="3" s="1"/>
  <c r="T235" i="3"/>
  <c r="AY235" i="3"/>
  <c r="AZ235" i="3" s="1"/>
  <c r="AW235" i="3"/>
  <c r="AX235" i="3" s="1"/>
  <c r="AZ237" i="3"/>
  <c r="AX237" i="3"/>
  <c r="T246" i="3"/>
  <c r="AY248" i="3"/>
  <c r="AZ248" i="3" s="1"/>
  <c r="AW248" i="3"/>
  <c r="AX248" i="3" s="1"/>
  <c r="T248" i="3"/>
  <c r="T267" i="3"/>
  <c r="AY267" i="3"/>
  <c r="AZ267" i="3" s="1"/>
  <c r="AW267" i="3"/>
  <c r="AX267" i="3" s="1"/>
  <c r="AZ269" i="3"/>
  <c r="AX269" i="3"/>
  <c r="AY271" i="3"/>
  <c r="AZ271" i="3" s="1"/>
  <c r="AW271" i="3"/>
  <c r="AX271" i="3" s="1"/>
  <c r="T274" i="3"/>
  <c r="AY277" i="3"/>
  <c r="AZ277" i="3" s="1"/>
  <c r="AW277" i="3"/>
  <c r="AX277" i="3" s="1"/>
  <c r="AY283" i="3"/>
  <c r="AZ283" i="3" s="1"/>
  <c r="AW283" i="3"/>
  <c r="AX283" i="3" s="1"/>
  <c r="T283" i="3"/>
  <c r="AY290" i="3"/>
  <c r="AZ290" i="3" s="1"/>
  <c r="AW290" i="3"/>
  <c r="AX290"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D1299" i="3"/>
  <c r="AX1299" i="3" s="1"/>
  <c r="AY1326" i="3"/>
  <c r="AZ1326" i="3" s="1"/>
  <c r="AW1326" i="3"/>
  <c r="AX1326" i="3" s="1"/>
  <c r="AW1334" i="3"/>
  <c r="AX1334" i="3" s="1"/>
  <c r="AY1334" i="3"/>
  <c r="AZ1334" i="3" s="1"/>
  <c r="AD1334" i="3"/>
  <c r="AY1337" i="3"/>
  <c r="AZ1337" i="3" s="1"/>
  <c r="AW1337" i="3"/>
  <c r="AX1337" i="3" s="1"/>
  <c r="AW1365" i="3"/>
  <c r="AX1365" i="3" s="1"/>
  <c r="AY1365" i="3"/>
  <c r="AZ1365" i="3" s="1"/>
  <c r="AD1365" i="3"/>
  <c r="AY1386" i="3"/>
  <c r="AZ1386" i="3" s="1"/>
  <c r="AW1386" i="3"/>
  <c r="AX1386" i="3" s="1"/>
  <c r="AW1387" i="3"/>
  <c r="AX1387" i="3" s="1"/>
  <c r="AY1387" i="3"/>
  <c r="AZ1387" i="3" s="1"/>
  <c r="AY1389" i="3"/>
  <c r="AZ1389" i="3" s="1"/>
  <c r="AW1389" i="3"/>
  <c r="AX1389" i="3" s="1"/>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W1300" i="3"/>
  <c r="AX1300" i="3" s="1"/>
  <c r="AY1300" i="3"/>
  <c r="AZ1300" i="3" s="1"/>
  <c r="AY1302" i="3"/>
  <c r="AZ1302" i="3" s="1"/>
  <c r="AW1302" i="3"/>
  <c r="AX1302"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D1322" i="3"/>
  <c r="AZ1322" i="3" s="1"/>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D1373"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D1254" i="3"/>
  <c r="AX1254" i="3" s="1"/>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D1323" i="3"/>
  <c r="AX1323" i="3" s="1"/>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X1350" i="3"/>
  <c r="AZ1350" i="3"/>
  <c r="AY1351" i="3"/>
  <c r="AZ1351" i="3" s="1"/>
  <c r="AW1351" i="3"/>
  <c r="AX1351" i="3" s="1"/>
  <c r="AY1353" i="3"/>
  <c r="AZ1353" i="3" s="1"/>
  <c r="AW1353" i="3"/>
  <c r="AX1353" i="3" s="1"/>
  <c r="AY1361" i="3"/>
  <c r="AZ1361" i="3" s="1"/>
  <c r="AW1361" i="3"/>
  <c r="AX1361" i="3" s="1"/>
  <c r="AD1361" i="3"/>
  <c r="AY1369" i="3"/>
  <c r="AZ1369" i="3" s="1"/>
  <c r="AW1369" i="3"/>
  <c r="AX1369" i="3" s="1"/>
  <c r="AD1369" i="3"/>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W1423" i="3"/>
  <c r="AX1423" i="3" s="1"/>
  <c r="AY1423" i="3"/>
  <c r="AZ1423" i="3" s="1"/>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AX85" i="3"/>
  <c r="AZ85" i="3"/>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W131" i="3"/>
  <c r="AX131" i="3" s="1"/>
  <c r="AY131" i="3"/>
  <c r="AZ131" i="3" s="1"/>
  <c r="AZ136" i="3"/>
  <c r="AX136" i="3"/>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AZ153" i="3"/>
  <c r="AX153" i="3"/>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Z219" i="3"/>
  <c r="AX219" i="3"/>
  <c r="AY226" i="3"/>
  <c r="AZ226" i="3" s="1"/>
  <c r="AW226" i="3"/>
  <c r="AX226" i="3" s="1"/>
  <c r="AD228" i="3"/>
  <c r="AY228" i="3"/>
  <c r="AZ228" i="3" s="1"/>
  <c r="AW228" i="3"/>
  <c r="AX228" i="3" s="1"/>
  <c r="AD230" i="3"/>
  <c r="AY230" i="3"/>
  <c r="AZ230" i="3" s="1"/>
  <c r="AW230" i="3"/>
  <c r="AX230" i="3" s="1"/>
  <c r="AD232" i="3"/>
  <c r="AY232" i="3"/>
  <c r="AZ232" i="3" s="1"/>
  <c r="AW232" i="3"/>
  <c r="AX232" i="3" s="1"/>
  <c r="AZ234" i="3"/>
  <c r="AX234" i="3"/>
  <c r="T239" i="3"/>
  <c r="AY239" i="3"/>
  <c r="AZ239" i="3" s="1"/>
  <c r="AW239" i="3"/>
  <c r="AX239" i="3" s="1"/>
  <c r="AY241" i="3"/>
  <c r="AZ241" i="3" s="1"/>
  <c r="AW241" i="3"/>
  <c r="AX241" i="3" s="1"/>
  <c r="AZ243" i="3"/>
  <c r="AX243" i="3"/>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AY1255" i="3"/>
  <c r="AZ1255" i="3" s="1"/>
  <c r="AW1255" i="3"/>
  <c r="AX1255" i="3" s="1"/>
  <c r="AD1255" i="3"/>
  <c r="Q1257" i="3"/>
  <c r="AY1258" i="3"/>
  <c r="AZ1258" i="3" s="1"/>
  <c r="AW1258" i="3"/>
  <c r="AX1258" i="3" s="1"/>
  <c r="T1260" i="3"/>
  <c r="Q1265" i="3"/>
  <c r="AW1266" i="3"/>
  <c r="AX1266" i="3" s="1"/>
  <c r="AY1266" i="3"/>
  <c r="AZ1266" i="3" s="1"/>
  <c r="AY1274" i="3"/>
  <c r="AZ1274" i="3" s="1"/>
  <c r="AW1274" i="3"/>
  <c r="AX1274" i="3" s="1"/>
  <c r="T1275" i="3"/>
  <c r="T1286" i="3"/>
  <c r="AY1288" i="3"/>
  <c r="AZ1288" i="3" s="1"/>
  <c r="AW1288" i="3"/>
  <c r="AX1288" i="3" s="1"/>
  <c r="T1290" i="3"/>
  <c r="Q1291" i="3"/>
  <c r="AY1292" i="3"/>
  <c r="AZ1292" i="3" s="1"/>
  <c r="AW1292" i="3"/>
  <c r="AX1292" i="3" s="1"/>
  <c r="AY1293" i="3"/>
  <c r="AZ1293" i="3" s="1"/>
  <c r="AW1293" i="3"/>
  <c r="AX1293" i="3" s="1"/>
  <c r="T1294" i="3"/>
  <c r="T1295" i="3"/>
  <c r="AW1297" i="3"/>
  <c r="AX1297" i="3" s="1"/>
  <c r="AY1297" i="3"/>
  <c r="AZ1297" i="3" s="1"/>
  <c r="AY1301" i="3"/>
  <c r="AZ1301" i="3" s="1"/>
  <c r="AW1301" i="3"/>
  <c r="AX1301" i="3" s="1"/>
  <c r="AW1303" i="3"/>
  <c r="AX1303" i="3" s="1"/>
  <c r="AY1303" i="3"/>
  <c r="AZ1303" i="3" s="1"/>
  <c r="Q1304" i="3"/>
  <c r="T1308" i="3"/>
  <c r="AY1308" i="3"/>
  <c r="AZ1308" i="3" s="1"/>
  <c r="AW1308" i="3"/>
  <c r="AX1308" i="3" s="1"/>
  <c r="AW1310" i="3"/>
  <c r="AX1310" i="3" s="1"/>
  <c r="AY1310" i="3"/>
  <c r="AZ1310" i="3" s="1"/>
  <c r="AW1312" i="3"/>
  <c r="AX1312" i="3" s="1"/>
  <c r="AY1312" i="3"/>
  <c r="AZ1312" i="3" s="1"/>
  <c r="AY1314" i="3"/>
  <c r="AZ1314" i="3" s="1"/>
  <c r="AW1314" i="3"/>
  <c r="AX1314" i="3" s="1"/>
  <c r="AY1319" i="3"/>
  <c r="AZ1319" i="3" s="1"/>
  <c r="AW1319" i="3"/>
  <c r="AX1319" i="3" s="1"/>
  <c r="AY1321" i="3"/>
  <c r="AZ1321" i="3" s="1"/>
  <c r="AW1321" i="3"/>
  <c r="AX1321" i="3" s="1"/>
  <c r="AW1324" i="3"/>
  <c r="AX1324" i="3" s="1"/>
  <c r="AY1324" i="3"/>
  <c r="AZ1324" i="3" s="1"/>
  <c r="AD1325" i="3"/>
  <c r="Q1327" i="3"/>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8" i="3"/>
  <c r="AZ1348" i="3" s="1"/>
  <c r="AW1348" i="3"/>
  <c r="AX1348" i="3" s="1"/>
  <c r="T1349"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T1373" i="3"/>
  <c r="AD1377" i="3"/>
  <c r="T1380" i="3"/>
  <c r="T1381"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1" i="3"/>
  <c r="AY1421" i="3"/>
  <c r="AZ1421" i="3" s="1"/>
  <c r="AW1421" i="3"/>
  <c r="AX1421" i="3" s="1"/>
  <c r="AY1422" i="3"/>
  <c r="AZ1422" i="3" s="1"/>
  <c r="AW1422" i="3"/>
  <c r="AX1422" i="3" s="1"/>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AD11"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22" i="3"/>
  <c r="Q30" i="3"/>
  <c r="Q42" i="3"/>
  <c r="Q52" i="3"/>
  <c r="AD194" i="3"/>
  <c r="Q194" i="3"/>
  <c r="Q230" i="3"/>
  <c r="Q299" i="3"/>
  <c r="Q328" i="3"/>
  <c r="T45" i="3"/>
  <c r="T61" i="3"/>
  <c r="AD14" i="3"/>
  <c r="AZ14" i="3" s="1"/>
  <c r="AD18" i="3"/>
  <c r="AD22" i="3"/>
  <c r="AD26" i="3"/>
  <c r="AD30" i="3"/>
  <c r="AD34" i="3"/>
  <c r="AD38" i="3"/>
  <c r="AD42" i="3"/>
  <c r="T44" i="3"/>
  <c r="Q57" i="3"/>
  <c r="AD58" i="3"/>
  <c r="T60" i="3"/>
  <c r="Q208" i="3"/>
  <c r="Q228"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20" i="3"/>
  <c r="T24" i="3"/>
  <c r="T28" i="3"/>
  <c r="T32" i="3"/>
  <c r="T36" i="3"/>
  <c r="T40" i="3"/>
  <c r="T50" i="3"/>
  <c r="Q53" i="3"/>
  <c r="Q196" i="3"/>
  <c r="Q222" i="3"/>
  <c r="Q232" i="3"/>
  <c r="T284" i="3"/>
  <c r="T290" i="3"/>
  <c r="Q290" i="3"/>
  <c r="T298" i="3"/>
  <c r="Q298" i="3"/>
  <c r="T306" i="3"/>
  <c r="Q306"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AD1238" i="3"/>
  <c r="T1238" i="3"/>
  <c r="Q1238" i="3"/>
  <c r="T1374" i="3"/>
  <c r="AD1374" i="3"/>
  <c r="Q1374" i="3"/>
  <c r="T1382" i="3"/>
  <c r="Q1382"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AZ1329" i="3" s="1"/>
  <c r="T1408" i="3"/>
  <c r="Q1408" i="3"/>
  <c r="T1424" i="3"/>
  <c r="Q1424" i="3"/>
  <c r="AD1180" i="3"/>
  <c r="T1207" i="3"/>
  <c r="AD1227" i="3"/>
  <c r="AD1230" i="3"/>
  <c r="T1230" i="3"/>
  <c r="Q1230" i="3"/>
  <c r="AD1242" i="3"/>
  <c r="T1242" i="3"/>
  <c r="Q1242" i="3"/>
  <c r="AD1250" i="3"/>
  <c r="Q1258" i="3"/>
  <c r="AD1258" i="3"/>
  <c r="AD1276" i="3"/>
  <c r="T1276" i="3"/>
  <c r="AD1289" i="3"/>
  <c r="AX1289" i="3" s="1"/>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AD1296" i="3"/>
  <c r="AZ1296" i="3" s="1"/>
  <c r="Q1325" i="3"/>
  <c r="AD1330" i="3"/>
  <c r="AX1330" i="3" s="1"/>
  <c r="AD1347" i="3"/>
  <c r="T1347" i="3"/>
  <c r="Q1347" i="3"/>
  <c r="AD1354" i="3"/>
  <c r="Q1354" i="3"/>
  <c r="Q1364" i="3"/>
  <c r="T1379" i="3"/>
  <c r="Q1379" i="3"/>
  <c r="AD1418" i="3"/>
  <c r="T1418" i="3"/>
  <c r="Q1418" i="3"/>
  <c r="AD1435" i="3"/>
  <c r="T1435" i="3"/>
  <c r="Q1435" i="3"/>
  <c r="AD1231" i="3"/>
  <c r="AD1234" i="3"/>
  <c r="T1234" i="3"/>
  <c r="Q1234" i="3"/>
  <c r="T1239" i="3"/>
  <c r="AD1243" i="3"/>
  <c r="AD1264" i="3"/>
  <c r="T1264" i="3"/>
  <c r="Q1264" i="3"/>
  <c r="AD1294" i="3"/>
  <c r="Q1294" i="3"/>
  <c r="AD1300" i="3"/>
  <c r="T1300" i="3"/>
  <c r="Q1300" i="3"/>
  <c r="T1312" i="3"/>
  <c r="T1325" i="3"/>
  <c r="AD1337" i="3"/>
  <c r="Q1337" i="3"/>
  <c r="AD1345" i="3"/>
  <c r="AZ1345" i="3" s="1"/>
  <c r="T1364" i="3"/>
  <c r="Q1372" i="3"/>
  <c r="T1387" i="3"/>
  <c r="Q1387" i="3"/>
  <c r="T1398" i="3"/>
  <c r="T1252" i="3"/>
  <c r="AD1326" i="3"/>
  <c r="Q1326" i="3"/>
  <c r="Q1360" i="3"/>
  <c r="Q1368" i="3"/>
  <c r="Q1376" i="3"/>
  <c r="Q1384" i="3"/>
  <c r="T1394" i="3"/>
  <c r="AD1419" i="3"/>
  <c r="AD1425" i="3"/>
  <c r="T1425" i="3"/>
  <c r="AD1427" i="3"/>
  <c r="Q1192" i="3"/>
  <c r="AD1245" i="3"/>
  <c r="Q1252" i="3"/>
  <c r="AD1295" i="3"/>
  <c r="T1326" i="3"/>
  <c r="Q1339" i="3"/>
  <c r="Q1343"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AD1375" i="3"/>
  <c r="T1386" i="3"/>
  <c r="T1409" i="3"/>
  <c r="AD1432" i="3"/>
  <c r="T1432" i="3"/>
  <c r="Q1432" i="3"/>
  <c r="AD1434" i="3"/>
  <c r="Q1442" i="3"/>
  <c r="T1442" i="3"/>
  <c r="Q1417" i="3"/>
  <c r="Q1430" i="3"/>
  <c r="Q1439" i="3"/>
  <c r="AD1442" i="3"/>
  <c r="T1417" i="3"/>
  <c r="S3" i="3"/>
  <c r="AC3" i="3" s="1"/>
  <c r="E6" i="3"/>
  <c r="S4" i="3"/>
  <c r="AC4" i="3" s="1"/>
  <c r="D5" i="3"/>
  <c r="Q5" i="3" s="1"/>
  <c r="AD103" i="3"/>
  <c r="Q103" i="3"/>
  <c r="AD111" i="3"/>
  <c r="Q111" i="3"/>
  <c r="AD119" i="3"/>
  <c r="Q119" i="3"/>
  <c r="AD127" i="3"/>
  <c r="Q127" i="3"/>
  <c r="AD135" i="3"/>
  <c r="Q135" i="3"/>
  <c r="AD143" i="3"/>
  <c r="Q143" i="3"/>
  <c r="AD145" i="3"/>
  <c r="Q145" i="3"/>
  <c r="AD149" i="3"/>
  <c r="Q149" i="3"/>
  <c r="AD157" i="3"/>
  <c r="Q157" i="3"/>
  <c r="AD161" i="3"/>
  <c r="AX161" i="3" s="1"/>
  <c r="AD165" i="3"/>
  <c r="Q165" i="3"/>
  <c r="AD169" i="3"/>
  <c r="Q169" i="3"/>
  <c r="AD173" i="3"/>
  <c r="Q173" i="3"/>
  <c r="AD177" i="3"/>
  <c r="Q177" i="3"/>
  <c r="AD181" i="3"/>
  <c r="Q181" i="3"/>
  <c r="AD185" i="3"/>
  <c r="Q185" i="3"/>
  <c r="T185" i="3"/>
  <c r="Q3" i="3"/>
  <c r="R3" i="3" s="1"/>
  <c r="W3" i="3" s="1"/>
  <c r="AD3" i="3"/>
  <c r="Q4" i="3"/>
  <c r="AD4" i="3"/>
  <c r="Q6" i="3"/>
  <c r="AD6" i="3"/>
  <c r="Q7" i="3"/>
  <c r="AD7" i="3"/>
  <c r="Q8" i="3"/>
  <c r="AD8" i="3"/>
  <c r="Q9" i="3"/>
  <c r="AD9" i="3"/>
  <c r="AD66" i="3"/>
  <c r="T67" i="3"/>
  <c r="T69" i="3"/>
  <c r="T71" i="3"/>
  <c r="T73" i="3"/>
  <c r="T75" i="3"/>
  <c r="T77" i="3"/>
  <c r="T79" i="3"/>
  <c r="T81" i="3"/>
  <c r="T83" i="3"/>
  <c r="T87" i="3"/>
  <c r="T89" i="3"/>
  <c r="T91" i="3"/>
  <c r="T93" i="3"/>
  <c r="T95" i="3"/>
  <c r="T97" i="3"/>
  <c r="AD105" i="3"/>
  <c r="Q105" i="3"/>
  <c r="AD113" i="3"/>
  <c r="AZ113" i="3" s="1"/>
  <c r="AD121" i="3"/>
  <c r="Q121" i="3"/>
  <c r="AD129" i="3"/>
  <c r="AZ129" i="3" s="1"/>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AD114" i="3"/>
  <c r="Q114" i="3"/>
  <c r="T121" i="3"/>
  <c r="AD122" i="3"/>
  <c r="Q122" i="3"/>
  <c r="AD130" i="3"/>
  <c r="Q130" i="3"/>
  <c r="T137" i="3"/>
  <c r="AD138" i="3"/>
  <c r="Q138" i="3"/>
  <c r="T148" i="3"/>
  <c r="T152" i="3"/>
  <c r="AD186" i="3"/>
  <c r="Q186" i="3"/>
  <c r="T186" i="3"/>
  <c r="AD128" i="3"/>
  <c r="Q128" i="3"/>
  <c r="AD99" i="3"/>
  <c r="Q99" i="3"/>
  <c r="AD107" i="3"/>
  <c r="Q107" i="3"/>
  <c r="AD115" i="3"/>
  <c r="AZ115" i="3" s="1"/>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Q68" i="3"/>
  <c r="Q70" i="3"/>
  <c r="Q72" i="3"/>
  <c r="Q74" i="3"/>
  <c r="Q76" i="3"/>
  <c r="Q78" i="3"/>
  <c r="Q80" i="3"/>
  <c r="Q82" i="3"/>
  <c r="Q84" i="3"/>
  <c r="Q86" i="3"/>
  <c r="Q88" i="3"/>
  <c r="Q90" i="3"/>
  <c r="Q92" i="3"/>
  <c r="Q94" i="3"/>
  <c r="Q96" i="3"/>
  <c r="T99" i="3"/>
  <c r="AD100" i="3"/>
  <c r="Q100" i="3"/>
  <c r="T107" i="3"/>
  <c r="AD108" i="3"/>
  <c r="Q108" i="3"/>
  <c r="AD116" i="3"/>
  <c r="Q116" i="3"/>
  <c r="T123" i="3"/>
  <c r="AD124" i="3"/>
  <c r="Q124" i="3"/>
  <c r="T131" i="3"/>
  <c r="AD132" i="3"/>
  <c r="Q132" i="3"/>
  <c r="T139" i="3"/>
  <c r="AD140" i="3"/>
  <c r="Q140" i="3"/>
  <c r="T147" i="3"/>
  <c r="T151" i="3"/>
  <c r="T155" i="3"/>
  <c r="T159" i="3"/>
  <c r="T163" i="3"/>
  <c r="T167" i="3"/>
  <c r="T171" i="3"/>
  <c r="T175" i="3"/>
  <c r="T179" i="3"/>
  <c r="AD184" i="3"/>
  <c r="Q184" i="3"/>
  <c r="T184" i="3"/>
  <c r="T66" i="3"/>
  <c r="AD67" i="3"/>
  <c r="T68" i="3"/>
  <c r="AD69" i="3"/>
  <c r="T70" i="3"/>
  <c r="AD71" i="3"/>
  <c r="T72" i="3"/>
  <c r="AD73" i="3"/>
  <c r="T74" i="3"/>
  <c r="AD75" i="3"/>
  <c r="T76" i="3"/>
  <c r="AD77" i="3"/>
  <c r="T78" i="3"/>
  <c r="AD79" i="3"/>
  <c r="T80" i="3"/>
  <c r="AD81" i="3"/>
  <c r="T82" i="3"/>
  <c r="AD83" i="3"/>
  <c r="T84"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21" i="3"/>
  <c r="Q223" i="3"/>
  <c r="Q225" i="3"/>
  <c r="Q227" i="3"/>
  <c r="Q229" i="3"/>
  <c r="Q233" i="3"/>
  <c r="AD240" i="3"/>
  <c r="Q240" i="3"/>
  <c r="AD248" i="3"/>
  <c r="Q248" i="3"/>
  <c r="T189" i="3"/>
  <c r="T191" i="3"/>
  <c r="T193" i="3"/>
  <c r="T195" i="3"/>
  <c r="T197" i="3"/>
  <c r="T199" i="3"/>
  <c r="T201" i="3"/>
  <c r="T203" i="3"/>
  <c r="T205" i="3"/>
  <c r="T207" i="3"/>
  <c r="T209" i="3"/>
  <c r="T211" i="3"/>
  <c r="T213" i="3"/>
  <c r="T221" i="3"/>
  <c r="T223" i="3"/>
  <c r="T225" i="3"/>
  <c r="T227" i="3"/>
  <c r="T229" i="3"/>
  <c r="T233" i="3"/>
  <c r="AD241" i="3"/>
  <c r="Q241" i="3"/>
  <c r="AD249" i="3"/>
  <c r="Q249" i="3"/>
  <c r="AD254" i="3"/>
  <c r="AZ254" i="3" s="1"/>
  <c r="AD258" i="3"/>
  <c r="Q258" i="3"/>
  <c r="AD262" i="3"/>
  <c r="Q262" i="3"/>
  <c r="AD266" i="3"/>
  <c r="Q266" i="3"/>
  <c r="T241" i="3"/>
  <c r="AD242" i="3"/>
  <c r="Q242" i="3"/>
  <c r="T249" i="3"/>
  <c r="AD250" i="3"/>
  <c r="Q250" i="3"/>
  <c r="T258" i="3"/>
  <c r="T262" i="3"/>
  <c r="T266" i="3"/>
  <c r="AD235" i="3"/>
  <c r="Q235" i="3"/>
  <c r="AD251" i="3"/>
  <c r="Q251" i="3"/>
  <c r="AD253" i="3"/>
  <c r="Q253" i="3"/>
  <c r="AD257" i="3"/>
  <c r="Q257" i="3"/>
  <c r="AD261" i="3"/>
  <c r="Q261" i="3"/>
  <c r="AD265" i="3"/>
  <c r="Q265" i="3"/>
  <c r="AD236" i="3"/>
  <c r="Q236" i="3"/>
  <c r="AD244" i="3"/>
  <c r="Q244" i="3"/>
  <c r="AD252" i="3"/>
  <c r="Q252" i="3"/>
  <c r="T188" i="3"/>
  <c r="T190" i="3"/>
  <c r="T192" i="3"/>
  <c r="T194" i="3"/>
  <c r="T196" i="3"/>
  <c r="T198" i="3"/>
  <c r="T200" i="3"/>
  <c r="T204" i="3"/>
  <c r="T206" i="3"/>
  <c r="T208" i="3"/>
  <c r="T210" i="3"/>
  <c r="T212" i="3"/>
  <c r="T214" i="3"/>
  <c r="T216" i="3"/>
  <c r="T220" i="3"/>
  <c r="T222" i="3"/>
  <c r="T224" i="3"/>
  <c r="T226" i="3"/>
  <c r="T228" i="3"/>
  <c r="T230" i="3"/>
  <c r="T232" i="3"/>
  <c r="T236" i="3"/>
  <c r="T244" i="3"/>
  <c r="AD245" i="3"/>
  <c r="Q245" i="3"/>
  <c r="T252" i="3"/>
  <c r="AD256" i="3"/>
  <c r="Q256" i="3"/>
  <c r="AD260" i="3"/>
  <c r="Q260" i="3"/>
  <c r="AD264" i="3"/>
  <c r="Q264" i="3"/>
  <c r="AD268" i="3"/>
  <c r="AX268" i="3" s="1"/>
  <c r="AD238" i="3"/>
  <c r="Q238" i="3"/>
  <c r="T245" i="3"/>
  <c r="AD246" i="3"/>
  <c r="Q246" i="3"/>
  <c r="T256" i="3"/>
  <c r="T260" i="3"/>
  <c r="T264"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AX365" i="3" s="1"/>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AD280" i="3"/>
  <c r="AZ280" i="3" s="1"/>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Z292" i="3" s="1"/>
  <c r="AD293" i="3"/>
  <c r="AD294" i="3"/>
  <c r="AD295" i="3"/>
  <c r="AD296" i="3"/>
  <c r="AD297" i="3"/>
  <c r="AD298" i="3"/>
  <c r="AD299" i="3"/>
  <c r="AD300" i="3"/>
  <c r="AD301" i="3"/>
  <c r="AD302" i="3"/>
  <c r="AD303" i="3"/>
  <c r="AD304" i="3"/>
  <c r="AD305" i="3"/>
  <c r="AD306" i="3"/>
  <c r="AD307" i="3"/>
  <c r="AD308" i="3"/>
  <c r="AD309" i="3"/>
  <c r="AZ309" i="3" s="1"/>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AD1269" i="3"/>
  <c r="AX1269" i="3" s="1"/>
  <c r="T1272" i="3"/>
  <c r="Q1272" i="3"/>
  <c r="T1270" i="3"/>
  <c r="AD1270" i="3"/>
  <c r="Q1270" i="3"/>
  <c r="AD1280" i="3"/>
  <c r="Q1280" i="3"/>
  <c r="T1271" i="3"/>
  <c r="AD1277" i="3"/>
  <c r="Q1277" i="3"/>
  <c r="AD1281" i="3"/>
  <c r="Q1281" i="3"/>
  <c r="AD1309" i="3"/>
  <c r="Q1309" i="3"/>
  <c r="T1309" i="3"/>
  <c r="AD1305" i="3"/>
  <c r="AZ1305" i="3" s="1"/>
  <c r="T1321" i="3"/>
  <c r="Q1321" i="3"/>
  <c r="AD1321" i="3"/>
  <c r="AD1278" i="3"/>
  <c r="Q1278" i="3"/>
  <c r="AD1282" i="3"/>
  <c r="Q1282" i="3"/>
  <c r="AD1306" i="3"/>
  <c r="AZ1306" i="3" s="1"/>
  <c r="T1277" i="3"/>
  <c r="T1281" i="3"/>
  <c r="AD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AZ1316" i="3" s="1"/>
  <c r="AD1318" i="3"/>
  <c r="Q1318" i="3"/>
  <c r="AD1319" i="3"/>
  <c r="Q1319" i="3"/>
  <c r="T1301" i="3"/>
  <c r="T1302" i="3"/>
  <c r="T1303" i="3"/>
  <c r="T1304" i="3"/>
  <c r="T1355" i="3"/>
  <c r="AD1357" i="3"/>
  <c r="T1358" i="3"/>
  <c r="Q1358" i="3"/>
  <c r="T1354" i="3"/>
  <c r="T1357" i="3"/>
  <c r="Q1355" i="3"/>
  <c r="T1356" i="3"/>
  <c r="Q1356" i="3"/>
  <c r="Q1389" i="3"/>
  <c r="AD1404" i="3"/>
  <c r="Q1404" i="3"/>
  <c r="T1389" i="3"/>
  <c r="Q1390" i="3"/>
  <c r="T1390" i="3"/>
  <c r="AD1405" i="3"/>
  <c r="AD1406" i="3"/>
  <c r="AD1407" i="3"/>
  <c r="AD1408" i="3"/>
  <c r="AD1409" i="3"/>
  <c r="AD1410" i="3"/>
  <c r="AD1411" i="3"/>
  <c r="AD1413" i="3"/>
  <c r="AD1414" i="3"/>
  <c r="AD1415" i="3"/>
  <c r="AD1416" i="3"/>
  <c r="Q1415" i="3"/>
  <c r="T1416" i="3"/>
  <c r="T1410" i="3"/>
  <c r="T1411" i="3"/>
  <c r="T1413" i="3"/>
  <c r="T1414" i="3"/>
  <c r="T1415" i="3"/>
  <c r="Q1393" i="3"/>
  <c r="Q1394" i="3"/>
  <c r="Q1397" i="3"/>
  <c r="AD1397" i="3"/>
  <c r="Q1398" i="3"/>
  <c r="AD1398" i="3"/>
  <c r="Q1399" i="3"/>
  <c r="AD1399" i="3"/>
  <c r="Q1400" i="3"/>
  <c r="AD1400" i="3"/>
  <c r="Q1401" i="3"/>
  <c r="AD1401" i="3"/>
  <c r="Q1402" i="3"/>
  <c r="AD1402" i="3"/>
  <c r="Q1403" i="3"/>
  <c r="AD1403" i="3"/>
  <c r="AX218" i="3" l="1"/>
  <c r="AZ1323" i="3"/>
  <c r="AX1322" i="3"/>
  <c r="AZ1299" i="3"/>
  <c r="AX1306" i="3"/>
  <c r="AZ1289" i="3"/>
  <c r="AZ365" i="3"/>
  <c r="AX1316" i="3"/>
  <c r="T5" i="3"/>
  <c r="S5" i="3" s="1"/>
  <c r="AZ268" i="3"/>
  <c r="AX309" i="3"/>
  <c r="AZ1330" i="3"/>
  <c r="AX1296" i="3"/>
  <c r="AX280" i="3"/>
  <c r="AX254" i="3"/>
  <c r="AX1329" i="3"/>
  <c r="AX292" i="3"/>
  <c r="AX1305" i="3"/>
  <c r="AZ1269" i="3"/>
  <c r="AZ161" i="3"/>
  <c r="AX115" i="3"/>
  <c r="AX14" i="3"/>
  <c r="AX1345" i="3"/>
  <c r="AX129" i="3"/>
  <c r="AZ1254" i="3"/>
  <c r="AX113" i="3"/>
  <c r="C5" i="3"/>
  <c r="H5" i="3"/>
  <c r="R5" i="3" s="1"/>
  <c r="R4" i="3"/>
  <c r="W4" i="3" s="1"/>
  <c r="E7" i="3"/>
  <c r="D6" i="3"/>
  <c r="W5" i="3" l="1"/>
  <c r="AN5" i="3"/>
  <c r="AC5" i="3" s="1"/>
  <c r="C6" i="3"/>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T10" i="3"/>
  <c r="S10" i="3" s="1"/>
  <c r="Q10" i="3"/>
  <c r="S9" i="3"/>
  <c r="AC9" i="3" s="1"/>
  <c r="R8" i="3"/>
  <c r="W8" i="3" s="1"/>
  <c r="H9" i="3"/>
  <c r="B8" i="3"/>
  <c r="D11" i="3"/>
  <c r="E11" i="3"/>
  <c r="AN10" i="3" l="1"/>
  <c r="AC10" i="3" s="1"/>
  <c r="C11" i="3"/>
  <c r="E12" i="3"/>
  <c r="D12" i="3"/>
  <c r="B9" i="3"/>
  <c r="S11" i="3"/>
  <c r="AC11" i="3" s="1"/>
  <c r="R9" i="3"/>
  <c r="W9" i="3" s="1"/>
  <c r="H10" i="3"/>
  <c r="C12" i="3" l="1"/>
  <c r="R10" i="3"/>
  <c r="W10" i="3" s="1"/>
  <c r="H11" i="3"/>
  <c r="S12" i="3"/>
  <c r="AC12" i="3" s="1"/>
  <c r="E13" i="3"/>
  <c r="D13" i="3"/>
  <c r="B10" i="3"/>
  <c r="B11" i="3" s="1"/>
  <c r="S13" i="3" l="1"/>
  <c r="AC13" i="3" s="1"/>
  <c r="R11" i="3"/>
  <c r="W11" i="3" s="1"/>
  <c r="H12" i="3"/>
  <c r="E14" i="3"/>
  <c r="D14" i="3"/>
  <c r="B12" i="3"/>
  <c r="Q14" i="3" l="1"/>
  <c r="T14" i="3"/>
  <c r="S14" i="3" s="1"/>
  <c r="C13" i="3"/>
  <c r="B13" i="3" s="1"/>
  <c r="H13" i="3" s="1"/>
  <c r="R12" i="3"/>
  <c r="W12" i="3" s="1"/>
  <c r="D15" i="3"/>
  <c r="E15" i="3"/>
  <c r="AN14" i="3" l="1"/>
  <c r="AC14" i="3" s="1"/>
  <c r="C14" i="3"/>
  <c r="B14" i="3" s="1"/>
  <c r="H14" i="3" s="1"/>
  <c r="S15" i="3"/>
  <c r="AC15" i="3" s="1"/>
  <c r="E16" i="3"/>
  <c r="D16" i="3"/>
  <c r="R13" i="3"/>
  <c r="W13" i="3" s="1"/>
  <c r="Q16" i="3" l="1"/>
  <c r="T16" i="3"/>
  <c r="S16" i="3" s="1"/>
  <c r="C15" i="3"/>
  <c r="C16" i="3" s="1"/>
  <c r="D17" i="3"/>
  <c r="E17" i="3"/>
  <c r="R14" i="3"/>
  <c r="W14" i="3" s="1"/>
  <c r="H15" i="3"/>
  <c r="AN16" i="3" l="1"/>
  <c r="AC16" i="3" s="1"/>
  <c r="T17" i="3"/>
  <c r="S17" i="3" s="1"/>
  <c r="Q17" i="3"/>
  <c r="B15" i="3"/>
  <c r="B16" i="3" s="1"/>
  <c r="C17" i="3"/>
  <c r="R15" i="3"/>
  <c r="W15" i="3" s="1"/>
  <c r="H16" i="3"/>
  <c r="D18" i="3"/>
  <c r="E18" i="3"/>
  <c r="AN17" i="3" l="1"/>
  <c r="AC17" i="3" s="1"/>
  <c r="C18" i="3"/>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Q21" i="3" l="1"/>
  <c r="T21" i="3"/>
  <c r="S21" i="3" s="1"/>
  <c r="C21" i="3"/>
  <c r="D22" i="3"/>
  <c r="E22" i="3"/>
  <c r="B20" i="3"/>
  <c r="R19" i="3"/>
  <c r="W19" i="3" s="1"/>
  <c r="H20" i="3"/>
  <c r="B21" i="3" l="1"/>
  <c r="AH21" i="3"/>
  <c r="AC21" i="3" s="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Q29" i="3" l="1"/>
  <c r="T29" i="3"/>
  <c r="S29" i="3" s="1"/>
  <c r="B28" i="3"/>
  <c r="C29" i="3"/>
  <c r="R27" i="3"/>
  <c r="W27" i="3" s="1"/>
  <c r="H28" i="3"/>
  <c r="D30" i="3"/>
  <c r="E30" i="3"/>
  <c r="AN29" i="3" l="1"/>
  <c r="AC29" i="3" s="1"/>
  <c r="C30" i="3"/>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D35" i="3"/>
  <c r="E35" i="3"/>
  <c r="S34" i="3"/>
  <c r="AC34" i="3" s="1"/>
  <c r="R32" i="3"/>
  <c r="W32" i="3" s="1"/>
  <c r="H33" i="3"/>
  <c r="B34" i="3" l="1"/>
  <c r="C35" i="3"/>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C39" i="3" s="1"/>
  <c r="R36" i="3"/>
  <c r="W36" i="3" s="1"/>
  <c r="H37" i="3"/>
  <c r="B37" i="3"/>
  <c r="R37" i="3" l="1"/>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B41" i="3"/>
  <c r="H41" i="3" s="1"/>
  <c r="C43" i="3" l="1"/>
  <c r="R41" i="3"/>
  <c r="W41" i="3" s="1"/>
  <c r="B42" i="3"/>
  <c r="H42" i="3" s="1"/>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C48" i="3"/>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Q56" i="3"/>
  <c r="T56" i="3"/>
  <c r="S56" i="3" s="1"/>
  <c r="C56" i="3"/>
  <c r="R54" i="3"/>
  <c r="W54" i="3" s="1"/>
  <c r="H55" i="3"/>
  <c r="D57" i="3"/>
  <c r="E57" i="3"/>
  <c r="AN56" i="3" l="1"/>
  <c r="AC56" i="3" s="1"/>
  <c r="C57" i="3"/>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R66" i="3"/>
  <c r="W66" i="3" s="1"/>
  <c r="H67" i="3"/>
  <c r="B67" i="3"/>
  <c r="B68" i="3" s="1"/>
  <c r="C69" i="3" l="1"/>
  <c r="B69" i="3" s="1"/>
  <c r="S69" i="3"/>
  <c r="AC69" i="3" s="1"/>
  <c r="E70" i="3"/>
  <c r="D70" i="3"/>
  <c r="R67" i="3"/>
  <c r="W67" i="3" s="1"/>
  <c r="H68"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B74" i="3" s="1"/>
  <c r="C75" i="3" l="1"/>
  <c r="S75" i="3"/>
  <c r="AC75" i="3" s="1"/>
  <c r="E76" i="3"/>
  <c r="D76" i="3"/>
  <c r="C76" i="3" s="1"/>
  <c r="R73" i="3"/>
  <c r="W73" i="3" s="1"/>
  <c r="H74" i="3"/>
  <c r="B75" i="3"/>
  <c r="S76" i="3" l="1"/>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C85" i="3" l="1"/>
  <c r="Q85" i="3"/>
  <c r="T85" i="3"/>
  <c r="S85" i="3" s="1"/>
  <c r="B84" i="3"/>
  <c r="B85" i="3" s="1"/>
  <c r="E86" i="3"/>
  <c r="D86" i="3"/>
  <c r="C86" i="3" s="1"/>
  <c r="R83" i="3"/>
  <c r="W83" i="3" s="1"/>
  <c r="H84" i="3"/>
  <c r="AN85" i="3" l="1"/>
  <c r="AC85" i="3" s="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T102" i="3" l="1"/>
  <c r="S102" i="3" s="1"/>
  <c r="Q102" i="3"/>
  <c r="C102" i="3"/>
  <c r="E103" i="3"/>
  <c r="D103" i="3"/>
  <c r="B101" i="3"/>
  <c r="H101" i="3" s="1"/>
  <c r="R100" i="3"/>
  <c r="W100" i="3" s="1"/>
  <c r="AN102" i="3" l="1"/>
  <c r="AC102" i="3" s="1"/>
  <c r="C103" i="3"/>
  <c r="E104" i="3"/>
  <c r="D104" i="3"/>
  <c r="R101" i="3"/>
  <c r="W101" i="3" s="1"/>
  <c r="S103" i="3"/>
  <c r="AC103" i="3" s="1"/>
  <c r="B102" i="3"/>
  <c r="B103" i="3" l="1"/>
  <c r="T104" i="3"/>
  <c r="S104" i="3" s="1"/>
  <c r="Q104" i="3"/>
  <c r="H102" i="3"/>
  <c r="R102" i="3" s="1"/>
  <c r="W102" i="3" s="1"/>
  <c r="C104" i="3"/>
  <c r="E105" i="3"/>
  <c r="D105" i="3"/>
  <c r="C105" i="3" s="1"/>
  <c r="B104" i="3" l="1"/>
  <c r="AN104" i="3"/>
  <c r="AC104" i="3" s="1"/>
  <c r="H103" i="3"/>
  <c r="H104" i="3" s="1"/>
  <c r="E106" i="3"/>
  <c r="D106" i="3"/>
  <c r="S105" i="3"/>
  <c r="AC105" i="3" s="1"/>
  <c r="R103" i="3" l="1"/>
  <c r="W103" i="3" s="1"/>
  <c r="C106" i="3"/>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s="1"/>
  <c r="C111" i="3" l="1"/>
  <c r="R109" i="3"/>
  <c r="W109" i="3" s="1"/>
  <c r="H110" i="3"/>
  <c r="S111" i="3"/>
  <c r="AC111" i="3" s="1"/>
  <c r="E112" i="3"/>
  <c r="D112" i="3"/>
  <c r="C112" i="3" l="1"/>
  <c r="E113" i="3"/>
  <c r="D113" i="3"/>
  <c r="R110" i="3"/>
  <c r="W110" i="3" s="1"/>
  <c r="H111" i="3"/>
  <c r="S112" i="3"/>
  <c r="AC112" i="3" s="1"/>
  <c r="B111" i="3"/>
  <c r="B112" i="3" s="1"/>
  <c r="T113" i="3" l="1"/>
  <c r="S113" i="3" s="1"/>
  <c r="Q113" i="3"/>
  <c r="C113" i="3"/>
  <c r="B113" i="3" s="1"/>
  <c r="R111" i="3"/>
  <c r="W111" i="3" s="1"/>
  <c r="H112" i="3"/>
  <c r="E114" i="3"/>
  <c r="D114" i="3"/>
  <c r="AN113" i="3" l="1"/>
  <c r="AC113" i="3" s="1"/>
  <c r="C114" i="3"/>
  <c r="R112" i="3"/>
  <c r="W112" i="3" s="1"/>
  <c r="H113" i="3"/>
  <c r="S114" i="3"/>
  <c r="AC114" i="3" s="1"/>
  <c r="D115" i="3"/>
  <c r="E115" i="3"/>
  <c r="B114" i="3"/>
  <c r="Q115" i="3" l="1"/>
  <c r="T115" i="3"/>
  <c r="S115" i="3" s="1"/>
  <c r="C115" i="3"/>
  <c r="B115" i="3" s="1"/>
  <c r="E116" i="3"/>
  <c r="D116" i="3"/>
  <c r="R113" i="3"/>
  <c r="W113" i="3" s="1"/>
  <c r="H114" i="3"/>
  <c r="AN115" i="3" l="1"/>
  <c r="AC115" i="3" s="1"/>
  <c r="C116" i="3"/>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Q129" i="3" l="1"/>
  <c r="T129" i="3"/>
  <c r="S129" i="3" s="1"/>
  <c r="C129" i="3"/>
  <c r="B129" i="3" s="1"/>
  <c r="R126" i="3"/>
  <c r="W126" i="3" s="1"/>
  <c r="E130" i="3"/>
  <c r="D130" i="3"/>
  <c r="R127" i="3"/>
  <c r="W127" i="3" s="1"/>
  <c r="H128" i="3"/>
  <c r="AN129" i="3" l="1"/>
  <c r="AC129" i="3" s="1"/>
  <c r="C130" i="3"/>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C134" i="3" s="1"/>
  <c r="S133" i="3"/>
  <c r="AC133" i="3" s="1"/>
  <c r="B132" i="3"/>
  <c r="R131" i="3"/>
  <c r="W131" i="3" s="1"/>
  <c r="H132" i="3"/>
  <c r="S134" i="3" l="1"/>
  <c r="AC134" i="3" s="1"/>
  <c r="R132" i="3"/>
  <c r="W132" i="3" s="1"/>
  <c r="H133" i="3"/>
  <c r="E135" i="3"/>
  <c r="D135" i="3"/>
  <c r="B133" i="3"/>
  <c r="C135" i="3" l="1"/>
  <c r="S135" i="3"/>
  <c r="AC135" i="3" s="1"/>
  <c r="E136" i="3"/>
  <c r="D136" i="3"/>
  <c r="Q136" i="3" s="1"/>
  <c r="R133" i="3"/>
  <c r="W133" i="3" s="1"/>
  <c r="H134" i="3"/>
  <c r="B134" i="3"/>
  <c r="C136" i="3" l="1"/>
  <c r="B135" i="3"/>
  <c r="B136" i="3" s="1"/>
  <c r="E137" i="3"/>
  <c r="D137" i="3"/>
  <c r="S136" i="3"/>
  <c r="R134" i="3"/>
  <c r="W134" i="3" s="1"/>
  <c r="H135" i="3"/>
  <c r="AN136" i="3" l="1"/>
  <c r="AC136" i="3" s="1"/>
  <c r="C137" i="3"/>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S139" i="3"/>
  <c r="AC139" i="3" s="1"/>
  <c r="C140" i="3" l="1"/>
  <c r="S140" i="3"/>
  <c r="AC140" i="3" s="1"/>
  <c r="D141" i="3"/>
  <c r="E141" i="3"/>
  <c r="R138" i="3"/>
  <c r="W138" i="3" s="1"/>
  <c r="H139" i="3"/>
  <c r="B139" i="3"/>
  <c r="B140" i="3" s="1"/>
  <c r="C141" i="3" l="1"/>
  <c r="B141" i="3" s="1"/>
  <c r="S141" i="3"/>
  <c r="AC141" i="3" s="1"/>
  <c r="E142" i="3"/>
  <c r="D142" i="3"/>
  <c r="R139" i="3"/>
  <c r="W139" i="3" s="1"/>
  <c r="H140" i="3"/>
  <c r="C142" i="3" l="1"/>
  <c r="E143" i="3"/>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l="1"/>
  <c r="C149" i="3"/>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Q153" i="3" l="1"/>
  <c r="T153" i="3"/>
  <c r="S153" i="3" s="1"/>
  <c r="C153" i="3"/>
  <c r="D154" i="3"/>
  <c r="E154" i="3"/>
  <c r="R151" i="3"/>
  <c r="W151" i="3" s="1"/>
  <c r="H152" i="3"/>
  <c r="B152" i="3"/>
  <c r="AN153" i="3" l="1"/>
  <c r="AC153" i="3" s="1"/>
  <c r="B153" i="3"/>
  <c r="C154" i="3"/>
  <c r="D155" i="3"/>
  <c r="E155" i="3"/>
  <c r="S154" i="3"/>
  <c r="AC154" i="3" s="1"/>
  <c r="R152" i="3"/>
  <c r="W152" i="3" s="1"/>
  <c r="H153" i="3"/>
  <c r="B154" i="3" l="1"/>
  <c r="C155" i="3"/>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l="1"/>
  <c r="C158" i="3"/>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T161" i="3" l="1"/>
  <c r="S161" i="3" s="1"/>
  <c r="Q161" i="3"/>
  <c r="C161" i="3"/>
  <c r="D162" i="3"/>
  <c r="E162" i="3"/>
  <c r="R159" i="3"/>
  <c r="W159" i="3" s="1"/>
  <c r="H160" i="3"/>
  <c r="AN161" i="3" l="1"/>
  <c r="AC161" i="3" s="1"/>
  <c r="C162" i="3"/>
  <c r="D163" i="3"/>
  <c r="E163" i="3"/>
  <c r="R160" i="3"/>
  <c r="W160" i="3" s="1"/>
  <c r="H161" i="3"/>
  <c r="S162" i="3"/>
  <c r="AC162" i="3" s="1"/>
  <c r="B161" i="3"/>
  <c r="C163" i="3" l="1"/>
  <c r="D164" i="3"/>
  <c r="E164" i="3"/>
  <c r="R161" i="3"/>
  <c r="W161" i="3" s="1"/>
  <c r="S163" i="3"/>
  <c r="AC163" i="3" s="1"/>
  <c r="B162" i="3"/>
  <c r="H162" i="3" s="1"/>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l="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S199" i="3"/>
  <c r="AC199" i="3" s="1"/>
  <c r="E200" i="3"/>
  <c r="D200" i="3"/>
  <c r="B199" i="3"/>
  <c r="C200" i="3" l="1"/>
  <c r="B200" i="3" s="1"/>
  <c r="H198" i="3"/>
  <c r="R198" i="3" s="1"/>
  <c r="W198" i="3" s="1"/>
  <c r="S200" i="3"/>
  <c r="AC200" i="3" s="1"/>
  <c r="E201" i="3"/>
  <c r="D201" i="3"/>
  <c r="C201" i="3" l="1"/>
  <c r="H199" i="3"/>
  <c r="R199" i="3" s="1"/>
  <c r="W199" i="3" s="1"/>
  <c r="S201" i="3"/>
  <c r="AC201" i="3" s="1"/>
  <c r="E202" i="3"/>
  <c r="D202" i="3"/>
  <c r="B201" i="3"/>
  <c r="Q202" i="3" l="1"/>
  <c r="T202" i="3"/>
  <c r="S202" i="3" s="1"/>
  <c r="C202" i="3"/>
  <c r="B202" i="3" s="1"/>
  <c r="H200" i="3"/>
  <c r="R200" i="3" s="1"/>
  <c r="W200" i="3" s="1"/>
  <c r="E203" i="3"/>
  <c r="D203" i="3"/>
  <c r="AN202" i="3" l="1"/>
  <c r="AC202" i="3" s="1"/>
  <c r="H201" i="3"/>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B210" i="3" s="1"/>
  <c r="C210" i="3"/>
  <c r="R208" i="3"/>
  <c r="W208" i="3" s="1"/>
  <c r="H209" i="3"/>
  <c r="S210" i="3"/>
  <c r="AC210" i="3" s="1"/>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T215" i="3"/>
  <c r="S215" i="3" s="1"/>
  <c r="Q215" i="3"/>
  <c r="R213" i="3"/>
  <c r="W213" i="3" s="1"/>
  <c r="E216" i="3"/>
  <c r="D216" i="3"/>
  <c r="B214" i="3"/>
  <c r="H214" i="3" s="1"/>
  <c r="C216" i="3" l="1"/>
  <c r="AN215" i="3"/>
  <c r="AC215" i="3" s="1"/>
  <c r="R214" i="3"/>
  <c r="W214" i="3" s="1"/>
  <c r="H215" i="3"/>
  <c r="S216" i="3"/>
  <c r="AC216" i="3" s="1"/>
  <c r="E217" i="3"/>
  <c r="D217" i="3"/>
  <c r="B215" i="3"/>
  <c r="C217" i="3" l="1"/>
  <c r="Q217" i="3"/>
  <c r="T217" i="3"/>
  <c r="S217" i="3" s="1"/>
  <c r="D218" i="3"/>
  <c r="B216" i="3"/>
  <c r="R215" i="3"/>
  <c r="W215" i="3" s="1"/>
  <c r="H216" i="3"/>
  <c r="AH217" i="3" l="1"/>
  <c r="AC217" i="3" s="1"/>
  <c r="C218" i="3"/>
  <c r="Q218" i="3"/>
  <c r="T218" i="3"/>
  <c r="S218" i="3" s="1"/>
  <c r="E219" i="3"/>
  <c r="D219" i="3"/>
  <c r="R216" i="3"/>
  <c r="W216" i="3" s="1"/>
  <c r="H217" i="3"/>
  <c r="B217" i="3"/>
  <c r="B218" i="3" l="1"/>
  <c r="AN218" i="3"/>
  <c r="AC218" i="3" s="1"/>
  <c r="C219" i="3"/>
  <c r="Q219" i="3"/>
  <c r="T219" i="3"/>
  <c r="S219" i="3" s="1"/>
  <c r="R217" i="3"/>
  <c r="W217" i="3" s="1"/>
  <c r="H218" i="3"/>
  <c r="E220" i="3"/>
  <c r="D220" i="3"/>
  <c r="AN219" i="3" l="1"/>
  <c r="AC219" i="3" s="1"/>
  <c r="C220" i="3"/>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R227" i="3"/>
  <c r="W227" i="3" s="1"/>
  <c r="H228" i="3"/>
  <c r="B228" i="3"/>
  <c r="B229" i="3" s="1"/>
  <c r="C230" i="3" l="1"/>
  <c r="B230" i="3" s="1"/>
  <c r="S230" i="3"/>
  <c r="AC230" i="3" s="1"/>
  <c r="E231" i="3"/>
  <c r="D231" i="3"/>
  <c r="R228" i="3"/>
  <c r="W228" i="3" s="1"/>
  <c r="H229" i="3"/>
  <c r="C231" i="3" l="1"/>
  <c r="T231" i="3"/>
  <c r="S231" i="3" s="1"/>
  <c r="Q231" i="3"/>
  <c r="R229" i="3"/>
  <c r="W229" i="3" s="1"/>
  <c r="H230" i="3"/>
  <c r="E232" i="3"/>
  <c r="D232" i="3"/>
  <c r="AN231" i="3" l="1"/>
  <c r="AC231" i="3" s="1"/>
  <c r="C232" i="3"/>
  <c r="S232" i="3"/>
  <c r="AC232" i="3" s="1"/>
  <c r="E233" i="3"/>
  <c r="D233" i="3"/>
  <c r="B231" i="3"/>
  <c r="R230" i="3"/>
  <c r="W230" i="3" s="1"/>
  <c r="H231" i="3"/>
  <c r="C233" i="3" l="1"/>
  <c r="E234" i="3"/>
  <c r="D234" i="3"/>
  <c r="R231" i="3"/>
  <c r="W231" i="3" s="1"/>
  <c r="H232" i="3"/>
  <c r="S233" i="3"/>
  <c r="AC233" i="3" s="1"/>
  <c r="B232" i="3"/>
  <c r="B233" i="3" s="1"/>
  <c r="C234" i="3" l="1"/>
  <c r="Q234" i="3"/>
  <c r="T234" i="3"/>
  <c r="S234" i="3" s="1"/>
  <c r="R232" i="3"/>
  <c r="W232" i="3" s="1"/>
  <c r="H233" i="3"/>
  <c r="B234" i="3"/>
  <c r="E235" i="3"/>
  <c r="D235" i="3"/>
  <c r="AN234" i="3" l="1"/>
  <c r="AC234" i="3" s="1"/>
  <c r="C235" i="3"/>
  <c r="B235" i="3" s="1"/>
  <c r="S235" i="3"/>
  <c r="AC235" i="3" s="1"/>
  <c r="D236" i="3"/>
  <c r="E236" i="3"/>
  <c r="R233" i="3"/>
  <c r="W233" i="3" s="1"/>
  <c r="H234" i="3"/>
  <c r="C236" i="3" l="1"/>
  <c r="B236" i="3" s="1"/>
  <c r="S236" i="3"/>
  <c r="AC236" i="3" s="1"/>
  <c r="R234" i="3"/>
  <c r="W234" i="3" s="1"/>
  <c r="H235" i="3"/>
  <c r="E237" i="3"/>
  <c r="D237" i="3"/>
  <c r="C237" i="3" l="1"/>
  <c r="T237" i="3"/>
  <c r="S237" i="3" s="1"/>
  <c r="Q237" i="3"/>
  <c r="R235" i="3"/>
  <c r="W235" i="3" s="1"/>
  <c r="H236" i="3"/>
  <c r="E238" i="3"/>
  <c r="D238" i="3"/>
  <c r="B237" i="3"/>
  <c r="C238" i="3" l="1"/>
  <c r="AN237" i="3"/>
  <c r="AC237" i="3" s="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l="1"/>
  <c r="C242" i="3"/>
  <c r="R240" i="3"/>
  <c r="W240" i="3" s="1"/>
  <c r="H241" i="3"/>
  <c r="S242" i="3"/>
  <c r="AC242" i="3" s="1"/>
  <c r="E243" i="3"/>
  <c r="D243" i="3"/>
  <c r="B242" i="3" l="1"/>
  <c r="Q243" i="3"/>
  <c r="T243" i="3"/>
  <c r="S243" i="3" s="1"/>
  <c r="C243" i="3"/>
  <c r="D244" i="3"/>
  <c r="E244" i="3"/>
  <c r="R241" i="3"/>
  <c r="W241" i="3" s="1"/>
  <c r="H242" i="3"/>
  <c r="AN243" i="3" l="1"/>
  <c r="AC243" i="3" s="1"/>
  <c r="C244" i="3"/>
  <c r="R242" i="3"/>
  <c r="W242" i="3" s="1"/>
  <c r="B243" i="3"/>
  <c r="H243" i="3" s="1"/>
  <c r="E245" i="3"/>
  <c r="D245" i="3"/>
  <c r="S244" i="3"/>
  <c r="AC244" i="3" s="1"/>
  <c r="C245" i="3" l="1"/>
  <c r="S245" i="3"/>
  <c r="AC245" i="3" s="1"/>
  <c r="E246" i="3"/>
  <c r="D246" i="3"/>
  <c r="R243" i="3"/>
  <c r="W243" i="3" s="1"/>
  <c r="B244" i="3"/>
  <c r="H244" i="3" s="1"/>
  <c r="C246" i="3" l="1"/>
  <c r="B245" i="3"/>
  <c r="R244" i="3"/>
  <c r="W244" i="3" s="1"/>
  <c r="H245" i="3"/>
  <c r="E247" i="3"/>
  <c r="D247" i="3"/>
  <c r="S246" i="3"/>
  <c r="AC246" i="3" s="1"/>
  <c r="C247" i="3" l="1"/>
  <c r="S247" i="3"/>
  <c r="AC247" i="3" s="1"/>
  <c r="E248" i="3"/>
  <c r="D248" i="3"/>
  <c r="C248" i="3" s="1"/>
  <c r="B246" i="3"/>
  <c r="B247" i="3" s="1"/>
  <c r="R245" i="3"/>
  <c r="W245" i="3" s="1"/>
  <c r="H246" i="3"/>
  <c r="E249" i="3" l="1"/>
  <c r="D249" i="3"/>
  <c r="R246" i="3"/>
  <c r="W246" i="3" s="1"/>
  <c r="H247" i="3"/>
  <c r="S248" i="3"/>
  <c r="AC248" i="3" s="1"/>
  <c r="C249" i="3" l="1"/>
  <c r="B248" i="3"/>
  <c r="R247" i="3"/>
  <c r="W247" i="3" s="1"/>
  <c r="H248" i="3"/>
  <c r="S249" i="3"/>
  <c r="AC249" i="3" s="1"/>
  <c r="E250" i="3"/>
  <c r="D250" i="3"/>
  <c r="C250" i="3" l="1"/>
  <c r="R248" i="3"/>
  <c r="W248" i="3" s="1"/>
  <c r="H249" i="3"/>
  <c r="S250" i="3"/>
  <c r="AC250" i="3" s="1"/>
  <c r="E251" i="3"/>
  <c r="D251" i="3"/>
  <c r="B249" i="3"/>
  <c r="C251" i="3" l="1"/>
  <c r="R249" i="3"/>
  <c r="W249" i="3" s="1"/>
  <c r="H250" i="3"/>
  <c r="S251" i="3"/>
  <c r="AC251" i="3" s="1"/>
  <c r="D252" i="3"/>
  <c r="E252" i="3"/>
  <c r="B250" i="3"/>
  <c r="C252" i="3" l="1"/>
  <c r="D253" i="3"/>
  <c r="E253" i="3"/>
  <c r="R250" i="3"/>
  <c r="W250" i="3" s="1"/>
  <c r="H251" i="3"/>
  <c r="S252" i="3"/>
  <c r="AC252" i="3" s="1"/>
  <c r="B251" i="3"/>
  <c r="C253" i="3" l="1"/>
  <c r="R251" i="3"/>
  <c r="W251" i="3" s="1"/>
  <c r="H252" i="3"/>
  <c r="D254" i="3"/>
  <c r="E254" i="3"/>
  <c r="S253" i="3"/>
  <c r="AC253" i="3" s="1"/>
  <c r="B252" i="3"/>
  <c r="Q254" i="3" l="1"/>
  <c r="T254" i="3"/>
  <c r="S254" i="3" s="1"/>
  <c r="C254" i="3"/>
  <c r="D255" i="3"/>
  <c r="E255" i="3"/>
  <c r="R252" i="3"/>
  <c r="W252" i="3" s="1"/>
  <c r="H253" i="3"/>
  <c r="B253" i="3"/>
  <c r="AN254" i="3" l="1"/>
  <c r="AC254" i="3" s="1"/>
  <c r="C255" i="3"/>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l="1"/>
  <c r="C264" i="3"/>
  <c r="S264" i="3"/>
  <c r="AC264" i="3" s="1"/>
  <c r="R262" i="3"/>
  <c r="W262" i="3" s="1"/>
  <c r="H263" i="3"/>
  <c r="D265" i="3"/>
  <c r="E265" i="3"/>
  <c r="B264" i="3" l="1"/>
  <c r="C265" i="3"/>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Q268" i="3" l="1"/>
  <c r="T268" i="3"/>
  <c r="S268" i="3" s="1"/>
  <c r="B267" i="3"/>
  <c r="C268" i="3"/>
  <c r="R266" i="3"/>
  <c r="W266" i="3" s="1"/>
  <c r="H267" i="3"/>
  <c r="D269" i="3"/>
  <c r="AN268" i="3" l="1"/>
  <c r="AC268" i="3" s="1"/>
  <c r="Q269" i="3"/>
  <c r="T269" i="3"/>
  <c r="S269" i="3" s="1"/>
  <c r="C269" i="3"/>
  <c r="E270" i="3"/>
  <c r="D270" i="3"/>
  <c r="R267" i="3"/>
  <c r="W267" i="3" s="1"/>
  <c r="H268" i="3"/>
  <c r="B268" i="3"/>
  <c r="C270" i="3" l="1"/>
  <c r="AN269" i="3"/>
  <c r="AC269" i="3" s="1"/>
  <c r="E271" i="3"/>
  <c r="D271" i="3"/>
  <c r="C271" i="3" s="1"/>
  <c r="R268" i="3"/>
  <c r="W268" i="3" s="1"/>
  <c r="H269" i="3"/>
  <c r="S270" i="3"/>
  <c r="AC270" i="3" s="1"/>
  <c r="B269" i="3"/>
  <c r="B270" i="3" s="1"/>
  <c r="R269" i="3" l="1"/>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T280" i="3" l="1"/>
  <c r="S280" i="3" s="1"/>
  <c r="Q280" i="3"/>
  <c r="C280" i="3"/>
  <c r="E281" i="3"/>
  <c r="D281" i="3"/>
  <c r="R278" i="3"/>
  <c r="W278" i="3" s="1"/>
  <c r="H279" i="3"/>
  <c r="B279" i="3"/>
  <c r="B280" i="3" s="1"/>
  <c r="C281" i="3" l="1"/>
  <c r="AN280" i="3"/>
  <c r="AC280" i="3" s="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S284" i="3"/>
  <c r="AC284" i="3" s="1"/>
  <c r="E285" i="3"/>
  <c r="D285" i="3"/>
  <c r="B283" i="3"/>
  <c r="H283" i="3" s="1"/>
  <c r="C285" i="3" l="1"/>
  <c r="E286" i="3"/>
  <c r="D286" i="3"/>
  <c r="R283" i="3"/>
  <c r="W283" i="3" s="1"/>
  <c r="S285" i="3"/>
  <c r="AC285" i="3" s="1"/>
  <c r="B284" i="3"/>
  <c r="B285" i="3" s="1"/>
  <c r="C286" i="3" l="1"/>
  <c r="H284" i="3"/>
  <c r="H285" i="3" s="1"/>
  <c r="S286" i="3"/>
  <c r="AC286" i="3" s="1"/>
  <c r="E287" i="3"/>
  <c r="D287" i="3"/>
  <c r="B286" i="3"/>
  <c r="C287" i="3" l="1"/>
  <c r="R284" i="3"/>
  <c r="W284" i="3" s="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T292" i="3" l="1"/>
  <c r="S292" i="3" s="1"/>
  <c r="Q292" i="3"/>
  <c r="C292" i="3"/>
  <c r="R290" i="3"/>
  <c r="W290" i="3" s="1"/>
  <c r="H291" i="3"/>
  <c r="B291" i="3"/>
  <c r="E293" i="3"/>
  <c r="D293" i="3"/>
  <c r="AN292" i="3" l="1"/>
  <c r="AC292" i="3" s="1"/>
  <c r="C293" i="3"/>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C301" i="3" l="1"/>
  <c r="B300" i="3"/>
  <c r="S301" i="3"/>
  <c r="AC301" i="3" s="1"/>
  <c r="E302" i="3"/>
  <c r="D302" i="3"/>
  <c r="R299" i="3"/>
  <c r="W299" i="3" s="1"/>
  <c r="H300" i="3"/>
  <c r="B301" i="3" l="1"/>
  <c r="C302" i="3"/>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T309" i="3" l="1"/>
  <c r="S309" i="3" s="1"/>
  <c r="Q309" i="3"/>
  <c r="C309" i="3"/>
  <c r="R307" i="3"/>
  <c r="W307" i="3" s="1"/>
  <c r="H308" i="3"/>
  <c r="E310" i="3"/>
  <c r="D310" i="3"/>
  <c r="B308" i="3"/>
  <c r="C310" i="3" l="1"/>
  <c r="AN309" i="3"/>
  <c r="AC309" i="3" s="1"/>
  <c r="S310" i="3"/>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C328" i="3" s="1"/>
  <c r="B326" i="3"/>
  <c r="E329" i="3" l="1"/>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B332" i="3" s="1"/>
  <c r="S332" i="3"/>
  <c r="AC332" i="3" s="1"/>
  <c r="E333" i="3"/>
  <c r="D333" i="3"/>
  <c r="R330" i="3"/>
  <c r="W330" i="3" s="1"/>
  <c r="H331" i="3"/>
  <c r="C333" i="3" l="1"/>
  <c r="B333" i="3" s="1"/>
  <c r="E334" i="3"/>
  <c r="D334" i="3"/>
  <c r="S333" i="3"/>
  <c r="AC333" i="3" s="1"/>
  <c r="R331" i="3"/>
  <c r="W331" i="3" s="1"/>
  <c r="H332"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B344" i="3" s="1"/>
  <c r="S344" i="3"/>
  <c r="AC344" i="3" s="1"/>
  <c r="E345" i="3"/>
  <c r="D345" i="3"/>
  <c r="R342" i="3"/>
  <c r="W342" i="3" s="1"/>
  <c r="H343" i="3"/>
  <c r="C345" i="3" l="1"/>
  <c r="E346" i="3"/>
  <c r="D346" i="3"/>
  <c r="S345" i="3"/>
  <c r="AC345" i="3" s="1"/>
  <c r="R343" i="3"/>
  <c r="W343" i="3" s="1"/>
  <c r="H344" i="3"/>
  <c r="B345" i="3"/>
  <c r="C346" i="3" l="1"/>
  <c r="R344" i="3"/>
  <c r="W344" i="3" s="1"/>
  <c r="H345" i="3"/>
  <c r="S346" i="3"/>
  <c r="AC346" i="3" s="1"/>
  <c r="E347" i="3"/>
  <c r="D347" i="3"/>
  <c r="C347" i="3" l="1"/>
  <c r="E348" i="3"/>
  <c r="D348" i="3"/>
  <c r="C348" i="3" s="1"/>
  <c r="S347" i="3"/>
  <c r="AC347" i="3" s="1"/>
  <c r="R345" i="3"/>
  <c r="W345" i="3" s="1"/>
  <c r="H346" i="3"/>
  <c r="B346" i="3"/>
  <c r="B347" i="3" s="1"/>
  <c r="R346" i="3" l="1"/>
  <c r="W346" i="3" s="1"/>
  <c r="H347" i="3"/>
  <c r="S348" i="3"/>
  <c r="AC348" i="3" s="1"/>
  <c r="E349" i="3"/>
  <c r="D349" i="3"/>
  <c r="B348" i="3"/>
  <c r="C349" i="3" l="1"/>
  <c r="S349" i="3"/>
  <c r="AC349" i="3" s="1"/>
  <c r="R347" i="3"/>
  <c r="W347" i="3" s="1"/>
  <c r="H348" i="3"/>
  <c r="E350" i="3"/>
  <c r="D350" i="3"/>
  <c r="C350" i="3" l="1"/>
  <c r="S350" i="3"/>
  <c r="AC350" i="3" s="1"/>
  <c r="E351" i="3"/>
  <c r="D351" i="3"/>
  <c r="R348" i="3"/>
  <c r="W348" i="3" s="1"/>
  <c r="H349" i="3"/>
  <c r="B349" i="3"/>
  <c r="C351" i="3" l="1"/>
  <c r="B350" i="3"/>
  <c r="S351" i="3"/>
  <c r="AC351" i="3" s="1"/>
  <c r="D352" i="3"/>
  <c r="E352" i="3"/>
  <c r="R349" i="3"/>
  <c r="W349" i="3" s="1"/>
  <c r="H350" i="3"/>
  <c r="B351" i="3"/>
  <c r="C352" i="3" l="1"/>
  <c r="B352" i="3" s="1"/>
  <c r="E353" i="3"/>
  <c r="D353" i="3"/>
  <c r="S352" i="3"/>
  <c r="AC352" i="3" s="1"/>
  <c r="R350" i="3"/>
  <c r="W350" i="3" s="1"/>
  <c r="H351"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C356" i="3" l="1"/>
  <c r="B355" i="3"/>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T365" i="3"/>
  <c r="S365" i="3" s="1"/>
  <c r="Q365" i="3"/>
  <c r="H363" i="3"/>
  <c r="R363" i="3" s="1"/>
  <c r="W363" i="3" s="1"/>
  <c r="C365" i="3"/>
  <c r="D366" i="3"/>
  <c r="E366" i="3"/>
  <c r="AN365" i="3" l="1"/>
  <c r="AC365" i="3" s="1"/>
  <c r="H364" i="3"/>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l="1"/>
  <c r="C377" i="3"/>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l="1"/>
  <c r="C381" i="3"/>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l="1"/>
  <c r="C387" i="3"/>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l="1"/>
  <c r="R398" i="3"/>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S404" i="3"/>
  <c r="AC404" i="3" s="1"/>
  <c r="E405" i="3"/>
  <c r="D405" i="3"/>
  <c r="B403" i="3"/>
  <c r="H403" i="3" s="1"/>
  <c r="C405" i="3" l="1"/>
  <c r="S405" i="3"/>
  <c r="AC405" i="3" s="1"/>
  <c r="R403" i="3"/>
  <c r="W403" i="3" s="1"/>
  <c r="E406" i="3"/>
  <c r="D406" i="3"/>
  <c r="B404" i="3"/>
  <c r="B405" i="3" s="1"/>
  <c r="H404" i="3" l="1"/>
  <c r="R404" i="3" s="1"/>
  <c r="W404" i="3" s="1"/>
  <c r="C406" i="3"/>
  <c r="B406" i="3" s="1"/>
  <c r="S406" i="3"/>
  <c r="AC406" i="3" s="1"/>
  <c r="E407" i="3"/>
  <c r="D407" i="3"/>
  <c r="C407" i="3" l="1"/>
  <c r="H405" i="3"/>
  <c r="R405" i="3" s="1"/>
  <c r="W405" i="3" s="1"/>
  <c r="S407" i="3"/>
  <c r="AC407" i="3" s="1"/>
  <c r="E408" i="3"/>
  <c r="D408" i="3"/>
  <c r="B407" i="3"/>
  <c r="H406" i="3" l="1"/>
  <c r="H407" i="3" s="1"/>
  <c r="C408" i="3"/>
  <c r="S408" i="3"/>
  <c r="AC408" i="3" s="1"/>
  <c r="E409" i="3"/>
  <c r="D409" i="3"/>
  <c r="C409" i="3" s="1"/>
  <c r="B408" i="3"/>
  <c r="R406" i="3" l="1"/>
  <c r="W406" i="3" s="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l="1"/>
  <c r="C424" i="3"/>
  <c r="R422" i="3"/>
  <c r="W422" i="3" s="1"/>
  <c r="H423" i="3"/>
  <c r="D425" i="3"/>
  <c r="E425" i="3"/>
  <c r="S424" i="3"/>
  <c r="AC424" i="3" s="1"/>
  <c r="C425" i="3" l="1"/>
  <c r="D426" i="3"/>
  <c r="E426" i="3"/>
  <c r="S425" i="3"/>
  <c r="AC425" i="3" s="1"/>
  <c r="R423" i="3"/>
  <c r="W423" i="3" s="1"/>
  <c r="B424" i="3"/>
  <c r="H424" i="3" s="1"/>
  <c r="C426" i="3" l="1"/>
  <c r="R424" i="3"/>
  <c r="W424" i="3" s="1"/>
  <c r="H425" i="3"/>
  <c r="D427" i="3"/>
  <c r="E427" i="3"/>
  <c r="S426" i="3"/>
  <c r="AC426" i="3" s="1"/>
  <c r="B425" i="3"/>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B446" i="3" l="1"/>
  <c r="C447"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B452" i="3" s="1"/>
  <c r="R450" i="3"/>
  <c r="W450" i="3" s="1"/>
  <c r="H451" i="3"/>
  <c r="S452" i="3"/>
  <c r="AC452" i="3" s="1"/>
  <c r="E453" i="3"/>
  <c r="D453" i="3"/>
  <c r="C453" i="3" s="1"/>
  <c r="D454" i="3" l="1"/>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l="1"/>
  <c r="C456" i="3"/>
  <c r="D457" i="3"/>
  <c r="E457" i="3"/>
  <c r="S456" i="3"/>
  <c r="AC456" i="3" s="1"/>
  <c r="R454" i="3"/>
  <c r="W454" i="3" s="1"/>
  <c r="H455" i="3"/>
  <c r="B456" i="3" l="1"/>
  <c r="C457" i="3"/>
  <c r="R455" i="3"/>
  <c r="W455" i="3" s="1"/>
  <c r="H456" i="3"/>
  <c r="E458" i="3"/>
  <c r="D458" i="3"/>
  <c r="S457" i="3"/>
  <c r="AC457" i="3" s="1"/>
  <c r="C458" i="3" l="1"/>
  <c r="E459" i="3"/>
  <c r="D459" i="3"/>
  <c r="C459" i="3" s="1"/>
  <c r="S458" i="3"/>
  <c r="AC458" i="3" s="1"/>
  <c r="R456" i="3"/>
  <c r="W456" i="3" s="1"/>
  <c r="H457" i="3"/>
  <c r="B457" i="3"/>
  <c r="R457" i="3" l="1"/>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S464" i="3"/>
  <c r="AC464" i="3" s="1"/>
  <c r="B463" i="3"/>
  <c r="B464" i="3" l="1"/>
  <c r="H463" i="3"/>
  <c r="R463" i="3" s="1"/>
  <c r="W463" i="3" s="1"/>
  <c r="C465" i="3"/>
  <c r="E466" i="3"/>
  <c r="D466" i="3"/>
  <c r="S465" i="3"/>
  <c r="AC465" i="3" s="1"/>
  <c r="H464" i="3" l="1"/>
  <c r="H465" i="3" s="1"/>
  <c r="C466" i="3"/>
  <c r="E467" i="3"/>
  <c r="D467" i="3"/>
  <c r="S466" i="3"/>
  <c r="AC466" i="3" s="1"/>
  <c r="B465" i="3"/>
  <c r="R464" i="3" l="1"/>
  <c r="W464" i="3" s="1"/>
  <c r="C467" i="3"/>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l="1"/>
  <c r="C480" i="3"/>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E490" i="3"/>
  <c r="D490" i="3"/>
  <c r="S489" i="3"/>
  <c r="AC489" i="3" s="1"/>
  <c r="R487" i="3"/>
  <c r="W487" i="3" s="1"/>
  <c r="H488" i="3"/>
  <c r="B489"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C497" i="3" l="1"/>
  <c r="B496" i="3"/>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B501" i="3" s="1"/>
  <c r="R499" i="3"/>
  <c r="W499" i="3" s="1"/>
  <c r="H500" i="3"/>
  <c r="S501" i="3"/>
  <c r="AC501" i="3" s="1"/>
  <c r="E502" i="3"/>
  <c r="D502" i="3"/>
  <c r="C502" i="3" l="1"/>
  <c r="S502" i="3"/>
  <c r="AC502" i="3" s="1"/>
  <c r="B502" i="3"/>
  <c r="E503" i="3"/>
  <c r="D503" i="3"/>
  <c r="R500" i="3"/>
  <c r="W500" i="3" s="1"/>
  <c r="H501" i="3"/>
  <c r="C503" i="3" l="1"/>
  <c r="E504" i="3"/>
  <c r="D504" i="3"/>
  <c r="C504" i="3" s="1"/>
  <c r="R501" i="3"/>
  <c r="W501" i="3" s="1"/>
  <c r="H502" i="3"/>
  <c r="S503" i="3"/>
  <c r="AC503" i="3" s="1"/>
  <c r="R502" i="3" l="1"/>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B523" i="3"/>
  <c r="H523" i="3" s="1"/>
  <c r="D525" i="3"/>
  <c r="E525" i="3"/>
  <c r="S524" i="3"/>
  <c r="AC524" i="3" s="1"/>
  <c r="C525" i="3" l="1"/>
  <c r="D526" i="3"/>
  <c r="E526" i="3"/>
  <c r="S525" i="3"/>
  <c r="AC525" i="3" s="1"/>
  <c r="R523" i="3"/>
  <c r="W523" i="3" s="1"/>
  <c r="B524" i="3"/>
  <c r="H524" i="3" s="1"/>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B546" i="3" s="1"/>
  <c r="C547" i="3" l="1"/>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C552" i="3" l="1"/>
  <c r="B551"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B554" i="3" l="1"/>
  <c r="C555" i="3"/>
  <c r="S555" i="3"/>
  <c r="AC555" i="3" s="1"/>
  <c r="R553" i="3"/>
  <c r="W553" i="3" s="1"/>
  <c r="H554" i="3"/>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C578" i="3" s="1"/>
  <c r="R575" i="3"/>
  <c r="W575" i="3" s="1"/>
  <c r="H576" i="3"/>
  <c r="B577" i="3"/>
  <c r="R576" i="3" l="1"/>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B582" i="3"/>
  <c r="H582" i="3" s="1"/>
  <c r="C584" i="3" l="1"/>
  <c r="R582" i="3"/>
  <c r="W582" i="3" s="1"/>
  <c r="S584" i="3"/>
  <c r="AC584" i="3" s="1"/>
  <c r="E585" i="3"/>
  <c r="D585" i="3"/>
  <c r="B583" i="3"/>
  <c r="H583" i="3" s="1"/>
  <c r="C585" i="3" l="1"/>
  <c r="S585" i="3"/>
  <c r="AC585" i="3" s="1"/>
  <c r="R583" i="3"/>
  <c r="W583" i="3" s="1"/>
  <c r="E586" i="3"/>
  <c r="D586" i="3"/>
  <c r="B584" i="3"/>
  <c r="H584" i="3" s="1"/>
  <c r="C586" i="3" l="1"/>
  <c r="S586" i="3"/>
  <c r="AC586" i="3" s="1"/>
  <c r="E587" i="3"/>
  <c r="D587" i="3"/>
  <c r="R584" i="3"/>
  <c r="W584" i="3" s="1"/>
  <c r="H585" i="3"/>
  <c r="B585" i="3"/>
  <c r="B586" i="3" l="1"/>
  <c r="C587" i="3"/>
  <c r="S587" i="3"/>
  <c r="AC587" i="3" s="1"/>
  <c r="E588" i="3"/>
  <c r="D588" i="3"/>
  <c r="C588" i="3" s="1"/>
  <c r="R585" i="3"/>
  <c r="W585" i="3" s="1"/>
  <c r="H586" i="3"/>
  <c r="B587" i="3"/>
  <c r="S588" i="3" l="1"/>
  <c r="AC588" i="3" s="1"/>
  <c r="E589" i="3"/>
  <c r="D589" i="3"/>
  <c r="R586" i="3"/>
  <c r="W586" i="3" s="1"/>
  <c r="H587" i="3"/>
  <c r="B588" i="3"/>
  <c r="C589" i="3" l="1"/>
  <c r="B589" i="3" s="1"/>
  <c r="S589" i="3"/>
  <c r="AC589" i="3" s="1"/>
  <c r="E590" i="3"/>
  <c r="D590" i="3"/>
  <c r="R587" i="3"/>
  <c r="W587" i="3" s="1"/>
  <c r="H588" i="3"/>
  <c r="C590" i="3" l="1"/>
  <c r="B590" i="3" s="1"/>
  <c r="S590" i="3"/>
  <c r="AC590" i="3" s="1"/>
  <c r="E591" i="3"/>
  <c r="D591" i="3"/>
  <c r="R588" i="3"/>
  <c r="W588" i="3" s="1"/>
  <c r="H589" i="3"/>
  <c r="C591" i="3" l="1"/>
  <c r="B591" i="3" s="1"/>
  <c r="S591" i="3"/>
  <c r="AC591" i="3" s="1"/>
  <c r="E592" i="3"/>
  <c r="D592" i="3"/>
  <c r="R589" i="3"/>
  <c r="W589" i="3" s="1"/>
  <c r="H590" i="3"/>
  <c r="C592" i="3" l="1"/>
  <c r="B592" i="3" s="1"/>
  <c r="S592" i="3"/>
  <c r="AC592" i="3" s="1"/>
  <c r="E593" i="3"/>
  <c r="D593" i="3"/>
  <c r="R590" i="3"/>
  <c r="W590" i="3" s="1"/>
  <c r="H591" i="3"/>
  <c r="C593" i="3" l="1"/>
  <c r="S593" i="3"/>
  <c r="AC593" i="3" s="1"/>
  <c r="E594" i="3"/>
  <c r="D594" i="3"/>
  <c r="R591" i="3"/>
  <c r="W591" i="3" s="1"/>
  <c r="H592" i="3"/>
  <c r="B593" i="3"/>
  <c r="C594" i="3" l="1"/>
  <c r="B594" i="3"/>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R597" i="3"/>
  <c r="W597" i="3" s="1"/>
  <c r="H598" i="3"/>
  <c r="B599" i="3"/>
  <c r="C600" i="3" l="1"/>
  <c r="S600" i="3"/>
  <c r="AC600" i="3" s="1"/>
  <c r="E601" i="3"/>
  <c r="D601" i="3"/>
  <c r="R598" i="3"/>
  <c r="W598" i="3" s="1"/>
  <c r="H599" i="3"/>
  <c r="B600" i="3"/>
  <c r="C601" i="3" l="1"/>
  <c r="B601" i="3" s="1"/>
  <c r="S601" i="3"/>
  <c r="AC601" i="3" s="1"/>
  <c r="E602" i="3"/>
  <c r="D602" i="3"/>
  <c r="C602" i="3" s="1"/>
  <c r="R599" i="3"/>
  <c r="W599" i="3" s="1"/>
  <c r="H600" i="3"/>
  <c r="B602" i="3" l="1"/>
  <c r="S602" i="3"/>
  <c r="AC602" i="3" s="1"/>
  <c r="E603" i="3"/>
  <c r="D603" i="3"/>
  <c r="C603" i="3" s="1"/>
  <c r="R600" i="3"/>
  <c r="W600" i="3" s="1"/>
  <c r="H601" i="3"/>
  <c r="S603" i="3" l="1"/>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s="1"/>
  <c r="S608" i="3" l="1"/>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E613" i="3"/>
  <c r="D613" i="3"/>
  <c r="S612" i="3"/>
  <c r="AC612" i="3" s="1"/>
  <c r="R610" i="3"/>
  <c r="W610" i="3" s="1"/>
  <c r="H611" i="3"/>
  <c r="B612"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C623" i="3" s="1"/>
  <c r="B621" i="3"/>
  <c r="B622" i="3" s="1"/>
  <c r="S623" i="3" l="1"/>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s="1"/>
  <c r="C627" i="3" l="1"/>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B649" i="3" l="1"/>
  <c r="B650" i="3" s="1"/>
  <c r="C650" i="3"/>
  <c r="S650" i="3"/>
  <c r="AC650" i="3" s="1"/>
  <c r="E651" i="3"/>
  <c r="D651" i="3"/>
  <c r="C651" i="3" s="1"/>
  <c r="R648" i="3"/>
  <c r="W648" i="3" s="1"/>
  <c r="H649" i="3"/>
  <c r="S651" i="3" l="1"/>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C676" i="3" s="1"/>
  <c r="R673" i="3"/>
  <c r="W673" i="3" s="1"/>
  <c r="H674" i="3"/>
  <c r="S676" i="3" l="1"/>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C679" i="3" s="1"/>
  <c r="B678" i="3"/>
  <c r="E680" i="3" l="1"/>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C684" i="3" s="1"/>
  <c r="B682" i="3"/>
  <c r="B683" i="3" s="1"/>
  <c r="S684" i="3" l="1"/>
  <c r="AC684" i="3" s="1"/>
  <c r="E685" i="3"/>
  <c r="D685" i="3"/>
  <c r="C685" i="3" s="1"/>
  <c r="B684" i="3"/>
  <c r="R682" i="3"/>
  <c r="W682" i="3" s="1"/>
  <c r="H683" i="3"/>
  <c r="S685" i="3" l="1"/>
  <c r="AC685" i="3" s="1"/>
  <c r="E686" i="3"/>
  <c r="D686" i="3"/>
  <c r="R683" i="3"/>
  <c r="W683" i="3" s="1"/>
  <c r="H684" i="3"/>
  <c r="B685" i="3"/>
  <c r="C686" i="3" l="1"/>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s="1"/>
  <c r="C691" i="3" l="1"/>
  <c r="S691" i="3"/>
  <c r="AC691" i="3" s="1"/>
  <c r="E692" i="3"/>
  <c r="D692" i="3"/>
  <c r="C692" i="3" s="1"/>
  <c r="R689" i="3"/>
  <c r="W689" i="3" s="1"/>
  <c r="H690" i="3"/>
  <c r="B691" i="3"/>
  <c r="S692" i="3" l="1"/>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R695" i="3"/>
  <c r="W695" i="3" s="1"/>
  <c r="H696" i="3"/>
  <c r="B697" i="3"/>
  <c r="C698" i="3" l="1"/>
  <c r="S698" i="3"/>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C709" i="3" s="1"/>
  <c r="R706" i="3"/>
  <c r="W706" i="3" s="1"/>
  <c r="H707" i="3"/>
  <c r="B707" i="3"/>
  <c r="E710" i="3" l="1"/>
  <c r="D710" i="3"/>
  <c r="R707" i="3"/>
  <c r="W707" i="3" s="1"/>
  <c r="H708" i="3"/>
  <c r="S709" i="3"/>
  <c r="AC709" i="3" s="1"/>
  <c r="B708" i="3"/>
  <c r="B709" i="3" s="1"/>
  <c r="C710" i="3" l="1"/>
  <c r="R708" i="3"/>
  <c r="W708" i="3" s="1"/>
  <c r="H709" i="3"/>
  <c r="S710" i="3"/>
  <c r="AC710" i="3" s="1"/>
  <c r="E711" i="3"/>
  <c r="D711" i="3"/>
  <c r="C711" i="3" s="1"/>
  <c r="B710" i="3"/>
  <c r="E712" i="3" l="1"/>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l="1"/>
  <c r="S722" i="3"/>
  <c r="AC722" i="3" s="1"/>
  <c r="R720" i="3"/>
  <c r="W720" i="3" s="1"/>
  <c r="H721" i="3"/>
  <c r="E723" i="3"/>
  <c r="D723" i="3"/>
  <c r="B721" i="3"/>
  <c r="B722" i="3" s="1"/>
  <c r="C723" i="3" l="1"/>
  <c r="S723" i="3"/>
  <c r="AC723" i="3" s="1"/>
  <c r="E724" i="3"/>
  <c r="D724" i="3"/>
  <c r="C724" i="3" s="1"/>
  <c r="R721" i="3"/>
  <c r="W721" i="3" s="1"/>
  <c r="H722" i="3"/>
  <c r="B723" i="3"/>
  <c r="S724" i="3" l="1"/>
  <c r="AC724" i="3" s="1"/>
  <c r="E725" i="3"/>
  <c r="D725" i="3"/>
  <c r="R722" i="3"/>
  <c r="W722" i="3" s="1"/>
  <c r="H723" i="3"/>
  <c r="B724" i="3"/>
  <c r="C725" i="3" l="1"/>
  <c r="B725" i="3" s="1"/>
  <c r="E726" i="3"/>
  <c r="D726" i="3"/>
  <c r="S725" i="3"/>
  <c r="AC725" i="3" s="1"/>
  <c r="R723" i="3"/>
  <c r="W723" i="3" s="1"/>
  <c r="H724" i="3"/>
  <c r="C726" i="3" l="1"/>
  <c r="R724" i="3"/>
  <c r="W724" i="3" s="1"/>
  <c r="H725" i="3"/>
  <c r="S726" i="3"/>
  <c r="AC726" i="3" s="1"/>
  <c r="E727" i="3"/>
  <c r="D727" i="3"/>
  <c r="C727" i="3" s="1"/>
  <c r="E728" i="3" l="1"/>
  <c r="D728" i="3"/>
  <c r="S727" i="3"/>
  <c r="AC727" i="3" s="1"/>
  <c r="R725" i="3"/>
  <c r="W725" i="3" s="1"/>
  <c r="H726" i="3"/>
  <c r="B726" i="3"/>
  <c r="C728" i="3" l="1"/>
  <c r="R726" i="3"/>
  <c r="W726" i="3" s="1"/>
  <c r="H727" i="3"/>
  <c r="B727" i="3"/>
  <c r="S728" i="3"/>
  <c r="AC728" i="3" s="1"/>
  <c r="E729" i="3"/>
  <c r="D729" i="3"/>
  <c r="C729" i="3" l="1"/>
  <c r="S729" i="3"/>
  <c r="AC729" i="3" s="1"/>
  <c r="E730" i="3"/>
  <c r="D730" i="3"/>
  <c r="C730" i="3" s="1"/>
  <c r="R727" i="3"/>
  <c r="W727" i="3" s="1"/>
  <c r="H728" i="3"/>
  <c r="B728" i="3"/>
  <c r="E731" i="3" l="1"/>
  <c r="D731" i="3"/>
  <c r="C731" i="3" s="1"/>
  <c r="R728" i="3"/>
  <c r="W728" i="3" s="1"/>
  <c r="H729" i="3"/>
  <c r="S730" i="3"/>
  <c r="AC730" i="3" s="1"/>
  <c r="B729" i="3"/>
  <c r="B730" i="3" s="1"/>
  <c r="R729" i="3" l="1"/>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B748" i="3"/>
  <c r="B749" i="3" l="1"/>
  <c r="C750" i="3"/>
  <c r="E751" i="3"/>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B759" i="3"/>
  <c r="C761" i="3" l="1"/>
  <c r="S761" i="3"/>
  <c r="AC761" i="3" s="1"/>
  <c r="R759" i="3"/>
  <c r="W759" i="3" s="1"/>
  <c r="H760" i="3"/>
  <c r="E762" i="3"/>
  <c r="D762" i="3"/>
  <c r="B760" i="3"/>
  <c r="B761" i="3" s="1"/>
  <c r="C762" i="3" l="1"/>
  <c r="B762" i="3" s="1"/>
  <c r="S762" i="3"/>
  <c r="AC762" i="3" s="1"/>
  <c r="E763" i="3"/>
  <c r="D763" i="3"/>
  <c r="R760" i="3"/>
  <c r="W760" i="3" s="1"/>
  <c r="H761" i="3"/>
  <c r="C763" i="3" l="1"/>
  <c r="S763" i="3"/>
  <c r="AC763" i="3" s="1"/>
  <c r="E764" i="3"/>
  <c r="D764" i="3"/>
  <c r="R761" i="3"/>
  <c r="W761" i="3" s="1"/>
  <c r="H762" i="3"/>
  <c r="B763" i="3"/>
  <c r="C764" i="3" l="1"/>
  <c r="S764" i="3"/>
  <c r="AC764" i="3" s="1"/>
  <c r="E765" i="3"/>
  <c r="D765" i="3"/>
  <c r="R762" i="3"/>
  <c r="W762" i="3" s="1"/>
  <c r="H763" i="3"/>
  <c r="B764" i="3"/>
  <c r="C765" i="3" l="1"/>
  <c r="S765" i="3"/>
  <c r="AC765" i="3" s="1"/>
  <c r="R763" i="3"/>
  <c r="W763" i="3" s="1"/>
  <c r="H764" i="3"/>
  <c r="E766" i="3"/>
  <c r="D766" i="3"/>
  <c r="B765" i="3"/>
  <c r="C766" i="3" l="1"/>
  <c r="B766" i="3" s="1"/>
  <c r="R764" i="3"/>
  <c r="W764" i="3" s="1"/>
  <c r="H765" i="3"/>
  <c r="S766" i="3"/>
  <c r="AC766" i="3" s="1"/>
  <c r="E767" i="3"/>
  <c r="D767" i="3"/>
  <c r="C767" i="3" l="1"/>
  <c r="S767" i="3"/>
  <c r="AC767" i="3" s="1"/>
  <c r="E768" i="3"/>
  <c r="D768" i="3"/>
  <c r="B767"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B777" i="3"/>
  <c r="C779" i="3" l="1"/>
  <c r="R777" i="3"/>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C783" i="3" l="1"/>
  <c r="R781" i="3"/>
  <c r="W781" i="3" s="1"/>
  <c r="H782" i="3"/>
  <c r="S783" i="3"/>
  <c r="AC783" i="3" s="1"/>
  <c r="E784" i="3"/>
  <c r="D784" i="3"/>
  <c r="C784" i="3" s="1"/>
  <c r="B782" i="3"/>
  <c r="S784" i="3" l="1"/>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s="1"/>
  <c r="C788" i="3" l="1"/>
  <c r="B788" i="3" s="1"/>
  <c r="R786" i="3"/>
  <c r="W786" i="3" s="1"/>
  <c r="H787" i="3"/>
  <c r="S788" i="3"/>
  <c r="AC788" i="3" s="1"/>
  <c r="E789" i="3"/>
  <c r="D789" i="3"/>
  <c r="C789" i="3" l="1"/>
  <c r="B789" i="3" s="1"/>
  <c r="S789" i="3"/>
  <c r="AC789" i="3" s="1"/>
  <c r="E790" i="3"/>
  <c r="D790" i="3"/>
  <c r="R787" i="3"/>
  <c r="W787" i="3" s="1"/>
  <c r="H788" i="3"/>
  <c r="C790" i="3" l="1"/>
  <c r="B790" i="3" s="1"/>
  <c r="S790" i="3"/>
  <c r="AC790" i="3" s="1"/>
  <c r="E791" i="3"/>
  <c r="D791" i="3"/>
  <c r="R788" i="3"/>
  <c r="W788" i="3" s="1"/>
  <c r="H789" i="3"/>
  <c r="C791" i="3" l="1"/>
  <c r="S791" i="3"/>
  <c r="AC791" i="3" s="1"/>
  <c r="R789" i="3"/>
  <c r="W789" i="3" s="1"/>
  <c r="H790" i="3"/>
  <c r="E792" i="3"/>
  <c r="D792" i="3"/>
  <c r="B791" i="3"/>
  <c r="C792" i="3" l="1"/>
  <c r="R790" i="3"/>
  <c r="W790" i="3" s="1"/>
  <c r="H791" i="3"/>
  <c r="S792" i="3"/>
  <c r="AC792" i="3" s="1"/>
  <c r="E793" i="3"/>
  <c r="D793" i="3"/>
  <c r="C793" i="3" s="1"/>
  <c r="B792" i="3"/>
  <c r="E794" i="3" l="1"/>
  <c r="D794" i="3"/>
  <c r="S793" i="3"/>
  <c r="AC793" i="3" s="1"/>
  <c r="R791" i="3"/>
  <c r="W791" i="3" s="1"/>
  <c r="H792" i="3"/>
  <c r="C794" i="3" l="1"/>
  <c r="R792" i="3"/>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C813" i="3" s="1"/>
  <c r="R810" i="3"/>
  <c r="W810" i="3" s="1"/>
  <c r="H811" i="3"/>
  <c r="B811" i="3"/>
  <c r="B812" i="3" s="1"/>
  <c r="E814" i="3" l="1"/>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E820" i="3"/>
  <c r="D820" i="3"/>
  <c r="S819" i="3"/>
  <c r="AC819" i="3" s="1"/>
  <c r="R817" i="3"/>
  <c r="W817" i="3" s="1"/>
  <c r="H818" i="3"/>
  <c r="B819" i="3"/>
  <c r="C820" i="3" l="1"/>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H845" i="3" s="1"/>
  <c r="C846" i="3"/>
  <c r="D847" i="3"/>
  <c r="E847" i="3"/>
  <c r="S846" i="3"/>
  <c r="AC846" i="3" s="1"/>
  <c r="R844" i="3" l="1"/>
  <c r="W844" i="3" s="1"/>
  <c r="C847" i="3"/>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H854" i="3"/>
  <c r="B854" i="3"/>
  <c r="B855" i="3" l="1"/>
  <c r="C856" i="3"/>
  <c r="R854" i="3"/>
  <c r="W854" i="3" s="1"/>
  <c r="H855" i="3"/>
  <c r="D857" i="3"/>
  <c r="E857" i="3"/>
  <c r="S856" i="3"/>
  <c r="AC856" i="3" s="1"/>
  <c r="C857" i="3" l="1"/>
  <c r="D858" i="3"/>
  <c r="E858" i="3"/>
  <c r="S857" i="3"/>
  <c r="AC857" i="3" s="1"/>
  <c r="R855" i="3"/>
  <c r="W855" i="3" s="1"/>
  <c r="H856" i="3"/>
  <c r="B856" i="3"/>
  <c r="B857" i="3" s="1"/>
  <c r="C858" i="3" l="1"/>
  <c r="R856" i="3"/>
  <c r="W856" i="3" s="1"/>
  <c r="H857" i="3"/>
  <c r="D859" i="3"/>
  <c r="E859" i="3"/>
  <c r="S858" i="3"/>
  <c r="AC858" i="3" s="1"/>
  <c r="C859" i="3" l="1"/>
  <c r="D860" i="3"/>
  <c r="E860" i="3"/>
  <c r="S859" i="3"/>
  <c r="AC859" i="3" s="1"/>
  <c r="R857" i="3"/>
  <c r="W857" i="3" s="1"/>
  <c r="H858" i="3"/>
  <c r="B858" i="3"/>
  <c r="B859" i="3" s="1"/>
  <c r="C860" i="3" l="1"/>
  <c r="R858" i="3"/>
  <c r="W858" i="3" s="1"/>
  <c r="H859" i="3"/>
  <c r="D861" i="3"/>
  <c r="E861" i="3"/>
  <c r="S860" i="3"/>
  <c r="AC860" i="3" s="1"/>
  <c r="C861" i="3" l="1"/>
  <c r="D862" i="3"/>
  <c r="E862" i="3"/>
  <c r="S861" i="3"/>
  <c r="AC861" i="3" s="1"/>
  <c r="R859" i="3"/>
  <c r="W859" i="3" s="1"/>
  <c r="H860" i="3"/>
  <c r="B860" i="3"/>
  <c r="B861" i="3" s="1"/>
  <c r="C862" i="3" l="1"/>
  <c r="R860" i="3"/>
  <c r="W860" i="3" s="1"/>
  <c r="H861" i="3"/>
  <c r="D863" i="3"/>
  <c r="E863" i="3"/>
  <c r="S862" i="3"/>
  <c r="AC862" i="3" s="1"/>
  <c r="C863" i="3" l="1"/>
  <c r="E864" i="3"/>
  <c r="D864" i="3"/>
  <c r="S863" i="3"/>
  <c r="AC863" i="3" s="1"/>
  <c r="R861" i="3"/>
  <c r="W861" i="3" s="1"/>
  <c r="H862" i="3"/>
  <c r="B862" i="3"/>
  <c r="B863" i="3" s="1"/>
  <c r="C864" i="3" l="1"/>
  <c r="R862" i="3"/>
  <c r="W862" i="3" s="1"/>
  <c r="H863" i="3"/>
  <c r="S864" i="3"/>
  <c r="AC864" i="3" s="1"/>
  <c r="E865" i="3"/>
  <c r="D865" i="3"/>
  <c r="C865" i="3" s="1"/>
  <c r="R863" i="3" l="1"/>
  <c r="W863" i="3" s="1"/>
  <c r="H864" i="3"/>
  <c r="S865" i="3"/>
  <c r="AC865" i="3" s="1"/>
  <c r="E866" i="3"/>
  <c r="D866" i="3"/>
  <c r="C866" i="3" s="1"/>
  <c r="B864" i="3"/>
  <c r="S866" i="3" l="1"/>
  <c r="AC866" i="3" s="1"/>
  <c r="R864" i="3"/>
  <c r="W864" i="3" s="1"/>
  <c r="H865" i="3"/>
  <c r="E867" i="3"/>
  <c r="D867" i="3"/>
  <c r="C867" i="3" s="1"/>
  <c r="B865" i="3"/>
  <c r="B866" i="3" s="1"/>
  <c r="S867" i="3" l="1"/>
  <c r="AC867" i="3" s="1"/>
  <c r="E868" i="3"/>
  <c r="D868" i="3"/>
  <c r="C868" i="3" s="1"/>
  <c r="R865" i="3"/>
  <c r="W865" i="3" s="1"/>
  <c r="H866" i="3"/>
  <c r="B867" i="3"/>
  <c r="S868" i="3" l="1"/>
  <c r="AC868" i="3" s="1"/>
  <c r="E869" i="3"/>
  <c r="D869" i="3"/>
  <c r="R866" i="3"/>
  <c r="W866" i="3" s="1"/>
  <c r="H867" i="3"/>
  <c r="B868" i="3"/>
  <c r="C869" i="3" l="1"/>
  <c r="S869" i="3"/>
  <c r="AC869" i="3" s="1"/>
  <c r="E870" i="3"/>
  <c r="D870" i="3"/>
  <c r="R867" i="3"/>
  <c r="W867" i="3" s="1"/>
  <c r="H868" i="3"/>
  <c r="B869" i="3"/>
  <c r="C870" i="3" l="1"/>
  <c r="S870" i="3"/>
  <c r="AC870" i="3" s="1"/>
  <c r="E871" i="3"/>
  <c r="D871" i="3"/>
  <c r="R868" i="3"/>
  <c r="W868" i="3" s="1"/>
  <c r="H869" i="3"/>
  <c r="B870" i="3"/>
  <c r="C871" i="3" l="1"/>
  <c r="B871" i="3" s="1"/>
  <c r="S871" i="3"/>
  <c r="AC871" i="3" s="1"/>
  <c r="E872" i="3"/>
  <c r="D872" i="3"/>
  <c r="R869" i="3"/>
  <c r="W869" i="3" s="1"/>
  <c r="H870" i="3"/>
  <c r="C872" i="3" l="1"/>
  <c r="S872" i="3"/>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C877" i="3" s="1"/>
  <c r="B876" i="3"/>
  <c r="R874" i="3" l="1"/>
  <c r="W874" i="3" s="1"/>
  <c r="S877" i="3"/>
  <c r="AC877" i="3" s="1"/>
  <c r="E878" i="3"/>
  <c r="D878" i="3"/>
  <c r="C878" i="3" s="1"/>
  <c r="R875" i="3"/>
  <c r="W875" i="3" s="1"/>
  <c r="H876" i="3"/>
  <c r="B877" i="3"/>
  <c r="S878" i="3" l="1"/>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C883" i="3" s="1"/>
  <c r="R880" i="3"/>
  <c r="W880" i="3" s="1"/>
  <c r="H881" i="3"/>
  <c r="B882" i="3"/>
  <c r="S883" i="3" l="1"/>
  <c r="AC883" i="3" s="1"/>
  <c r="E884" i="3"/>
  <c r="D884" i="3"/>
  <c r="R881" i="3"/>
  <c r="W881" i="3" s="1"/>
  <c r="H882" i="3"/>
  <c r="B883" i="3"/>
  <c r="C884" i="3" l="1"/>
  <c r="S884" i="3"/>
  <c r="AC884" i="3" s="1"/>
  <c r="E885" i="3"/>
  <c r="D885" i="3"/>
  <c r="R882" i="3"/>
  <c r="W882" i="3" s="1"/>
  <c r="H883" i="3"/>
  <c r="B884" i="3"/>
  <c r="C885" i="3" l="1"/>
  <c r="B885" i="3" s="1"/>
  <c r="S885" i="3"/>
  <c r="AC885" i="3" s="1"/>
  <c r="E886" i="3"/>
  <c r="D886" i="3"/>
  <c r="R883" i="3"/>
  <c r="W883" i="3" s="1"/>
  <c r="H884" i="3"/>
  <c r="C886" i="3" l="1"/>
  <c r="S886" i="3"/>
  <c r="AC886" i="3" s="1"/>
  <c r="E887" i="3"/>
  <c r="D887" i="3"/>
  <c r="C887" i="3" s="1"/>
  <c r="R884" i="3"/>
  <c r="W884" i="3" s="1"/>
  <c r="H885" i="3"/>
  <c r="B886" i="3"/>
  <c r="S887" i="3" l="1"/>
  <c r="AC887" i="3" s="1"/>
  <c r="E888" i="3"/>
  <c r="D888" i="3"/>
  <c r="R885" i="3"/>
  <c r="W885" i="3" s="1"/>
  <c r="H886" i="3"/>
  <c r="B887" i="3"/>
  <c r="C888" i="3" l="1"/>
  <c r="B888" i="3" s="1"/>
  <c r="S888" i="3"/>
  <c r="AC888" i="3" s="1"/>
  <c r="E889" i="3"/>
  <c r="D889" i="3"/>
  <c r="R886" i="3"/>
  <c r="W886" i="3" s="1"/>
  <c r="H887" i="3"/>
  <c r="C889" i="3" l="1"/>
  <c r="S889" i="3"/>
  <c r="AC889" i="3" s="1"/>
  <c r="E890" i="3"/>
  <c r="D890" i="3"/>
  <c r="C890" i="3" s="1"/>
  <c r="R887" i="3"/>
  <c r="W887" i="3" s="1"/>
  <c r="H888" i="3"/>
  <c r="B889" i="3"/>
  <c r="S890" i="3" l="1"/>
  <c r="AC890" i="3" s="1"/>
  <c r="E891" i="3"/>
  <c r="D891" i="3"/>
  <c r="R888" i="3"/>
  <c r="W888" i="3" s="1"/>
  <c r="H889" i="3"/>
  <c r="B890" i="3"/>
  <c r="C891" i="3" l="1"/>
  <c r="B891" i="3" s="1"/>
  <c r="S891" i="3"/>
  <c r="AC891" i="3" s="1"/>
  <c r="R889" i="3"/>
  <c r="W889" i="3" s="1"/>
  <c r="H890" i="3"/>
  <c r="E892" i="3"/>
  <c r="D892"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C903" i="3" s="1"/>
  <c r="B901" i="3"/>
  <c r="S903" i="3" l="1"/>
  <c r="AC903" i="3" s="1"/>
  <c r="R901" i="3"/>
  <c r="W901" i="3" s="1"/>
  <c r="H902" i="3"/>
  <c r="E904" i="3"/>
  <c r="D904" i="3"/>
  <c r="B902" i="3"/>
  <c r="C904" i="3" l="1"/>
  <c r="S904" i="3"/>
  <c r="AC904" i="3" s="1"/>
  <c r="E905" i="3"/>
  <c r="D905" i="3"/>
  <c r="R902" i="3"/>
  <c r="W902" i="3" s="1"/>
  <c r="H903" i="3"/>
  <c r="B903" i="3"/>
  <c r="B904" i="3" s="1"/>
  <c r="C905" i="3" l="1"/>
  <c r="S905" i="3"/>
  <c r="AC905" i="3" s="1"/>
  <c r="E906" i="3"/>
  <c r="D906" i="3"/>
  <c r="C906" i="3" s="1"/>
  <c r="R903" i="3"/>
  <c r="W903" i="3" s="1"/>
  <c r="H904" i="3"/>
  <c r="B905" i="3"/>
  <c r="S906" i="3" l="1"/>
  <c r="AC906" i="3" s="1"/>
  <c r="E907" i="3"/>
  <c r="D907" i="3"/>
  <c r="R904" i="3"/>
  <c r="W904" i="3" s="1"/>
  <c r="H905" i="3"/>
  <c r="B906" i="3"/>
  <c r="C907" i="3" l="1"/>
  <c r="B907" i="3" s="1"/>
  <c r="S907" i="3"/>
  <c r="AC907" i="3" s="1"/>
  <c r="E908" i="3"/>
  <c r="D908" i="3"/>
  <c r="R905" i="3"/>
  <c r="W905" i="3" s="1"/>
  <c r="H906" i="3"/>
  <c r="C908" i="3" l="1"/>
  <c r="S908" i="3"/>
  <c r="AC908" i="3" s="1"/>
  <c r="E909" i="3"/>
  <c r="D909" i="3"/>
  <c r="C909" i="3" s="1"/>
  <c r="R906" i="3"/>
  <c r="W906" i="3" s="1"/>
  <c r="H907" i="3"/>
  <c r="B908" i="3"/>
  <c r="S909" i="3" l="1"/>
  <c r="AC909" i="3" s="1"/>
  <c r="E910" i="3"/>
  <c r="D910" i="3"/>
  <c r="R907" i="3"/>
  <c r="W907" i="3" s="1"/>
  <c r="H908" i="3"/>
  <c r="B909" i="3"/>
  <c r="C910" i="3" l="1"/>
  <c r="R908" i="3"/>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B913" i="3" s="1"/>
  <c r="S913" i="3"/>
  <c r="AC913" i="3" s="1"/>
  <c r="E914" i="3"/>
  <c r="D914" i="3"/>
  <c r="C914" i="3" s="1"/>
  <c r="R911" i="3"/>
  <c r="W911" i="3" s="1"/>
  <c r="H912" i="3"/>
  <c r="S914" i="3" l="1"/>
  <c r="AC914" i="3" s="1"/>
  <c r="E915" i="3"/>
  <c r="D915" i="3"/>
  <c r="C915" i="3" s="1"/>
  <c r="R912" i="3"/>
  <c r="W912" i="3" s="1"/>
  <c r="H913" i="3"/>
  <c r="B914" i="3"/>
  <c r="S915" i="3" l="1"/>
  <c r="AC915" i="3" s="1"/>
  <c r="E916" i="3"/>
  <c r="D916" i="3"/>
  <c r="R913" i="3"/>
  <c r="W913" i="3" s="1"/>
  <c r="H914" i="3"/>
  <c r="B915" i="3"/>
  <c r="C916" i="3" l="1"/>
  <c r="S916" i="3"/>
  <c r="AC916" i="3" s="1"/>
  <c r="E917" i="3"/>
  <c r="D917" i="3"/>
  <c r="C917" i="3" s="1"/>
  <c r="R914" i="3"/>
  <c r="W914" i="3" s="1"/>
  <c r="H915" i="3"/>
  <c r="B916" i="3"/>
  <c r="S917" i="3" l="1"/>
  <c r="AC917" i="3" s="1"/>
  <c r="E918" i="3"/>
  <c r="D918" i="3"/>
  <c r="C918" i="3" s="1"/>
  <c r="R915" i="3"/>
  <c r="W915" i="3" s="1"/>
  <c r="H916" i="3"/>
  <c r="B917" i="3"/>
  <c r="S918" i="3" l="1"/>
  <c r="AC918" i="3" s="1"/>
  <c r="E919" i="3"/>
  <c r="D919" i="3"/>
  <c r="R916" i="3"/>
  <c r="W916" i="3" s="1"/>
  <c r="H917" i="3"/>
  <c r="B918" i="3"/>
  <c r="C919" i="3" l="1"/>
  <c r="B919" i="3" s="1"/>
  <c r="E920" i="3"/>
  <c r="D920" i="3"/>
  <c r="S919" i="3"/>
  <c r="AC919" i="3" s="1"/>
  <c r="R917" i="3"/>
  <c r="W917" i="3" s="1"/>
  <c r="H918" i="3"/>
  <c r="C920" i="3" l="1"/>
  <c r="R918" i="3"/>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B923" i="3"/>
  <c r="C925" i="3" l="1"/>
  <c r="R923" i="3"/>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R927" i="3"/>
  <c r="W927" i="3" s="1"/>
  <c r="H928" i="3"/>
  <c r="B929" i="3"/>
  <c r="C930" i="3" l="1"/>
  <c r="B930" i="3" s="1"/>
  <c r="S930" i="3"/>
  <c r="AC930" i="3" s="1"/>
  <c r="E931" i="3"/>
  <c r="D931" i="3"/>
  <c r="C931" i="3" s="1"/>
  <c r="R928" i="3"/>
  <c r="W928" i="3" s="1"/>
  <c r="H929" i="3"/>
  <c r="S931" i="3" l="1"/>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s="1"/>
  <c r="E937" i="3" l="1"/>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E941" i="3"/>
  <c r="D941" i="3"/>
  <c r="R938" i="3"/>
  <c r="W938" i="3" s="1"/>
  <c r="H939" i="3"/>
  <c r="B940" i="3" l="1"/>
  <c r="C941" i="3"/>
  <c r="E942" i="3"/>
  <c r="D942" i="3"/>
  <c r="R939" i="3"/>
  <c r="W939" i="3" s="1"/>
  <c r="H940" i="3"/>
  <c r="S941" i="3"/>
  <c r="AC941" i="3" s="1"/>
  <c r="B941" i="3"/>
  <c r="C942" i="3" l="1"/>
  <c r="R940" i="3"/>
  <c r="W940" i="3" s="1"/>
  <c r="H941" i="3"/>
  <c r="S942" i="3"/>
  <c r="AC942" i="3" s="1"/>
  <c r="E943" i="3"/>
  <c r="D943" i="3"/>
  <c r="C943" i="3" l="1"/>
  <c r="S943" i="3"/>
  <c r="AC943" i="3" s="1"/>
  <c r="R941" i="3"/>
  <c r="W941" i="3" s="1"/>
  <c r="E944" i="3"/>
  <c r="D944" i="3"/>
  <c r="B942" i="3"/>
  <c r="H942" i="3" s="1"/>
  <c r="C944" i="3" l="1"/>
  <c r="S944" i="3"/>
  <c r="AC944" i="3" s="1"/>
  <c r="E945" i="3"/>
  <c r="D945" i="3"/>
  <c r="R942" i="3"/>
  <c r="W942" i="3" s="1"/>
  <c r="H943" i="3"/>
  <c r="B943" i="3"/>
  <c r="C945" i="3" l="1"/>
  <c r="B944" i="3"/>
  <c r="S945" i="3"/>
  <c r="AC945" i="3" s="1"/>
  <c r="E946" i="3"/>
  <c r="D946" i="3"/>
  <c r="C946" i="3" s="1"/>
  <c r="R943" i="3"/>
  <c r="W943" i="3" s="1"/>
  <c r="H944" i="3"/>
  <c r="B945" i="3"/>
  <c r="S946" i="3" l="1"/>
  <c r="AC946" i="3" s="1"/>
  <c r="E947" i="3"/>
  <c r="D947" i="3"/>
  <c r="C947" i="3" s="1"/>
  <c r="R944" i="3"/>
  <c r="W944" i="3" s="1"/>
  <c r="H945" i="3"/>
  <c r="B946" i="3"/>
  <c r="S947" i="3" l="1"/>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C952" i="3" l="1"/>
  <c r="S952" i="3"/>
  <c r="AC952" i="3" s="1"/>
  <c r="E953" i="3"/>
  <c r="D953" i="3"/>
  <c r="R950" i="3"/>
  <c r="W950" i="3" s="1"/>
  <c r="H951" i="3"/>
  <c r="B951" i="3"/>
  <c r="B952" i="3" s="1"/>
  <c r="C953" i="3" l="1"/>
  <c r="B953" i="3" s="1"/>
  <c r="S953" i="3"/>
  <c r="AC953" i="3" s="1"/>
  <c r="E954" i="3"/>
  <c r="D954" i="3"/>
  <c r="R951" i="3"/>
  <c r="W951" i="3" s="1"/>
  <c r="H952" i="3"/>
  <c r="C954" i="3" l="1"/>
  <c r="S954" i="3"/>
  <c r="AC954" i="3" s="1"/>
  <c r="E955" i="3"/>
  <c r="D955" i="3"/>
  <c r="R952" i="3"/>
  <c r="W952" i="3" s="1"/>
  <c r="H953" i="3"/>
  <c r="B954" i="3"/>
  <c r="C955" i="3" l="1"/>
  <c r="S955" i="3"/>
  <c r="AC955" i="3" s="1"/>
  <c r="E956" i="3"/>
  <c r="D956" i="3"/>
  <c r="C956" i="3" s="1"/>
  <c r="R953" i="3"/>
  <c r="W953" i="3" s="1"/>
  <c r="H954" i="3"/>
  <c r="B955" i="3"/>
  <c r="S956" i="3" l="1"/>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R957" i="3"/>
  <c r="W957" i="3" s="1"/>
  <c r="H958" i="3"/>
  <c r="B959" i="3"/>
  <c r="C960" i="3" l="1"/>
  <c r="B960" i="3" s="1"/>
  <c r="S960" i="3"/>
  <c r="AC960" i="3" s="1"/>
  <c r="E961" i="3"/>
  <c r="D961" i="3"/>
  <c r="R958" i="3"/>
  <c r="W958" i="3" s="1"/>
  <c r="H959" i="3"/>
  <c r="C961" i="3" l="1"/>
  <c r="S961" i="3"/>
  <c r="AC961" i="3" s="1"/>
  <c r="E962" i="3"/>
  <c r="D962" i="3"/>
  <c r="R959" i="3"/>
  <c r="W959" i="3" s="1"/>
  <c r="H960" i="3"/>
  <c r="B961" i="3"/>
  <c r="C962" i="3" l="1"/>
  <c r="S962" i="3"/>
  <c r="AC962" i="3" s="1"/>
  <c r="E963" i="3"/>
  <c r="D963" i="3"/>
  <c r="C963" i="3" s="1"/>
  <c r="R960" i="3"/>
  <c r="W960" i="3" s="1"/>
  <c r="H961" i="3"/>
  <c r="B962" i="3"/>
  <c r="S963" i="3" l="1"/>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B989" i="3"/>
  <c r="C991" i="3" l="1"/>
  <c r="R989" i="3"/>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R992" i="3"/>
  <c r="W992" i="3" s="1"/>
  <c r="H993" i="3"/>
  <c r="B993" i="3"/>
  <c r="B994" i="3" s="1"/>
  <c r="C995" i="3" l="1"/>
  <c r="S995" i="3"/>
  <c r="AC995" i="3" s="1"/>
  <c r="E996" i="3"/>
  <c r="D996" i="3"/>
  <c r="R993" i="3"/>
  <c r="W993" i="3" s="1"/>
  <c r="H994" i="3"/>
  <c r="B995" i="3"/>
  <c r="C996" i="3" l="1"/>
  <c r="S996" i="3"/>
  <c r="AC996" i="3" s="1"/>
  <c r="E997" i="3"/>
  <c r="D997" i="3"/>
  <c r="R994" i="3"/>
  <c r="W994" i="3" s="1"/>
  <c r="H995" i="3"/>
  <c r="B996" i="3"/>
  <c r="C997" i="3" l="1"/>
  <c r="B997" i="3" s="1"/>
  <c r="S997" i="3"/>
  <c r="AC997" i="3" s="1"/>
  <c r="E998" i="3"/>
  <c r="D998" i="3"/>
  <c r="R995" i="3"/>
  <c r="W995" i="3" s="1"/>
  <c r="H996" i="3"/>
  <c r="C998" i="3" l="1"/>
  <c r="S998" i="3"/>
  <c r="AC998" i="3" s="1"/>
  <c r="E999" i="3"/>
  <c r="D999" i="3"/>
  <c r="R996" i="3"/>
  <c r="W996" i="3" s="1"/>
  <c r="H997" i="3"/>
  <c r="B998" i="3"/>
  <c r="C999" i="3" l="1"/>
  <c r="B999" i="3" s="1"/>
  <c r="S999" i="3"/>
  <c r="AC999" i="3" s="1"/>
  <c r="E1000" i="3"/>
  <c r="D1000" i="3"/>
  <c r="R997" i="3"/>
  <c r="W997" i="3" s="1"/>
  <c r="H998"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s="1"/>
  <c r="S1007" i="3" l="1"/>
  <c r="AC1007" i="3" s="1"/>
  <c r="E1008" i="3"/>
  <c r="D1008" i="3"/>
  <c r="C1008" i="3" s="1"/>
  <c r="R1005" i="3"/>
  <c r="W1005" i="3" s="1"/>
  <c r="H1006" i="3"/>
  <c r="E1009" i="3" l="1"/>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B1012" i="3"/>
  <c r="C1014" i="3" l="1"/>
  <c r="R1012" i="3"/>
  <c r="W1012" i="3" s="1"/>
  <c r="H1013" i="3"/>
  <c r="S1014" i="3"/>
  <c r="AC1014" i="3" s="1"/>
  <c r="E1015" i="3"/>
  <c r="D1015" i="3"/>
  <c r="C1015" i="3" s="1"/>
  <c r="B1013" i="3"/>
  <c r="R1013" i="3" l="1"/>
  <c r="W1013" i="3" s="1"/>
  <c r="H1014" i="3"/>
  <c r="S1015" i="3"/>
  <c r="AC1015" i="3" s="1"/>
  <c r="E1016" i="3"/>
  <c r="D1016" i="3"/>
  <c r="B1014" i="3"/>
  <c r="C1016" i="3" l="1"/>
  <c r="R1014" i="3"/>
  <c r="W1014" i="3" s="1"/>
  <c r="H1015" i="3"/>
  <c r="S1016" i="3"/>
  <c r="AC1016" i="3" s="1"/>
  <c r="E1017" i="3"/>
  <c r="D1017" i="3"/>
  <c r="C1017" i="3" s="1"/>
  <c r="B1015" i="3"/>
  <c r="S1017" i="3" l="1"/>
  <c r="AC1017" i="3" s="1"/>
  <c r="R1015" i="3"/>
  <c r="W1015" i="3" s="1"/>
  <c r="H1016" i="3"/>
  <c r="E1018" i="3"/>
  <c r="D1018" i="3"/>
  <c r="B1016" i="3"/>
  <c r="B1017" i="3" s="1"/>
  <c r="C1018" i="3" l="1"/>
  <c r="B1018" i="3" s="1"/>
  <c r="E1019" i="3"/>
  <c r="D1019" i="3"/>
  <c r="S1018" i="3"/>
  <c r="AC1018" i="3" s="1"/>
  <c r="R1016" i="3"/>
  <c r="W1016" i="3" s="1"/>
  <c r="H1017"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C1024" i="3" s="1"/>
  <c r="B1023" i="3"/>
  <c r="R1021" i="3"/>
  <c r="W1021" i="3" s="1"/>
  <c r="H1022" i="3"/>
  <c r="S1024" i="3" l="1"/>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C1028" i="3" s="1"/>
  <c r="B1027" i="3"/>
  <c r="R1026" i="3" l="1"/>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S1032" i="3"/>
  <c r="AC1032" i="3" s="1"/>
  <c r="R1030" i="3"/>
  <c r="W1030" i="3" s="1"/>
  <c r="H1031" i="3"/>
  <c r="B1032" i="3"/>
  <c r="C1033" i="3" l="1"/>
  <c r="R1031" i="3"/>
  <c r="W1031" i="3" s="1"/>
  <c r="H1032" i="3"/>
  <c r="S1033" i="3"/>
  <c r="AC1033" i="3" s="1"/>
  <c r="E1034" i="3"/>
  <c r="D1034" i="3"/>
  <c r="C1034" i="3" l="1"/>
  <c r="R1032" i="3"/>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R1049" i="3"/>
  <c r="W1049" i="3" s="1"/>
  <c r="H1050" i="3"/>
  <c r="B1051" i="3"/>
  <c r="C1052" i="3" l="1"/>
  <c r="S1052" i="3"/>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S1055" i="3"/>
  <c r="AC1055" i="3" s="1"/>
  <c r="E1056" i="3"/>
  <c r="D1056" i="3"/>
  <c r="R1053" i="3"/>
  <c r="W1053" i="3" s="1"/>
  <c r="H1054" i="3"/>
  <c r="B1055" i="3"/>
  <c r="C1056" i="3" l="1"/>
  <c r="S1056" i="3"/>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B1059" i="3" s="1"/>
  <c r="R1057" i="3"/>
  <c r="W1057" i="3" s="1"/>
  <c r="H1058" i="3"/>
  <c r="E1060" i="3"/>
  <c r="D1060"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S1063" i="3"/>
  <c r="AC1063" i="3" s="1"/>
  <c r="E1064" i="3"/>
  <c r="D1064" i="3"/>
  <c r="B1062" i="3"/>
  <c r="H1062" i="3" s="1"/>
  <c r="C1064" i="3" l="1"/>
  <c r="S1064" i="3"/>
  <c r="AC1064" i="3" s="1"/>
  <c r="R1062" i="3"/>
  <c r="W1062" i="3" s="1"/>
  <c r="E1065" i="3"/>
  <c r="D1065" i="3"/>
  <c r="B1063" i="3"/>
  <c r="B1064" i="3" s="1"/>
  <c r="H1063" i="3" l="1"/>
  <c r="H1064" i="3" s="1"/>
  <c r="C1065" i="3"/>
  <c r="B1065" i="3" s="1"/>
  <c r="S1065" i="3"/>
  <c r="AC1065" i="3" s="1"/>
  <c r="E1066" i="3"/>
  <c r="D1066" i="3"/>
  <c r="R1063" i="3" l="1"/>
  <c r="W1063" i="3" s="1"/>
  <c r="C1066" i="3"/>
  <c r="B1066" i="3" s="1"/>
  <c r="S1066" i="3"/>
  <c r="AC1066" i="3" s="1"/>
  <c r="E1067" i="3"/>
  <c r="D1067" i="3"/>
  <c r="R1064" i="3"/>
  <c r="W1064" i="3" s="1"/>
  <c r="H1065" i="3"/>
  <c r="C1067" i="3" l="1"/>
  <c r="S1067" i="3"/>
  <c r="AC1067" i="3" s="1"/>
  <c r="R1065" i="3"/>
  <c r="W1065" i="3" s="1"/>
  <c r="H1066" i="3"/>
  <c r="E1068" i="3"/>
  <c r="D1068" i="3"/>
  <c r="B1067" i="3"/>
  <c r="C1068" i="3" l="1"/>
  <c r="B1068" i="3" s="1"/>
  <c r="R1066" i="3"/>
  <c r="W1066" i="3" s="1"/>
  <c r="H1067" i="3"/>
  <c r="S1068" i="3"/>
  <c r="AC1068" i="3" s="1"/>
  <c r="E1069" i="3"/>
  <c r="D1069" i="3"/>
  <c r="C1069" i="3" l="1"/>
  <c r="E1070" i="3"/>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B1075" i="3"/>
  <c r="C1077" i="3" l="1"/>
  <c r="R1075" i="3"/>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C1080" i="3" s="1"/>
  <c r="R1077" i="3"/>
  <c r="W1077" i="3" s="1"/>
  <c r="H1078" i="3"/>
  <c r="B1078" i="3"/>
  <c r="B1079" i="3" s="1"/>
  <c r="S1080" i="3" l="1"/>
  <c r="AC1080" i="3" s="1"/>
  <c r="E1081" i="3"/>
  <c r="D1081" i="3"/>
  <c r="R1078" i="3"/>
  <c r="W1078" i="3" s="1"/>
  <c r="H1079" i="3"/>
  <c r="B1080" i="3"/>
  <c r="C1081" i="3" l="1"/>
  <c r="B1081" i="3" s="1"/>
  <c r="S1081" i="3"/>
  <c r="AC1081" i="3" s="1"/>
  <c r="E1082" i="3"/>
  <c r="D1082" i="3"/>
  <c r="R1079" i="3"/>
  <c r="W1079" i="3" s="1"/>
  <c r="H1080" i="3"/>
  <c r="C1082" i="3" l="1"/>
  <c r="B1082" i="3" s="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B1093" i="3" s="1"/>
  <c r="C1094" i="3" l="1"/>
  <c r="S1094" i="3"/>
  <c r="AC1094" i="3" s="1"/>
  <c r="E1095" i="3"/>
  <c r="D1095" i="3"/>
  <c r="C1095" i="3" s="1"/>
  <c r="R1092" i="3"/>
  <c r="W1092" i="3" s="1"/>
  <c r="H1093" i="3"/>
  <c r="B1094" i="3"/>
  <c r="S1095" i="3" l="1"/>
  <c r="AC1095" i="3" s="1"/>
  <c r="E1096" i="3"/>
  <c r="D1096" i="3"/>
  <c r="R1093" i="3"/>
  <c r="W1093" i="3" s="1"/>
  <c r="H1094" i="3"/>
  <c r="B1095" i="3"/>
  <c r="C1096" i="3" l="1"/>
  <c r="B1096" i="3" s="1"/>
  <c r="S1096" i="3"/>
  <c r="AC1096" i="3" s="1"/>
  <c r="E1097" i="3"/>
  <c r="D1097" i="3"/>
  <c r="R1094" i="3"/>
  <c r="W1094" i="3" s="1"/>
  <c r="H1095" i="3"/>
  <c r="C1097" i="3" l="1"/>
  <c r="B1097" i="3" s="1"/>
  <c r="S1097" i="3"/>
  <c r="AC1097" i="3" s="1"/>
  <c r="E1098" i="3"/>
  <c r="D1098" i="3"/>
  <c r="C1098" i="3" s="1"/>
  <c r="R1095" i="3"/>
  <c r="W1095" i="3" s="1"/>
  <c r="H1096" i="3"/>
  <c r="S1098" i="3" l="1"/>
  <c r="AC1098" i="3" s="1"/>
  <c r="E1099" i="3"/>
  <c r="D1099" i="3"/>
  <c r="R1096" i="3"/>
  <c r="W1096" i="3" s="1"/>
  <c r="H1097" i="3"/>
  <c r="B1098" i="3"/>
  <c r="C1099" i="3" l="1"/>
  <c r="B1099" i="3" s="1"/>
  <c r="S1099" i="3"/>
  <c r="AC1099" i="3" s="1"/>
  <c r="E1100" i="3"/>
  <c r="D1100" i="3"/>
  <c r="R1097" i="3"/>
  <c r="W1097" i="3" s="1"/>
  <c r="H1098" i="3"/>
  <c r="C1100" i="3" l="1"/>
  <c r="B1100" i="3" s="1"/>
  <c r="S1100" i="3"/>
  <c r="AC1100" i="3" s="1"/>
  <c r="E1101" i="3"/>
  <c r="D1101" i="3"/>
  <c r="R1098" i="3"/>
  <c r="W1098" i="3" s="1"/>
  <c r="H1099" i="3"/>
  <c r="C1101" i="3" l="1"/>
  <c r="B1101" i="3" s="1"/>
  <c r="S1101" i="3"/>
  <c r="AC1101" i="3" s="1"/>
  <c r="E1102" i="3"/>
  <c r="D1102" i="3"/>
  <c r="R1099" i="3"/>
  <c r="W1099" i="3" s="1"/>
  <c r="H1100" i="3"/>
  <c r="C1102" i="3" l="1"/>
  <c r="B1102" i="3" s="1"/>
  <c r="S1102" i="3"/>
  <c r="AC1102" i="3" s="1"/>
  <c r="E1103" i="3"/>
  <c r="D1103" i="3"/>
  <c r="C1103" i="3" s="1"/>
  <c r="R1100" i="3"/>
  <c r="W1100" i="3" s="1"/>
  <c r="H1101" i="3"/>
  <c r="S1103" i="3" l="1"/>
  <c r="AC1103" i="3" s="1"/>
  <c r="E1104" i="3"/>
  <c r="D1104" i="3"/>
  <c r="C1104" i="3" s="1"/>
  <c r="R1101" i="3"/>
  <c r="W1101" i="3" s="1"/>
  <c r="H1102" i="3"/>
  <c r="B1103" i="3"/>
  <c r="S1104" i="3" l="1"/>
  <c r="AC1104" i="3" s="1"/>
  <c r="E1105" i="3"/>
  <c r="D1105" i="3"/>
  <c r="R1102" i="3"/>
  <c r="W1102" i="3" s="1"/>
  <c r="H1103" i="3"/>
  <c r="B1104" i="3"/>
  <c r="C1105" i="3" l="1"/>
  <c r="B1105" i="3" s="1"/>
  <c r="S1105" i="3"/>
  <c r="AC1105" i="3" s="1"/>
  <c r="E1106" i="3"/>
  <c r="D1106" i="3"/>
  <c r="R1103" i="3"/>
  <c r="W1103" i="3" s="1"/>
  <c r="H1104" i="3"/>
  <c r="C1106" i="3" l="1"/>
  <c r="B1106" i="3" s="1"/>
  <c r="R1104" i="3"/>
  <c r="W1104" i="3" s="1"/>
  <c r="H1105" i="3"/>
  <c r="S1106" i="3"/>
  <c r="AC1106" i="3" s="1"/>
  <c r="E1107" i="3"/>
  <c r="D1107" i="3"/>
  <c r="C1107" i="3" l="1"/>
  <c r="R1105" i="3"/>
  <c r="W1105" i="3" s="1"/>
  <c r="H1106" i="3"/>
  <c r="S1107" i="3"/>
  <c r="AC1107" i="3" s="1"/>
  <c r="E1108" i="3"/>
  <c r="D1108" i="3"/>
  <c r="C1108" i="3" s="1"/>
  <c r="R1106" i="3" l="1"/>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s="1"/>
  <c r="C1119" i="3" l="1"/>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B1121" i="3" s="1"/>
  <c r="C1122" i="3" l="1"/>
  <c r="S1122" i="3"/>
  <c r="AC1122" i="3" s="1"/>
  <c r="E1123" i="3"/>
  <c r="D1123" i="3"/>
  <c r="C1123" i="3" s="1"/>
  <c r="R1120" i="3"/>
  <c r="W1120" i="3" s="1"/>
  <c r="H1121" i="3"/>
  <c r="B1122" i="3"/>
  <c r="S1123" i="3" l="1"/>
  <c r="AC1123" i="3" s="1"/>
  <c r="D1124" i="3"/>
  <c r="E1124" i="3"/>
  <c r="R1121" i="3"/>
  <c r="W1121" i="3" s="1"/>
  <c r="H1122" i="3"/>
  <c r="B1123" i="3"/>
  <c r="C1124" i="3" l="1"/>
  <c r="E1125" i="3"/>
  <c r="D1125" i="3"/>
  <c r="C1125" i="3" s="1"/>
  <c r="S1124" i="3"/>
  <c r="AC1124" i="3" s="1"/>
  <c r="R1122" i="3"/>
  <c r="W1122" i="3" s="1"/>
  <c r="H1123" i="3"/>
  <c r="B1124" i="3"/>
  <c r="R1123" i="3" l="1"/>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B1132" i="3" s="1"/>
  <c r="D1133" i="3"/>
  <c r="E1133" i="3"/>
  <c r="S1132" i="3"/>
  <c r="AC1132" i="3" s="1"/>
  <c r="R1130" i="3"/>
  <c r="W1130" i="3" s="1"/>
  <c r="H1131"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R1140" i="3"/>
  <c r="W1140" i="3" s="1"/>
  <c r="H1141" i="3"/>
  <c r="B1141" i="3"/>
  <c r="C1143" i="3" l="1"/>
  <c r="S1143" i="3"/>
  <c r="AC1143" i="3" s="1"/>
  <c r="E1144" i="3"/>
  <c r="D1144" i="3"/>
  <c r="R1141" i="3"/>
  <c r="W1141" i="3" s="1"/>
  <c r="H1142" i="3"/>
  <c r="B1142" i="3"/>
  <c r="B1143" i="3" s="1"/>
  <c r="C1144" i="3" l="1"/>
  <c r="B1144" i="3" s="1"/>
  <c r="S1144" i="3"/>
  <c r="AC1144" i="3" s="1"/>
  <c r="D1145" i="3"/>
  <c r="E1145" i="3"/>
  <c r="R1142" i="3"/>
  <c r="W1142" i="3" s="1"/>
  <c r="H1143" i="3"/>
  <c r="C1145" i="3" l="1"/>
  <c r="E1146" i="3"/>
  <c r="D1146" i="3"/>
  <c r="S1145" i="3"/>
  <c r="AC1145" i="3" s="1"/>
  <c r="R1143" i="3"/>
  <c r="W1143" i="3" s="1"/>
  <c r="H1144" i="3"/>
  <c r="B1145" i="3"/>
  <c r="C1146" i="3" l="1"/>
  <c r="R1144" i="3"/>
  <c r="W1144" i="3" s="1"/>
  <c r="H1145" i="3"/>
  <c r="S1146" i="3"/>
  <c r="AC1146" i="3" s="1"/>
  <c r="E1147" i="3"/>
  <c r="D1147" i="3"/>
  <c r="C1147" i="3" s="1"/>
  <c r="S1147" i="3" l="1"/>
  <c r="AC1147" i="3" s="1"/>
  <c r="R1145" i="3"/>
  <c r="W1145" i="3" s="1"/>
  <c r="H1146" i="3"/>
  <c r="E1148" i="3"/>
  <c r="D1148" i="3"/>
  <c r="B1146" i="3"/>
  <c r="B1147" i="3" s="1"/>
  <c r="C1148" i="3" l="1"/>
  <c r="S1148" i="3"/>
  <c r="AC1148" i="3" s="1"/>
  <c r="D1149" i="3"/>
  <c r="E1149" i="3"/>
  <c r="R1146" i="3"/>
  <c r="W1146" i="3" s="1"/>
  <c r="H1147" i="3"/>
  <c r="B1148"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C1156" i="3" s="1"/>
  <c r="R1153" i="3"/>
  <c r="W1153" i="3" s="1"/>
  <c r="H1154" i="3"/>
  <c r="S1155" i="3"/>
  <c r="AC1155" i="3" s="1"/>
  <c r="B1154" i="3"/>
  <c r="B1155" i="3" l="1"/>
  <c r="R1154" i="3"/>
  <c r="W1154" i="3" s="1"/>
  <c r="H1155" i="3"/>
  <c r="S1156" i="3"/>
  <c r="AC1156" i="3" s="1"/>
  <c r="E1157" i="3"/>
  <c r="D1157" i="3"/>
  <c r="C1157" i="3" s="1"/>
  <c r="S1157" i="3" l="1"/>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B1160" i="3" s="1"/>
  <c r="R1158" i="3"/>
  <c r="W1158" i="3" s="1"/>
  <c r="H1159" i="3"/>
  <c r="S1160" i="3"/>
  <c r="AC1160" i="3" s="1"/>
  <c r="E1161" i="3"/>
  <c r="D1161" i="3"/>
  <c r="C1161" i="3" l="1"/>
  <c r="E1162" i="3"/>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S1182" i="3"/>
  <c r="AC1182" i="3" s="1"/>
  <c r="E1183" i="3"/>
  <c r="D1183" i="3"/>
  <c r="B1181" i="3"/>
  <c r="H1181" i="3" s="1"/>
  <c r="C1183" i="3" l="1"/>
  <c r="R1181" i="3"/>
  <c r="W1181" i="3" s="1"/>
  <c r="H1182" i="3"/>
  <c r="S1183" i="3"/>
  <c r="AC1183" i="3" s="1"/>
  <c r="E1184" i="3"/>
  <c r="D1184" i="3"/>
  <c r="C1184" i="3" s="1"/>
  <c r="B1182" i="3"/>
  <c r="R1182" i="3" l="1"/>
  <c r="W1182" i="3" s="1"/>
  <c r="S1184" i="3"/>
  <c r="AC1184" i="3" s="1"/>
  <c r="E1185" i="3"/>
  <c r="D1185" i="3"/>
  <c r="B1183" i="3"/>
  <c r="H1183" i="3" s="1"/>
  <c r="C1185" i="3" l="1"/>
  <c r="R1183" i="3"/>
  <c r="W1183" i="3" s="1"/>
  <c r="S1185" i="3"/>
  <c r="AC1185" i="3" s="1"/>
  <c r="E1186" i="3"/>
  <c r="D1186" i="3"/>
  <c r="B1184" i="3"/>
  <c r="H1184" i="3" s="1"/>
  <c r="C1186" i="3" l="1"/>
  <c r="R1184" i="3"/>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l="1"/>
  <c r="C1199" i="3"/>
  <c r="S1199" i="3"/>
  <c r="AC1199" i="3" s="1"/>
  <c r="E1200" i="3"/>
  <c r="D1200" i="3"/>
  <c r="R1197" i="3"/>
  <c r="W1197" i="3" s="1"/>
  <c r="H1198" i="3"/>
  <c r="B1199"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B1204" i="3"/>
  <c r="C1205" i="3" l="1"/>
  <c r="S1205" i="3"/>
  <c r="AC1205" i="3" s="1"/>
  <c r="E1206" i="3"/>
  <c r="D1206" i="3"/>
  <c r="B1205" i="3"/>
  <c r="R1203" i="3"/>
  <c r="W1203" i="3" s="1"/>
  <c r="H1204" i="3"/>
  <c r="C1206" i="3" l="1"/>
  <c r="B1206" i="3" s="1"/>
  <c r="D1207" i="3"/>
  <c r="E1207" i="3"/>
  <c r="S1206" i="3"/>
  <c r="AC1206" i="3" s="1"/>
  <c r="R1204" i="3"/>
  <c r="W1204" i="3" s="1"/>
  <c r="H1205"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s="1"/>
  <c r="C1212" i="3" l="1"/>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C1219" i="3" s="1"/>
  <c r="R1216" i="3"/>
  <c r="W1216" i="3" s="1"/>
  <c r="H1217" i="3"/>
  <c r="B1217" i="3"/>
  <c r="B1218" i="3" s="1"/>
  <c r="R1217" i="3" l="1"/>
  <c r="W1217" i="3" s="1"/>
  <c r="H1218" i="3"/>
  <c r="E1220" i="3"/>
  <c r="D1220" i="3"/>
  <c r="S1219" i="3"/>
  <c r="AC1219" i="3" s="1"/>
  <c r="C1220" i="3" l="1"/>
  <c r="S1220" i="3"/>
  <c r="AC1220" i="3" s="1"/>
  <c r="B1219" i="3"/>
  <c r="E1221" i="3"/>
  <c r="D1221" i="3"/>
  <c r="R1218" i="3"/>
  <c r="W1218" i="3" s="1"/>
  <c r="H1219" i="3"/>
  <c r="C1221" i="3" l="1"/>
  <c r="B1220" i="3"/>
  <c r="R1219" i="3"/>
  <c r="W1219" i="3" s="1"/>
  <c r="H1220" i="3"/>
  <c r="S1221" i="3"/>
  <c r="AC1221" i="3" s="1"/>
  <c r="E1222" i="3"/>
  <c r="D1222" i="3"/>
  <c r="C1222" i="3" l="1"/>
  <c r="B1221" i="3"/>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C1236" i="3" l="1"/>
  <c r="R1233" i="3"/>
  <c r="W1233" i="3" s="1"/>
  <c r="S1236" i="3"/>
  <c r="AC1236" i="3" s="1"/>
  <c r="E1237" i="3"/>
  <c r="D1237" i="3"/>
  <c r="R1234" i="3"/>
  <c r="W1234" i="3" s="1"/>
  <c r="H1235" i="3"/>
  <c r="B1236" i="3"/>
  <c r="C1237" i="3" l="1"/>
  <c r="B1237" i="3" s="1"/>
  <c r="S1237" i="3"/>
  <c r="AC1237" i="3" s="1"/>
  <c r="E1238" i="3"/>
  <c r="D1238" i="3"/>
  <c r="R1235" i="3"/>
  <c r="W1235" i="3" s="1"/>
  <c r="H1236" i="3"/>
  <c r="C1238" i="3" l="1"/>
  <c r="S1238" i="3"/>
  <c r="AC1238" i="3" s="1"/>
  <c r="R1236" i="3"/>
  <c r="W1236" i="3" s="1"/>
  <c r="H1237" i="3"/>
  <c r="E1239" i="3"/>
  <c r="D1239" i="3"/>
  <c r="B1238" i="3"/>
  <c r="C1239" i="3" l="1"/>
  <c r="R1237" i="3"/>
  <c r="W1237" i="3" s="1"/>
  <c r="H1238" i="3"/>
  <c r="S1239" i="3"/>
  <c r="AC1239" i="3" s="1"/>
  <c r="B1239" i="3"/>
  <c r="E1240" i="3"/>
  <c r="D1240" i="3"/>
  <c r="C1240" i="3" l="1"/>
  <c r="E1241" i="3"/>
  <c r="D1241" i="3"/>
  <c r="C1241" i="3" s="1"/>
  <c r="S1240" i="3"/>
  <c r="AC1240" i="3" s="1"/>
  <c r="R1238" i="3"/>
  <c r="W1238" i="3" s="1"/>
  <c r="H1239" i="3"/>
  <c r="R1239" i="3" l="1"/>
  <c r="W1239" i="3" s="1"/>
  <c r="H1240" i="3"/>
  <c r="S1241" i="3"/>
  <c r="AC1241" i="3" s="1"/>
  <c r="B1240" i="3"/>
  <c r="E1242" i="3"/>
  <c r="D1242" i="3"/>
  <c r="C1242" i="3" l="1"/>
  <c r="S1242" i="3"/>
  <c r="AC1242" i="3" s="1"/>
  <c r="B1241" i="3"/>
  <c r="E1243" i="3"/>
  <c r="D1243" i="3"/>
  <c r="R1240" i="3"/>
  <c r="W1240" i="3" s="1"/>
  <c r="H1241" i="3"/>
  <c r="C1243" i="3" l="1"/>
  <c r="E1244" i="3"/>
  <c r="D1244" i="3"/>
  <c r="R1241" i="3"/>
  <c r="W1241" i="3" s="1"/>
  <c r="S1243" i="3"/>
  <c r="AC1243" i="3" s="1"/>
  <c r="B1242" i="3"/>
  <c r="B1243" i="3" l="1"/>
  <c r="H1242" i="3"/>
  <c r="R1242" i="3" s="1"/>
  <c r="W1242" i="3" s="1"/>
  <c r="C1244" i="3"/>
  <c r="S1244" i="3"/>
  <c r="AC1244" i="3" s="1"/>
  <c r="E1245" i="3"/>
  <c r="D1245" i="3"/>
  <c r="C1245" i="3" l="1"/>
  <c r="H1243" i="3"/>
  <c r="R1243" i="3" s="1"/>
  <c r="W1243" i="3" s="1"/>
  <c r="S1245" i="3"/>
  <c r="AC1245" i="3" s="1"/>
  <c r="E1246" i="3"/>
  <c r="D1246" i="3"/>
  <c r="C1246" i="3" s="1"/>
  <c r="B1244" i="3"/>
  <c r="H1244" i="3" l="1"/>
  <c r="R1244" i="3" s="1"/>
  <c r="W1244" i="3" s="1"/>
  <c r="S1246" i="3"/>
  <c r="AC1246" i="3" s="1"/>
  <c r="E1247" i="3"/>
  <c r="D1247" i="3"/>
  <c r="B1245" i="3"/>
  <c r="H1245" i="3" l="1"/>
  <c r="R1245" i="3" s="1"/>
  <c r="W1245" i="3" s="1"/>
  <c r="C1247" i="3"/>
  <c r="S1247" i="3"/>
  <c r="AC1247" i="3" s="1"/>
  <c r="E1248" i="3"/>
  <c r="D1248" i="3"/>
  <c r="B1246" i="3"/>
  <c r="C1248" i="3" l="1"/>
  <c r="H1246" i="3"/>
  <c r="R1246" i="3" s="1"/>
  <c r="W1246" i="3" s="1"/>
  <c r="S1248" i="3"/>
  <c r="AC1248" i="3" s="1"/>
  <c r="E1249" i="3"/>
  <c r="D1249" i="3"/>
  <c r="B1247" i="3"/>
  <c r="B1248" i="3" s="1"/>
  <c r="H1247" i="3" l="1"/>
  <c r="R1247" i="3" s="1"/>
  <c r="W1247" i="3" s="1"/>
  <c r="C1249" i="3"/>
  <c r="B1249" i="3" s="1"/>
  <c r="S1249" i="3"/>
  <c r="AC1249" i="3" s="1"/>
  <c r="E1250" i="3"/>
  <c r="D1250" i="3"/>
  <c r="C1250" i="3" l="1"/>
  <c r="B1250" i="3" s="1"/>
  <c r="H1248" i="3"/>
  <c r="H1249" i="3" s="1"/>
  <c r="S1250" i="3"/>
  <c r="AC1250" i="3" s="1"/>
  <c r="E1251" i="3"/>
  <c r="D1251" i="3"/>
  <c r="C1251" i="3" l="1"/>
  <c r="R1248" i="3"/>
  <c r="W1248" i="3" s="1"/>
  <c r="S1251" i="3"/>
  <c r="AC1251" i="3" s="1"/>
  <c r="E1252" i="3"/>
  <c r="D1252" i="3"/>
  <c r="R1249" i="3"/>
  <c r="W1249" i="3" s="1"/>
  <c r="H1250" i="3"/>
  <c r="B1251" i="3"/>
  <c r="C1252" i="3" l="1"/>
  <c r="S1252" i="3"/>
  <c r="AC1252" i="3" s="1"/>
  <c r="R1250" i="3"/>
  <c r="W1250" i="3" s="1"/>
  <c r="H1251" i="3"/>
  <c r="E1253" i="3"/>
  <c r="D1253" i="3"/>
  <c r="C1253" i="3" s="1"/>
  <c r="B1252" i="3"/>
  <c r="R1251" i="3" l="1"/>
  <c r="W1251" i="3" s="1"/>
  <c r="H1252" i="3"/>
  <c r="S1253" i="3"/>
  <c r="AC1253" i="3" s="1"/>
  <c r="E1254" i="3"/>
  <c r="D1254" i="3"/>
  <c r="B1253" i="3"/>
  <c r="C1254" i="3" l="1"/>
  <c r="T1254" i="3"/>
  <c r="S1254" i="3" s="1"/>
  <c r="Q1254" i="3"/>
  <c r="E1255" i="3"/>
  <c r="D1255" i="3"/>
  <c r="R1252" i="3"/>
  <c r="W1252" i="3" s="1"/>
  <c r="H1253" i="3"/>
  <c r="C1255" i="3" l="1"/>
  <c r="AN1254" i="3"/>
  <c r="AC1254" i="3" s="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C1260" i="3" s="1"/>
  <c r="B1258" i="3"/>
  <c r="E1261" i="3" l="1"/>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R1260" i="3"/>
  <c r="W1260" i="3" s="1"/>
  <c r="H1261" i="3"/>
  <c r="B1261" i="3"/>
  <c r="Q1263" i="3" l="1"/>
  <c r="T1263" i="3"/>
  <c r="S1263" i="3" s="1"/>
  <c r="C1263" i="3"/>
  <c r="B1262" i="3"/>
  <c r="E1264" i="3"/>
  <c r="D1264" i="3"/>
  <c r="R1261" i="3"/>
  <c r="W1261" i="3" s="1"/>
  <c r="H1262" i="3"/>
  <c r="C1264" i="3" l="1"/>
  <c r="AC1263" i="3"/>
  <c r="R1262" i="3"/>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C1268" i="3" s="1"/>
  <c r="S1267" i="3"/>
  <c r="AC1267" i="3" s="1"/>
  <c r="B1266" i="3"/>
  <c r="R1265" i="3" l="1"/>
  <c r="W1265" i="3" s="1"/>
  <c r="S1268" i="3"/>
  <c r="AC1268" i="3" s="1"/>
  <c r="R1266" i="3"/>
  <c r="W1266" i="3" s="1"/>
  <c r="H1267" i="3"/>
  <c r="B1267" i="3"/>
  <c r="E1269" i="3"/>
  <c r="D1269" i="3"/>
  <c r="T1269" i="3" l="1"/>
  <c r="S1269" i="3" s="1"/>
  <c r="Q1269" i="3"/>
  <c r="C1269" i="3"/>
  <c r="E1270" i="3"/>
  <c r="D1270" i="3"/>
  <c r="R1267" i="3"/>
  <c r="W1267" i="3" s="1"/>
  <c r="H1268" i="3"/>
  <c r="B1268" i="3"/>
  <c r="C1270" i="3" l="1"/>
  <c r="AN1269" i="3"/>
  <c r="AC1269" i="3" s="1"/>
  <c r="R1268" i="3"/>
  <c r="W1268" i="3" s="1"/>
  <c r="H1269" i="3"/>
  <c r="S1270" i="3"/>
  <c r="AC1270" i="3" s="1"/>
  <c r="B1269" i="3"/>
  <c r="E1271" i="3"/>
  <c r="D1271" i="3"/>
  <c r="C1271" i="3" l="1"/>
  <c r="S1271" i="3"/>
  <c r="AC1271" i="3" s="1"/>
  <c r="E1272" i="3"/>
  <c r="D1272" i="3"/>
  <c r="C1272" i="3" s="1"/>
  <c r="R1269" i="3"/>
  <c r="W1269" i="3" s="1"/>
  <c r="H1270" i="3"/>
  <c r="B1270" i="3"/>
  <c r="B1271" i="3" s="1"/>
  <c r="D1273" i="3" l="1"/>
  <c r="E1273" i="3"/>
  <c r="R1270" i="3"/>
  <c r="W1270" i="3" s="1"/>
  <c r="H1271" i="3"/>
  <c r="S1272" i="3"/>
  <c r="AC1272" i="3" s="1"/>
  <c r="B1272" i="3"/>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C1277" i="3" s="1"/>
  <c r="R1274" i="3"/>
  <c r="W1274" i="3" s="1"/>
  <c r="H1275" i="3"/>
  <c r="B1275" i="3"/>
  <c r="E1278" i="3" l="1"/>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S1280" i="3"/>
  <c r="AC1280" i="3" s="1"/>
  <c r="E1281" i="3"/>
  <c r="D1281" i="3"/>
  <c r="R1278" i="3"/>
  <c r="W1278" i="3" s="1"/>
  <c r="H1279" i="3"/>
  <c r="B1280" i="3"/>
  <c r="C1281" i="3" l="1"/>
  <c r="S1281" i="3"/>
  <c r="AC1281" i="3" s="1"/>
  <c r="E1282" i="3"/>
  <c r="D1282" i="3"/>
  <c r="R1279" i="3"/>
  <c r="W1279" i="3" s="1"/>
  <c r="H1280" i="3"/>
  <c r="B1281" i="3"/>
  <c r="C1282" i="3" l="1"/>
  <c r="S1282" i="3"/>
  <c r="AC1282" i="3" s="1"/>
  <c r="D1283" i="3"/>
  <c r="E1283" i="3"/>
  <c r="R1280" i="3"/>
  <c r="W1280" i="3" s="1"/>
  <c r="H1281" i="3"/>
  <c r="B1282" i="3"/>
  <c r="C1283" i="3" l="1"/>
  <c r="B1283" i="3" s="1"/>
  <c r="E1284" i="3"/>
  <c r="D1284" i="3"/>
  <c r="S1283" i="3"/>
  <c r="AC1283" i="3" s="1"/>
  <c r="R1281" i="3"/>
  <c r="W1281" i="3" s="1"/>
  <c r="H1282" i="3"/>
  <c r="C1284" i="3" l="1"/>
  <c r="R1282" i="3"/>
  <c r="W1282" i="3" s="1"/>
  <c r="H1283" i="3"/>
  <c r="S1284" i="3"/>
  <c r="AC1284" i="3" s="1"/>
  <c r="D1285" i="3"/>
  <c r="E1285" i="3"/>
  <c r="T1285" i="3" l="1"/>
  <c r="S1285" i="3" s="1"/>
  <c r="Q1285" i="3"/>
  <c r="C1285" i="3"/>
  <c r="R1283" i="3"/>
  <c r="W1283" i="3" s="1"/>
  <c r="H1284" i="3"/>
  <c r="E1286" i="3"/>
  <c r="D1286" i="3"/>
  <c r="B1284" i="3"/>
  <c r="B1285" i="3" s="1"/>
  <c r="AH1285" i="3" l="1"/>
  <c r="AC1285" i="3" s="1"/>
  <c r="C1286" i="3"/>
  <c r="B1286" i="3" s="1"/>
  <c r="S1286" i="3"/>
  <c r="AC1286" i="3" s="1"/>
  <c r="E1287" i="3"/>
  <c r="D1287" i="3"/>
  <c r="C1287" i="3" s="1"/>
  <c r="R1284" i="3"/>
  <c r="W1284" i="3" s="1"/>
  <c r="H1285" i="3"/>
  <c r="S1287" i="3" l="1"/>
  <c r="AC1287" i="3" s="1"/>
  <c r="R1285" i="3"/>
  <c r="W1285" i="3" s="1"/>
  <c r="H1286" i="3"/>
  <c r="E1288" i="3"/>
  <c r="D1288" i="3"/>
  <c r="C1288" i="3" s="1"/>
  <c r="B1287" i="3"/>
  <c r="R1286" i="3" l="1"/>
  <c r="W1286" i="3" s="1"/>
  <c r="H1287" i="3"/>
  <c r="S1288" i="3"/>
  <c r="AC1288" i="3" s="1"/>
  <c r="E1289" i="3"/>
  <c r="D1289" i="3"/>
  <c r="B1288" i="3"/>
  <c r="C1289" i="3" l="1"/>
  <c r="Q1289" i="3"/>
  <c r="T1289" i="3"/>
  <c r="S1289" i="3" s="1"/>
  <c r="E1290" i="3"/>
  <c r="D1290" i="3"/>
  <c r="R1287" i="3"/>
  <c r="W1287" i="3" s="1"/>
  <c r="H1288" i="3"/>
  <c r="AN1289" i="3" l="1"/>
  <c r="AC1289" i="3" s="1"/>
  <c r="C1290" i="3"/>
  <c r="R1288" i="3"/>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T1296" i="3" l="1"/>
  <c r="S1296" i="3" s="1"/>
  <c r="Q1296" i="3"/>
  <c r="C1296" i="3"/>
  <c r="B1295" i="3"/>
  <c r="E1297" i="3"/>
  <c r="D1297" i="3"/>
  <c r="R1294" i="3"/>
  <c r="W1294" i="3" s="1"/>
  <c r="H1295" i="3"/>
  <c r="AN1296" i="3" l="1"/>
  <c r="AC1296" i="3" s="1"/>
  <c r="T1297" i="3"/>
  <c r="S1297" i="3" s="1"/>
  <c r="Q1297" i="3"/>
  <c r="C1297" i="3"/>
  <c r="R1295" i="3"/>
  <c r="W1295" i="3" s="1"/>
  <c r="H1296" i="3"/>
  <c r="E1298" i="3"/>
  <c r="D1298" i="3"/>
  <c r="B1296" i="3"/>
  <c r="AH1297" i="3" l="1"/>
  <c r="AC1297" i="3" s="1"/>
  <c r="C1298" i="3"/>
  <c r="Q1298" i="3"/>
  <c r="T1298" i="3"/>
  <c r="S1298" i="3" s="1"/>
  <c r="R1296" i="3"/>
  <c r="W1296" i="3" s="1"/>
  <c r="H1297" i="3"/>
  <c r="E1299" i="3"/>
  <c r="D1299" i="3"/>
  <c r="B1297" i="3"/>
  <c r="AN1298" i="3" l="1"/>
  <c r="AC1298" i="3" s="1"/>
  <c r="C1299" i="3"/>
  <c r="Q1299" i="3"/>
  <c r="T1299" i="3"/>
  <c r="S1299" i="3" s="1"/>
  <c r="E1300" i="3"/>
  <c r="D1300" i="3"/>
  <c r="R1297" i="3"/>
  <c r="W1297" i="3" s="1"/>
  <c r="H1298" i="3"/>
  <c r="B1298" i="3"/>
  <c r="C1300" i="3" l="1"/>
  <c r="B1299" i="3"/>
  <c r="AN1299" i="3"/>
  <c r="AC1299" i="3" s="1"/>
  <c r="E1301" i="3"/>
  <c r="D1301" i="3"/>
  <c r="C1301" i="3" s="1"/>
  <c r="S1300" i="3"/>
  <c r="AC1300" i="3" s="1"/>
  <c r="R1298" i="3"/>
  <c r="W1298" i="3" s="1"/>
  <c r="H1299" i="3"/>
  <c r="B1300" i="3"/>
  <c r="R1299" i="3" l="1"/>
  <c r="W1299" i="3" s="1"/>
  <c r="H1300" i="3"/>
  <c r="S1301" i="3"/>
  <c r="AC1301" i="3" s="1"/>
  <c r="E1302" i="3"/>
  <c r="D1302" i="3"/>
  <c r="C1302" i="3" l="1"/>
  <c r="R1300" i="3"/>
  <c r="W1300" i="3" s="1"/>
  <c r="S1302" i="3"/>
  <c r="AC1302" i="3" s="1"/>
  <c r="E1303" i="3"/>
  <c r="D1303" i="3"/>
  <c r="B1301" i="3"/>
  <c r="H1301" i="3" s="1"/>
  <c r="C1303" i="3" l="1"/>
  <c r="E1304" i="3"/>
  <c r="D1304" i="3"/>
  <c r="C1304" i="3" s="1"/>
  <c r="S1303" i="3"/>
  <c r="AC1303" i="3" s="1"/>
  <c r="R1301" i="3"/>
  <c r="W1301" i="3" s="1"/>
  <c r="B1302" i="3"/>
  <c r="H1302" i="3" s="1"/>
  <c r="R1302" i="3" l="1"/>
  <c r="W1302" i="3" s="1"/>
  <c r="B1303" i="3"/>
  <c r="H1303" i="3" s="1"/>
  <c r="S1304" i="3"/>
  <c r="AC1304" i="3" s="1"/>
  <c r="E1305" i="3"/>
  <c r="D1305" i="3"/>
  <c r="Q1305" i="3" l="1"/>
  <c r="T1305" i="3"/>
  <c r="S1305" i="3" s="1"/>
  <c r="C1305" i="3"/>
  <c r="E1306" i="3"/>
  <c r="D1306" i="3"/>
  <c r="R1303" i="3"/>
  <c r="W1303" i="3" s="1"/>
  <c r="B1304" i="3"/>
  <c r="H1304" i="3" s="1"/>
  <c r="AN1305" i="3" l="1"/>
  <c r="AC1305" i="3" s="1"/>
  <c r="Q1306" i="3"/>
  <c r="T1306" i="3"/>
  <c r="S1306" i="3" s="1"/>
  <c r="C1306" i="3"/>
  <c r="R1304" i="3"/>
  <c r="W1304" i="3" s="1"/>
  <c r="H1305" i="3"/>
  <c r="D1307" i="3"/>
  <c r="E1307" i="3"/>
  <c r="B1305" i="3"/>
  <c r="AN1306" i="3" l="1"/>
  <c r="AC1306" i="3" s="1"/>
  <c r="C1307" i="3"/>
  <c r="R1305" i="3"/>
  <c r="W1305" i="3" s="1"/>
  <c r="H1306" i="3"/>
  <c r="E1308" i="3"/>
  <c r="D1308" i="3"/>
  <c r="S1307" i="3"/>
  <c r="AC1307" i="3" s="1"/>
  <c r="B1306" i="3"/>
  <c r="C1308" i="3" l="1"/>
  <c r="S1308" i="3"/>
  <c r="AC1308" i="3" s="1"/>
  <c r="E1309" i="3"/>
  <c r="D1309" i="3"/>
  <c r="R1306" i="3"/>
  <c r="W1306" i="3" s="1"/>
  <c r="H1307" i="3"/>
  <c r="B1307" i="3"/>
  <c r="C1309" i="3" l="1"/>
  <c r="E1310" i="3"/>
  <c r="D1310" i="3"/>
  <c r="R1307" i="3"/>
  <c r="W1307" i="3" s="1"/>
  <c r="H1308" i="3"/>
  <c r="S1309" i="3"/>
  <c r="AC1309" i="3" s="1"/>
  <c r="B1308" i="3"/>
  <c r="C1310" i="3" l="1"/>
  <c r="B1309" i="3"/>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T1316" i="3" l="1"/>
  <c r="S1316" i="3" s="1"/>
  <c r="Q1316" i="3"/>
  <c r="C1316" i="3"/>
  <c r="R1314" i="3"/>
  <c r="W1314" i="3" s="1"/>
  <c r="H1315" i="3"/>
  <c r="B1315" i="3"/>
  <c r="D1317" i="3"/>
  <c r="AN1316" i="3" l="1"/>
  <c r="AC1316" i="3" s="1"/>
  <c r="T1317" i="3"/>
  <c r="S1317" i="3" s="1"/>
  <c r="Q1317" i="3"/>
  <c r="C1317" i="3"/>
  <c r="D1318" i="3"/>
  <c r="E1318" i="3"/>
  <c r="R1315" i="3"/>
  <c r="W1315" i="3" s="1"/>
  <c r="H1316" i="3"/>
  <c r="B1316" i="3"/>
  <c r="AN1317" i="3" l="1"/>
  <c r="AC1317" i="3" s="1"/>
  <c r="B1317" i="3"/>
  <c r="C1318" i="3"/>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Q1322" i="3" l="1"/>
  <c r="T1322" i="3"/>
  <c r="S1322" i="3" s="1"/>
  <c r="C1322" i="3"/>
  <c r="R1320" i="3"/>
  <c r="W1320" i="3" s="1"/>
  <c r="H1321" i="3"/>
  <c r="B1321" i="3"/>
  <c r="E1323" i="3"/>
  <c r="D1323" i="3"/>
  <c r="AN1322" i="3" l="1"/>
  <c r="AC1322" i="3" s="1"/>
  <c r="T1323" i="3"/>
  <c r="S1323" i="3" s="1"/>
  <c r="Q1323" i="3"/>
  <c r="C1323" i="3"/>
  <c r="E1324" i="3"/>
  <c r="D1324" i="3"/>
  <c r="R1321" i="3"/>
  <c r="W1321" i="3" s="1"/>
  <c r="H1322" i="3"/>
  <c r="B1322" i="3"/>
  <c r="C1324" i="3" l="1"/>
  <c r="AN1323" i="3"/>
  <c r="AC1323" i="3" s="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B1326" i="3"/>
  <c r="C1328" i="3" l="1"/>
  <c r="R1326" i="3"/>
  <c r="W1326" i="3" s="1"/>
  <c r="H1327" i="3"/>
  <c r="S1328" i="3"/>
  <c r="AC1328" i="3" s="1"/>
  <c r="E1329" i="3"/>
  <c r="D1329" i="3"/>
  <c r="B1327" i="3"/>
  <c r="C1329" i="3" l="1"/>
  <c r="Q1329" i="3"/>
  <c r="T1329" i="3"/>
  <c r="S1329" i="3" s="1"/>
  <c r="R1327" i="3"/>
  <c r="W1327" i="3" s="1"/>
  <c r="H1328" i="3"/>
  <c r="E1330" i="3"/>
  <c r="D1330" i="3"/>
  <c r="B1328" i="3"/>
  <c r="AN1329" i="3" l="1"/>
  <c r="AC1329" i="3" s="1"/>
  <c r="C1330" i="3"/>
  <c r="Q1330" i="3"/>
  <c r="T1330" i="3"/>
  <c r="S1330" i="3" s="1"/>
  <c r="R1328" i="3"/>
  <c r="W1328" i="3" s="1"/>
  <c r="H1329" i="3"/>
  <c r="E1331" i="3"/>
  <c r="D1331" i="3"/>
  <c r="C1331" i="3" s="1"/>
  <c r="B1329" i="3"/>
  <c r="B1330" i="3" s="1"/>
  <c r="AN1330" i="3" l="1"/>
  <c r="AC1330" i="3" s="1"/>
  <c r="S1331" i="3"/>
  <c r="AC1331" i="3" s="1"/>
  <c r="E1332" i="3"/>
  <c r="D1332" i="3"/>
  <c r="R1329" i="3"/>
  <c r="W1329" i="3" s="1"/>
  <c r="H1330" i="3"/>
  <c r="B1331" i="3"/>
  <c r="C1332" i="3" l="1"/>
  <c r="B1332" i="3" s="1"/>
  <c r="S1332" i="3"/>
  <c r="AC1332" i="3" s="1"/>
  <c r="E1333" i="3"/>
  <c r="D1333" i="3"/>
  <c r="R1330" i="3"/>
  <c r="W1330" i="3" s="1"/>
  <c r="H1331" i="3"/>
  <c r="C1333" i="3" l="1"/>
  <c r="S1333" i="3"/>
  <c r="AC1333" i="3" s="1"/>
  <c r="E1334" i="3"/>
  <c r="D1334" i="3"/>
  <c r="C1334" i="3" s="1"/>
  <c r="R1331" i="3"/>
  <c r="W1331" i="3" s="1"/>
  <c r="H1332" i="3"/>
  <c r="B1333" i="3"/>
  <c r="R1332" i="3" l="1"/>
  <c r="W1332" i="3" s="1"/>
  <c r="H1333" i="3"/>
  <c r="S1334" i="3"/>
  <c r="AC1334" i="3" s="1"/>
  <c r="E1335" i="3"/>
  <c r="D1335" i="3"/>
  <c r="B1334" i="3"/>
  <c r="C1335" i="3" l="1"/>
  <c r="E1336" i="3"/>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B1338" i="3"/>
  <c r="C1340" i="3" l="1"/>
  <c r="S1340" i="3"/>
  <c r="AC1340" i="3" s="1"/>
  <c r="R1338" i="3"/>
  <c r="W1338" i="3" s="1"/>
  <c r="H1339" i="3"/>
  <c r="E1341" i="3"/>
  <c r="D1341" i="3"/>
  <c r="C1341" i="3" s="1"/>
  <c r="B1339" i="3"/>
  <c r="S1341" i="3" l="1"/>
  <c r="AC1341" i="3" s="1"/>
  <c r="E1342" i="3"/>
  <c r="D1342" i="3"/>
  <c r="C1342" i="3" s="1"/>
  <c r="R1339" i="3"/>
  <c r="W1339" i="3" s="1"/>
  <c r="H1340" i="3"/>
  <c r="B1340" i="3"/>
  <c r="B1341" i="3" s="1"/>
  <c r="S1342" i="3" l="1"/>
  <c r="AC1342" i="3" s="1"/>
  <c r="E1343" i="3"/>
  <c r="D1343" i="3"/>
  <c r="R1340" i="3"/>
  <c r="W1340" i="3" s="1"/>
  <c r="H1341" i="3"/>
  <c r="B1342" i="3"/>
  <c r="C1343" i="3" l="1"/>
  <c r="B1343" i="3" s="1"/>
  <c r="S1343" i="3"/>
  <c r="AC1343" i="3" s="1"/>
  <c r="E1344" i="3"/>
  <c r="D1344" i="3"/>
  <c r="C1344" i="3" s="1"/>
  <c r="R1341" i="3"/>
  <c r="W1341" i="3" s="1"/>
  <c r="H1342" i="3"/>
  <c r="S1344" i="3" l="1"/>
  <c r="AC1344" i="3" s="1"/>
  <c r="E1345" i="3"/>
  <c r="D1345" i="3"/>
  <c r="R1342" i="3"/>
  <c r="W1342" i="3" s="1"/>
  <c r="H1343" i="3"/>
  <c r="B1344" i="3"/>
  <c r="C1345" i="3" l="1"/>
  <c r="Q1345" i="3"/>
  <c r="T1345" i="3"/>
  <c r="S1345" i="3" s="1"/>
  <c r="E1346" i="3"/>
  <c r="D1346" i="3"/>
  <c r="R1343" i="3"/>
  <c r="W1343" i="3" s="1"/>
  <c r="H1344" i="3"/>
  <c r="B1345" i="3"/>
  <c r="AN1345" i="3" l="1"/>
  <c r="AC1345" i="3" s="1"/>
  <c r="C1346" i="3"/>
  <c r="B1346" i="3" s="1"/>
  <c r="S1346" i="3"/>
  <c r="AC1346" i="3" s="1"/>
  <c r="E1347" i="3"/>
  <c r="D1347" i="3"/>
  <c r="R1344" i="3"/>
  <c r="W1344" i="3" s="1"/>
  <c r="H1345" i="3"/>
  <c r="C1347" i="3" l="1"/>
  <c r="B1347" i="3" s="1"/>
  <c r="S1347" i="3"/>
  <c r="AC1347" i="3" s="1"/>
  <c r="E1348" i="3"/>
  <c r="D1348" i="3"/>
  <c r="R1345" i="3"/>
  <c r="W1345" i="3" s="1"/>
  <c r="H1346" i="3"/>
  <c r="T1348" i="3" l="1"/>
  <c r="S1348" i="3" s="1"/>
  <c r="Q1348" i="3"/>
  <c r="C1348" i="3"/>
  <c r="E1349" i="3"/>
  <c r="D1349" i="3"/>
  <c r="R1346" i="3"/>
  <c r="W1346" i="3" s="1"/>
  <c r="H1347" i="3"/>
  <c r="B1348" i="3"/>
  <c r="C1349" i="3" l="1"/>
  <c r="AH1348" i="3"/>
  <c r="AC1348" i="3" s="1"/>
  <c r="S1349" i="3"/>
  <c r="AC1349" i="3" s="1"/>
  <c r="E1350" i="3"/>
  <c r="D1350" i="3"/>
  <c r="R1347" i="3"/>
  <c r="W1347" i="3" s="1"/>
  <c r="H1348" i="3"/>
  <c r="B1349" i="3"/>
  <c r="Q1350" i="3" l="1"/>
  <c r="T1350" i="3"/>
  <c r="S1350" i="3" s="1"/>
  <c r="C1350" i="3"/>
  <c r="B1350" i="3" s="1"/>
  <c r="E1351" i="3"/>
  <c r="D1351" i="3"/>
  <c r="R1348" i="3"/>
  <c r="W1348" i="3" s="1"/>
  <c r="H1349" i="3"/>
  <c r="AN1350" i="3" l="1"/>
  <c r="AC1350" i="3" s="1"/>
  <c r="C1351" i="3"/>
  <c r="B1351" i="3" s="1"/>
  <c r="S1351" i="3"/>
  <c r="AC1351" i="3" s="1"/>
  <c r="E1352" i="3"/>
  <c r="D1352" i="3"/>
  <c r="R1349" i="3"/>
  <c r="W1349" i="3" s="1"/>
  <c r="H1350" i="3"/>
  <c r="C1352" i="3" l="1"/>
  <c r="S1352" i="3"/>
  <c r="AC1352" i="3" s="1"/>
  <c r="R1350" i="3"/>
  <c r="W1350" i="3" s="1"/>
  <c r="H1351" i="3"/>
  <c r="E1353" i="3"/>
  <c r="D1353" i="3"/>
  <c r="B1352" i="3"/>
  <c r="C1353" i="3" l="1"/>
  <c r="R1351" i="3"/>
  <c r="W1351" i="3" s="1"/>
  <c r="H1352" i="3"/>
  <c r="S1353" i="3"/>
  <c r="AC1353" i="3" s="1"/>
  <c r="E1354" i="3"/>
  <c r="D1354" i="3"/>
  <c r="C1354" i="3" s="1"/>
  <c r="B1353" i="3"/>
  <c r="S1354" i="3" l="1"/>
  <c r="AC1354" i="3" s="1"/>
  <c r="B1354" i="3"/>
  <c r="E1355" i="3"/>
  <c r="D1355" i="3"/>
  <c r="C1355" i="3" s="1"/>
  <c r="R1352" i="3"/>
  <c r="W1352" i="3" s="1"/>
  <c r="H1353" i="3"/>
  <c r="S1355" i="3" l="1"/>
  <c r="AC1355" i="3" s="1"/>
  <c r="E1356" i="3"/>
  <c r="D1356" i="3"/>
  <c r="R1353" i="3"/>
  <c r="W1353" i="3" s="1"/>
  <c r="H1354" i="3"/>
  <c r="B1355" i="3"/>
  <c r="C1356" i="3" l="1"/>
  <c r="S1356" i="3"/>
  <c r="AC1356" i="3" s="1"/>
  <c r="R1354" i="3"/>
  <c r="W1354" i="3" s="1"/>
  <c r="H1355" i="3"/>
  <c r="E1357" i="3"/>
  <c r="D1357" i="3"/>
  <c r="C1357" i="3" s="1"/>
  <c r="B1356" i="3"/>
  <c r="R1355" i="3" l="1"/>
  <c r="W1355" i="3" s="1"/>
  <c r="H1356" i="3"/>
  <c r="E1358" i="3"/>
  <c r="D1358" i="3"/>
  <c r="C1358" i="3" s="1"/>
  <c r="S1357" i="3"/>
  <c r="AC1357" i="3" s="1"/>
  <c r="B1357" i="3"/>
  <c r="S1358" i="3" l="1"/>
  <c r="AC1358" i="3" s="1"/>
  <c r="B1358" i="3"/>
  <c r="E1359" i="3"/>
  <c r="D1359" i="3"/>
  <c r="C1359" i="3" s="1"/>
  <c r="R1356" i="3"/>
  <c r="W1356" i="3" s="1"/>
  <c r="H1357" i="3"/>
  <c r="E1360" i="3" l="1"/>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C1362" i="3" s="1"/>
  <c r="B1360" i="3"/>
  <c r="S1362" i="3" l="1"/>
  <c r="AC1362" i="3" s="1"/>
  <c r="R1360" i="3"/>
  <c r="W1360" i="3" s="1"/>
  <c r="E1363" i="3"/>
  <c r="D1363" i="3"/>
  <c r="B1361" i="3"/>
  <c r="H1361" i="3" s="1"/>
  <c r="C1363" i="3" l="1"/>
  <c r="S1363" i="3"/>
  <c r="AC1363" i="3" s="1"/>
  <c r="E1364" i="3"/>
  <c r="D1364" i="3"/>
  <c r="C1364" i="3" s="1"/>
  <c r="R1361" i="3"/>
  <c r="W1361" i="3" s="1"/>
  <c r="H1362" i="3"/>
  <c r="B1362" i="3"/>
  <c r="B1363" i="3" s="1"/>
  <c r="S1364" i="3" l="1"/>
  <c r="AC1364" i="3" s="1"/>
  <c r="E1365" i="3"/>
  <c r="D1365" i="3"/>
  <c r="R1362" i="3"/>
  <c r="W1362" i="3" s="1"/>
  <c r="H1363" i="3"/>
  <c r="C1365" i="3" l="1"/>
  <c r="S1365" i="3"/>
  <c r="AC1365" i="3" s="1"/>
  <c r="E1366" i="3"/>
  <c r="D1366" i="3"/>
  <c r="R1363" i="3"/>
  <c r="W1363" i="3" s="1"/>
  <c r="B1364" i="3"/>
  <c r="B1365" i="3" s="1"/>
  <c r="H1364" i="3" l="1"/>
  <c r="H1365" i="3" s="1"/>
  <c r="C1366" i="3"/>
  <c r="B1366" i="3" s="1"/>
  <c r="E1367" i="3"/>
  <c r="D1367" i="3"/>
  <c r="C1367" i="3" s="1"/>
  <c r="S1366" i="3"/>
  <c r="AC1366" i="3" s="1"/>
  <c r="R1364" i="3" l="1"/>
  <c r="W1364" i="3" s="1"/>
  <c r="R1365" i="3"/>
  <c r="W1365" i="3" s="1"/>
  <c r="H1366" i="3"/>
  <c r="S1367" i="3"/>
  <c r="AC1367" i="3" s="1"/>
  <c r="B1367" i="3"/>
  <c r="E1368" i="3"/>
  <c r="D1368" i="3"/>
  <c r="C1368" i="3" l="1"/>
  <c r="E1369" i="3"/>
  <c r="D1369" i="3"/>
  <c r="C1369" i="3" s="1"/>
  <c r="S1368" i="3"/>
  <c r="AC1368" i="3" s="1"/>
  <c r="R1366" i="3"/>
  <c r="W1366" i="3" s="1"/>
  <c r="H1367" i="3"/>
  <c r="R1367" i="3" l="1"/>
  <c r="W1367" i="3" s="1"/>
  <c r="H1368" i="3"/>
  <c r="B1368" i="3"/>
  <c r="S1369" i="3"/>
  <c r="AC1369" i="3" s="1"/>
  <c r="E1370" i="3"/>
  <c r="D1370" i="3"/>
  <c r="T1370" i="3" l="1"/>
  <c r="S1370" i="3" s="1"/>
  <c r="Q1370" i="3"/>
  <c r="C1370" i="3"/>
  <c r="E1371" i="3"/>
  <c r="D1371" i="3"/>
  <c r="R1368" i="3"/>
  <c r="W1368" i="3" s="1"/>
  <c r="H1369" i="3"/>
  <c r="B1369" i="3"/>
  <c r="AH1370" i="3" l="1"/>
  <c r="AC1370" i="3" s="1"/>
  <c r="C1371" i="3"/>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B1374" i="3" s="1"/>
  <c r="S1374" i="3"/>
  <c r="AC1374" i="3" s="1"/>
  <c r="E1375" i="3"/>
  <c r="D1375" i="3"/>
  <c r="R1372" i="3"/>
  <c r="W1372" i="3" s="1"/>
  <c r="H1373" i="3"/>
  <c r="C1375" i="3" l="1"/>
  <c r="S1375" i="3"/>
  <c r="AC1375" i="3" s="1"/>
  <c r="E1376" i="3"/>
  <c r="D1376" i="3"/>
  <c r="R1373" i="3"/>
  <c r="W1373" i="3" s="1"/>
  <c r="H1374" i="3"/>
  <c r="B1375" i="3"/>
  <c r="C1376" i="3" l="1"/>
  <c r="B1376" i="3" s="1"/>
  <c r="S1376" i="3"/>
  <c r="AC1376" i="3" s="1"/>
  <c r="E1377" i="3"/>
  <c r="D1377" i="3"/>
  <c r="R1374" i="3"/>
  <c r="W1374" i="3" s="1"/>
  <c r="H1375" i="3"/>
  <c r="C1377" i="3" l="1"/>
  <c r="B1377" i="3" s="1"/>
  <c r="S1377" i="3"/>
  <c r="AC1377" i="3" s="1"/>
  <c r="E1378" i="3"/>
  <c r="D1378" i="3"/>
  <c r="R1375" i="3"/>
  <c r="W1375" i="3" s="1"/>
  <c r="H1376" i="3"/>
  <c r="Q1378" i="3" l="1"/>
  <c r="T1378" i="3"/>
  <c r="S1378" i="3" s="1"/>
  <c r="C1378" i="3"/>
  <c r="R1376" i="3"/>
  <c r="W1376" i="3" s="1"/>
  <c r="H1377" i="3"/>
  <c r="E1379" i="3"/>
  <c r="D1379" i="3"/>
  <c r="B1378" i="3"/>
  <c r="C1379" i="3" l="1"/>
  <c r="AC1378" i="3"/>
  <c r="R1377" i="3"/>
  <c r="W1377" i="3" s="1"/>
  <c r="H1378" i="3"/>
  <c r="S1379" i="3"/>
  <c r="AC1379" i="3" s="1"/>
  <c r="E1380" i="3"/>
  <c r="D1380" i="3"/>
  <c r="C1380" i="3" s="1"/>
  <c r="B1379" i="3"/>
  <c r="S1380" i="3" l="1"/>
  <c r="AC1380" i="3" s="1"/>
  <c r="E1381" i="3"/>
  <c r="D1381" i="3"/>
  <c r="B1380" i="3"/>
  <c r="R1378" i="3"/>
  <c r="H1379" i="3"/>
  <c r="C1381" i="3" l="1"/>
  <c r="S1381" i="3"/>
  <c r="AC1381" i="3" s="1"/>
  <c r="E1382" i="3"/>
  <c r="D1382" i="3"/>
  <c r="C1382" i="3" s="1"/>
  <c r="R1379" i="3"/>
  <c r="H1380" i="3"/>
  <c r="B1381" i="3"/>
  <c r="S1382" i="3" l="1"/>
  <c r="AC1382" i="3" s="1"/>
  <c r="E1383" i="3"/>
  <c r="D1383" i="3"/>
  <c r="R1380" i="3"/>
  <c r="H1381" i="3"/>
  <c r="B1382" i="3"/>
  <c r="C1383" i="3" l="1"/>
  <c r="S1383" i="3"/>
  <c r="AC1383" i="3" s="1"/>
  <c r="E1384" i="3"/>
  <c r="D1384" i="3"/>
  <c r="R1381" i="3"/>
  <c r="H1382" i="3"/>
  <c r="B1383" i="3"/>
  <c r="C1384" i="3" l="1"/>
  <c r="S1384" i="3"/>
  <c r="AC1384" i="3" s="1"/>
  <c r="E1385" i="3"/>
  <c r="D1385" i="3"/>
  <c r="R1382" i="3"/>
  <c r="H1383" i="3"/>
  <c r="B1384" i="3"/>
  <c r="T1385" i="3" l="1"/>
  <c r="S1385" i="3" s="1"/>
  <c r="Q1385" i="3"/>
  <c r="C1385" i="3"/>
  <c r="R1383" i="3"/>
  <c r="H1384" i="3"/>
  <c r="E1386" i="3"/>
  <c r="D1386" i="3"/>
  <c r="B1385" i="3"/>
  <c r="AC1385" i="3" l="1"/>
  <c r="C1386" i="3"/>
  <c r="R1384" i="3"/>
  <c r="H1385" i="3"/>
  <c r="E1387" i="3"/>
  <c r="D1387" i="3"/>
  <c r="S1386" i="3"/>
  <c r="AC1386" i="3" s="1"/>
  <c r="C1387" i="3" l="1"/>
  <c r="S1387" i="3"/>
  <c r="AC1387" i="3" s="1"/>
  <c r="E1388" i="3"/>
  <c r="D1388" i="3"/>
  <c r="B1386" i="3"/>
  <c r="B1387" i="3" s="1"/>
  <c r="R1385" i="3"/>
  <c r="H1386" i="3"/>
  <c r="T1388" i="3" l="1"/>
  <c r="S1388" i="3" s="1"/>
  <c r="Q1388" i="3"/>
  <c r="C1388" i="3"/>
  <c r="E1389" i="3"/>
  <c r="D1389" i="3"/>
  <c r="R1386" i="3"/>
  <c r="H1387" i="3"/>
  <c r="B1388" i="3"/>
  <c r="AC1388" i="3" l="1"/>
  <c r="C1389" i="3"/>
  <c r="B1389" i="3" s="1"/>
  <c r="S1389" i="3"/>
  <c r="AC1389" i="3" s="1"/>
  <c r="D1390" i="3"/>
  <c r="E1390" i="3"/>
  <c r="R1387" i="3"/>
  <c r="H1388" i="3"/>
  <c r="C1390" i="3" l="1"/>
  <c r="B1390" i="3" s="1"/>
  <c r="E1391" i="3"/>
  <c r="D1391" i="3"/>
  <c r="S1390" i="3"/>
  <c r="AC1390" i="3" s="1"/>
  <c r="R1388" i="3"/>
  <c r="H1389" i="3"/>
  <c r="C1391" i="3" l="1"/>
  <c r="T1391" i="3"/>
  <c r="S1391" i="3" s="1"/>
  <c r="Q1391" i="3"/>
  <c r="R1389" i="3"/>
  <c r="H1390" i="3"/>
  <c r="E1392" i="3"/>
  <c r="D1392" i="3"/>
  <c r="AC1391" i="3" l="1"/>
  <c r="T1392" i="3"/>
  <c r="S1392" i="3" s="1"/>
  <c r="Q1392" i="3"/>
  <c r="C1392" i="3"/>
  <c r="R1390" i="3"/>
  <c r="H1391" i="3"/>
  <c r="E1393" i="3"/>
  <c r="D1393" i="3"/>
  <c r="B1391" i="3"/>
  <c r="AC1392" i="3" l="1"/>
  <c r="C1393" i="3"/>
  <c r="R1391" i="3"/>
  <c r="H1392" i="3"/>
  <c r="S1393" i="3"/>
  <c r="AC1393" i="3" s="1"/>
  <c r="E1394" i="3"/>
  <c r="D1394" i="3"/>
  <c r="B1392" i="3"/>
  <c r="C1394" i="3" l="1"/>
  <c r="S1394" i="3"/>
  <c r="AC1394" i="3" s="1"/>
  <c r="R1392" i="3"/>
  <c r="H1393" i="3"/>
  <c r="E1395" i="3"/>
  <c r="D1395" i="3"/>
  <c r="B1393" i="3"/>
  <c r="C1395" i="3" l="1"/>
  <c r="Q1395" i="3"/>
  <c r="T1395" i="3"/>
  <c r="S1395" i="3" s="1"/>
  <c r="D1396" i="3"/>
  <c r="R1393" i="3"/>
  <c r="H1394" i="3"/>
  <c r="B1394" i="3"/>
  <c r="B1395" i="3" s="1"/>
  <c r="AC1395" i="3" l="1"/>
  <c r="C1396" i="3"/>
  <c r="B1396" i="3" s="1"/>
  <c r="Q1396" i="3"/>
  <c r="T1396" i="3"/>
  <c r="S1396" i="3" s="1"/>
  <c r="E1397" i="3"/>
  <c r="D1397" i="3"/>
  <c r="C1397" i="3" s="1"/>
  <c r="R1394" i="3"/>
  <c r="H1395" i="3"/>
  <c r="AC1396" i="3" l="1"/>
  <c r="R1395" i="3"/>
  <c r="H1396" i="3"/>
  <c r="S1397" i="3"/>
  <c r="AC1397" i="3" s="1"/>
  <c r="E1398" i="3"/>
  <c r="D1398" i="3"/>
  <c r="C1398" i="3" l="1"/>
  <c r="R1396" i="3"/>
  <c r="H1397" i="3"/>
  <c r="S1398" i="3"/>
  <c r="AC1398" i="3" s="1"/>
  <c r="E1399" i="3"/>
  <c r="D1399" i="3"/>
  <c r="C1399" i="3" s="1"/>
  <c r="B1397" i="3"/>
  <c r="S1399" i="3" l="1"/>
  <c r="AC1399" i="3" s="1"/>
  <c r="B1398" i="3"/>
  <c r="E1400" i="3"/>
  <c r="D1400" i="3"/>
  <c r="C1400" i="3" s="1"/>
  <c r="R1397" i="3"/>
  <c r="W1397" i="3" s="1"/>
  <c r="H1398" i="3"/>
  <c r="R1398" i="3" l="1"/>
  <c r="W1398" i="3" s="1"/>
  <c r="H1399" i="3"/>
  <c r="S1400" i="3"/>
  <c r="AC1400" i="3" s="1"/>
  <c r="E1401" i="3"/>
  <c r="D1401" i="3"/>
  <c r="B1399" i="3"/>
  <c r="C1401" i="3" l="1"/>
  <c r="E1402" i="3"/>
  <c r="D1402" i="3"/>
  <c r="S1401" i="3"/>
  <c r="AC1401" i="3" s="1"/>
  <c r="B1400" i="3"/>
  <c r="R1399" i="3"/>
  <c r="W1399" i="3" s="1"/>
  <c r="H1400" i="3"/>
  <c r="C1402" i="3" l="1"/>
  <c r="B1401" i="3"/>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B1406" i="3" s="1"/>
  <c r="S1406" i="3"/>
  <c r="AC1406" i="3" s="1"/>
  <c r="E1407" i="3"/>
  <c r="D1407" i="3"/>
  <c r="R1404" i="3"/>
  <c r="W1404" i="3" s="1"/>
  <c r="H1405"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S1411" i="3"/>
  <c r="AC1411" i="3" s="1"/>
  <c r="R1409" i="3"/>
  <c r="W1409" i="3" s="1"/>
  <c r="H1410" i="3"/>
  <c r="B1410" i="3"/>
  <c r="Q1412" i="3" l="1"/>
  <c r="T1412" i="3"/>
  <c r="S1412" i="3" s="1"/>
  <c r="AC1412" i="3" s="1"/>
  <c r="C1412" i="3"/>
  <c r="R1410" i="3"/>
  <c r="W1410" i="3" s="1"/>
  <c r="H1411" i="3"/>
  <c r="E1413" i="3"/>
  <c r="D1413" i="3"/>
  <c r="B1411" i="3"/>
  <c r="C1413" i="3" l="1"/>
  <c r="E1414" i="3"/>
  <c r="D1414" i="3"/>
  <c r="S1413" i="3"/>
  <c r="AC1413" i="3" s="1"/>
  <c r="R1411" i="3"/>
  <c r="W1411" i="3" s="1"/>
  <c r="H1412" i="3"/>
  <c r="B1412" i="3"/>
  <c r="C1414" i="3" l="1"/>
  <c r="R1412" i="3"/>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Q1420" i="3" l="1"/>
  <c r="T1420" i="3"/>
  <c r="S1420" i="3" s="1"/>
  <c r="C1420" i="3"/>
  <c r="E1421" i="3"/>
  <c r="D1421" i="3"/>
  <c r="R1418" i="3"/>
  <c r="W1418" i="3" s="1"/>
  <c r="H1419" i="3"/>
  <c r="B1419" i="3"/>
  <c r="AC1420" i="3" l="1"/>
  <c r="C1421" i="3"/>
  <c r="R1419" i="3"/>
  <c r="W1419" i="3" s="1"/>
  <c r="H1420" i="3"/>
  <c r="B1420" i="3"/>
  <c r="S1421" i="3"/>
  <c r="AC1421" i="3" s="1"/>
  <c r="E1422" i="3"/>
  <c r="D1422" i="3"/>
  <c r="Q1422" i="3" l="1"/>
  <c r="T1422" i="3"/>
  <c r="S1422" i="3" s="1"/>
  <c r="C1422" i="3"/>
  <c r="E1423" i="3"/>
  <c r="D1423" i="3"/>
  <c r="R1420" i="3"/>
  <c r="H1421" i="3"/>
  <c r="B1421" i="3"/>
  <c r="AC1422" i="3" l="1"/>
  <c r="Q1423" i="3"/>
  <c r="T1423" i="3"/>
  <c r="S1423" i="3" s="1"/>
  <c r="C1423" i="3"/>
  <c r="R1421" i="3"/>
  <c r="H1422" i="3"/>
  <c r="B1422" i="3"/>
  <c r="E1424" i="3"/>
  <c r="D1424" i="3"/>
  <c r="AC1423" i="3" l="1"/>
  <c r="C1424" i="3"/>
  <c r="E1425" i="3"/>
  <c r="D1425" i="3"/>
  <c r="S1424" i="3"/>
  <c r="AC1424" i="3" s="1"/>
  <c r="R1422" i="3"/>
  <c r="B1423" i="3"/>
  <c r="H1423" i="3" s="1"/>
  <c r="C1425" i="3" l="1"/>
  <c r="R1423" i="3"/>
  <c r="S1425" i="3"/>
  <c r="AC1425" i="3" s="1"/>
  <c r="E1426" i="3"/>
  <c r="D1426" i="3"/>
  <c r="B1424" i="3"/>
  <c r="H1424" i="3" s="1"/>
  <c r="C1426" i="3" l="1"/>
  <c r="S1426" i="3"/>
  <c r="AC1426" i="3" s="1"/>
  <c r="R1424" i="3"/>
  <c r="E1427" i="3"/>
  <c r="D1427" i="3"/>
  <c r="B1425" i="3"/>
  <c r="H1425" i="3" s="1"/>
  <c r="C1427" i="3" l="1"/>
  <c r="S1427" i="3"/>
  <c r="AC1427" i="3" s="1"/>
  <c r="E1428" i="3"/>
  <c r="D1428" i="3"/>
  <c r="R1425" i="3"/>
  <c r="W1425" i="3" s="1"/>
  <c r="B1426" i="3"/>
  <c r="H1426" i="3" s="1"/>
  <c r="C1428" i="3" l="1"/>
  <c r="B1427" i="3"/>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B1432" i="3"/>
  <c r="C1434" i="3" l="1"/>
  <c r="R1432" i="3"/>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D1443" i="3" l="1"/>
  <c r="E1443" i="3"/>
  <c r="E1444" i="3" s="1"/>
  <c r="C1442" i="3"/>
  <c r="R1440" i="3"/>
  <c r="W1440" i="3" s="1"/>
  <c r="H1441" i="3"/>
  <c r="S1442" i="3"/>
  <c r="AC1442" i="3" s="1"/>
  <c r="B1441" i="3"/>
  <c r="B1442" i="3" s="1"/>
  <c r="E1445" i="3" l="1"/>
  <c r="D1444" i="3"/>
  <c r="C1443" i="3"/>
  <c r="B1443" i="3" s="1"/>
  <c r="S1443" i="3"/>
  <c r="AC1443" i="3" s="1"/>
  <c r="R1441" i="3"/>
  <c r="W1441" i="3" s="1"/>
  <c r="H1442" i="3"/>
  <c r="H1443" i="3" s="1"/>
  <c r="H1444" i="3" l="1"/>
  <c r="R1443" i="3"/>
  <c r="W1443" i="3" s="1"/>
  <c r="S1444" i="3"/>
  <c r="AC1444" i="3" s="1"/>
  <c r="C1444" i="3"/>
  <c r="B1444" i="3" s="1"/>
  <c r="E1446" i="3"/>
  <c r="D1445" i="3"/>
  <c r="R1442" i="3"/>
  <c r="W1442" i="3" s="1"/>
  <c r="S1445" i="3" l="1"/>
  <c r="AC1445" i="3" s="1"/>
  <c r="C1445" i="3"/>
  <c r="E1447" i="3"/>
  <c r="D1446" i="3"/>
  <c r="H1445" i="3"/>
  <c r="R1445" i="3" s="1"/>
  <c r="W1445" i="3" s="1"/>
  <c r="R1444" i="3"/>
  <c r="W1444" i="3" s="1"/>
  <c r="S1446" i="3" l="1"/>
  <c r="AC1446" i="3" s="1"/>
  <c r="C1446" i="3"/>
  <c r="E1448" i="3"/>
  <c r="H1446" i="3"/>
  <c r="D1447" i="3"/>
  <c r="B1445" i="3"/>
  <c r="B1446" i="3" s="1"/>
  <c r="E1449" i="3" l="1"/>
  <c r="S1447" i="3"/>
  <c r="AC1447" i="3" s="1"/>
  <c r="C1447" i="3"/>
  <c r="B1447" i="3" s="1"/>
  <c r="D1448" i="3"/>
  <c r="R1446" i="3"/>
  <c r="W1446" i="3" s="1"/>
  <c r="H1447" i="3"/>
  <c r="R1447" i="3" l="1"/>
  <c r="W1447" i="3" s="1"/>
  <c r="H1448" i="3"/>
  <c r="Q1448" i="3"/>
  <c r="T1448" i="3"/>
  <c r="S1448" i="3" s="1"/>
  <c r="AC1448" i="3" s="1"/>
  <c r="C1448" i="3"/>
  <c r="E1450" i="3"/>
  <c r="D1449" i="3"/>
  <c r="Q1449" i="3" l="1"/>
  <c r="T1449" i="3"/>
  <c r="S1449" i="3" s="1"/>
  <c r="AC1449" i="3" s="1"/>
  <c r="C1449" i="3"/>
  <c r="E1451" i="3"/>
  <c r="D1450" i="3"/>
  <c r="B1448" i="3"/>
  <c r="R1448" i="3"/>
  <c r="H1449" i="3"/>
  <c r="B1449" i="3" l="1"/>
  <c r="S1450" i="3"/>
  <c r="AC1450" i="3" s="1"/>
  <c r="C1450" i="3"/>
  <c r="D1451" i="3"/>
  <c r="D1452" i="3" s="1"/>
  <c r="E1452" i="3"/>
  <c r="R1449" i="3"/>
  <c r="H1450" i="3"/>
  <c r="B1450" i="3"/>
  <c r="D1453" i="3" l="1"/>
  <c r="E1453" i="3"/>
  <c r="S1452" i="3"/>
  <c r="AC1452" i="3" s="1"/>
  <c r="S1451" i="3"/>
  <c r="AC1451" i="3" s="1"/>
  <c r="C1451" i="3"/>
  <c r="R1450" i="3"/>
  <c r="W1450" i="3" s="1"/>
  <c r="H1451" i="3"/>
  <c r="C1452" i="3" l="1"/>
  <c r="B1451" i="3"/>
  <c r="D1454" i="3"/>
  <c r="E1454" i="3"/>
  <c r="R1451" i="3"/>
  <c r="W1451" i="3" s="1"/>
  <c r="H1452" i="3"/>
  <c r="S1453" i="3"/>
  <c r="AC1453" i="3" s="1"/>
  <c r="C1453" i="3"/>
  <c r="S1454" i="3" l="1"/>
  <c r="AC1454" i="3" s="1"/>
  <c r="C1454" i="3"/>
  <c r="E1455" i="3"/>
  <c r="D1455" i="3"/>
  <c r="R1452" i="3"/>
  <c r="W1452" i="3" s="1"/>
  <c r="H1453" i="3"/>
  <c r="B1452" i="3"/>
  <c r="B1453" i="3" s="1"/>
  <c r="B1454" i="3" s="1"/>
  <c r="R1453" i="3" l="1"/>
  <c r="W1453" i="3" s="1"/>
  <c r="H1454" i="3"/>
  <c r="S1455" i="3"/>
  <c r="AC1455" i="3" s="1"/>
  <c r="C1455" i="3"/>
  <c r="B1455" i="3" s="1"/>
  <c r="D1456" i="3"/>
  <c r="E1456" i="3"/>
  <c r="S1456" i="3" l="1"/>
  <c r="AC1456" i="3" s="1"/>
  <c r="C1456" i="3"/>
  <c r="D1457" i="3"/>
  <c r="E1457" i="3"/>
  <c r="B1456" i="3"/>
  <c r="R1454" i="3"/>
  <c r="W1454" i="3" s="1"/>
  <c r="H1455" i="3"/>
  <c r="D1458" i="3" l="1"/>
  <c r="E1458" i="3"/>
  <c r="S1457" i="3"/>
  <c r="AC1457" i="3" s="1"/>
  <c r="C1457" i="3"/>
  <c r="B1457" i="3" s="1"/>
  <c r="R1455" i="3"/>
  <c r="W1455" i="3" s="1"/>
  <c r="H1456" i="3"/>
  <c r="R1456" i="3" l="1"/>
  <c r="W1456" i="3" s="1"/>
  <c r="H1457" i="3"/>
  <c r="E1459" i="3"/>
  <c r="D1459" i="3"/>
  <c r="S1458" i="3"/>
  <c r="AC1458" i="3" s="1"/>
  <c r="C1458" i="3"/>
  <c r="B1458" i="3" l="1"/>
  <c r="S1459" i="3"/>
  <c r="AC1459" i="3" s="1"/>
  <c r="C1459" i="3"/>
  <c r="D1460" i="3"/>
  <c r="E1460" i="3"/>
  <c r="R1457" i="3"/>
  <c r="W1457" i="3" s="1"/>
  <c r="H1458" i="3"/>
  <c r="D1461" i="3" l="1"/>
  <c r="E1461" i="3"/>
  <c r="S1460" i="3"/>
  <c r="AC1460" i="3" s="1"/>
  <c r="C1460" i="3"/>
  <c r="R1458" i="3"/>
  <c r="W1458" i="3" s="1"/>
  <c r="H1459" i="3"/>
  <c r="B1459" i="3"/>
  <c r="B1460" i="3" l="1"/>
  <c r="R1459" i="3"/>
  <c r="W1459" i="3" s="1"/>
  <c r="H1460" i="3"/>
  <c r="R1460" i="3" s="1"/>
  <c r="W1460" i="3" s="1"/>
  <c r="S1461" i="3"/>
  <c r="AC1461" i="3" s="1"/>
  <c r="C1461" i="3"/>
  <c r="B1461" i="3" s="1"/>
  <c r="H1461" i="3" l="1"/>
  <c r="R1461" i="3" s="1"/>
  <c r="W146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<sst xmlns="http://schemas.openxmlformats.org/spreadsheetml/2006/main" count="286" uniqueCount="95">
  <si>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</si>
  <si>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</si>
  <si>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</si>
  <si>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</si>
  <si>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</si>
  <si>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</si>
  <si>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</si>
  <si>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</si>
  <si>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</si>
  <si>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</si>
  <si>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</si>
  <si>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</si>
  <si>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</si>
  <si>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</si>
  <si>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</si>
  <si>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</si>
  <si>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</si>
  <si>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</si>
  <si>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</si>
  <si>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</si>
  <si>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</si>
  <si>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</si>
  <si>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</si>
  <si>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</si>
  <si>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</si>
  <si>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</si>
  <si>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</si>
  <si>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</si>
  <si>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</si>
  <si>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</si>
  <si>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</si>
  <si>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</si>
  <si>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</si>
  <si>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</si>
  <si>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</si>
  <si>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</si>
  <si>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</si>
  <si>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</si>
  <si>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</si>
  <si>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</si>
  <si>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</si>
  <si>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</si>
  <si>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</si>
  <si>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</si>
  <si>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</si>
  <si>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</si>
  <si>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</si>
  <si>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</si>
  <si>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</si>
  <si>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</si>
  <si>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</si>
  <si>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</si>
  <si>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</si>
  <si>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</si>
  <si>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</si>
  <si>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</si>
  <si>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Lactuca</t>
  </si>
  <si>
    <t>inermis</t>
  </si>
  <si>
    <t>Nov</t>
  </si>
  <si>
    <t>Fly</t>
  </si>
  <si>
    <t>same fly returning?</t>
  </si>
  <si>
    <t>Bee</t>
  </si>
  <si>
    <t>blurry, so not sure I can distinguish anthers and stigma, might all be just visiting anthers…..</t>
  </si>
  <si>
    <t>?Fly</t>
  </si>
  <si>
    <t>chased away</t>
  </si>
  <si>
    <t>chased away for 2 seconds and returns</t>
  </si>
  <si>
    <t>same individual?</t>
  </si>
  <si>
    <t>Bee?</t>
  </si>
  <si>
    <t>too fast to properly see, accidental visit</t>
  </si>
  <si>
    <t>same as last fly</t>
  </si>
  <si>
    <t>same as last fly going to flower in the background and back</t>
  </si>
  <si>
    <t>front flower slowly closing….</t>
  </si>
  <si>
    <t>small fly</t>
  </si>
  <si>
    <t>not sure what it touched. Flower closing….</t>
  </si>
  <si>
    <t>flowers almost closed….</t>
  </si>
  <si>
    <t>flowers still largely closed, fighting its way in, but no idea if it touches anything</t>
  </si>
  <si>
    <t>only truly going inside one, plus few seconds on other flower in the background</t>
  </si>
  <si>
    <t>not going in</t>
  </si>
  <si>
    <t>Larger fly?</t>
  </si>
  <si>
    <t>2 flies trying to land</t>
  </si>
  <si>
    <t>Full of pollen?! Not sure what it was doing. Crawling inside</t>
  </si>
  <si>
    <t>first flower looks really closed. But still sometimes accidental visits. Not sure it should be counted though</t>
  </si>
  <si>
    <t>Diptera</t>
  </si>
  <si>
    <t>Hymenoptera</t>
  </si>
  <si>
    <t>flowers completely died off</t>
  </si>
  <si>
    <t>Morphospecies</t>
  </si>
  <si>
    <t>Anthomyiidae</t>
  </si>
  <si>
    <t>Brachycera</t>
  </si>
  <si>
    <t>small Apoidea</t>
  </si>
  <si>
    <t>Striped fly with ant</t>
  </si>
  <si>
    <t>small Diptera</t>
  </si>
  <si>
    <t>Grey fly with dots</t>
  </si>
  <si>
    <t>yes</t>
  </si>
  <si>
    <t>JH/SD IDs</t>
  </si>
  <si>
    <t>Anthomyia sp.02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</si>
</sst>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0" xfId="0" applyFill="1"/>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18"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61"/>
  <sheetViews>
    <sheetView tabSelected="1" zoomScale="85" zoomScaleNormal="85" workbookViewId="0">
      <pane xSplit="6" ySplit="2" topLeftCell="J5" activePane="bottomRight" state="frozen"/>
      <selection pane="topRight" activeCell="G1" sqref="G1"/>
      <selection pane="bottomLeft" activeCell="A3" sqref="A3"/>
      <selection pane="bottomRight" activeCell="Y56" sqref="Y5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4" width="18.81640625" customWidth="1"/>
    <col min="25" max="26" width="18.81640625" style="1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4" t="s">
        <v>10</v>
      </c>
      <c r="B1" s="135"/>
      <c r="C1" s="135"/>
      <c r="D1" s="135"/>
      <c r="E1" s="135"/>
      <c r="F1" s="136"/>
      <c r="G1" s="5"/>
      <c r="H1" s="137" t="s">
        <v>11</v>
      </c>
      <c r="I1" s="138"/>
      <c r="J1" s="139" t="s">
        <v>12</v>
      </c>
      <c r="K1" s="140"/>
      <c r="L1" s="140"/>
      <c r="M1" s="140"/>
      <c r="N1" s="141"/>
      <c r="O1" s="6"/>
      <c r="P1" s="142" t="s">
        <v>13</v>
      </c>
      <c r="Q1" s="143"/>
      <c r="R1" s="143"/>
      <c r="S1" s="143"/>
      <c r="T1" s="143"/>
      <c r="U1" s="143"/>
      <c r="V1" s="143"/>
      <c r="W1" s="143"/>
      <c r="X1" s="143"/>
      <c r="Y1" s="144"/>
      <c r="Z1" s="144"/>
      <c r="AA1" s="143"/>
      <c r="AB1" s="145"/>
      <c r="AC1" s="7"/>
      <c r="AD1" s="142" t="s">
        <v>14</v>
      </c>
      <c r="AE1" s="143"/>
      <c r="AF1" s="143"/>
      <c r="AG1" s="143"/>
      <c r="AH1" s="143"/>
      <c r="AI1" s="143"/>
      <c r="AJ1" s="143"/>
      <c r="AK1" s="143"/>
      <c r="AL1" s="143"/>
      <c r="AM1" s="143"/>
      <c r="AN1" s="143"/>
      <c r="AO1" s="143"/>
      <c r="AP1" s="143"/>
      <c r="AQ1" s="143"/>
      <c r="AR1" s="143"/>
      <c r="AS1" s="143"/>
      <c r="AT1" s="143"/>
      <c r="AU1" s="145"/>
      <c r="AV1" s="8"/>
      <c r="AW1" s="132" t="s">
        <v>15</v>
      </c>
      <c r="AX1" s="133"/>
      <c r="AY1" s="133"/>
      <c r="AZ1" s="133"/>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6" t="s">
        <v>28</v>
      </c>
      <c r="N2" s="126"/>
      <c r="O2" s="17" t="s">
        <v>29</v>
      </c>
      <c r="P2" s="18" t="s">
        <v>30</v>
      </c>
      <c r="Q2" s="19" t="s">
        <v>31</v>
      </c>
      <c r="R2" s="20" t="s">
        <v>32</v>
      </c>
      <c r="S2" s="20" t="s">
        <v>33</v>
      </c>
      <c r="T2" s="127" t="s">
        <v>34</v>
      </c>
      <c r="U2" s="128"/>
      <c r="V2" s="129"/>
      <c r="W2" s="21" t="s">
        <v>35</v>
      </c>
      <c r="X2" s="20" t="s">
        <v>36</v>
      </c>
      <c r="Y2" s="123" t="s">
        <v>93</v>
      </c>
      <c r="Z2" s="123" t="s">
        <v>85</v>
      </c>
      <c r="AA2" s="20" t="s">
        <v>37</v>
      </c>
      <c r="AB2" s="20" t="s">
        <v>38</v>
      </c>
      <c r="AC2" s="22"/>
      <c r="AD2" s="130" t="s">
        <v>39</v>
      </c>
      <c r="AE2" s="131"/>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58</v>
      </c>
      <c r="C3" s="33">
        <v>23</v>
      </c>
      <c r="D3" s="34">
        <v>10</v>
      </c>
      <c r="E3" s="35">
        <v>22</v>
      </c>
      <c r="F3" s="36"/>
      <c r="G3" s="37"/>
      <c r="H3" s="38" t="str">
        <f>CONCATENATE(LEFT(J3,3),LEFT(K3,3),L3,"_",A3,TEXT(MONTH(DATEVALUE(B3&amp;" 1")),"00"),TEXT(IF(AND(E3&lt;G3, D3=0), C3-1, C3),"00"),"_",TEXT(IF(E3&lt;G3, IF(D3-1=-1, 23, D3-1), D3), "00"),"_",TEXT(G3,"00"))</f>
        <v>Lacine13_20191123_10_00</v>
      </c>
      <c r="I3" s="39">
        <v>1</v>
      </c>
      <c r="J3" s="40" t="s">
        <v>56</v>
      </c>
      <c r="K3" s="41" t="s">
        <v>57</v>
      </c>
      <c r="L3" s="42">
        <v>13</v>
      </c>
      <c r="M3" s="42">
        <v>2</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2019</v>
      </c>
      <c r="B4" s="62" t="str">
        <f t="shared" ref="B4:B67" si="6">IF(C3-C4&gt;0, TEXT(DATE(2016,(MONTH(DATEVALUE(B3&amp;"1"))+1),1),"mmm"), B3)</f>
        <v>Nov</v>
      </c>
      <c r="C4" s="63">
        <f>IF(AND(D4=0, E4=0), IF(TEXT(C3,"dd")=TEXT(EOMONTH(DATE(A3,MONTH(DATEVALUE(B3&amp;"1")),C3),0), "dd"), 1, C3+1), C3)</f>
        <v>23</v>
      </c>
      <c r="D4" s="64">
        <f t="shared" ref="D4:D67" si="7">IF(IF(E3=59,D3+1,D3)=24,0,IF(E3=59,D3+1,D3))</f>
        <v>10</v>
      </c>
      <c r="E4" s="65">
        <f t="shared" ref="E4:E67" si="8">IF(E3&lt;59,E3+1,0)</f>
        <v>23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Lacine13_20191123_10_00</v>
      </c>
      <c r="I4" s="69">
        <f>I3</f>
        <v>1</v>
      </c>
      <c r="J4" s="70" t="str">
        <f t="shared" ref="J4:N19" si="9">J3</f>
        <v>Lactuca</v>
      </c>
      <c r="K4" s="70" t="str">
        <f t="shared" si="9"/>
        <v>inermis</v>
      </c>
      <c r="L4" s="71">
        <f t="shared" si="9"/>
        <v>13</v>
      </c>
      <c r="M4" s="71">
        <f t="shared" si="9"/>
        <v>2</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x14ac:dyDescent="0.35">
      <c r="A5" s="72">
        <f t="shared" si="5"/>
        <v>2019</v>
      </c>
      <c r="B5" s="72" t="str">
        <f t="shared" si="6"/>
        <v>Nov</v>
      </c>
      <c r="C5" s="73">
        <f t="shared" ref="C5:C68" si="25">IF(AND(D5=0, E5=0), IF(TEXT(C4,"dd")=TEXT(EOMONTH(DATE(A4,MONTH(DATEVALUE(B4&amp;"1")),C4),0), "dd"), 1, C4+1), C4)</f>
        <v>23</v>
      </c>
      <c r="D5" s="74">
        <f t="shared" si="7"/>
        <v>10</v>
      </c>
      <c r="E5" s="75">
        <f t="shared" si="8"/>
        <v>24</v>
      </c>
      <c r="F5" s="66">
        <v>16</v>
      </c>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Lacine13_20191123_10_00</v>
      </c>
      <c r="I5" s="69">
        <f t="shared" ref="I5:N20" si="27">I4</f>
        <v>1</v>
      </c>
      <c r="J5" s="76" t="str">
        <f t="shared" si="9"/>
        <v>Lactuca</v>
      </c>
      <c r="K5" s="76" t="str">
        <f t="shared" si="9"/>
        <v>inermis</v>
      </c>
      <c r="L5" s="77">
        <f t="shared" si="9"/>
        <v>13</v>
      </c>
      <c r="M5" s="77">
        <f t="shared" si="9"/>
        <v>2</v>
      </c>
      <c r="N5" s="71">
        <f t="shared" si="9"/>
        <v>0</v>
      </c>
      <c r="O5" s="44"/>
      <c r="P5" s="45">
        <f t="shared" si="10"/>
        <v>1</v>
      </c>
      <c r="Q5" s="46" t="str">
        <f t="shared" si="11"/>
        <v>10:24:16</v>
      </c>
      <c r="R5" s="47" t="str">
        <f t="shared" si="12"/>
        <v>24:16</v>
      </c>
      <c r="S5" s="48">
        <f t="shared" si="0"/>
        <v>100</v>
      </c>
      <c r="T5" s="47" t="str">
        <f t="shared" si="13"/>
        <v>10</v>
      </c>
      <c r="U5" s="49">
        <v>25</v>
      </c>
      <c r="V5" s="50">
        <v>56</v>
      </c>
      <c r="W5" s="51" t="str">
        <f t="shared" si="14"/>
        <v>25:56</v>
      </c>
      <c r="X5" s="52" t="s">
        <v>59</v>
      </c>
      <c r="Y5" s="124" t="s">
        <v>86</v>
      </c>
      <c r="Z5" s="124"/>
      <c r="AA5" s="47" t="s">
        <v>82</v>
      </c>
      <c r="AB5" s="47" t="str">
        <f t="shared" si="15"/>
        <v>NA</v>
      </c>
      <c r="AC5" s="53">
        <f t="shared" si="16"/>
        <v>0</v>
      </c>
      <c r="AD5" s="54">
        <v>2</v>
      </c>
      <c r="AE5" s="54"/>
      <c r="AF5" s="54"/>
      <c r="AG5" s="55" t="str">
        <f t="shared" si="18"/>
        <v/>
      </c>
      <c r="AH5" s="56" t="str">
        <f t="shared" si="19"/>
        <v/>
      </c>
      <c r="AI5" s="55"/>
      <c r="AJ5" s="56" t="str">
        <f t="shared" si="20"/>
        <v/>
      </c>
      <c r="AK5" s="55"/>
      <c r="AL5" s="56" t="str">
        <f t="shared" si="21"/>
        <v/>
      </c>
      <c r="AM5" s="55">
        <v>1</v>
      </c>
      <c r="AN5" s="56">
        <f t="shared" si="22"/>
        <v>100</v>
      </c>
      <c r="AO5" s="55"/>
      <c r="AP5" s="56" t="str">
        <f t="shared" si="23"/>
        <v/>
      </c>
      <c r="AQ5" s="55"/>
      <c r="AR5" s="56" t="str">
        <f t="shared" si="24"/>
        <v/>
      </c>
      <c r="AS5" s="57" t="s">
        <v>62</v>
      </c>
      <c r="AT5" s="58"/>
      <c r="AU5" s="58"/>
      <c r="AV5" s="59"/>
      <c r="AW5" s="60">
        <v>1</v>
      </c>
      <c r="AX5" s="61">
        <f t="shared" si="2"/>
        <v>2</v>
      </c>
      <c r="AY5" s="60">
        <v>1</v>
      </c>
      <c r="AZ5" s="61">
        <f t="shared" si="4"/>
        <v>2</v>
      </c>
    </row>
    <row r="6" spans="1:52" s="3" customFormat="1" hidden="1" x14ac:dyDescent="0.35">
      <c r="A6" s="72">
        <f t="shared" si="5"/>
        <v>2019</v>
      </c>
      <c r="B6" s="72" t="str">
        <f t="shared" si="6"/>
        <v>Nov</v>
      </c>
      <c r="C6" s="73">
        <f t="shared" si="25"/>
        <v>23</v>
      </c>
      <c r="D6" s="74">
        <f t="shared" si="7"/>
        <v>10</v>
      </c>
      <c r="E6" s="75">
        <f t="shared" si="8"/>
        <v>25</v>
      </c>
      <c r="F6" s="66"/>
      <c r="G6" s="67" t="s">
        <v>55</v>
      </c>
      <c r="H6" s="68" t="str">
        <f t="shared" si="26"/>
        <v>Lacine13_20191123_10_00</v>
      </c>
      <c r="I6" s="69">
        <f t="shared" si="27"/>
        <v>1</v>
      </c>
      <c r="J6" s="76" t="str">
        <f t="shared" si="9"/>
        <v>Lactuca</v>
      </c>
      <c r="K6" s="76" t="str">
        <f t="shared" si="9"/>
        <v>inermis</v>
      </c>
      <c r="L6" s="77">
        <f t="shared" si="9"/>
        <v>13</v>
      </c>
      <c r="M6" s="77">
        <f t="shared" si="9"/>
        <v>2</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2019</v>
      </c>
      <c r="B7" s="72" t="str">
        <f t="shared" si="6"/>
        <v>Nov</v>
      </c>
      <c r="C7" s="73">
        <f t="shared" si="25"/>
        <v>23</v>
      </c>
      <c r="D7" s="74">
        <f t="shared" si="7"/>
        <v>10</v>
      </c>
      <c r="E7" s="75">
        <f t="shared" si="8"/>
        <v>26</v>
      </c>
      <c r="F7" s="66"/>
      <c r="G7" s="67" t="s">
        <v>55</v>
      </c>
      <c r="H7" s="68" t="str">
        <f t="shared" si="26"/>
        <v>Lacine13_20191123_10_00</v>
      </c>
      <c r="I7" s="69">
        <f t="shared" si="27"/>
        <v>1</v>
      </c>
      <c r="J7" s="76" t="str">
        <f t="shared" si="9"/>
        <v>Lactuca</v>
      </c>
      <c r="K7" s="76" t="str">
        <f t="shared" si="9"/>
        <v>inermis</v>
      </c>
      <c r="L7" s="77">
        <f t="shared" si="9"/>
        <v>13</v>
      </c>
      <c r="M7" s="77">
        <f t="shared" si="9"/>
        <v>2</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2019</v>
      </c>
      <c r="B8" s="72" t="str">
        <f t="shared" si="6"/>
        <v>Nov</v>
      </c>
      <c r="C8" s="73">
        <f t="shared" si="25"/>
        <v>23</v>
      </c>
      <c r="D8" s="74">
        <f t="shared" si="7"/>
        <v>10</v>
      </c>
      <c r="E8" s="75">
        <f t="shared" si="8"/>
        <v>27</v>
      </c>
      <c r="F8" s="66"/>
      <c r="G8" s="78" t="s">
        <v>55</v>
      </c>
      <c r="H8" s="68" t="str">
        <f t="shared" si="26"/>
        <v>Lacine13_20191123_10_00</v>
      </c>
      <c r="I8" s="69">
        <f t="shared" si="27"/>
        <v>1</v>
      </c>
      <c r="J8" s="76" t="str">
        <f t="shared" si="9"/>
        <v>Lactuca</v>
      </c>
      <c r="K8" s="76" t="str">
        <f t="shared" si="9"/>
        <v>inermis</v>
      </c>
      <c r="L8" s="77">
        <f t="shared" si="9"/>
        <v>13</v>
      </c>
      <c r="M8" s="77">
        <f t="shared" si="9"/>
        <v>2</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2019</v>
      </c>
      <c r="B9" s="72" t="str">
        <f t="shared" si="6"/>
        <v>Nov</v>
      </c>
      <c r="C9" s="73">
        <f t="shared" si="25"/>
        <v>23</v>
      </c>
      <c r="D9" s="74">
        <f t="shared" si="7"/>
        <v>10</v>
      </c>
      <c r="E9" s="75">
        <f t="shared" si="8"/>
        <v>28</v>
      </c>
      <c r="F9" s="79"/>
      <c r="G9" s="80">
        <v>0</v>
      </c>
      <c r="H9" s="68" t="str">
        <f t="shared" si="26"/>
        <v>Lacine13_20191123_10_00</v>
      </c>
      <c r="I9" s="69">
        <f t="shared" si="27"/>
        <v>1</v>
      </c>
      <c r="J9" s="76" t="str">
        <f t="shared" si="9"/>
        <v>Lactuca</v>
      </c>
      <c r="K9" s="76" t="str">
        <f t="shared" si="9"/>
        <v>inermis</v>
      </c>
      <c r="L9" s="77">
        <f t="shared" si="9"/>
        <v>13</v>
      </c>
      <c r="M9" s="77">
        <f t="shared" si="9"/>
        <v>2</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x14ac:dyDescent="0.35">
      <c r="A10" s="72">
        <f t="shared" si="5"/>
        <v>2019</v>
      </c>
      <c r="B10" s="72" t="str">
        <f t="shared" si="6"/>
        <v>Nov</v>
      </c>
      <c r="C10" s="73">
        <f t="shared" si="25"/>
        <v>23</v>
      </c>
      <c r="D10" s="74">
        <f t="shared" si="7"/>
        <v>10</v>
      </c>
      <c r="E10" s="75">
        <f t="shared" si="8"/>
        <v>29</v>
      </c>
      <c r="F10" s="79">
        <v>21</v>
      </c>
      <c r="G10" s="81">
        <f>IF(G4&lt;G3, ABS(G3-(G4+60)), ABS(G3-G4))</f>
        <v>0</v>
      </c>
      <c r="H10" s="68" t="str">
        <f t="shared" si="26"/>
        <v>Lacine13_20191123_10_00</v>
      </c>
      <c r="I10" s="69">
        <f t="shared" si="27"/>
        <v>1</v>
      </c>
      <c r="J10" s="76" t="str">
        <f t="shared" si="9"/>
        <v>Lactuca</v>
      </c>
      <c r="K10" s="76" t="str">
        <f t="shared" si="9"/>
        <v>inermis</v>
      </c>
      <c r="L10" s="77">
        <f t="shared" si="9"/>
        <v>13</v>
      </c>
      <c r="M10" s="77">
        <f t="shared" si="9"/>
        <v>2</v>
      </c>
      <c r="N10" s="71">
        <f t="shared" si="9"/>
        <v>0</v>
      </c>
      <c r="O10" s="44"/>
      <c r="P10" s="45">
        <f t="shared" si="10"/>
        <v>1</v>
      </c>
      <c r="Q10" s="46" t="str">
        <f t="shared" si="11"/>
        <v>10:29:21</v>
      </c>
      <c r="R10" s="47" t="str">
        <f t="shared" si="12"/>
        <v>29:21</v>
      </c>
      <c r="S10" s="48">
        <f t="shared" si="0"/>
        <v>184</v>
      </c>
      <c r="T10" s="47" t="str">
        <f t="shared" si="13"/>
        <v>10</v>
      </c>
      <c r="U10" s="49">
        <v>32</v>
      </c>
      <c r="V10" s="50">
        <v>25</v>
      </c>
      <c r="W10" s="51" t="str">
        <f t="shared" si="14"/>
        <v>32:25</v>
      </c>
      <c r="X10" s="52" t="s">
        <v>59</v>
      </c>
      <c r="Y10" s="124" t="s">
        <v>89</v>
      </c>
      <c r="Z10" s="124" t="s">
        <v>92</v>
      </c>
      <c r="AA10" s="47" t="s">
        <v>82</v>
      </c>
      <c r="AB10" s="47" t="str">
        <f t="shared" si="15"/>
        <v>NA</v>
      </c>
      <c r="AC10" s="53">
        <f t="shared" si="16"/>
        <v>0</v>
      </c>
      <c r="AD10" s="54">
        <v>2</v>
      </c>
      <c r="AE10" s="54"/>
      <c r="AF10" s="54"/>
      <c r="AG10" s="55" t="str">
        <f t="shared" si="18"/>
        <v/>
      </c>
      <c r="AH10" s="56" t="str">
        <f t="shared" si="19"/>
        <v/>
      </c>
      <c r="AI10" s="55"/>
      <c r="AJ10" s="56" t="str">
        <f t="shared" si="20"/>
        <v/>
      </c>
      <c r="AK10" s="55"/>
      <c r="AL10" s="56" t="str">
        <f t="shared" si="21"/>
        <v/>
      </c>
      <c r="AM10" s="55">
        <v>1</v>
      </c>
      <c r="AN10" s="56">
        <f t="shared" si="22"/>
        <v>184</v>
      </c>
      <c r="AO10" s="55"/>
      <c r="AP10" s="56" t="str">
        <f t="shared" si="23"/>
        <v/>
      </c>
      <c r="AQ10" s="55"/>
      <c r="AR10" s="56" t="str">
        <f t="shared" si="24"/>
        <v/>
      </c>
      <c r="AS10" s="57"/>
      <c r="AT10" s="58"/>
      <c r="AU10" s="58"/>
      <c r="AV10" s="59"/>
      <c r="AW10" s="60">
        <v>1</v>
      </c>
      <c r="AX10" s="61">
        <f t="shared" si="2"/>
        <v>2</v>
      </c>
      <c r="AY10" s="60">
        <v>1</v>
      </c>
      <c r="AZ10" s="61">
        <f t="shared" si="4"/>
        <v>2</v>
      </c>
    </row>
    <row r="11" spans="1:52" s="3" customFormat="1" hidden="1" x14ac:dyDescent="0.35">
      <c r="A11" s="72">
        <f t="shared" si="5"/>
        <v>2019</v>
      </c>
      <c r="B11" s="72" t="str">
        <f t="shared" si="6"/>
        <v>Nov</v>
      </c>
      <c r="C11" s="73">
        <f t="shared" si="25"/>
        <v>23</v>
      </c>
      <c r="D11" s="74">
        <f t="shared" si="7"/>
        <v>10</v>
      </c>
      <c r="E11" s="75">
        <f t="shared" si="8"/>
        <v>30</v>
      </c>
      <c r="F11" s="79"/>
      <c r="G11" s="82"/>
      <c r="H11" s="68" t="str">
        <f t="shared" si="26"/>
        <v>Lacine13_20191123_10_00</v>
      </c>
      <c r="I11" s="69">
        <f t="shared" si="27"/>
        <v>1</v>
      </c>
      <c r="J11" s="76" t="str">
        <f t="shared" si="9"/>
        <v>Lactuca</v>
      </c>
      <c r="K11" s="76" t="str">
        <f t="shared" si="9"/>
        <v>inermis</v>
      </c>
      <c r="L11" s="77">
        <f t="shared" si="9"/>
        <v>13</v>
      </c>
      <c r="M11" s="77">
        <f t="shared" si="9"/>
        <v>2</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2019</v>
      </c>
      <c r="B12" s="72" t="str">
        <f t="shared" si="6"/>
        <v>Nov</v>
      </c>
      <c r="C12" s="73">
        <f t="shared" si="25"/>
        <v>23</v>
      </c>
      <c r="D12" s="74">
        <f t="shared" si="7"/>
        <v>10</v>
      </c>
      <c r="E12" s="75">
        <f t="shared" si="8"/>
        <v>31</v>
      </c>
      <c r="F12" s="79"/>
      <c r="G12" s="82"/>
      <c r="H12" s="68" t="str">
        <f t="shared" si="26"/>
        <v>Lacine13_20191123_10_00</v>
      </c>
      <c r="I12" s="69">
        <f t="shared" si="27"/>
        <v>1</v>
      </c>
      <c r="J12" s="76" t="str">
        <f t="shared" si="9"/>
        <v>Lactuca</v>
      </c>
      <c r="K12" s="76" t="str">
        <f t="shared" si="9"/>
        <v>inermis</v>
      </c>
      <c r="L12" s="77">
        <f t="shared" si="9"/>
        <v>13</v>
      </c>
      <c r="M12" s="77">
        <f t="shared" si="9"/>
        <v>2</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2019</v>
      </c>
      <c r="B13" s="72" t="str">
        <f t="shared" si="6"/>
        <v>Nov</v>
      </c>
      <c r="C13" s="73">
        <f t="shared" si="25"/>
        <v>23</v>
      </c>
      <c r="D13" s="74">
        <f t="shared" si="7"/>
        <v>10</v>
      </c>
      <c r="E13" s="75">
        <f t="shared" si="8"/>
        <v>32</v>
      </c>
      <c r="F13" s="79"/>
      <c r="G13" s="82"/>
      <c r="H13" s="68" t="str">
        <f t="shared" si="26"/>
        <v>Lacine13_20191123_10_00</v>
      </c>
      <c r="I13" s="69">
        <f t="shared" si="27"/>
        <v>1</v>
      </c>
      <c r="J13" s="76" t="str">
        <f t="shared" si="9"/>
        <v>Lactuca</v>
      </c>
      <c r="K13" s="76" t="str">
        <f t="shared" si="9"/>
        <v>inermis</v>
      </c>
      <c r="L13" s="77">
        <f t="shared" si="9"/>
        <v>13</v>
      </c>
      <c r="M13" s="77">
        <f t="shared" si="9"/>
        <v>2</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x14ac:dyDescent="0.35">
      <c r="A14" s="72">
        <f t="shared" si="5"/>
        <v>2019</v>
      </c>
      <c r="B14" s="72" t="str">
        <f t="shared" si="6"/>
        <v>Nov</v>
      </c>
      <c r="C14" s="73">
        <f t="shared" si="25"/>
        <v>23</v>
      </c>
      <c r="D14" s="74">
        <f t="shared" si="7"/>
        <v>10</v>
      </c>
      <c r="E14" s="75">
        <f t="shared" si="8"/>
        <v>33</v>
      </c>
      <c r="F14" s="79">
        <v>11</v>
      </c>
      <c r="G14" s="82"/>
      <c r="H14" s="68" t="str">
        <f t="shared" si="26"/>
        <v>Lacine13_20191123_10_00</v>
      </c>
      <c r="I14" s="69">
        <f t="shared" si="27"/>
        <v>1</v>
      </c>
      <c r="J14" s="76" t="str">
        <f t="shared" si="9"/>
        <v>Lactuca</v>
      </c>
      <c r="K14" s="76" t="str">
        <f t="shared" si="9"/>
        <v>inermis</v>
      </c>
      <c r="L14" s="77">
        <f t="shared" si="9"/>
        <v>13</v>
      </c>
      <c r="M14" s="77">
        <f t="shared" si="9"/>
        <v>2</v>
      </c>
      <c r="N14" s="71">
        <f t="shared" si="9"/>
        <v>0</v>
      </c>
      <c r="O14" s="44"/>
      <c r="P14" s="45">
        <f t="shared" si="10"/>
        <v>1</v>
      </c>
      <c r="Q14" s="46" t="str">
        <f t="shared" si="11"/>
        <v>10:33:11</v>
      </c>
      <c r="R14" s="47" t="str">
        <f t="shared" si="12"/>
        <v>33:11</v>
      </c>
      <c r="S14" s="48">
        <f t="shared" si="0"/>
        <v>42</v>
      </c>
      <c r="T14" s="47" t="str">
        <f t="shared" si="13"/>
        <v>10</v>
      </c>
      <c r="U14" s="49">
        <v>33</v>
      </c>
      <c r="V14" s="50">
        <v>53</v>
      </c>
      <c r="W14" s="51" t="str">
        <f t="shared" si="14"/>
        <v>33:53</v>
      </c>
      <c r="X14" s="52" t="s">
        <v>59</v>
      </c>
      <c r="Y14" s="124" t="s">
        <v>89</v>
      </c>
      <c r="Z14" s="124" t="s">
        <v>92</v>
      </c>
      <c r="AA14" s="47" t="s">
        <v>82</v>
      </c>
      <c r="AB14" s="47" t="str">
        <f t="shared" si="15"/>
        <v>NA</v>
      </c>
      <c r="AC14" s="53">
        <f t="shared" si="16"/>
        <v>0</v>
      </c>
      <c r="AD14" s="54">
        <f t="shared" si="17"/>
        <v>1</v>
      </c>
      <c r="AE14" s="54"/>
      <c r="AF14" s="54"/>
      <c r="AG14" s="55" t="str">
        <f t="shared" si="18"/>
        <v/>
      </c>
      <c r="AH14" s="56" t="str">
        <f t="shared" si="19"/>
        <v/>
      </c>
      <c r="AI14" s="55"/>
      <c r="AJ14" s="56" t="str">
        <f t="shared" si="20"/>
        <v/>
      </c>
      <c r="AK14" s="55"/>
      <c r="AL14" s="56" t="str">
        <f t="shared" si="21"/>
        <v/>
      </c>
      <c r="AM14" s="55">
        <v>1</v>
      </c>
      <c r="AN14" s="56">
        <f t="shared" si="22"/>
        <v>42</v>
      </c>
      <c r="AO14" s="55"/>
      <c r="AP14" s="56" t="str">
        <f t="shared" si="23"/>
        <v/>
      </c>
      <c r="AQ14" s="55"/>
      <c r="AR14" s="56" t="str">
        <f t="shared" si="24"/>
        <v/>
      </c>
      <c r="AS14" s="57" t="s">
        <v>60</v>
      </c>
      <c r="AT14" s="58"/>
      <c r="AU14" s="58"/>
      <c r="AV14" s="59"/>
      <c r="AW14" s="60">
        <v>1</v>
      </c>
      <c r="AX14" s="61">
        <f t="shared" si="2"/>
        <v>1</v>
      </c>
      <c r="AY14" s="60">
        <v>1</v>
      </c>
      <c r="AZ14" s="61">
        <f t="shared" si="4"/>
        <v>1</v>
      </c>
    </row>
    <row r="15" spans="1:52" s="3" customFormat="1" hidden="1" x14ac:dyDescent="0.35">
      <c r="A15" s="72">
        <f t="shared" si="5"/>
        <v>2019</v>
      </c>
      <c r="B15" s="72" t="str">
        <f t="shared" si="6"/>
        <v>Nov</v>
      </c>
      <c r="C15" s="73">
        <f t="shared" si="25"/>
        <v>23</v>
      </c>
      <c r="D15" s="74">
        <f t="shared" si="7"/>
        <v>10</v>
      </c>
      <c r="E15" s="75">
        <f t="shared" si="8"/>
        <v>34</v>
      </c>
      <c r="F15" s="79"/>
      <c r="G15" s="82"/>
      <c r="H15" s="68" t="str">
        <f t="shared" si="26"/>
        <v>Lacine13_20191123_10_00</v>
      </c>
      <c r="I15" s="69">
        <f t="shared" si="27"/>
        <v>1</v>
      </c>
      <c r="J15" s="76" t="str">
        <f t="shared" si="9"/>
        <v>Lactuca</v>
      </c>
      <c r="K15" s="76" t="str">
        <f t="shared" si="9"/>
        <v>inermis</v>
      </c>
      <c r="L15" s="77">
        <f t="shared" si="9"/>
        <v>13</v>
      </c>
      <c r="M15" s="77">
        <f t="shared" si="9"/>
        <v>2</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x14ac:dyDescent="0.35">
      <c r="A16" s="72">
        <f t="shared" si="5"/>
        <v>2019</v>
      </c>
      <c r="B16" s="72" t="str">
        <f t="shared" si="6"/>
        <v>Nov</v>
      </c>
      <c r="C16" s="73">
        <f t="shared" si="25"/>
        <v>23</v>
      </c>
      <c r="D16" s="74">
        <f t="shared" si="7"/>
        <v>10</v>
      </c>
      <c r="E16" s="75">
        <f t="shared" si="8"/>
        <v>35</v>
      </c>
      <c r="F16" s="79">
        <v>4</v>
      </c>
      <c r="G16" s="82"/>
      <c r="H16" s="68" t="str">
        <f t="shared" si="26"/>
        <v>Lacine13_20191123_10_00</v>
      </c>
      <c r="I16" s="69">
        <f t="shared" si="27"/>
        <v>1</v>
      </c>
      <c r="J16" s="76" t="str">
        <f t="shared" si="9"/>
        <v>Lactuca</v>
      </c>
      <c r="K16" s="76" t="str">
        <f t="shared" si="9"/>
        <v>inermis</v>
      </c>
      <c r="L16" s="77">
        <f t="shared" si="9"/>
        <v>13</v>
      </c>
      <c r="M16" s="77">
        <f t="shared" si="9"/>
        <v>2</v>
      </c>
      <c r="N16" s="71">
        <f t="shared" si="9"/>
        <v>0</v>
      </c>
      <c r="O16" s="44"/>
      <c r="P16" s="45">
        <f t="shared" si="10"/>
        <v>1</v>
      </c>
      <c r="Q16" s="46" t="str">
        <f t="shared" si="11"/>
        <v>10:35:04</v>
      </c>
      <c r="R16" s="47" t="str">
        <f t="shared" si="12"/>
        <v>35:04</v>
      </c>
      <c r="S16" s="48">
        <f t="shared" si="0"/>
        <v>6</v>
      </c>
      <c r="T16" s="47" t="str">
        <f t="shared" si="13"/>
        <v>10</v>
      </c>
      <c r="U16" s="49">
        <v>35</v>
      </c>
      <c r="V16" s="50">
        <v>10</v>
      </c>
      <c r="W16" s="51" t="str">
        <f t="shared" si="14"/>
        <v>35:10</v>
      </c>
      <c r="X16" s="52" t="s">
        <v>61</v>
      </c>
      <c r="Y16" s="124" t="s">
        <v>88</v>
      </c>
      <c r="Z16" s="124"/>
      <c r="AA16" s="47" t="s">
        <v>83</v>
      </c>
      <c r="AB16" s="47" t="str">
        <f t="shared" si="15"/>
        <v>NA</v>
      </c>
      <c r="AC16" s="53">
        <f t="shared" si="16"/>
        <v>0</v>
      </c>
      <c r="AD16" s="54">
        <f t="shared" si="17"/>
        <v>1</v>
      </c>
      <c r="AE16" s="54"/>
      <c r="AF16" s="54"/>
      <c r="AG16" s="55" t="str">
        <f t="shared" si="18"/>
        <v/>
      </c>
      <c r="AH16" s="56" t="str">
        <f t="shared" si="19"/>
        <v/>
      </c>
      <c r="AI16" s="55"/>
      <c r="AJ16" s="56" t="str">
        <f t="shared" si="20"/>
        <v/>
      </c>
      <c r="AK16" s="55"/>
      <c r="AL16" s="56" t="str">
        <f t="shared" si="21"/>
        <v/>
      </c>
      <c r="AM16" s="55">
        <v>1</v>
      </c>
      <c r="AN16" s="56">
        <f t="shared" si="22"/>
        <v>6</v>
      </c>
      <c r="AO16" s="55"/>
      <c r="AP16" s="56" t="str">
        <f t="shared" si="23"/>
        <v/>
      </c>
      <c r="AQ16" s="55"/>
      <c r="AR16" s="56" t="str">
        <f t="shared" si="24"/>
        <v/>
      </c>
      <c r="AS16" s="57"/>
      <c r="AT16" s="58"/>
      <c r="AU16" s="58"/>
      <c r="AV16" s="59"/>
      <c r="AW16" s="60">
        <v>1</v>
      </c>
      <c r="AX16" s="61">
        <f t="shared" si="2"/>
        <v>1</v>
      </c>
      <c r="AY16" s="60">
        <v>1</v>
      </c>
      <c r="AZ16" s="61">
        <f t="shared" si="4"/>
        <v>1</v>
      </c>
    </row>
    <row r="17" spans="1:52" s="3" customFormat="1" x14ac:dyDescent="0.35">
      <c r="A17" s="72">
        <f t="shared" si="5"/>
        <v>2019</v>
      </c>
      <c r="B17" s="72" t="str">
        <f t="shared" si="6"/>
        <v>Nov</v>
      </c>
      <c r="C17" s="73">
        <f t="shared" si="25"/>
        <v>23</v>
      </c>
      <c r="D17" s="74">
        <f t="shared" si="7"/>
        <v>10</v>
      </c>
      <c r="E17" s="75">
        <f t="shared" si="8"/>
        <v>36</v>
      </c>
      <c r="F17" s="79">
        <v>34</v>
      </c>
      <c r="G17" s="82"/>
      <c r="H17" s="68" t="str">
        <f t="shared" si="26"/>
        <v>Lacine13_20191123_10_00</v>
      </c>
      <c r="I17" s="69">
        <f t="shared" si="27"/>
        <v>1</v>
      </c>
      <c r="J17" s="76" t="str">
        <f t="shared" si="9"/>
        <v>Lactuca</v>
      </c>
      <c r="K17" s="76" t="str">
        <f t="shared" si="9"/>
        <v>inermis</v>
      </c>
      <c r="L17" s="77">
        <f t="shared" si="9"/>
        <v>13</v>
      </c>
      <c r="M17" s="77">
        <f t="shared" si="9"/>
        <v>2</v>
      </c>
      <c r="N17" s="71">
        <f t="shared" si="9"/>
        <v>0</v>
      </c>
      <c r="O17" s="44"/>
      <c r="P17" s="45">
        <f t="shared" si="10"/>
        <v>1</v>
      </c>
      <c r="Q17" s="46" t="str">
        <f t="shared" si="11"/>
        <v>10:36:34</v>
      </c>
      <c r="R17" s="47" t="str">
        <f t="shared" si="12"/>
        <v>36:34</v>
      </c>
      <c r="S17" s="48">
        <f t="shared" si="0"/>
        <v>33</v>
      </c>
      <c r="T17" s="47" t="str">
        <f t="shared" si="13"/>
        <v>10</v>
      </c>
      <c r="U17" s="49">
        <v>37</v>
      </c>
      <c r="V17" s="50">
        <v>7</v>
      </c>
      <c r="W17" s="51" t="str">
        <f t="shared" si="14"/>
        <v>37:07</v>
      </c>
      <c r="X17" s="52" t="s">
        <v>59</v>
      </c>
      <c r="Y17" s="124" t="s">
        <v>89</v>
      </c>
      <c r="Z17" s="124" t="s">
        <v>92</v>
      </c>
      <c r="AA17" s="47" t="s">
        <v>82</v>
      </c>
      <c r="AB17" s="47" t="str">
        <f t="shared" si="15"/>
        <v>NA</v>
      </c>
      <c r="AC17" s="53">
        <f t="shared" si="16"/>
        <v>0</v>
      </c>
      <c r="AD17" s="54">
        <f t="shared" si="17"/>
        <v>1</v>
      </c>
      <c r="AE17" s="54"/>
      <c r="AF17" s="54"/>
      <c r="AG17" s="55" t="str">
        <f t="shared" si="18"/>
        <v/>
      </c>
      <c r="AH17" s="56" t="str">
        <f t="shared" si="19"/>
        <v/>
      </c>
      <c r="AI17" s="55"/>
      <c r="AJ17" s="56" t="str">
        <f t="shared" si="20"/>
        <v/>
      </c>
      <c r="AK17" s="55"/>
      <c r="AL17" s="56" t="str">
        <f t="shared" si="21"/>
        <v/>
      </c>
      <c r="AM17" s="55">
        <v>1</v>
      </c>
      <c r="AN17" s="56">
        <f t="shared" si="22"/>
        <v>33</v>
      </c>
      <c r="AO17" s="55"/>
      <c r="AP17" s="56" t="str">
        <f t="shared" si="23"/>
        <v/>
      </c>
      <c r="AQ17" s="55"/>
      <c r="AR17" s="56" t="str">
        <f t="shared" si="24"/>
        <v/>
      </c>
      <c r="AS17" s="57"/>
      <c r="AT17" s="58"/>
      <c r="AU17" s="58"/>
      <c r="AV17" s="59"/>
      <c r="AW17" s="60">
        <v>1</v>
      </c>
      <c r="AX17" s="61">
        <f t="shared" si="2"/>
        <v>1</v>
      </c>
      <c r="AY17" s="60">
        <v>1</v>
      </c>
      <c r="AZ17" s="61">
        <f t="shared" si="4"/>
        <v>1</v>
      </c>
    </row>
    <row r="18" spans="1:52" s="3" customFormat="1" hidden="1" x14ac:dyDescent="0.35">
      <c r="A18" s="72">
        <f t="shared" si="5"/>
        <v>2019</v>
      </c>
      <c r="B18" s="72" t="str">
        <f t="shared" si="6"/>
        <v>Nov</v>
      </c>
      <c r="C18" s="73">
        <f t="shared" si="25"/>
        <v>23</v>
      </c>
      <c r="D18" s="74">
        <f t="shared" si="7"/>
        <v>10</v>
      </c>
      <c r="E18" s="75">
        <f t="shared" si="8"/>
        <v>37</v>
      </c>
      <c r="F18" s="79"/>
      <c r="G18" s="82"/>
      <c r="H18" s="68" t="str">
        <f t="shared" si="26"/>
        <v>Lacine13_20191123_10_00</v>
      </c>
      <c r="I18" s="69">
        <f t="shared" si="27"/>
        <v>1</v>
      </c>
      <c r="J18" s="76" t="str">
        <f t="shared" si="9"/>
        <v>Lactuca</v>
      </c>
      <c r="K18" s="76" t="str">
        <f t="shared" si="9"/>
        <v>inermis</v>
      </c>
      <c r="L18" s="77">
        <f t="shared" si="9"/>
        <v>13</v>
      </c>
      <c r="M18" s="77">
        <f t="shared" si="9"/>
        <v>2</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2019</v>
      </c>
      <c r="B19" s="72" t="str">
        <f t="shared" si="6"/>
        <v>Nov</v>
      </c>
      <c r="C19" s="73">
        <f t="shared" si="25"/>
        <v>23</v>
      </c>
      <c r="D19" s="74">
        <f t="shared" si="7"/>
        <v>10</v>
      </c>
      <c r="E19" s="75">
        <f t="shared" si="8"/>
        <v>38</v>
      </c>
      <c r="F19" s="79"/>
      <c r="G19" s="82"/>
      <c r="H19" s="68" t="str">
        <f t="shared" si="26"/>
        <v>Lacine13_20191123_10_00</v>
      </c>
      <c r="I19" s="69">
        <f t="shared" si="27"/>
        <v>1</v>
      </c>
      <c r="J19" s="76" t="str">
        <f t="shared" si="9"/>
        <v>Lactuca</v>
      </c>
      <c r="K19" s="76" t="str">
        <f t="shared" si="9"/>
        <v>inermis</v>
      </c>
      <c r="L19" s="77">
        <f t="shared" si="9"/>
        <v>13</v>
      </c>
      <c r="M19" s="77">
        <f t="shared" si="9"/>
        <v>2</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2019</v>
      </c>
      <c r="B20" s="72" t="str">
        <f t="shared" si="6"/>
        <v>Nov</v>
      </c>
      <c r="C20" s="73">
        <f t="shared" si="25"/>
        <v>23</v>
      </c>
      <c r="D20" s="74">
        <f t="shared" si="7"/>
        <v>10</v>
      </c>
      <c r="E20" s="75">
        <f t="shared" si="8"/>
        <v>39</v>
      </c>
      <c r="F20" s="79"/>
      <c r="G20" s="82"/>
      <c r="H20" s="68" t="str">
        <f t="shared" si="26"/>
        <v>Lacine13_20191123_10_00</v>
      </c>
      <c r="I20" s="69">
        <f t="shared" si="27"/>
        <v>1</v>
      </c>
      <c r="J20" s="76" t="str">
        <f t="shared" si="27"/>
        <v>Lactuca</v>
      </c>
      <c r="K20" s="76" t="str">
        <f t="shared" si="27"/>
        <v>inermis</v>
      </c>
      <c r="L20" s="77">
        <f t="shared" si="27"/>
        <v>13</v>
      </c>
      <c r="M20" s="77">
        <f t="shared" si="27"/>
        <v>2</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x14ac:dyDescent="0.35">
      <c r="A21" s="72">
        <f t="shared" si="5"/>
        <v>2019</v>
      </c>
      <c r="B21" s="72" t="str">
        <f t="shared" si="6"/>
        <v>Nov</v>
      </c>
      <c r="C21" s="73">
        <f t="shared" si="25"/>
        <v>23</v>
      </c>
      <c r="D21" s="74">
        <f t="shared" si="7"/>
        <v>10</v>
      </c>
      <c r="E21" s="75">
        <f t="shared" si="8"/>
        <v>40</v>
      </c>
      <c r="F21" s="79">
        <v>27</v>
      </c>
      <c r="G21" s="82"/>
      <c r="H21" s="68" t="str">
        <f t="shared" si="26"/>
        <v>Lacine13_20191123_10_00</v>
      </c>
      <c r="I21" s="69">
        <f t="shared" ref="I21:N36" si="28">I20</f>
        <v>1</v>
      </c>
      <c r="J21" s="76" t="str">
        <f t="shared" si="28"/>
        <v>Lactuca</v>
      </c>
      <c r="K21" s="76" t="str">
        <f t="shared" si="28"/>
        <v>inermis</v>
      </c>
      <c r="L21" s="77">
        <f t="shared" si="28"/>
        <v>13</v>
      </c>
      <c r="M21" s="77">
        <f t="shared" si="28"/>
        <v>2</v>
      </c>
      <c r="N21" s="71">
        <f t="shared" si="28"/>
        <v>0</v>
      </c>
      <c r="O21" s="44"/>
      <c r="P21" s="45">
        <f t="shared" si="10"/>
        <v>1</v>
      </c>
      <c r="Q21" s="46" t="str">
        <f t="shared" si="11"/>
        <v>10:40:27</v>
      </c>
      <c r="R21" s="47" t="str">
        <f t="shared" si="12"/>
        <v>40:27</v>
      </c>
      <c r="S21" s="48">
        <f t="shared" si="0"/>
        <v>2</v>
      </c>
      <c r="T21" s="47" t="str">
        <f t="shared" si="13"/>
        <v>10</v>
      </c>
      <c r="U21" s="49">
        <v>40</v>
      </c>
      <c r="V21" s="50">
        <v>29</v>
      </c>
      <c r="W21" s="51" t="str">
        <f t="shared" si="14"/>
        <v>40:29</v>
      </c>
      <c r="X21" s="52" t="s">
        <v>63</v>
      </c>
      <c r="Y21" s="124" t="s">
        <v>87</v>
      </c>
      <c r="Z21" s="124"/>
      <c r="AA21" s="47" t="s">
        <v>82</v>
      </c>
      <c r="AB21" s="47" t="str">
        <f t="shared" si="15"/>
        <v>NA</v>
      </c>
      <c r="AC21" s="53">
        <f t="shared" si="16"/>
        <v>0</v>
      </c>
      <c r="AD21" s="54">
        <f t="shared" si="17"/>
        <v>1</v>
      </c>
      <c r="AE21" s="54"/>
      <c r="AF21" s="54"/>
      <c r="AG21" s="55">
        <v>1</v>
      </c>
      <c r="AH21" s="56">
        <f t="shared" si="19"/>
        <v>2</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f t="shared" si="1"/>
        <v>0</v>
      </c>
      <c r="AX21" s="61" t="str">
        <f t="shared" si="2"/>
        <v/>
      </c>
      <c r="AY21" s="60">
        <f t="shared" si="3"/>
        <v>0</v>
      </c>
      <c r="AZ21" s="61" t="str">
        <f t="shared" si="4"/>
        <v/>
      </c>
    </row>
    <row r="22" spans="1:52" s="3" customFormat="1" hidden="1" x14ac:dyDescent="0.35">
      <c r="A22" s="72">
        <f t="shared" si="5"/>
        <v>2019</v>
      </c>
      <c r="B22" s="72" t="str">
        <f t="shared" si="6"/>
        <v>Nov</v>
      </c>
      <c r="C22" s="73">
        <f t="shared" si="25"/>
        <v>23</v>
      </c>
      <c r="D22" s="74">
        <f t="shared" si="7"/>
        <v>10</v>
      </c>
      <c r="E22" s="75">
        <f t="shared" si="8"/>
        <v>41</v>
      </c>
      <c r="F22" s="79"/>
      <c r="G22" s="82"/>
      <c r="H22" s="68" t="str">
        <f t="shared" si="26"/>
        <v>Lacine13_20191123_10_00</v>
      </c>
      <c r="I22" s="69">
        <f t="shared" si="28"/>
        <v>1</v>
      </c>
      <c r="J22" s="76" t="str">
        <f t="shared" si="28"/>
        <v>Lactuca</v>
      </c>
      <c r="K22" s="76" t="str">
        <f t="shared" si="28"/>
        <v>inermis</v>
      </c>
      <c r="L22" s="77">
        <f t="shared" si="28"/>
        <v>13</v>
      </c>
      <c r="M22" s="77">
        <f t="shared" si="28"/>
        <v>2</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2019</v>
      </c>
      <c r="B23" s="72" t="str">
        <f t="shared" si="6"/>
        <v>Nov</v>
      </c>
      <c r="C23" s="73">
        <f t="shared" si="25"/>
        <v>23</v>
      </c>
      <c r="D23" s="74">
        <f t="shared" si="7"/>
        <v>10</v>
      </c>
      <c r="E23" s="75">
        <f t="shared" si="8"/>
        <v>42</v>
      </c>
      <c r="F23" s="79"/>
      <c r="G23" s="82"/>
      <c r="H23" s="68" t="str">
        <f t="shared" si="26"/>
        <v>Lacine13_20191123_10_00</v>
      </c>
      <c r="I23" s="69">
        <f t="shared" si="28"/>
        <v>1</v>
      </c>
      <c r="J23" s="76" t="str">
        <f t="shared" si="28"/>
        <v>Lactuca</v>
      </c>
      <c r="K23" s="76" t="str">
        <f t="shared" si="28"/>
        <v>inermis</v>
      </c>
      <c r="L23" s="77">
        <f t="shared" si="28"/>
        <v>13</v>
      </c>
      <c r="M23" s="77">
        <f t="shared" si="28"/>
        <v>2</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2019</v>
      </c>
      <c r="B24" s="72" t="str">
        <f t="shared" si="6"/>
        <v>Nov</v>
      </c>
      <c r="C24" s="73">
        <f t="shared" si="25"/>
        <v>23</v>
      </c>
      <c r="D24" s="74">
        <f t="shared" si="7"/>
        <v>10</v>
      </c>
      <c r="E24" s="75">
        <f t="shared" si="8"/>
        <v>43</v>
      </c>
      <c r="F24" s="79"/>
      <c r="G24" s="82"/>
      <c r="H24" s="68" t="str">
        <f t="shared" si="26"/>
        <v>Lacine13_20191123_10_00</v>
      </c>
      <c r="I24" s="69">
        <f t="shared" si="28"/>
        <v>1</v>
      </c>
      <c r="J24" s="76" t="str">
        <f t="shared" si="28"/>
        <v>Lactuca</v>
      </c>
      <c r="K24" s="76" t="str">
        <f t="shared" si="28"/>
        <v>inermis</v>
      </c>
      <c r="L24" s="77">
        <f t="shared" si="28"/>
        <v>13</v>
      </c>
      <c r="M24" s="77">
        <f t="shared" si="28"/>
        <v>2</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2019</v>
      </c>
      <c r="B25" s="72" t="str">
        <f t="shared" si="6"/>
        <v>Nov</v>
      </c>
      <c r="C25" s="73">
        <f t="shared" si="25"/>
        <v>23</v>
      </c>
      <c r="D25" s="74">
        <f t="shared" si="7"/>
        <v>10</v>
      </c>
      <c r="E25" s="75">
        <f t="shared" si="8"/>
        <v>44</v>
      </c>
      <c r="F25" s="79"/>
      <c r="G25" s="82"/>
      <c r="H25" s="68" t="str">
        <f t="shared" si="26"/>
        <v>Lacine13_20191123_10_00</v>
      </c>
      <c r="I25" s="69">
        <f t="shared" si="28"/>
        <v>1</v>
      </c>
      <c r="J25" s="76" t="str">
        <f t="shared" si="28"/>
        <v>Lactuca</v>
      </c>
      <c r="K25" s="76" t="str">
        <f t="shared" si="28"/>
        <v>inermis</v>
      </c>
      <c r="L25" s="77">
        <f t="shared" si="28"/>
        <v>13</v>
      </c>
      <c r="M25" s="77">
        <f t="shared" si="28"/>
        <v>2</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2019</v>
      </c>
      <c r="B26" s="72" t="str">
        <f t="shared" si="6"/>
        <v>Nov</v>
      </c>
      <c r="C26" s="73">
        <f t="shared" si="25"/>
        <v>23</v>
      </c>
      <c r="D26" s="74">
        <f t="shared" si="7"/>
        <v>10</v>
      </c>
      <c r="E26" s="75">
        <f t="shared" si="8"/>
        <v>45</v>
      </c>
      <c r="F26" s="79"/>
      <c r="G26" s="82"/>
      <c r="H26" s="68" t="str">
        <f t="shared" si="26"/>
        <v>Lacine13_20191123_10_00</v>
      </c>
      <c r="I26" s="69">
        <f t="shared" si="28"/>
        <v>1</v>
      </c>
      <c r="J26" s="76" t="str">
        <f t="shared" si="28"/>
        <v>Lactuca</v>
      </c>
      <c r="K26" s="76" t="str">
        <f t="shared" si="28"/>
        <v>inermis</v>
      </c>
      <c r="L26" s="77">
        <f t="shared" si="28"/>
        <v>13</v>
      </c>
      <c r="M26" s="77">
        <f t="shared" si="28"/>
        <v>2</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2019</v>
      </c>
      <c r="B27" s="72" t="str">
        <f t="shared" si="6"/>
        <v>Nov</v>
      </c>
      <c r="C27" s="73">
        <f t="shared" si="25"/>
        <v>23</v>
      </c>
      <c r="D27" s="74">
        <f t="shared" si="7"/>
        <v>10</v>
      </c>
      <c r="E27" s="75">
        <f t="shared" si="8"/>
        <v>46</v>
      </c>
      <c r="F27" s="79"/>
      <c r="G27" s="82"/>
      <c r="H27" s="68" t="str">
        <f t="shared" si="26"/>
        <v>Lacine13_20191123_10_00</v>
      </c>
      <c r="I27" s="69">
        <f t="shared" si="28"/>
        <v>1</v>
      </c>
      <c r="J27" s="76" t="str">
        <f t="shared" si="28"/>
        <v>Lactuca</v>
      </c>
      <c r="K27" s="76" t="str">
        <f t="shared" si="28"/>
        <v>inermis</v>
      </c>
      <c r="L27" s="77">
        <f t="shared" si="28"/>
        <v>13</v>
      </c>
      <c r="M27" s="77">
        <f t="shared" si="28"/>
        <v>2</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2019</v>
      </c>
      <c r="B28" s="72" t="str">
        <f t="shared" si="6"/>
        <v>Nov</v>
      </c>
      <c r="C28" s="73">
        <f t="shared" si="25"/>
        <v>23</v>
      </c>
      <c r="D28" s="74">
        <f t="shared" si="7"/>
        <v>10</v>
      </c>
      <c r="E28" s="75">
        <f t="shared" si="8"/>
        <v>47</v>
      </c>
      <c r="F28" s="79"/>
      <c r="G28" s="82"/>
      <c r="H28" s="68" t="str">
        <f t="shared" si="26"/>
        <v>Lacine13_20191123_10_00</v>
      </c>
      <c r="I28" s="69">
        <f t="shared" si="28"/>
        <v>1</v>
      </c>
      <c r="J28" s="76" t="str">
        <f t="shared" si="28"/>
        <v>Lactuca</v>
      </c>
      <c r="K28" s="76" t="str">
        <f t="shared" si="28"/>
        <v>inermis</v>
      </c>
      <c r="L28" s="77">
        <f t="shared" si="28"/>
        <v>13</v>
      </c>
      <c r="M28" s="77">
        <f t="shared" si="28"/>
        <v>2</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x14ac:dyDescent="0.35">
      <c r="A29" s="72">
        <f t="shared" si="5"/>
        <v>2019</v>
      </c>
      <c r="B29" s="72" t="str">
        <f t="shared" si="6"/>
        <v>Nov</v>
      </c>
      <c r="C29" s="73">
        <f t="shared" si="25"/>
        <v>23</v>
      </c>
      <c r="D29" s="74">
        <f t="shared" si="7"/>
        <v>10</v>
      </c>
      <c r="E29" s="75">
        <f t="shared" si="8"/>
        <v>48</v>
      </c>
      <c r="F29" s="79">
        <v>29</v>
      </c>
      <c r="G29" s="82"/>
      <c r="H29" s="68" t="str">
        <f t="shared" si="26"/>
        <v>Lacine13_20191123_10_00</v>
      </c>
      <c r="I29" s="69">
        <f t="shared" si="28"/>
        <v>1</v>
      </c>
      <c r="J29" s="76" t="str">
        <f t="shared" si="28"/>
        <v>Lactuca</v>
      </c>
      <c r="K29" s="76" t="str">
        <f t="shared" si="28"/>
        <v>inermis</v>
      </c>
      <c r="L29" s="77">
        <f t="shared" si="28"/>
        <v>13</v>
      </c>
      <c r="M29" s="77">
        <f t="shared" si="28"/>
        <v>2</v>
      </c>
      <c r="N29" s="71">
        <f t="shared" si="28"/>
        <v>0</v>
      </c>
      <c r="O29" s="44"/>
      <c r="P29" s="45">
        <f t="shared" si="10"/>
        <v>1</v>
      </c>
      <c r="Q29" s="46" t="str">
        <f t="shared" si="11"/>
        <v>10:48:29</v>
      </c>
      <c r="R29" s="47" t="str">
        <f t="shared" si="12"/>
        <v>48:29</v>
      </c>
      <c r="S29" s="48">
        <f t="shared" si="0"/>
        <v>270</v>
      </c>
      <c r="T29" s="47" t="str">
        <f t="shared" si="13"/>
        <v>10</v>
      </c>
      <c r="U29" s="49">
        <v>52</v>
      </c>
      <c r="V29" s="50">
        <v>59</v>
      </c>
      <c r="W29" s="51" t="str">
        <f t="shared" si="14"/>
        <v>52:59</v>
      </c>
      <c r="X29" s="52" t="s">
        <v>59</v>
      </c>
      <c r="Y29" s="124" t="s">
        <v>89</v>
      </c>
      <c r="Z29" s="124" t="s">
        <v>92</v>
      </c>
      <c r="AA29" s="47" t="s">
        <v>82</v>
      </c>
      <c r="AB29" s="47" t="str">
        <f t="shared" si="15"/>
        <v>NA</v>
      </c>
      <c r="AC29" s="53">
        <f t="shared" si="16"/>
        <v>0</v>
      </c>
      <c r="AD29" s="54">
        <v>2</v>
      </c>
      <c r="AE29" s="54"/>
      <c r="AF29" s="54"/>
      <c r="AG29" s="55" t="str">
        <f t="shared" si="18"/>
        <v/>
      </c>
      <c r="AH29" s="56" t="str">
        <f t="shared" si="19"/>
        <v/>
      </c>
      <c r="AI29" s="55"/>
      <c r="AJ29" s="56" t="str">
        <f t="shared" si="20"/>
        <v/>
      </c>
      <c r="AK29" s="55"/>
      <c r="AL29" s="56" t="str">
        <f t="shared" si="21"/>
        <v/>
      </c>
      <c r="AM29" s="55">
        <v>1</v>
      </c>
      <c r="AN29" s="56">
        <f t="shared" si="22"/>
        <v>270</v>
      </c>
      <c r="AO29" s="55"/>
      <c r="AP29" s="56" t="str">
        <f t="shared" si="23"/>
        <v/>
      </c>
      <c r="AQ29" s="55"/>
      <c r="AR29" s="56" t="str">
        <f t="shared" si="24"/>
        <v/>
      </c>
      <c r="AS29" s="57"/>
      <c r="AT29" s="58"/>
      <c r="AU29" s="58"/>
      <c r="AV29" s="59"/>
      <c r="AW29" s="60">
        <v>1</v>
      </c>
      <c r="AX29" s="61">
        <f t="shared" si="2"/>
        <v>2</v>
      </c>
      <c r="AY29" s="60">
        <v>1</v>
      </c>
      <c r="AZ29" s="61">
        <f t="shared" si="4"/>
        <v>2</v>
      </c>
    </row>
    <row r="30" spans="1:52" s="3" customFormat="1" hidden="1" x14ac:dyDescent="0.35">
      <c r="A30" s="72">
        <f t="shared" si="5"/>
        <v>2019</v>
      </c>
      <c r="B30" s="72" t="str">
        <f t="shared" si="6"/>
        <v>Nov</v>
      </c>
      <c r="C30" s="73">
        <f t="shared" si="25"/>
        <v>23</v>
      </c>
      <c r="D30" s="74">
        <f t="shared" si="7"/>
        <v>10</v>
      </c>
      <c r="E30" s="75">
        <f t="shared" si="8"/>
        <v>49</v>
      </c>
      <c r="F30" s="79"/>
      <c r="G30" s="82"/>
      <c r="H30" s="68" t="str">
        <f t="shared" si="26"/>
        <v>Lacine13_20191123_10_00</v>
      </c>
      <c r="I30" s="69">
        <f t="shared" si="28"/>
        <v>1</v>
      </c>
      <c r="J30" s="76" t="str">
        <f t="shared" si="28"/>
        <v>Lactuca</v>
      </c>
      <c r="K30" s="76" t="str">
        <f t="shared" si="28"/>
        <v>inermis</v>
      </c>
      <c r="L30" s="77">
        <f t="shared" si="28"/>
        <v>13</v>
      </c>
      <c r="M30" s="77">
        <f t="shared" si="28"/>
        <v>2</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2019</v>
      </c>
      <c r="B31" s="72" t="str">
        <f t="shared" si="6"/>
        <v>Nov</v>
      </c>
      <c r="C31" s="73">
        <f t="shared" si="25"/>
        <v>23</v>
      </c>
      <c r="D31" s="74">
        <f t="shared" si="7"/>
        <v>10</v>
      </c>
      <c r="E31" s="75">
        <f t="shared" si="8"/>
        <v>50</v>
      </c>
      <c r="F31" s="79"/>
      <c r="G31" s="82"/>
      <c r="H31" s="68" t="str">
        <f t="shared" si="26"/>
        <v>Lacine13_20191123_10_00</v>
      </c>
      <c r="I31" s="69">
        <f t="shared" si="28"/>
        <v>1</v>
      </c>
      <c r="J31" s="76" t="str">
        <f t="shared" si="28"/>
        <v>Lactuca</v>
      </c>
      <c r="K31" s="76" t="str">
        <f t="shared" si="28"/>
        <v>inermis</v>
      </c>
      <c r="L31" s="77">
        <f t="shared" si="28"/>
        <v>13</v>
      </c>
      <c r="M31" s="77">
        <f t="shared" si="28"/>
        <v>2</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2019</v>
      </c>
      <c r="B32" s="72" t="str">
        <f t="shared" si="6"/>
        <v>Nov</v>
      </c>
      <c r="C32" s="73">
        <f t="shared" si="25"/>
        <v>23</v>
      </c>
      <c r="D32" s="74">
        <f t="shared" si="7"/>
        <v>10</v>
      </c>
      <c r="E32" s="75">
        <f t="shared" si="8"/>
        <v>51</v>
      </c>
      <c r="F32" s="79"/>
      <c r="G32" s="82"/>
      <c r="H32" s="68" t="str">
        <f t="shared" si="26"/>
        <v>Lacine13_20191123_10_00</v>
      </c>
      <c r="I32" s="69">
        <f t="shared" si="28"/>
        <v>1</v>
      </c>
      <c r="J32" s="76" t="str">
        <f t="shared" si="28"/>
        <v>Lactuca</v>
      </c>
      <c r="K32" s="76" t="str">
        <f t="shared" si="28"/>
        <v>inermis</v>
      </c>
      <c r="L32" s="77">
        <f t="shared" si="28"/>
        <v>13</v>
      </c>
      <c r="M32" s="77">
        <f t="shared" si="28"/>
        <v>2</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2019</v>
      </c>
      <c r="B33" s="72" t="str">
        <f t="shared" si="6"/>
        <v>Nov</v>
      </c>
      <c r="C33" s="73">
        <f t="shared" si="25"/>
        <v>23</v>
      </c>
      <c r="D33" s="74">
        <f t="shared" si="7"/>
        <v>10</v>
      </c>
      <c r="E33" s="75">
        <f t="shared" si="8"/>
        <v>52</v>
      </c>
      <c r="F33" s="79"/>
      <c r="G33" s="82"/>
      <c r="H33" s="68" t="str">
        <f t="shared" si="26"/>
        <v>Lacine13_20191123_10_00</v>
      </c>
      <c r="I33" s="69">
        <f t="shared" si="28"/>
        <v>1</v>
      </c>
      <c r="J33" s="76" t="str">
        <f t="shared" si="28"/>
        <v>Lactuca</v>
      </c>
      <c r="K33" s="76" t="str">
        <f t="shared" si="28"/>
        <v>inermis</v>
      </c>
      <c r="L33" s="77">
        <f t="shared" si="28"/>
        <v>13</v>
      </c>
      <c r="M33" s="77">
        <f t="shared" si="28"/>
        <v>2</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2019</v>
      </c>
      <c r="B34" s="72" t="str">
        <f t="shared" si="6"/>
        <v>Nov</v>
      </c>
      <c r="C34" s="73">
        <f t="shared" si="25"/>
        <v>23</v>
      </c>
      <c r="D34" s="74">
        <f t="shared" si="7"/>
        <v>10</v>
      </c>
      <c r="E34" s="75">
        <f t="shared" si="8"/>
        <v>53</v>
      </c>
      <c r="F34" s="79"/>
      <c r="G34" s="82"/>
      <c r="H34" s="68" t="str">
        <f t="shared" si="26"/>
        <v>Lacine13_20191123_10_00</v>
      </c>
      <c r="I34" s="69">
        <f t="shared" si="28"/>
        <v>1</v>
      </c>
      <c r="J34" s="76" t="str">
        <f t="shared" si="28"/>
        <v>Lactuca</v>
      </c>
      <c r="K34" s="76" t="str">
        <f t="shared" si="28"/>
        <v>inermis</v>
      </c>
      <c r="L34" s="77">
        <f t="shared" si="28"/>
        <v>13</v>
      </c>
      <c r="M34" s="77">
        <f t="shared" si="28"/>
        <v>2</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2019</v>
      </c>
      <c r="B35" s="72" t="str">
        <f t="shared" si="6"/>
        <v>Nov</v>
      </c>
      <c r="C35" s="73">
        <f t="shared" si="25"/>
        <v>23</v>
      </c>
      <c r="D35" s="74">
        <f t="shared" si="7"/>
        <v>10</v>
      </c>
      <c r="E35" s="75">
        <f t="shared" si="8"/>
        <v>54</v>
      </c>
      <c r="F35" s="79"/>
      <c r="G35" s="82"/>
      <c r="H35" s="68" t="str">
        <f t="shared" si="26"/>
        <v>Lacine13_20191123_10_00</v>
      </c>
      <c r="I35" s="69">
        <f t="shared" si="28"/>
        <v>1</v>
      </c>
      <c r="J35" s="76" t="str">
        <f t="shared" si="28"/>
        <v>Lactuca</v>
      </c>
      <c r="K35" s="76" t="str">
        <f t="shared" si="28"/>
        <v>inermis</v>
      </c>
      <c r="L35" s="77">
        <f t="shared" si="28"/>
        <v>13</v>
      </c>
      <c r="M35" s="77">
        <f t="shared" si="28"/>
        <v>2</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2019</v>
      </c>
      <c r="B36" s="72" t="str">
        <f t="shared" si="6"/>
        <v>Nov</v>
      </c>
      <c r="C36" s="73">
        <f t="shared" si="25"/>
        <v>23</v>
      </c>
      <c r="D36" s="74">
        <f t="shared" si="7"/>
        <v>10</v>
      </c>
      <c r="E36" s="75">
        <f t="shared" si="8"/>
        <v>55</v>
      </c>
      <c r="F36" s="79"/>
      <c r="G36" s="82"/>
      <c r="H36" s="68" t="str">
        <f t="shared" si="26"/>
        <v>Lacine13_20191123_10_00</v>
      </c>
      <c r="I36" s="69">
        <f t="shared" si="28"/>
        <v>1</v>
      </c>
      <c r="J36" s="76" t="str">
        <f t="shared" si="28"/>
        <v>Lactuca</v>
      </c>
      <c r="K36" s="76" t="str">
        <f t="shared" si="28"/>
        <v>inermis</v>
      </c>
      <c r="L36" s="77">
        <f t="shared" si="28"/>
        <v>13</v>
      </c>
      <c r="M36" s="77">
        <f t="shared" si="28"/>
        <v>2</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2019</v>
      </c>
      <c r="B37" s="72" t="str">
        <f t="shared" si="6"/>
        <v>Nov</v>
      </c>
      <c r="C37" s="73">
        <f t="shared" si="25"/>
        <v>23</v>
      </c>
      <c r="D37" s="74">
        <f t="shared" si="7"/>
        <v>10</v>
      </c>
      <c r="E37" s="75">
        <f t="shared" si="8"/>
        <v>56</v>
      </c>
      <c r="F37" s="79"/>
      <c r="G37" s="82"/>
      <c r="H37" s="68" t="str">
        <f t="shared" si="26"/>
        <v>Lacine13_20191123_10_00</v>
      </c>
      <c r="I37" s="69">
        <f t="shared" ref="I37:N52" si="29">I36</f>
        <v>1</v>
      </c>
      <c r="J37" s="76" t="str">
        <f t="shared" si="29"/>
        <v>Lactuca</v>
      </c>
      <c r="K37" s="76" t="str">
        <f t="shared" si="29"/>
        <v>inermis</v>
      </c>
      <c r="L37" s="77">
        <f t="shared" si="29"/>
        <v>13</v>
      </c>
      <c r="M37" s="77">
        <f t="shared" si="29"/>
        <v>2</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2019</v>
      </c>
      <c r="B38" s="72" t="str">
        <f t="shared" si="6"/>
        <v>Nov</v>
      </c>
      <c r="C38" s="73">
        <f t="shared" si="25"/>
        <v>23</v>
      </c>
      <c r="D38" s="74">
        <f t="shared" si="7"/>
        <v>10</v>
      </c>
      <c r="E38" s="75">
        <f t="shared" si="8"/>
        <v>57</v>
      </c>
      <c r="F38" s="79"/>
      <c r="G38" s="82"/>
      <c r="H38" s="68" t="str">
        <f t="shared" si="26"/>
        <v>Lacine13_20191123_10_00</v>
      </c>
      <c r="I38" s="69">
        <f t="shared" si="29"/>
        <v>1</v>
      </c>
      <c r="J38" s="76" t="str">
        <f t="shared" si="29"/>
        <v>Lactuca</v>
      </c>
      <c r="K38" s="76" t="str">
        <f t="shared" si="29"/>
        <v>inermis</v>
      </c>
      <c r="L38" s="77">
        <f t="shared" si="29"/>
        <v>13</v>
      </c>
      <c r="M38" s="77">
        <f t="shared" si="29"/>
        <v>2</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2019</v>
      </c>
      <c r="B39" s="72" t="str">
        <f t="shared" si="6"/>
        <v>Nov</v>
      </c>
      <c r="C39" s="73">
        <f t="shared" si="25"/>
        <v>23</v>
      </c>
      <c r="D39" s="74">
        <f t="shared" si="7"/>
        <v>10</v>
      </c>
      <c r="E39" s="75">
        <f t="shared" si="8"/>
        <v>58</v>
      </c>
      <c r="F39" s="79"/>
      <c r="G39" s="82"/>
      <c r="H39" s="68" t="str">
        <f t="shared" si="26"/>
        <v>Lacine13_20191123_10_00</v>
      </c>
      <c r="I39" s="69">
        <f t="shared" si="29"/>
        <v>1</v>
      </c>
      <c r="J39" s="76" t="str">
        <f t="shared" si="29"/>
        <v>Lactuca</v>
      </c>
      <c r="K39" s="76" t="str">
        <f t="shared" si="29"/>
        <v>inermis</v>
      </c>
      <c r="L39" s="77">
        <f t="shared" si="29"/>
        <v>13</v>
      </c>
      <c r="M39" s="77">
        <f t="shared" si="29"/>
        <v>2</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2019</v>
      </c>
      <c r="B40" s="72" t="str">
        <f t="shared" si="6"/>
        <v>Nov</v>
      </c>
      <c r="C40" s="73">
        <f t="shared" si="25"/>
        <v>23</v>
      </c>
      <c r="D40" s="74">
        <f t="shared" si="7"/>
        <v>10</v>
      </c>
      <c r="E40" s="75">
        <f t="shared" si="8"/>
        <v>59</v>
      </c>
      <c r="F40" s="79"/>
      <c r="G40" s="82"/>
      <c r="H40" s="68" t="str">
        <f t="shared" si="26"/>
        <v>Lacine13_20191123_10_00</v>
      </c>
      <c r="I40" s="69">
        <f t="shared" si="29"/>
        <v>1</v>
      </c>
      <c r="J40" s="76" t="str">
        <f t="shared" si="29"/>
        <v>Lactuca</v>
      </c>
      <c r="K40" s="76" t="str">
        <f t="shared" si="29"/>
        <v>inermis</v>
      </c>
      <c r="L40" s="77">
        <f t="shared" si="29"/>
        <v>13</v>
      </c>
      <c r="M40" s="77">
        <f t="shared" si="29"/>
        <v>2</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2019</v>
      </c>
      <c r="B41" s="72" t="str">
        <f t="shared" si="6"/>
        <v>Nov</v>
      </c>
      <c r="C41" s="73">
        <f t="shared" si="25"/>
        <v>23</v>
      </c>
      <c r="D41" s="74">
        <f t="shared" si="7"/>
        <v>11</v>
      </c>
      <c r="E41" s="75">
        <f t="shared" si="8"/>
        <v>0</v>
      </c>
      <c r="F41" s="79"/>
      <c r="G41" s="82"/>
      <c r="H41" s="68" t="str">
        <f t="shared" si="26"/>
        <v>Lacine13_20191123_11_00</v>
      </c>
      <c r="I41" s="69">
        <f t="shared" si="29"/>
        <v>1</v>
      </c>
      <c r="J41" s="76" t="str">
        <f t="shared" si="29"/>
        <v>Lactuca</v>
      </c>
      <c r="K41" s="76" t="str">
        <f t="shared" si="29"/>
        <v>inermis</v>
      </c>
      <c r="L41" s="77">
        <f t="shared" si="29"/>
        <v>13</v>
      </c>
      <c r="M41" s="77">
        <f t="shared" si="29"/>
        <v>2</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2019</v>
      </c>
      <c r="B42" s="72" t="str">
        <f t="shared" si="6"/>
        <v>Nov</v>
      </c>
      <c r="C42" s="73">
        <f t="shared" si="25"/>
        <v>23</v>
      </c>
      <c r="D42" s="74">
        <f t="shared" si="7"/>
        <v>11</v>
      </c>
      <c r="E42" s="75">
        <f t="shared" si="8"/>
        <v>1</v>
      </c>
      <c r="F42" s="79"/>
      <c r="G42" s="82"/>
      <c r="H42" s="68" t="str">
        <f t="shared" si="26"/>
        <v>Lacine13_20191123_11_00</v>
      </c>
      <c r="I42" s="69">
        <f t="shared" si="29"/>
        <v>1</v>
      </c>
      <c r="J42" s="76" t="str">
        <f t="shared" si="29"/>
        <v>Lactuca</v>
      </c>
      <c r="K42" s="76" t="str">
        <f t="shared" si="29"/>
        <v>inermis</v>
      </c>
      <c r="L42" s="77">
        <f t="shared" si="29"/>
        <v>13</v>
      </c>
      <c r="M42" s="77">
        <f t="shared" si="29"/>
        <v>2</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2019</v>
      </c>
      <c r="B43" s="72" t="str">
        <f t="shared" si="6"/>
        <v>Nov</v>
      </c>
      <c r="C43" s="73">
        <f t="shared" si="25"/>
        <v>23</v>
      </c>
      <c r="D43" s="74">
        <f t="shared" si="7"/>
        <v>11</v>
      </c>
      <c r="E43" s="75">
        <f t="shared" si="8"/>
        <v>2</v>
      </c>
      <c r="F43" s="79"/>
      <c r="G43" s="82"/>
      <c r="H43" s="68" t="str">
        <f t="shared" si="26"/>
        <v>Lacine13_20191123_11_00</v>
      </c>
      <c r="I43" s="69">
        <f t="shared" si="29"/>
        <v>1</v>
      </c>
      <c r="J43" s="76" t="str">
        <f t="shared" si="29"/>
        <v>Lactuca</v>
      </c>
      <c r="K43" s="76" t="str">
        <f t="shared" si="29"/>
        <v>inermis</v>
      </c>
      <c r="L43" s="77">
        <f t="shared" si="29"/>
        <v>13</v>
      </c>
      <c r="M43" s="77">
        <f t="shared" si="29"/>
        <v>2</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2019</v>
      </c>
      <c r="B44" s="72" t="str">
        <f t="shared" si="6"/>
        <v>Nov</v>
      </c>
      <c r="C44" s="73">
        <f t="shared" si="25"/>
        <v>23</v>
      </c>
      <c r="D44" s="74">
        <f t="shared" si="7"/>
        <v>11</v>
      </c>
      <c r="E44" s="75">
        <f t="shared" si="8"/>
        <v>3</v>
      </c>
      <c r="F44" s="79"/>
      <c r="G44" s="82"/>
      <c r="H44" s="68" t="str">
        <f t="shared" si="26"/>
        <v>Lacine13_20191123_11_00</v>
      </c>
      <c r="I44" s="69">
        <f t="shared" si="29"/>
        <v>1</v>
      </c>
      <c r="J44" s="76" t="str">
        <f t="shared" si="29"/>
        <v>Lactuca</v>
      </c>
      <c r="K44" s="76" t="str">
        <f t="shared" si="29"/>
        <v>inermis</v>
      </c>
      <c r="L44" s="77">
        <f t="shared" si="29"/>
        <v>13</v>
      </c>
      <c r="M44" s="77">
        <f t="shared" si="29"/>
        <v>2</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2019</v>
      </c>
      <c r="B45" s="72" t="str">
        <f t="shared" si="6"/>
        <v>Nov</v>
      </c>
      <c r="C45" s="73">
        <f t="shared" si="25"/>
        <v>23</v>
      </c>
      <c r="D45" s="74">
        <f t="shared" si="7"/>
        <v>11</v>
      </c>
      <c r="E45" s="75">
        <f t="shared" si="8"/>
        <v>4</v>
      </c>
      <c r="F45" s="79"/>
      <c r="G45" s="82"/>
      <c r="H45" s="68" t="str">
        <f t="shared" si="26"/>
        <v>Lacine13_20191123_11_00</v>
      </c>
      <c r="I45" s="69">
        <f t="shared" si="29"/>
        <v>1</v>
      </c>
      <c r="J45" s="76" t="str">
        <f t="shared" si="29"/>
        <v>Lactuca</v>
      </c>
      <c r="K45" s="76" t="str">
        <f t="shared" si="29"/>
        <v>inermis</v>
      </c>
      <c r="L45" s="77">
        <f t="shared" si="29"/>
        <v>13</v>
      </c>
      <c r="M45" s="77">
        <f t="shared" si="29"/>
        <v>2</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2019</v>
      </c>
      <c r="B46" s="72" t="str">
        <f t="shared" si="6"/>
        <v>Nov</v>
      </c>
      <c r="C46" s="73">
        <f t="shared" si="25"/>
        <v>23</v>
      </c>
      <c r="D46" s="74">
        <f t="shared" si="7"/>
        <v>11</v>
      </c>
      <c r="E46" s="75">
        <f t="shared" si="8"/>
        <v>5</v>
      </c>
      <c r="F46" s="79"/>
      <c r="G46" s="82"/>
      <c r="H46" s="68" t="str">
        <f t="shared" si="26"/>
        <v>Lacine13_20191123_11_00</v>
      </c>
      <c r="I46" s="69">
        <f t="shared" si="29"/>
        <v>1</v>
      </c>
      <c r="J46" s="76" t="str">
        <f t="shared" si="29"/>
        <v>Lactuca</v>
      </c>
      <c r="K46" s="76" t="str">
        <f t="shared" si="29"/>
        <v>inermis</v>
      </c>
      <c r="L46" s="77">
        <f t="shared" si="29"/>
        <v>13</v>
      </c>
      <c r="M46" s="77">
        <f t="shared" si="29"/>
        <v>2</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2019</v>
      </c>
      <c r="B47" s="72" t="str">
        <f t="shared" si="6"/>
        <v>Nov</v>
      </c>
      <c r="C47" s="73">
        <f t="shared" si="25"/>
        <v>23</v>
      </c>
      <c r="D47" s="74">
        <f t="shared" si="7"/>
        <v>11</v>
      </c>
      <c r="E47" s="75">
        <f t="shared" si="8"/>
        <v>6</v>
      </c>
      <c r="F47" s="79"/>
      <c r="G47" s="82"/>
      <c r="H47" s="68" t="str">
        <f t="shared" si="26"/>
        <v>Lacine13_20191123_11_00</v>
      </c>
      <c r="I47" s="69">
        <f t="shared" si="29"/>
        <v>1</v>
      </c>
      <c r="J47" s="76" t="str">
        <f t="shared" si="29"/>
        <v>Lactuca</v>
      </c>
      <c r="K47" s="76" t="str">
        <f t="shared" si="29"/>
        <v>inermis</v>
      </c>
      <c r="L47" s="77">
        <f t="shared" si="29"/>
        <v>13</v>
      </c>
      <c r="M47" s="77">
        <f t="shared" si="29"/>
        <v>2</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2019</v>
      </c>
      <c r="B48" s="72" t="str">
        <f t="shared" si="6"/>
        <v>Nov</v>
      </c>
      <c r="C48" s="73">
        <f t="shared" si="25"/>
        <v>23</v>
      </c>
      <c r="D48" s="74">
        <f t="shared" si="7"/>
        <v>11</v>
      </c>
      <c r="E48" s="75">
        <f t="shared" si="8"/>
        <v>7</v>
      </c>
      <c r="F48" s="79"/>
      <c r="G48" s="82"/>
      <c r="H48" s="68" t="str">
        <f t="shared" si="26"/>
        <v>Lacine13_20191123_11_00</v>
      </c>
      <c r="I48" s="69">
        <f t="shared" si="29"/>
        <v>1</v>
      </c>
      <c r="J48" s="76" t="str">
        <f t="shared" si="29"/>
        <v>Lactuca</v>
      </c>
      <c r="K48" s="76" t="str">
        <f t="shared" si="29"/>
        <v>inermis</v>
      </c>
      <c r="L48" s="77">
        <f t="shared" si="29"/>
        <v>13</v>
      </c>
      <c r="M48" s="77">
        <f t="shared" si="29"/>
        <v>2</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2019</v>
      </c>
      <c r="B49" s="72" t="str">
        <f t="shared" si="6"/>
        <v>Nov</v>
      </c>
      <c r="C49" s="73">
        <f t="shared" si="25"/>
        <v>23</v>
      </c>
      <c r="D49" s="74">
        <f t="shared" si="7"/>
        <v>11</v>
      </c>
      <c r="E49" s="75">
        <f t="shared" si="8"/>
        <v>8</v>
      </c>
      <c r="F49" s="79"/>
      <c r="G49" s="82"/>
      <c r="H49" s="68" t="str">
        <f t="shared" si="26"/>
        <v>Lacine13_20191123_11_00</v>
      </c>
      <c r="I49" s="69">
        <f t="shared" si="29"/>
        <v>1</v>
      </c>
      <c r="J49" s="76" t="str">
        <f t="shared" si="29"/>
        <v>Lactuca</v>
      </c>
      <c r="K49" s="76" t="str">
        <f t="shared" si="29"/>
        <v>inermis</v>
      </c>
      <c r="L49" s="77">
        <f t="shared" si="29"/>
        <v>13</v>
      </c>
      <c r="M49" s="77">
        <f t="shared" si="29"/>
        <v>2</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2019</v>
      </c>
      <c r="B50" s="72" t="str">
        <f t="shared" si="6"/>
        <v>Nov</v>
      </c>
      <c r="C50" s="73">
        <f t="shared" si="25"/>
        <v>23</v>
      </c>
      <c r="D50" s="74">
        <f t="shared" si="7"/>
        <v>11</v>
      </c>
      <c r="E50" s="75">
        <f t="shared" si="8"/>
        <v>9</v>
      </c>
      <c r="F50" s="79"/>
      <c r="G50" s="82"/>
      <c r="H50" s="68" t="str">
        <f t="shared" si="26"/>
        <v>Lacine13_20191123_11_00</v>
      </c>
      <c r="I50" s="69">
        <f t="shared" si="29"/>
        <v>1</v>
      </c>
      <c r="J50" s="76" t="str">
        <f t="shared" si="29"/>
        <v>Lactuca</v>
      </c>
      <c r="K50" s="76" t="str">
        <f t="shared" si="29"/>
        <v>inermis</v>
      </c>
      <c r="L50" s="77">
        <f t="shared" si="29"/>
        <v>13</v>
      </c>
      <c r="M50" s="77">
        <f t="shared" si="29"/>
        <v>2</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2019</v>
      </c>
      <c r="B51" s="72" t="str">
        <f t="shared" si="6"/>
        <v>Nov</v>
      </c>
      <c r="C51" s="73">
        <f t="shared" si="25"/>
        <v>23</v>
      </c>
      <c r="D51" s="74">
        <f t="shared" si="7"/>
        <v>11</v>
      </c>
      <c r="E51" s="75">
        <f t="shared" si="8"/>
        <v>10</v>
      </c>
      <c r="F51" s="79"/>
      <c r="G51" s="82"/>
      <c r="H51" s="68" t="str">
        <f t="shared" si="26"/>
        <v>Lacine13_20191123_11_00</v>
      </c>
      <c r="I51" s="69">
        <f t="shared" si="29"/>
        <v>1</v>
      </c>
      <c r="J51" s="76" t="str">
        <f t="shared" si="29"/>
        <v>Lactuca</v>
      </c>
      <c r="K51" s="76" t="str">
        <f t="shared" si="29"/>
        <v>inermis</v>
      </c>
      <c r="L51" s="77">
        <f t="shared" si="29"/>
        <v>13</v>
      </c>
      <c r="M51" s="77">
        <f t="shared" si="29"/>
        <v>2</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2019</v>
      </c>
      <c r="B52" s="72" t="str">
        <f t="shared" si="6"/>
        <v>Nov</v>
      </c>
      <c r="C52" s="73">
        <f t="shared" si="25"/>
        <v>23</v>
      </c>
      <c r="D52" s="74">
        <f t="shared" si="7"/>
        <v>11</v>
      </c>
      <c r="E52" s="75">
        <f t="shared" si="8"/>
        <v>11</v>
      </c>
      <c r="F52" s="79"/>
      <c r="G52" s="82"/>
      <c r="H52" s="68" t="str">
        <f t="shared" si="26"/>
        <v>Lacine13_20191123_11_00</v>
      </c>
      <c r="I52" s="69">
        <f t="shared" si="29"/>
        <v>1</v>
      </c>
      <c r="J52" s="76" t="str">
        <f t="shared" si="29"/>
        <v>Lactuca</v>
      </c>
      <c r="K52" s="76" t="str">
        <f t="shared" si="29"/>
        <v>inermis</v>
      </c>
      <c r="L52" s="77">
        <f t="shared" si="29"/>
        <v>13</v>
      </c>
      <c r="M52" s="77">
        <f t="shared" si="29"/>
        <v>2</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2019</v>
      </c>
      <c r="B53" s="72" t="str">
        <f t="shared" si="6"/>
        <v>Nov</v>
      </c>
      <c r="C53" s="73">
        <f t="shared" si="25"/>
        <v>23</v>
      </c>
      <c r="D53" s="74">
        <f t="shared" si="7"/>
        <v>11</v>
      </c>
      <c r="E53" s="75">
        <f t="shared" si="8"/>
        <v>12</v>
      </c>
      <c r="F53" s="79"/>
      <c r="G53" s="82"/>
      <c r="H53" s="68" t="str">
        <f t="shared" si="26"/>
        <v>Lacine13_20191123_11_00</v>
      </c>
      <c r="I53" s="69">
        <f t="shared" ref="I53:N68" si="30">I52</f>
        <v>1</v>
      </c>
      <c r="J53" s="76" t="str">
        <f t="shared" si="30"/>
        <v>Lactuca</v>
      </c>
      <c r="K53" s="76" t="str">
        <f t="shared" si="30"/>
        <v>inermis</v>
      </c>
      <c r="L53" s="77">
        <f t="shared" si="30"/>
        <v>13</v>
      </c>
      <c r="M53" s="77">
        <f t="shared" si="30"/>
        <v>2</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2019</v>
      </c>
      <c r="B54" s="72" t="str">
        <f t="shared" si="6"/>
        <v>Nov</v>
      </c>
      <c r="C54" s="73">
        <f t="shared" si="25"/>
        <v>23</v>
      </c>
      <c r="D54" s="74">
        <f t="shared" si="7"/>
        <v>11</v>
      </c>
      <c r="E54" s="75">
        <f t="shared" si="8"/>
        <v>13</v>
      </c>
      <c r="F54" s="79"/>
      <c r="G54" s="82"/>
      <c r="H54" s="68" t="str">
        <f t="shared" si="26"/>
        <v>Lacine13_20191123_11_00</v>
      </c>
      <c r="I54" s="69">
        <f t="shared" si="30"/>
        <v>1</v>
      </c>
      <c r="J54" s="76" t="str">
        <f t="shared" si="30"/>
        <v>Lactuca</v>
      </c>
      <c r="K54" s="76" t="str">
        <f t="shared" si="30"/>
        <v>inermis</v>
      </c>
      <c r="L54" s="77">
        <f t="shared" si="30"/>
        <v>13</v>
      </c>
      <c r="M54" s="77">
        <f t="shared" si="30"/>
        <v>2</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2019</v>
      </c>
      <c r="B55" s="72" t="str">
        <f t="shared" si="6"/>
        <v>Nov</v>
      </c>
      <c r="C55" s="73">
        <f t="shared" si="25"/>
        <v>23</v>
      </c>
      <c r="D55" s="74">
        <f t="shared" si="7"/>
        <v>11</v>
      </c>
      <c r="E55" s="75">
        <f t="shared" si="8"/>
        <v>14</v>
      </c>
      <c r="F55" s="79"/>
      <c r="G55" s="82"/>
      <c r="H55" s="68" t="str">
        <f t="shared" si="26"/>
        <v>Lacine13_20191123_11_00</v>
      </c>
      <c r="I55" s="69">
        <f t="shared" si="30"/>
        <v>1</v>
      </c>
      <c r="J55" s="76" t="str">
        <f t="shared" si="30"/>
        <v>Lactuca</v>
      </c>
      <c r="K55" s="76" t="str">
        <f t="shared" si="30"/>
        <v>inermis</v>
      </c>
      <c r="L55" s="77">
        <f t="shared" si="30"/>
        <v>13</v>
      </c>
      <c r="M55" s="77">
        <f t="shared" si="30"/>
        <v>2</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x14ac:dyDescent="0.35">
      <c r="A56" s="72">
        <f t="shared" si="5"/>
        <v>2019</v>
      </c>
      <c r="B56" s="72" t="str">
        <f t="shared" si="6"/>
        <v>Nov</v>
      </c>
      <c r="C56" s="73">
        <f t="shared" si="25"/>
        <v>23</v>
      </c>
      <c r="D56" s="74">
        <f t="shared" si="7"/>
        <v>11</v>
      </c>
      <c r="E56" s="75">
        <f t="shared" si="8"/>
        <v>15</v>
      </c>
      <c r="F56" s="79">
        <v>59</v>
      </c>
      <c r="G56" s="82"/>
      <c r="H56" s="68" t="str">
        <f t="shared" si="26"/>
        <v>Lacine13_20191123_11_00</v>
      </c>
      <c r="I56" s="69">
        <f t="shared" si="30"/>
        <v>1</v>
      </c>
      <c r="J56" s="76" t="str">
        <f t="shared" si="30"/>
        <v>Lactuca</v>
      </c>
      <c r="K56" s="76" t="str">
        <f t="shared" si="30"/>
        <v>inermis</v>
      </c>
      <c r="L56" s="77">
        <f t="shared" si="30"/>
        <v>13</v>
      </c>
      <c r="M56" s="77">
        <f t="shared" si="30"/>
        <v>2</v>
      </c>
      <c r="N56" s="71">
        <f t="shared" si="30"/>
        <v>0</v>
      </c>
      <c r="O56" s="44"/>
      <c r="P56" s="45">
        <f t="shared" si="10"/>
        <v>1</v>
      </c>
      <c r="Q56" s="46" t="str">
        <f t="shared" si="11"/>
        <v>11:15:59</v>
      </c>
      <c r="R56" s="47" t="str">
        <f t="shared" si="12"/>
        <v>15:59</v>
      </c>
      <c r="S56" s="48">
        <f t="shared" si="0"/>
        <v>11</v>
      </c>
      <c r="T56" s="47" t="str">
        <f t="shared" si="13"/>
        <v>11</v>
      </c>
      <c r="U56" s="49">
        <v>16</v>
      </c>
      <c r="V56" s="50">
        <v>10</v>
      </c>
      <c r="W56" s="51" t="str">
        <f t="shared" si="14"/>
        <v>16:10</v>
      </c>
      <c r="X56" s="52" t="s">
        <v>59</v>
      </c>
      <c r="Y56" s="124" t="s">
        <v>94</v>
      </c>
      <c r="Z56" s="124" t="s">
        <v>92</v>
      </c>
      <c r="AA56" s="47" t="s">
        <v>82</v>
      </c>
      <c r="AB56" s="47" t="str">
        <f t="shared" si="15"/>
        <v>NA</v>
      </c>
      <c r="AC56" s="53">
        <f t="shared" si="16"/>
        <v>0</v>
      </c>
      <c r="AD56" s="54">
        <f t="shared" si="17"/>
        <v>1</v>
      </c>
      <c r="AE56" s="54"/>
      <c r="AF56" s="54"/>
      <c r="AG56" s="55" t="str">
        <f t="shared" si="18"/>
        <v/>
      </c>
      <c r="AH56" s="56" t="str">
        <f t="shared" si="19"/>
        <v/>
      </c>
      <c r="AI56" s="55"/>
      <c r="AJ56" s="56" t="str">
        <f t="shared" si="20"/>
        <v/>
      </c>
      <c r="AK56" s="55"/>
      <c r="AL56" s="56" t="str">
        <f t="shared" si="21"/>
        <v/>
      </c>
      <c r="AM56" s="55">
        <v>1</v>
      </c>
      <c r="AN56" s="56">
        <f t="shared" si="22"/>
        <v>11</v>
      </c>
      <c r="AO56" s="55"/>
      <c r="AP56" s="56" t="str">
        <f t="shared" si="23"/>
        <v/>
      </c>
      <c r="AQ56" s="55"/>
      <c r="AR56" s="56" t="str">
        <f t="shared" si="24"/>
        <v/>
      </c>
      <c r="AS56" s="57"/>
      <c r="AT56" s="58"/>
      <c r="AU56" s="58"/>
      <c r="AV56" s="59"/>
      <c r="AW56" s="60">
        <v>0</v>
      </c>
      <c r="AX56" s="61" t="str">
        <f t="shared" si="2"/>
        <v/>
      </c>
      <c r="AY56" s="60">
        <f t="shared" si="3"/>
        <v>0</v>
      </c>
      <c r="AZ56" s="61" t="str">
        <f t="shared" si="4"/>
        <v/>
      </c>
    </row>
    <row r="57" spans="1:52" s="3" customFormat="1" hidden="1" x14ac:dyDescent="0.35">
      <c r="A57" s="72">
        <f t="shared" si="5"/>
        <v>2019</v>
      </c>
      <c r="B57" s="72" t="str">
        <f t="shared" si="6"/>
        <v>Nov</v>
      </c>
      <c r="C57" s="73">
        <f t="shared" si="25"/>
        <v>23</v>
      </c>
      <c r="D57" s="74">
        <f t="shared" si="7"/>
        <v>11</v>
      </c>
      <c r="E57" s="75">
        <f t="shared" si="8"/>
        <v>16</v>
      </c>
      <c r="F57" s="79"/>
      <c r="G57" s="82"/>
      <c r="H57" s="68" t="str">
        <f t="shared" si="26"/>
        <v>Lacine13_20191123_11_00</v>
      </c>
      <c r="I57" s="69">
        <f t="shared" si="30"/>
        <v>1</v>
      </c>
      <c r="J57" s="76" t="str">
        <f t="shared" si="30"/>
        <v>Lactuca</v>
      </c>
      <c r="K57" s="76" t="str">
        <f t="shared" si="30"/>
        <v>inermis</v>
      </c>
      <c r="L57" s="77">
        <f t="shared" si="30"/>
        <v>13</v>
      </c>
      <c r="M57" s="77">
        <f t="shared" si="30"/>
        <v>2</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2019</v>
      </c>
      <c r="B58" s="72" t="str">
        <f t="shared" si="6"/>
        <v>Nov</v>
      </c>
      <c r="C58" s="73">
        <f t="shared" si="25"/>
        <v>23</v>
      </c>
      <c r="D58" s="74">
        <f t="shared" si="7"/>
        <v>11</v>
      </c>
      <c r="E58" s="75">
        <f t="shared" si="8"/>
        <v>17</v>
      </c>
      <c r="F58" s="79"/>
      <c r="G58" s="82"/>
      <c r="H58" s="68" t="str">
        <f t="shared" si="26"/>
        <v>Lacine13_20191123_11_00</v>
      </c>
      <c r="I58" s="69">
        <f t="shared" si="30"/>
        <v>1</v>
      </c>
      <c r="J58" s="76" t="str">
        <f t="shared" si="30"/>
        <v>Lactuca</v>
      </c>
      <c r="K58" s="76" t="str">
        <f t="shared" si="30"/>
        <v>inermis</v>
      </c>
      <c r="L58" s="77">
        <f t="shared" si="30"/>
        <v>13</v>
      </c>
      <c r="M58" s="77">
        <f t="shared" si="30"/>
        <v>2</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2019</v>
      </c>
      <c r="B59" s="72" t="str">
        <f t="shared" si="6"/>
        <v>Nov</v>
      </c>
      <c r="C59" s="73">
        <f t="shared" si="25"/>
        <v>23</v>
      </c>
      <c r="D59" s="74">
        <f t="shared" si="7"/>
        <v>11</v>
      </c>
      <c r="E59" s="75">
        <f t="shared" si="8"/>
        <v>18</v>
      </c>
      <c r="F59" s="79"/>
      <c r="G59" s="82"/>
      <c r="H59" s="68" t="str">
        <f t="shared" si="26"/>
        <v>Lacine13_20191123_11_00</v>
      </c>
      <c r="I59" s="69">
        <f t="shared" si="30"/>
        <v>1</v>
      </c>
      <c r="J59" s="76" t="str">
        <f t="shared" si="30"/>
        <v>Lactuca</v>
      </c>
      <c r="K59" s="76" t="str">
        <f t="shared" si="30"/>
        <v>inermis</v>
      </c>
      <c r="L59" s="77">
        <f t="shared" si="30"/>
        <v>13</v>
      </c>
      <c r="M59" s="77">
        <f t="shared" si="30"/>
        <v>2</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2019</v>
      </c>
      <c r="B60" s="72" t="str">
        <f t="shared" si="6"/>
        <v>Nov</v>
      </c>
      <c r="C60" s="73">
        <f t="shared" si="25"/>
        <v>23</v>
      </c>
      <c r="D60" s="74">
        <f t="shared" si="7"/>
        <v>11</v>
      </c>
      <c r="E60" s="75">
        <f t="shared" si="8"/>
        <v>19</v>
      </c>
      <c r="F60" s="79"/>
      <c r="G60" s="82"/>
      <c r="H60" s="68" t="str">
        <f t="shared" si="26"/>
        <v>Lacine13_20191123_11_00</v>
      </c>
      <c r="I60" s="69">
        <f t="shared" si="30"/>
        <v>1</v>
      </c>
      <c r="J60" s="76" t="str">
        <f t="shared" si="30"/>
        <v>Lactuca</v>
      </c>
      <c r="K60" s="76" t="str">
        <f t="shared" si="30"/>
        <v>inermis</v>
      </c>
      <c r="L60" s="77">
        <f t="shared" si="30"/>
        <v>13</v>
      </c>
      <c r="M60" s="77">
        <f t="shared" si="30"/>
        <v>2</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2019</v>
      </c>
      <c r="B61" s="72" t="str">
        <f t="shared" si="6"/>
        <v>Nov</v>
      </c>
      <c r="C61" s="73">
        <f t="shared" si="25"/>
        <v>23</v>
      </c>
      <c r="D61" s="74">
        <f t="shared" si="7"/>
        <v>11</v>
      </c>
      <c r="E61" s="75">
        <f t="shared" si="8"/>
        <v>20</v>
      </c>
      <c r="F61" s="79"/>
      <c r="G61" s="82"/>
      <c r="H61" s="68" t="str">
        <f t="shared" si="26"/>
        <v>Lacine13_20191123_11_00</v>
      </c>
      <c r="I61" s="69">
        <f t="shared" si="30"/>
        <v>1</v>
      </c>
      <c r="J61" s="76" t="str">
        <f t="shared" si="30"/>
        <v>Lactuca</v>
      </c>
      <c r="K61" s="76" t="str">
        <f t="shared" si="30"/>
        <v>inermis</v>
      </c>
      <c r="L61" s="77">
        <f t="shared" si="30"/>
        <v>13</v>
      </c>
      <c r="M61" s="77">
        <f t="shared" si="30"/>
        <v>2</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2019</v>
      </c>
      <c r="B62" s="72" t="str">
        <f t="shared" si="6"/>
        <v>Nov</v>
      </c>
      <c r="C62" s="73">
        <f t="shared" si="25"/>
        <v>23</v>
      </c>
      <c r="D62" s="74">
        <f t="shared" si="7"/>
        <v>11</v>
      </c>
      <c r="E62" s="75">
        <f t="shared" si="8"/>
        <v>21</v>
      </c>
      <c r="F62" s="79"/>
      <c r="G62" s="82"/>
      <c r="H62" s="68" t="str">
        <f t="shared" si="26"/>
        <v>Lacine13_20191123_11_00</v>
      </c>
      <c r="I62" s="69">
        <f t="shared" si="30"/>
        <v>1</v>
      </c>
      <c r="J62" s="76" t="str">
        <f t="shared" si="30"/>
        <v>Lactuca</v>
      </c>
      <c r="K62" s="76" t="str">
        <f t="shared" si="30"/>
        <v>inermis</v>
      </c>
      <c r="L62" s="77">
        <f t="shared" si="30"/>
        <v>13</v>
      </c>
      <c r="M62" s="77">
        <f t="shared" si="30"/>
        <v>2</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2019</v>
      </c>
      <c r="B63" s="72" t="str">
        <f t="shared" si="6"/>
        <v>Nov</v>
      </c>
      <c r="C63" s="73">
        <f t="shared" si="25"/>
        <v>23</v>
      </c>
      <c r="D63" s="74">
        <f t="shared" si="7"/>
        <v>11</v>
      </c>
      <c r="E63" s="75">
        <f t="shared" si="8"/>
        <v>22</v>
      </c>
      <c r="F63" s="79"/>
      <c r="G63" s="82"/>
      <c r="H63" s="68" t="str">
        <f t="shared" si="26"/>
        <v>Lacine13_20191123_11_00</v>
      </c>
      <c r="I63" s="69">
        <f t="shared" si="30"/>
        <v>1</v>
      </c>
      <c r="J63" s="76" t="str">
        <f t="shared" si="30"/>
        <v>Lactuca</v>
      </c>
      <c r="K63" s="76" t="str">
        <f t="shared" si="30"/>
        <v>inermis</v>
      </c>
      <c r="L63" s="77">
        <f t="shared" si="30"/>
        <v>13</v>
      </c>
      <c r="M63" s="77">
        <f t="shared" si="30"/>
        <v>2</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2019</v>
      </c>
      <c r="B64" s="72" t="str">
        <f t="shared" si="6"/>
        <v>Nov</v>
      </c>
      <c r="C64" s="73">
        <f t="shared" si="25"/>
        <v>23</v>
      </c>
      <c r="D64" s="74">
        <f t="shared" si="7"/>
        <v>11</v>
      </c>
      <c r="E64" s="75">
        <f t="shared" si="8"/>
        <v>23</v>
      </c>
      <c r="F64" s="79"/>
      <c r="G64" s="82"/>
      <c r="H64" s="68" t="str">
        <f t="shared" si="26"/>
        <v>Lacine13_20191123_11_00</v>
      </c>
      <c r="I64" s="69">
        <f t="shared" si="30"/>
        <v>1</v>
      </c>
      <c r="J64" s="76" t="str">
        <f t="shared" si="30"/>
        <v>Lactuca</v>
      </c>
      <c r="K64" s="76" t="str">
        <f t="shared" si="30"/>
        <v>inermis</v>
      </c>
      <c r="L64" s="77">
        <f t="shared" si="30"/>
        <v>13</v>
      </c>
      <c r="M64" s="77">
        <f t="shared" si="30"/>
        <v>2</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2019</v>
      </c>
      <c r="B65" s="72" t="str">
        <f t="shared" si="6"/>
        <v>Nov</v>
      </c>
      <c r="C65" s="73">
        <f t="shared" si="25"/>
        <v>23</v>
      </c>
      <c r="D65" s="74">
        <f t="shared" si="7"/>
        <v>11</v>
      </c>
      <c r="E65" s="75">
        <f t="shared" si="8"/>
        <v>24</v>
      </c>
      <c r="F65" s="79"/>
      <c r="G65" s="82"/>
      <c r="H65" s="68" t="str">
        <f t="shared" si="26"/>
        <v>Lacine13_20191123_11_00</v>
      </c>
      <c r="I65" s="69">
        <f t="shared" si="30"/>
        <v>1</v>
      </c>
      <c r="J65" s="76" t="str">
        <f t="shared" si="30"/>
        <v>Lactuca</v>
      </c>
      <c r="K65" s="76" t="str">
        <f t="shared" si="30"/>
        <v>inermis</v>
      </c>
      <c r="L65" s="77">
        <f t="shared" si="30"/>
        <v>13</v>
      </c>
      <c r="M65" s="77">
        <f t="shared" si="30"/>
        <v>2</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2019</v>
      </c>
      <c r="B66" s="72" t="str">
        <f t="shared" si="6"/>
        <v>Nov</v>
      </c>
      <c r="C66" s="73">
        <f t="shared" si="25"/>
        <v>23</v>
      </c>
      <c r="D66" s="74">
        <f t="shared" si="7"/>
        <v>11</v>
      </c>
      <c r="E66" s="75">
        <f t="shared" si="8"/>
        <v>25</v>
      </c>
      <c r="F66" s="79"/>
      <c r="G66" s="82"/>
      <c r="H66" s="68" t="str">
        <f t="shared" si="26"/>
        <v>Lacine13_20191123_11_00</v>
      </c>
      <c r="I66" s="69">
        <f t="shared" si="30"/>
        <v>1</v>
      </c>
      <c r="J66" s="76" t="str">
        <f t="shared" si="30"/>
        <v>Lactuca</v>
      </c>
      <c r="K66" s="76" t="str">
        <f t="shared" si="30"/>
        <v>inermis</v>
      </c>
      <c r="L66" s="77">
        <f t="shared" si="30"/>
        <v>13</v>
      </c>
      <c r="M66" s="77">
        <f t="shared" si="30"/>
        <v>2</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2019</v>
      </c>
      <c r="B67" s="72" t="str">
        <f t="shared" si="6"/>
        <v>Nov</v>
      </c>
      <c r="C67" s="73">
        <f t="shared" si="25"/>
        <v>23</v>
      </c>
      <c r="D67" s="74">
        <f t="shared" si="7"/>
        <v>11</v>
      </c>
      <c r="E67" s="75">
        <f t="shared" si="8"/>
        <v>26</v>
      </c>
      <c r="F67" s="79"/>
      <c r="G67" s="82"/>
      <c r="H67" s="68" t="str">
        <f t="shared" si="26"/>
        <v>Lacine13_20191123_11_00</v>
      </c>
      <c r="I67" s="69">
        <f t="shared" si="30"/>
        <v>1</v>
      </c>
      <c r="J67" s="76" t="str">
        <f t="shared" si="30"/>
        <v>Lactuca</v>
      </c>
      <c r="K67" s="76" t="str">
        <f t="shared" si="30"/>
        <v>inermis</v>
      </c>
      <c r="L67" s="77">
        <f t="shared" si="30"/>
        <v>13</v>
      </c>
      <c r="M67" s="77">
        <f t="shared" si="30"/>
        <v>2</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2019</v>
      </c>
      <c r="B68" s="72" t="str">
        <f t="shared" ref="B68:B131" si="37">IF(C67-C68&gt;0, TEXT(DATE(2016,(MONTH(DATEVALUE(B67&amp;"1"))+1),1),"mmm"), B67)</f>
        <v>Nov</v>
      </c>
      <c r="C68" s="73">
        <f t="shared" si="25"/>
        <v>23</v>
      </c>
      <c r="D68" s="74">
        <f t="shared" ref="D68:D131" si="38">IF(IF(E67=59,D67+1,D67)=24,0,IF(E67=59,D67+1,D67))</f>
        <v>11</v>
      </c>
      <c r="E68" s="75">
        <f t="shared" ref="E68:E131" si="39">IF(E67&lt;59,E67+1,0)</f>
        <v>27</v>
      </c>
      <c r="F68" s="79"/>
      <c r="G68" s="82"/>
      <c r="H68" s="68" t="str">
        <f t="shared" si="26"/>
        <v>Lacine13_20191123_11_00</v>
      </c>
      <c r="I68" s="69">
        <f t="shared" si="30"/>
        <v>1</v>
      </c>
      <c r="J68" s="76" t="str">
        <f t="shared" si="30"/>
        <v>Lactuca</v>
      </c>
      <c r="K68" s="76" t="str">
        <f t="shared" si="30"/>
        <v>inermis</v>
      </c>
      <c r="L68" s="77">
        <f t="shared" si="30"/>
        <v>13</v>
      </c>
      <c r="M68" s="77">
        <f t="shared" si="30"/>
        <v>2</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2" si="55">IF(AND(D69=0, E69=0), IF(TEXT(C68,"dd")=TEXT(EOMONTH(DATE(A68,MONTH(DATEVALUE(B68&amp;"1")),C68),0), "dd"), 1, C68+1), C68)</f>
        <v>23</v>
      </c>
      <c r="D69" s="74">
        <f t="shared" si="38"/>
        <v>11</v>
      </c>
      <c r="E69" s="75">
        <f t="shared" si="39"/>
        <v>28</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Lacine13_20191123_11_00</v>
      </c>
      <c r="I69" s="69">
        <f t="shared" ref="I69:N84" si="57">I68</f>
        <v>1</v>
      </c>
      <c r="J69" s="76" t="str">
        <f t="shared" si="57"/>
        <v>Lactuca</v>
      </c>
      <c r="K69" s="76" t="str">
        <f t="shared" si="57"/>
        <v>inermis</v>
      </c>
      <c r="L69" s="77">
        <f t="shared" si="57"/>
        <v>13</v>
      </c>
      <c r="M69" s="77">
        <f t="shared" si="57"/>
        <v>2</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23</v>
      </c>
      <c r="D70" s="74">
        <f t="shared" si="38"/>
        <v>11</v>
      </c>
      <c r="E70" s="75">
        <f t="shared" si="39"/>
        <v>29</v>
      </c>
      <c r="F70" s="79"/>
      <c r="G70" s="82"/>
      <c r="H70" s="68" t="str">
        <f t="shared" si="56"/>
        <v>Lacine13_20191123_11_00</v>
      </c>
      <c r="I70" s="69">
        <f t="shared" si="57"/>
        <v>1</v>
      </c>
      <c r="J70" s="76" t="str">
        <f t="shared" si="57"/>
        <v>Lactuca</v>
      </c>
      <c r="K70" s="76" t="str">
        <f t="shared" si="57"/>
        <v>inermis</v>
      </c>
      <c r="L70" s="77">
        <f t="shared" si="57"/>
        <v>13</v>
      </c>
      <c r="M70" s="77">
        <f t="shared" si="57"/>
        <v>2</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2019</v>
      </c>
      <c r="B71" s="72" t="str">
        <f t="shared" si="37"/>
        <v>Nov</v>
      </c>
      <c r="C71" s="73">
        <f t="shared" si="55"/>
        <v>23</v>
      </c>
      <c r="D71" s="74">
        <f t="shared" si="38"/>
        <v>11</v>
      </c>
      <c r="E71" s="75">
        <f t="shared" si="39"/>
        <v>30</v>
      </c>
      <c r="F71" s="79"/>
      <c r="G71" s="82"/>
      <c r="H71" s="68" t="str">
        <f t="shared" si="56"/>
        <v>Lacine13_20191123_11_00</v>
      </c>
      <c r="I71" s="69">
        <f t="shared" si="57"/>
        <v>1</v>
      </c>
      <c r="J71" s="76" t="str">
        <f t="shared" si="57"/>
        <v>Lactuca</v>
      </c>
      <c r="K71" s="76" t="str">
        <f t="shared" si="57"/>
        <v>inermis</v>
      </c>
      <c r="L71" s="77">
        <f t="shared" si="57"/>
        <v>13</v>
      </c>
      <c r="M71" s="77">
        <f t="shared" si="57"/>
        <v>2</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2019</v>
      </c>
      <c r="B72" s="72" t="str">
        <f t="shared" si="37"/>
        <v>Nov</v>
      </c>
      <c r="C72" s="73">
        <f t="shared" si="55"/>
        <v>23</v>
      </c>
      <c r="D72" s="74">
        <f t="shared" si="38"/>
        <v>11</v>
      </c>
      <c r="E72" s="75">
        <f t="shared" si="39"/>
        <v>31</v>
      </c>
      <c r="F72" s="79"/>
      <c r="G72" s="82"/>
      <c r="H72" s="68" t="str">
        <f t="shared" si="56"/>
        <v>Lacine13_20191123_11_00</v>
      </c>
      <c r="I72" s="69">
        <f t="shared" si="57"/>
        <v>1</v>
      </c>
      <c r="J72" s="76" t="str">
        <f t="shared" si="57"/>
        <v>Lactuca</v>
      </c>
      <c r="K72" s="76" t="str">
        <f t="shared" si="57"/>
        <v>inermis</v>
      </c>
      <c r="L72" s="77">
        <f t="shared" si="57"/>
        <v>13</v>
      </c>
      <c r="M72" s="77">
        <f t="shared" si="57"/>
        <v>2</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2019</v>
      </c>
      <c r="B73" s="72" t="str">
        <f t="shared" si="37"/>
        <v>Nov</v>
      </c>
      <c r="C73" s="73">
        <f t="shared" si="55"/>
        <v>23</v>
      </c>
      <c r="D73" s="74">
        <f t="shared" si="38"/>
        <v>11</v>
      </c>
      <c r="E73" s="75">
        <f t="shared" si="39"/>
        <v>32</v>
      </c>
      <c r="F73" s="79"/>
      <c r="G73" s="82"/>
      <c r="H73" s="68" t="str">
        <f t="shared" si="56"/>
        <v>Lacine13_20191123_11_00</v>
      </c>
      <c r="I73" s="69">
        <f t="shared" si="57"/>
        <v>1</v>
      </c>
      <c r="J73" s="76" t="str">
        <f t="shared" si="57"/>
        <v>Lactuca</v>
      </c>
      <c r="K73" s="76" t="str">
        <f t="shared" si="57"/>
        <v>inermis</v>
      </c>
      <c r="L73" s="77">
        <f t="shared" si="57"/>
        <v>13</v>
      </c>
      <c r="M73" s="77">
        <f t="shared" si="57"/>
        <v>2</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2019</v>
      </c>
      <c r="B74" s="72" t="str">
        <f t="shared" si="37"/>
        <v>Nov</v>
      </c>
      <c r="C74" s="73">
        <f t="shared" si="55"/>
        <v>23</v>
      </c>
      <c r="D74" s="74">
        <f t="shared" si="38"/>
        <v>11</v>
      </c>
      <c r="E74" s="75">
        <f t="shared" si="39"/>
        <v>33</v>
      </c>
      <c r="F74" s="79"/>
      <c r="G74" s="82"/>
      <c r="H74" s="68" t="str">
        <f t="shared" si="56"/>
        <v>Lacine13_20191123_11_00</v>
      </c>
      <c r="I74" s="69">
        <f t="shared" si="57"/>
        <v>1</v>
      </c>
      <c r="J74" s="76" t="str">
        <f t="shared" si="57"/>
        <v>Lactuca</v>
      </c>
      <c r="K74" s="76" t="str">
        <f t="shared" si="57"/>
        <v>inermis</v>
      </c>
      <c r="L74" s="77">
        <f t="shared" si="57"/>
        <v>13</v>
      </c>
      <c r="M74" s="77">
        <f t="shared" si="57"/>
        <v>2</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23</v>
      </c>
      <c r="D75" s="74">
        <f t="shared" si="38"/>
        <v>11</v>
      </c>
      <c r="E75" s="75">
        <f t="shared" si="39"/>
        <v>34</v>
      </c>
      <c r="F75" s="79"/>
      <c r="G75" s="82"/>
      <c r="H75" s="68" t="str">
        <f t="shared" si="56"/>
        <v>Lacine13_20191123_11_00</v>
      </c>
      <c r="I75" s="69">
        <f t="shared" si="57"/>
        <v>1</v>
      </c>
      <c r="J75" s="76" t="str">
        <f t="shared" si="57"/>
        <v>Lactuca</v>
      </c>
      <c r="K75" s="76" t="str">
        <f t="shared" si="57"/>
        <v>inermis</v>
      </c>
      <c r="L75" s="77">
        <f t="shared" si="57"/>
        <v>13</v>
      </c>
      <c r="M75" s="77">
        <f t="shared" si="57"/>
        <v>2</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2019</v>
      </c>
      <c r="B76" s="72" t="str">
        <f t="shared" si="37"/>
        <v>Nov</v>
      </c>
      <c r="C76" s="73">
        <f t="shared" si="55"/>
        <v>23</v>
      </c>
      <c r="D76" s="74">
        <f t="shared" si="38"/>
        <v>11</v>
      </c>
      <c r="E76" s="75">
        <f t="shared" si="39"/>
        <v>35</v>
      </c>
      <c r="F76" s="79"/>
      <c r="G76" s="82"/>
      <c r="H76" s="68" t="str">
        <f t="shared" si="56"/>
        <v>Lacine13_20191123_11_00</v>
      </c>
      <c r="I76" s="69">
        <f t="shared" si="57"/>
        <v>1</v>
      </c>
      <c r="J76" s="76" t="str">
        <f t="shared" si="57"/>
        <v>Lactuca</v>
      </c>
      <c r="K76" s="76" t="str">
        <f t="shared" si="57"/>
        <v>inermis</v>
      </c>
      <c r="L76" s="77">
        <f t="shared" si="57"/>
        <v>13</v>
      </c>
      <c r="M76" s="77">
        <f t="shared" si="57"/>
        <v>2</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2019</v>
      </c>
      <c r="B77" s="72" t="str">
        <f t="shared" si="37"/>
        <v>Nov</v>
      </c>
      <c r="C77" s="73">
        <f t="shared" si="55"/>
        <v>23</v>
      </c>
      <c r="D77" s="74">
        <f t="shared" si="38"/>
        <v>11</v>
      </c>
      <c r="E77" s="75">
        <f t="shared" si="39"/>
        <v>36</v>
      </c>
      <c r="F77" s="79"/>
      <c r="G77" s="82"/>
      <c r="H77" s="68" t="str">
        <f t="shared" si="56"/>
        <v>Lacine13_20191123_11_00</v>
      </c>
      <c r="I77" s="69">
        <f t="shared" si="57"/>
        <v>1</v>
      </c>
      <c r="J77" s="76" t="str">
        <f t="shared" si="57"/>
        <v>Lactuca</v>
      </c>
      <c r="K77" s="76" t="str">
        <f t="shared" si="57"/>
        <v>inermis</v>
      </c>
      <c r="L77" s="77">
        <f t="shared" si="57"/>
        <v>13</v>
      </c>
      <c r="M77" s="77">
        <f t="shared" si="57"/>
        <v>2</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2019</v>
      </c>
      <c r="B78" s="72" t="str">
        <f t="shared" si="37"/>
        <v>Nov</v>
      </c>
      <c r="C78" s="73">
        <f t="shared" si="55"/>
        <v>23</v>
      </c>
      <c r="D78" s="74">
        <f t="shared" si="38"/>
        <v>11</v>
      </c>
      <c r="E78" s="75">
        <f t="shared" si="39"/>
        <v>37</v>
      </c>
      <c r="F78" s="79"/>
      <c r="G78" s="82"/>
      <c r="H78" s="68" t="str">
        <f t="shared" si="56"/>
        <v>Lacine13_20191123_11_00</v>
      </c>
      <c r="I78" s="69">
        <f t="shared" si="57"/>
        <v>1</v>
      </c>
      <c r="J78" s="76" t="str">
        <f t="shared" si="57"/>
        <v>Lactuca</v>
      </c>
      <c r="K78" s="76" t="str">
        <f t="shared" si="57"/>
        <v>inermis</v>
      </c>
      <c r="L78" s="77">
        <f t="shared" si="57"/>
        <v>13</v>
      </c>
      <c r="M78" s="77">
        <f t="shared" si="57"/>
        <v>2</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23</v>
      </c>
      <c r="D79" s="74">
        <f t="shared" si="38"/>
        <v>11</v>
      </c>
      <c r="E79" s="75">
        <f t="shared" si="39"/>
        <v>38</v>
      </c>
      <c r="F79" s="79"/>
      <c r="G79" s="82"/>
      <c r="H79" s="68" t="str">
        <f t="shared" si="56"/>
        <v>Lacine13_20191123_11_00</v>
      </c>
      <c r="I79" s="69">
        <f t="shared" si="57"/>
        <v>1</v>
      </c>
      <c r="J79" s="76" t="str">
        <f t="shared" si="57"/>
        <v>Lactuca</v>
      </c>
      <c r="K79" s="76" t="str">
        <f t="shared" si="57"/>
        <v>inermis</v>
      </c>
      <c r="L79" s="77">
        <f t="shared" si="57"/>
        <v>13</v>
      </c>
      <c r="M79" s="77">
        <f t="shared" si="57"/>
        <v>2</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23</v>
      </c>
      <c r="D80" s="74">
        <f t="shared" si="38"/>
        <v>11</v>
      </c>
      <c r="E80" s="75">
        <f t="shared" si="39"/>
        <v>39</v>
      </c>
      <c r="F80" s="79"/>
      <c r="G80" s="82"/>
      <c r="H80" s="68" t="str">
        <f t="shared" si="56"/>
        <v>Lacine13_20191123_11_00</v>
      </c>
      <c r="I80" s="69">
        <f t="shared" si="57"/>
        <v>1</v>
      </c>
      <c r="J80" s="76" t="str">
        <f t="shared" si="57"/>
        <v>Lactuca</v>
      </c>
      <c r="K80" s="76" t="str">
        <f t="shared" si="57"/>
        <v>inermis</v>
      </c>
      <c r="L80" s="77">
        <f t="shared" si="57"/>
        <v>13</v>
      </c>
      <c r="M80" s="77">
        <f t="shared" si="57"/>
        <v>2</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23</v>
      </c>
      <c r="D81" s="74">
        <f t="shared" si="38"/>
        <v>11</v>
      </c>
      <c r="E81" s="75">
        <f t="shared" si="39"/>
        <v>40</v>
      </c>
      <c r="F81" s="79"/>
      <c r="G81" s="82"/>
      <c r="H81" s="68" t="str">
        <f t="shared" si="56"/>
        <v>Lacine13_20191123_11_00</v>
      </c>
      <c r="I81" s="69">
        <f t="shared" si="57"/>
        <v>1</v>
      </c>
      <c r="J81" s="76" t="str">
        <f t="shared" si="57"/>
        <v>Lactuca</v>
      </c>
      <c r="K81" s="76" t="str">
        <f t="shared" si="57"/>
        <v>inermis</v>
      </c>
      <c r="L81" s="77">
        <f t="shared" si="57"/>
        <v>13</v>
      </c>
      <c r="M81" s="77">
        <f t="shared" si="57"/>
        <v>2</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23</v>
      </c>
      <c r="D82" s="74">
        <f t="shared" si="38"/>
        <v>11</v>
      </c>
      <c r="E82" s="75">
        <f t="shared" si="39"/>
        <v>41</v>
      </c>
      <c r="F82" s="79"/>
      <c r="G82" s="82"/>
      <c r="H82" s="68" t="str">
        <f t="shared" si="56"/>
        <v>Lacine13_20191123_11_00</v>
      </c>
      <c r="I82" s="69">
        <f t="shared" si="57"/>
        <v>1</v>
      </c>
      <c r="J82" s="76" t="str">
        <f t="shared" si="57"/>
        <v>Lactuca</v>
      </c>
      <c r="K82" s="76" t="str">
        <f t="shared" si="57"/>
        <v>inermis</v>
      </c>
      <c r="L82" s="77">
        <f t="shared" si="57"/>
        <v>13</v>
      </c>
      <c r="M82" s="77">
        <f t="shared" si="57"/>
        <v>2</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23</v>
      </c>
      <c r="D83" s="74">
        <f t="shared" si="38"/>
        <v>11</v>
      </c>
      <c r="E83" s="75">
        <f t="shared" si="39"/>
        <v>42</v>
      </c>
      <c r="F83" s="79"/>
      <c r="G83" s="82"/>
      <c r="H83" s="68" t="str">
        <f t="shared" si="56"/>
        <v>Lacine13_20191123_11_00</v>
      </c>
      <c r="I83" s="69">
        <f t="shared" si="57"/>
        <v>1</v>
      </c>
      <c r="J83" s="76" t="str">
        <f t="shared" si="57"/>
        <v>Lactuca</v>
      </c>
      <c r="K83" s="76" t="str">
        <f t="shared" si="57"/>
        <v>inermis</v>
      </c>
      <c r="L83" s="77">
        <f t="shared" si="57"/>
        <v>13</v>
      </c>
      <c r="M83" s="77">
        <f t="shared" si="57"/>
        <v>2</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23</v>
      </c>
      <c r="D84" s="74">
        <f t="shared" si="38"/>
        <v>11</v>
      </c>
      <c r="E84" s="75">
        <f t="shared" si="39"/>
        <v>43</v>
      </c>
      <c r="F84" s="79"/>
      <c r="G84" s="82"/>
      <c r="H84" s="68" t="str">
        <f t="shared" si="56"/>
        <v>Lacine13_20191123_11_00</v>
      </c>
      <c r="I84" s="69">
        <f t="shared" si="57"/>
        <v>1</v>
      </c>
      <c r="J84" s="76" t="str">
        <f t="shared" si="57"/>
        <v>Lactuca</v>
      </c>
      <c r="K84" s="76" t="str">
        <f t="shared" si="57"/>
        <v>inermis</v>
      </c>
      <c r="L84" s="77">
        <f t="shared" si="57"/>
        <v>13</v>
      </c>
      <c r="M84" s="77">
        <f t="shared" si="57"/>
        <v>2</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2019</v>
      </c>
      <c r="B85" s="72" t="str">
        <f t="shared" si="37"/>
        <v>Nov</v>
      </c>
      <c r="C85" s="73">
        <f t="shared" si="55"/>
        <v>23</v>
      </c>
      <c r="D85" s="74">
        <f t="shared" si="38"/>
        <v>11</v>
      </c>
      <c r="E85" s="75">
        <f t="shared" si="39"/>
        <v>44</v>
      </c>
      <c r="F85" s="79">
        <v>11</v>
      </c>
      <c r="G85" s="82"/>
      <c r="H85" s="68" t="str">
        <f t="shared" si="56"/>
        <v>Lacine13_20191123_11_00</v>
      </c>
      <c r="I85" s="69">
        <f t="shared" ref="I85:N100" si="58">I84</f>
        <v>1</v>
      </c>
      <c r="J85" s="76" t="str">
        <f t="shared" si="58"/>
        <v>Lactuca</v>
      </c>
      <c r="K85" s="76" t="str">
        <f t="shared" si="58"/>
        <v>inermis</v>
      </c>
      <c r="L85" s="77">
        <f t="shared" si="58"/>
        <v>13</v>
      </c>
      <c r="M85" s="77">
        <f t="shared" si="58"/>
        <v>2</v>
      </c>
      <c r="N85" s="71">
        <f t="shared" si="58"/>
        <v>0</v>
      </c>
      <c r="O85" s="44"/>
      <c r="P85" s="45">
        <f t="shared" si="40"/>
        <v>1</v>
      </c>
      <c r="Q85" s="46" t="str">
        <f t="shared" si="41"/>
        <v>11:44:11</v>
      </c>
      <c r="R85" s="47" t="str">
        <f t="shared" si="42"/>
        <v>44:11</v>
      </c>
      <c r="S85" s="48">
        <f t="shared" si="31"/>
        <v>100</v>
      </c>
      <c r="T85" s="47" t="str">
        <f t="shared" si="43"/>
        <v>11</v>
      </c>
      <c r="U85" s="49">
        <v>45</v>
      </c>
      <c r="V85" s="50">
        <v>51</v>
      </c>
      <c r="W85" s="51" t="str">
        <f t="shared" si="44"/>
        <v>45:51</v>
      </c>
      <c r="X85" s="52" t="s">
        <v>59</v>
      </c>
      <c r="Y85" s="124" t="s">
        <v>89</v>
      </c>
      <c r="Z85" s="124" t="s">
        <v>92</v>
      </c>
      <c r="AA85" s="47" t="s">
        <v>82</v>
      </c>
      <c r="AB85" s="47" t="str">
        <f t="shared" si="45"/>
        <v>NA</v>
      </c>
      <c r="AC85" s="53">
        <f t="shared" si="46"/>
        <v>0</v>
      </c>
      <c r="AD85" s="54">
        <v>2</v>
      </c>
      <c r="AE85" s="54"/>
      <c r="AF85" s="54"/>
      <c r="AG85" s="55" t="str">
        <f t="shared" si="48"/>
        <v/>
      </c>
      <c r="AH85" s="56" t="str">
        <f t="shared" si="49"/>
        <v/>
      </c>
      <c r="AI85" s="55"/>
      <c r="AJ85" s="56" t="str">
        <f t="shared" si="50"/>
        <v/>
      </c>
      <c r="AK85" s="55"/>
      <c r="AL85" s="56" t="str">
        <f t="shared" si="51"/>
        <v/>
      </c>
      <c r="AM85" s="55">
        <v>1</v>
      </c>
      <c r="AN85" s="56">
        <f t="shared" si="52"/>
        <v>100</v>
      </c>
      <c r="AO85" s="55"/>
      <c r="AP85" s="56" t="str">
        <f t="shared" si="53"/>
        <v/>
      </c>
      <c r="AQ85" s="55"/>
      <c r="AR85" s="56" t="str">
        <f t="shared" si="54"/>
        <v/>
      </c>
      <c r="AS85" s="57"/>
      <c r="AT85" s="58"/>
      <c r="AU85" s="58"/>
      <c r="AV85" s="59"/>
      <c r="AW85" s="60">
        <v>1</v>
      </c>
      <c r="AX85" s="61">
        <f t="shared" si="33"/>
        <v>2</v>
      </c>
      <c r="AY85" s="60">
        <v>1</v>
      </c>
      <c r="AZ85" s="61">
        <f t="shared" si="35"/>
        <v>2</v>
      </c>
    </row>
    <row r="86" spans="1:52" s="3" customFormat="1" hidden="1" x14ac:dyDescent="0.35">
      <c r="A86" s="72">
        <f t="shared" si="36"/>
        <v>2019</v>
      </c>
      <c r="B86" s="72" t="str">
        <f t="shared" si="37"/>
        <v>Nov</v>
      </c>
      <c r="C86" s="73">
        <f t="shared" si="55"/>
        <v>23</v>
      </c>
      <c r="D86" s="74">
        <f t="shared" si="38"/>
        <v>11</v>
      </c>
      <c r="E86" s="75">
        <f t="shared" si="39"/>
        <v>45</v>
      </c>
      <c r="F86" s="79"/>
      <c r="G86" s="82"/>
      <c r="H86" s="68" t="str">
        <f t="shared" si="56"/>
        <v>Lacine13_20191123_11_00</v>
      </c>
      <c r="I86" s="69">
        <f t="shared" si="58"/>
        <v>1</v>
      </c>
      <c r="J86" s="76" t="str">
        <f t="shared" si="58"/>
        <v>Lactuca</v>
      </c>
      <c r="K86" s="76" t="str">
        <f t="shared" si="58"/>
        <v>inermis</v>
      </c>
      <c r="L86" s="77">
        <f t="shared" si="58"/>
        <v>13</v>
      </c>
      <c r="M86" s="77">
        <f t="shared" si="58"/>
        <v>2</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23</v>
      </c>
      <c r="D87" s="74">
        <f t="shared" si="38"/>
        <v>11</v>
      </c>
      <c r="E87" s="75">
        <f t="shared" si="39"/>
        <v>46</v>
      </c>
      <c r="F87" s="79"/>
      <c r="G87" s="82"/>
      <c r="H87" s="68" t="str">
        <f t="shared" si="56"/>
        <v>Lacine13_20191123_11_00</v>
      </c>
      <c r="I87" s="69">
        <f t="shared" si="58"/>
        <v>1</v>
      </c>
      <c r="J87" s="76" t="str">
        <f t="shared" si="58"/>
        <v>Lactuca</v>
      </c>
      <c r="K87" s="76" t="str">
        <f t="shared" si="58"/>
        <v>inermis</v>
      </c>
      <c r="L87" s="77">
        <f t="shared" si="58"/>
        <v>13</v>
      </c>
      <c r="M87" s="77">
        <f t="shared" si="58"/>
        <v>2</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23</v>
      </c>
      <c r="D88" s="74">
        <f t="shared" si="38"/>
        <v>11</v>
      </c>
      <c r="E88" s="75">
        <f t="shared" si="39"/>
        <v>47</v>
      </c>
      <c r="F88" s="79"/>
      <c r="G88" s="82"/>
      <c r="H88" s="68" t="str">
        <f t="shared" si="56"/>
        <v>Lacine13_20191123_11_00</v>
      </c>
      <c r="I88" s="69">
        <f t="shared" si="58"/>
        <v>1</v>
      </c>
      <c r="J88" s="76" t="str">
        <f t="shared" si="58"/>
        <v>Lactuca</v>
      </c>
      <c r="K88" s="76" t="str">
        <f t="shared" si="58"/>
        <v>inermis</v>
      </c>
      <c r="L88" s="77">
        <f t="shared" si="58"/>
        <v>13</v>
      </c>
      <c r="M88" s="77">
        <f t="shared" si="58"/>
        <v>2</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23</v>
      </c>
      <c r="D89" s="74">
        <f t="shared" si="38"/>
        <v>11</v>
      </c>
      <c r="E89" s="75">
        <f t="shared" si="39"/>
        <v>48</v>
      </c>
      <c r="F89" s="79"/>
      <c r="G89" s="82"/>
      <c r="H89" s="68" t="str">
        <f t="shared" si="56"/>
        <v>Lacine13_20191123_11_00</v>
      </c>
      <c r="I89" s="69">
        <f t="shared" si="58"/>
        <v>1</v>
      </c>
      <c r="J89" s="76" t="str">
        <f t="shared" si="58"/>
        <v>Lactuca</v>
      </c>
      <c r="K89" s="76" t="str">
        <f t="shared" si="58"/>
        <v>inermis</v>
      </c>
      <c r="L89" s="77">
        <f t="shared" si="58"/>
        <v>13</v>
      </c>
      <c r="M89" s="77">
        <f t="shared" si="58"/>
        <v>2</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23</v>
      </c>
      <c r="D90" s="74">
        <f t="shared" si="38"/>
        <v>11</v>
      </c>
      <c r="E90" s="75">
        <f t="shared" si="39"/>
        <v>49</v>
      </c>
      <c r="F90" s="79"/>
      <c r="G90" s="82"/>
      <c r="H90" s="68" t="str">
        <f t="shared" si="56"/>
        <v>Lacine13_20191123_11_00</v>
      </c>
      <c r="I90" s="69">
        <f t="shared" si="58"/>
        <v>1</v>
      </c>
      <c r="J90" s="76" t="str">
        <f t="shared" si="58"/>
        <v>Lactuca</v>
      </c>
      <c r="K90" s="76" t="str">
        <f t="shared" si="58"/>
        <v>inermis</v>
      </c>
      <c r="L90" s="77">
        <f t="shared" si="58"/>
        <v>13</v>
      </c>
      <c r="M90" s="77">
        <f t="shared" si="58"/>
        <v>2</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23</v>
      </c>
      <c r="D91" s="74">
        <f t="shared" si="38"/>
        <v>11</v>
      </c>
      <c r="E91" s="75">
        <f t="shared" si="39"/>
        <v>50</v>
      </c>
      <c r="F91" s="79"/>
      <c r="G91" s="82"/>
      <c r="H91" s="68" t="str">
        <f t="shared" si="56"/>
        <v>Lacine13_20191123_11_00</v>
      </c>
      <c r="I91" s="69">
        <f t="shared" si="58"/>
        <v>1</v>
      </c>
      <c r="J91" s="76" t="str">
        <f t="shared" si="58"/>
        <v>Lactuca</v>
      </c>
      <c r="K91" s="76" t="str">
        <f t="shared" si="58"/>
        <v>inermis</v>
      </c>
      <c r="L91" s="77">
        <f t="shared" si="58"/>
        <v>13</v>
      </c>
      <c r="M91" s="77">
        <f t="shared" si="58"/>
        <v>2</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23</v>
      </c>
      <c r="D92" s="74">
        <f t="shared" si="38"/>
        <v>11</v>
      </c>
      <c r="E92" s="75">
        <f t="shared" si="39"/>
        <v>51</v>
      </c>
      <c r="F92" s="79"/>
      <c r="G92" s="82"/>
      <c r="H92" s="68" t="str">
        <f t="shared" si="56"/>
        <v>Lacine13_20191123_11_00</v>
      </c>
      <c r="I92" s="69">
        <f t="shared" si="58"/>
        <v>1</v>
      </c>
      <c r="J92" s="76" t="str">
        <f t="shared" si="58"/>
        <v>Lactuca</v>
      </c>
      <c r="K92" s="76" t="str">
        <f t="shared" si="58"/>
        <v>inermis</v>
      </c>
      <c r="L92" s="77">
        <f t="shared" si="58"/>
        <v>13</v>
      </c>
      <c r="M92" s="77">
        <f t="shared" si="58"/>
        <v>2</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23</v>
      </c>
      <c r="D93" s="74">
        <f t="shared" si="38"/>
        <v>11</v>
      </c>
      <c r="E93" s="75">
        <f t="shared" si="39"/>
        <v>52</v>
      </c>
      <c r="F93" s="79"/>
      <c r="G93" s="82"/>
      <c r="H93" s="68" t="str">
        <f t="shared" si="56"/>
        <v>Lacine13_20191123_11_00</v>
      </c>
      <c r="I93" s="69">
        <f t="shared" si="58"/>
        <v>1</v>
      </c>
      <c r="J93" s="76" t="str">
        <f t="shared" si="58"/>
        <v>Lactuca</v>
      </c>
      <c r="K93" s="76" t="str">
        <f t="shared" si="58"/>
        <v>inermis</v>
      </c>
      <c r="L93" s="77">
        <f t="shared" si="58"/>
        <v>13</v>
      </c>
      <c r="M93" s="77">
        <f t="shared" si="58"/>
        <v>2</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23</v>
      </c>
      <c r="D94" s="74">
        <f t="shared" si="38"/>
        <v>11</v>
      </c>
      <c r="E94" s="75">
        <f t="shared" si="39"/>
        <v>53</v>
      </c>
      <c r="F94" s="79"/>
      <c r="G94" s="82"/>
      <c r="H94" s="68" t="str">
        <f t="shared" si="56"/>
        <v>Lacine13_20191123_11_00</v>
      </c>
      <c r="I94" s="69">
        <f t="shared" si="58"/>
        <v>1</v>
      </c>
      <c r="J94" s="76" t="str">
        <f t="shared" si="58"/>
        <v>Lactuca</v>
      </c>
      <c r="K94" s="76" t="str">
        <f t="shared" si="58"/>
        <v>inermis</v>
      </c>
      <c r="L94" s="77">
        <f t="shared" si="58"/>
        <v>13</v>
      </c>
      <c r="M94" s="77">
        <f t="shared" si="58"/>
        <v>2</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2019</v>
      </c>
      <c r="B95" s="72" t="str">
        <f t="shared" si="37"/>
        <v>Nov</v>
      </c>
      <c r="C95" s="73">
        <f t="shared" si="55"/>
        <v>23</v>
      </c>
      <c r="D95" s="74">
        <f t="shared" si="38"/>
        <v>11</v>
      </c>
      <c r="E95" s="75">
        <f t="shared" si="39"/>
        <v>54</v>
      </c>
      <c r="F95" s="79"/>
      <c r="G95" s="82"/>
      <c r="H95" s="68" t="str">
        <f t="shared" si="56"/>
        <v>Lacine13_20191123_11_00</v>
      </c>
      <c r="I95" s="69">
        <f t="shared" si="58"/>
        <v>1</v>
      </c>
      <c r="J95" s="76" t="str">
        <f t="shared" si="58"/>
        <v>Lactuca</v>
      </c>
      <c r="K95" s="76" t="str">
        <f t="shared" si="58"/>
        <v>inermis</v>
      </c>
      <c r="L95" s="77">
        <f t="shared" si="58"/>
        <v>13</v>
      </c>
      <c r="M95" s="77">
        <f t="shared" si="58"/>
        <v>2</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2019</v>
      </c>
      <c r="B96" s="72" t="str">
        <f t="shared" si="37"/>
        <v>Nov</v>
      </c>
      <c r="C96" s="73">
        <f t="shared" si="55"/>
        <v>23</v>
      </c>
      <c r="D96" s="74">
        <f t="shared" si="38"/>
        <v>11</v>
      </c>
      <c r="E96" s="75">
        <f t="shared" si="39"/>
        <v>55</v>
      </c>
      <c r="F96" s="79"/>
      <c r="G96" s="82"/>
      <c r="H96" s="68" t="str">
        <f t="shared" si="56"/>
        <v>Lacine13_20191123_11_00</v>
      </c>
      <c r="I96" s="69">
        <f t="shared" si="58"/>
        <v>1</v>
      </c>
      <c r="J96" s="76" t="str">
        <f t="shared" si="58"/>
        <v>Lactuca</v>
      </c>
      <c r="K96" s="76" t="str">
        <f t="shared" si="58"/>
        <v>inermis</v>
      </c>
      <c r="L96" s="77">
        <f t="shared" si="58"/>
        <v>13</v>
      </c>
      <c r="M96" s="77">
        <f t="shared" si="58"/>
        <v>2</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23</v>
      </c>
      <c r="D97" s="74">
        <f t="shared" si="38"/>
        <v>11</v>
      </c>
      <c r="E97" s="75">
        <f t="shared" si="39"/>
        <v>56</v>
      </c>
      <c r="F97" s="79"/>
      <c r="G97" s="82"/>
      <c r="H97" s="68" t="str">
        <f t="shared" si="56"/>
        <v>Lacine13_20191123_11_00</v>
      </c>
      <c r="I97" s="69">
        <f t="shared" si="58"/>
        <v>1</v>
      </c>
      <c r="J97" s="76" t="str">
        <f t="shared" si="58"/>
        <v>Lactuca</v>
      </c>
      <c r="K97" s="76" t="str">
        <f t="shared" si="58"/>
        <v>inermis</v>
      </c>
      <c r="L97" s="77">
        <f t="shared" si="58"/>
        <v>13</v>
      </c>
      <c r="M97" s="77">
        <f t="shared" si="58"/>
        <v>2</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23</v>
      </c>
      <c r="D98" s="74">
        <f t="shared" si="38"/>
        <v>11</v>
      </c>
      <c r="E98" s="75">
        <f t="shared" si="39"/>
        <v>57</v>
      </c>
      <c r="F98" s="79"/>
      <c r="G98" s="82"/>
      <c r="H98" s="68" t="str">
        <f t="shared" si="56"/>
        <v>Lacine13_20191123_11_00</v>
      </c>
      <c r="I98" s="69">
        <f t="shared" si="58"/>
        <v>1</v>
      </c>
      <c r="J98" s="76" t="str">
        <f t="shared" si="58"/>
        <v>Lactuca</v>
      </c>
      <c r="K98" s="76" t="str">
        <f t="shared" si="58"/>
        <v>inermis</v>
      </c>
      <c r="L98" s="77">
        <f t="shared" si="58"/>
        <v>13</v>
      </c>
      <c r="M98" s="77">
        <f t="shared" si="58"/>
        <v>2</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23</v>
      </c>
      <c r="D99" s="74">
        <f t="shared" si="38"/>
        <v>11</v>
      </c>
      <c r="E99" s="75">
        <f t="shared" si="39"/>
        <v>58</v>
      </c>
      <c r="F99" s="79"/>
      <c r="G99" s="82"/>
      <c r="H99" s="68" t="str">
        <f t="shared" si="56"/>
        <v>Lacine13_20191123_11_00</v>
      </c>
      <c r="I99" s="69">
        <f t="shared" si="58"/>
        <v>1</v>
      </c>
      <c r="J99" s="76" t="str">
        <f t="shared" si="58"/>
        <v>Lactuca</v>
      </c>
      <c r="K99" s="76" t="str">
        <f t="shared" si="58"/>
        <v>inermis</v>
      </c>
      <c r="L99" s="77">
        <f t="shared" si="58"/>
        <v>13</v>
      </c>
      <c r="M99" s="77">
        <f t="shared" si="58"/>
        <v>2</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23</v>
      </c>
      <c r="D100" s="74">
        <f t="shared" si="38"/>
        <v>11</v>
      </c>
      <c r="E100" s="75">
        <f t="shared" si="39"/>
        <v>59</v>
      </c>
      <c r="F100" s="79"/>
      <c r="G100" s="82"/>
      <c r="H100" s="68" t="str">
        <f t="shared" si="56"/>
        <v>Lacine13_20191123_11_00</v>
      </c>
      <c r="I100" s="69">
        <f t="shared" si="58"/>
        <v>1</v>
      </c>
      <c r="J100" s="76" t="str">
        <f t="shared" si="58"/>
        <v>Lactuca</v>
      </c>
      <c r="K100" s="76" t="str">
        <f t="shared" si="58"/>
        <v>inermis</v>
      </c>
      <c r="L100" s="77">
        <f t="shared" si="58"/>
        <v>13</v>
      </c>
      <c r="M100" s="77">
        <f t="shared" si="58"/>
        <v>2</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23</v>
      </c>
      <c r="D101" s="74">
        <f t="shared" si="38"/>
        <v>12</v>
      </c>
      <c r="E101" s="75">
        <f t="shared" si="39"/>
        <v>0</v>
      </c>
      <c r="F101" s="79"/>
      <c r="G101" s="82"/>
      <c r="H101" s="68" t="str">
        <f t="shared" si="56"/>
        <v>Lacine13_20191123_12_00</v>
      </c>
      <c r="I101" s="69">
        <f t="shared" ref="I101:N116" si="59">I100</f>
        <v>1</v>
      </c>
      <c r="J101" s="76" t="str">
        <f t="shared" si="59"/>
        <v>Lactuca</v>
      </c>
      <c r="K101" s="76" t="str">
        <f t="shared" si="59"/>
        <v>inermis</v>
      </c>
      <c r="L101" s="77">
        <f t="shared" si="59"/>
        <v>13</v>
      </c>
      <c r="M101" s="77">
        <f t="shared" si="59"/>
        <v>2</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x14ac:dyDescent="0.35">
      <c r="A102" s="72">
        <f t="shared" si="36"/>
        <v>2019</v>
      </c>
      <c r="B102" s="72" t="str">
        <f t="shared" si="37"/>
        <v>Nov</v>
      </c>
      <c r="C102" s="73">
        <f t="shared" si="55"/>
        <v>23</v>
      </c>
      <c r="D102" s="74">
        <f t="shared" si="38"/>
        <v>12</v>
      </c>
      <c r="E102" s="75">
        <f t="shared" si="39"/>
        <v>1</v>
      </c>
      <c r="F102" s="79">
        <v>19</v>
      </c>
      <c r="G102" s="82"/>
      <c r="H102" s="68" t="str">
        <f t="shared" si="56"/>
        <v>Lacine13_20191123_12_00</v>
      </c>
      <c r="I102" s="69">
        <f t="shared" si="59"/>
        <v>1</v>
      </c>
      <c r="J102" s="76" t="str">
        <f t="shared" si="59"/>
        <v>Lactuca</v>
      </c>
      <c r="K102" s="76" t="str">
        <f t="shared" si="59"/>
        <v>inermis</v>
      </c>
      <c r="L102" s="77">
        <f t="shared" si="59"/>
        <v>13</v>
      </c>
      <c r="M102" s="77">
        <f t="shared" si="59"/>
        <v>2</v>
      </c>
      <c r="N102" s="71">
        <f t="shared" si="59"/>
        <v>0</v>
      </c>
      <c r="O102" s="44"/>
      <c r="P102" s="45">
        <f t="shared" si="40"/>
        <v>1</v>
      </c>
      <c r="Q102" s="46" t="str">
        <f t="shared" si="41"/>
        <v>12:01:19</v>
      </c>
      <c r="R102" s="47" t="str">
        <f t="shared" si="42"/>
        <v>01:19</v>
      </c>
      <c r="S102" s="48">
        <f t="shared" si="31"/>
        <v>144</v>
      </c>
      <c r="T102" s="47" t="str">
        <f t="shared" si="43"/>
        <v>12</v>
      </c>
      <c r="U102" s="49">
        <v>3</v>
      </c>
      <c r="V102" s="50">
        <v>43</v>
      </c>
      <c r="W102" s="51" t="str">
        <f t="shared" si="44"/>
        <v>03:43</v>
      </c>
      <c r="X102" s="52" t="s">
        <v>59</v>
      </c>
      <c r="Y102" s="124" t="s">
        <v>89</v>
      </c>
      <c r="Z102" s="124" t="s">
        <v>92</v>
      </c>
      <c r="AA102" s="47" t="s">
        <v>82</v>
      </c>
      <c r="AB102" s="47" t="str">
        <f t="shared" si="45"/>
        <v>NA</v>
      </c>
      <c r="AC102" s="53">
        <f t="shared" si="46"/>
        <v>0</v>
      </c>
      <c r="AD102" s="54">
        <v>2</v>
      </c>
      <c r="AE102" s="54"/>
      <c r="AF102" s="54"/>
      <c r="AG102" s="55" t="str">
        <f t="shared" si="48"/>
        <v/>
      </c>
      <c r="AH102" s="56" t="str">
        <f t="shared" si="49"/>
        <v/>
      </c>
      <c r="AI102" s="55"/>
      <c r="AJ102" s="56" t="str">
        <f t="shared" si="50"/>
        <v/>
      </c>
      <c r="AK102" s="55"/>
      <c r="AL102" s="56" t="str">
        <f t="shared" si="51"/>
        <v/>
      </c>
      <c r="AM102" s="55">
        <v>1</v>
      </c>
      <c r="AN102" s="56">
        <f t="shared" si="52"/>
        <v>144</v>
      </c>
      <c r="AO102" s="55"/>
      <c r="AP102" s="56" t="str">
        <f t="shared" si="53"/>
        <v/>
      </c>
      <c r="AQ102" s="55"/>
      <c r="AR102" s="56" t="str">
        <f t="shared" si="54"/>
        <v/>
      </c>
      <c r="AS102" s="57"/>
      <c r="AT102" s="58"/>
      <c r="AU102" s="58"/>
      <c r="AV102" s="59"/>
      <c r="AW102" s="60">
        <v>1</v>
      </c>
      <c r="AX102" s="61">
        <f t="shared" si="33"/>
        <v>2</v>
      </c>
      <c r="AY102" s="60">
        <v>1</v>
      </c>
      <c r="AZ102" s="61">
        <f t="shared" si="35"/>
        <v>2</v>
      </c>
    </row>
    <row r="103" spans="1:52" s="3" customFormat="1" hidden="1" x14ac:dyDescent="0.35">
      <c r="A103" s="72">
        <f t="shared" si="36"/>
        <v>2019</v>
      </c>
      <c r="B103" s="72" t="str">
        <f t="shared" si="37"/>
        <v>Nov</v>
      </c>
      <c r="C103" s="73">
        <f t="shared" si="55"/>
        <v>23</v>
      </c>
      <c r="D103" s="74">
        <f t="shared" si="38"/>
        <v>12</v>
      </c>
      <c r="E103" s="75">
        <f t="shared" si="39"/>
        <v>2</v>
      </c>
      <c r="F103" s="79"/>
      <c r="G103" s="82"/>
      <c r="H103" s="68" t="str">
        <f t="shared" si="56"/>
        <v>Lacine13_20191123_12_00</v>
      </c>
      <c r="I103" s="69">
        <f t="shared" si="59"/>
        <v>1</v>
      </c>
      <c r="J103" s="76" t="str">
        <f t="shared" si="59"/>
        <v>Lactuca</v>
      </c>
      <c r="K103" s="76" t="str">
        <f t="shared" si="59"/>
        <v>inermis</v>
      </c>
      <c r="L103" s="77">
        <f t="shared" si="59"/>
        <v>13</v>
      </c>
      <c r="M103" s="77">
        <f t="shared" si="59"/>
        <v>2</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x14ac:dyDescent="0.35">
      <c r="A104" s="72">
        <f t="shared" si="36"/>
        <v>2019</v>
      </c>
      <c r="B104" s="72" t="str">
        <f t="shared" si="37"/>
        <v>Nov</v>
      </c>
      <c r="C104" s="73">
        <f t="shared" si="55"/>
        <v>23</v>
      </c>
      <c r="D104" s="74">
        <f t="shared" si="38"/>
        <v>12</v>
      </c>
      <c r="E104" s="75">
        <f t="shared" si="39"/>
        <v>3</v>
      </c>
      <c r="F104" s="79">
        <v>54</v>
      </c>
      <c r="G104" s="82"/>
      <c r="H104" s="68" t="str">
        <f t="shared" si="56"/>
        <v>Lacine13_20191123_12_00</v>
      </c>
      <c r="I104" s="69">
        <f t="shared" si="59"/>
        <v>1</v>
      </c>
      <c r="J104" s="76" t="str">
        <f t="shared" si="59"/>
        <v>Lactuca</v>
      </c>
      <c r="K104" s="76" t="str">
        <f t="shared" si="59"/>
        <v>inermis</v>
      </c>
      <c r="L104" s="77">
        <f t="shared" si="59"/>
        <v>13</v>
      </c>
      <c r="M104" s="77">
        <f t="shared" si="59"/>
        <v>2</v>
      </c>
      <c r="N104" s="71">
        <f t="shared" si="59"/>
        <v>0</v>
      </c>
      <c r="O104" s="44"/>
      <c r="P104" s="45">
        <f t="shared" si="40"/>
        <v>1</v>
      </c>
      <c r="Q104" s="46" t="str">
        <f t="shared" si="41"/>
        <v>12:03:54</v>
      </c>
      <c r="R104" s="47" t="str">
        <f t="shared" si="42"/>
        <v>03:54</v>
      </c>
      <c r="S104" s="48">
        <f t="shared" si="31"/>
        <v>41</v>
      </c>
      <c r="T104" s="47" t="str">
        <f t="shared" si="43"/>
        <v>12</v>
      </c>
      <c r="U104" s="49">
        <v>4</v>
      </c>
      <c r="V104" s="50">
        <v>35</v>
      </c>
      <c r="W104" s="51" t="str">
        <f t="shared" si="44"/>
        <v>04:35</v>
      </c>
      <c r="X104" s="52" t="s">
        <v>59</v>
      </c>
      <c r="Y104" s="124" t="s">
        <v>89</v>
      </c>
      <c r="Z104" s="124" t="s">
        <v>92</v>
      </c>
      <c r="AA104" s="47" t="s">
        <v>82</v>
      </c>
      <c r="AB104" s="47" t="str">
        <f t="shared" si="45"/>
        <v>NA</v>
      </c>
      <c r="AC104" s="53">
        <f t="shared" si="46"/>
        <v>0</v>
      </c>
      <c r="AD104" s="54">
        <v>2</v>
      </c>
      <c r="AE104" s="54"/>
      <c r="AF104" s="54"/>
      <c r="AG104" s="55" t="str">
        <f t="shared" si="48"/>
        <v/>
      </c>
      <c r="AH104" s="56" t="str">
        <f t="shared" si="49"/>
        <v/>
      </c>
      <c r="AI104" s="55"/>
      <c r="AJ104" s="56" t="str">
        <f t="shared" si="50"/>
        <v/>
      </c>
      <c r="AK104" s="55"/>
      <c r="AL104" s="56" t="str">
        <f t="shared" si="51"/>
        <v/>
      </c>
      <c r="AM104" s="55">
        <v>1</v>
      </c>
      <c r="AN104" s="56">
        <f t="shared" si="52"/>
        <v>41</v>
      </c>
      <c r="AO104" s="55"/>
      <c r="AP104" s="56" t="str">
        <f t="shared" si="53"/>
        <v/>
      </c>
      <c r="AQ104" s="55"/>
      <c r="AR104" s="56" t="str">
        <f t="shared" si="54"/>
        <v/>
      </c>
      <c r="AS104" s="57"/>
      <c r="AT104" s="58"/>
      <c r="AU104" s="58"/>
      <c r="AV104" s="59"/>
      <c r="AW104" s="60">
        <v>1</v>
      </c>
      <c r="AX104" s="61">
        <f t="shared" si="33"/>
        <v>2</v>
      </c>
      <c r="AY104" s="60">
        <v>1</v>
      </c>
      <c r="AZ104" s="61">
        <f t="shared" si="35"/>
        <v>2</v>
      </c>
    </row>
    <row r="105" spans="1:52" s="3" customFormat="1" hidden="1" x14ac:dyDescent="0.35">
      <c r="A105" s="72">
        <f t="shared" si="36"/>
        <v>2019</v>
      </c>
      <c r="B105" s="72" t="str">
        <f t="shared" si="37"/>
        <v>Nov</v>
      </c>
      <c r="C105" s="73">
        <f t="shared" si="55"/>
        <v>23</v>
      </c>
      <c r="D105" s="74">
        <f t="shared" si="38"/>
        <v>12</v>
      </c>
      <c r="E105" s="75">
        <f t="shared" si="39"/>
        <v>4</v>
      </c>
      <c r="F105" s="79"/>
      <c r="G105" s="82"/>
      <c r="H105" s="68" t="str">
        <f t="shared" si="56"/>
        <v>Lacine13_20191123_12_00</v>
      </c>
      <c r="I105" s="69">
        <f t="shared" si="59"/>
        <v>1</v>
      </c>
      <c r="J105" s="76" t="str">
        <f t="shared" si="59"/>
        <v>Lactuca</v>
      </c>
      <c r="K105" s="76" t="str">
        <f t="shared" si="59"/>
        <v>inermis</v>
      </c>
      <c r="L105" s="77">
        <f t="shared" si="59"/>
        <v>13</v>
      </c>
      <c r="M105" s="77">
        <f t="shared" si="59"/>
        <v>2</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23</v>
      </c>
      <c r="D106" s="74">
        <f t="shared" si="38"/>
        <v>12</v>
      </c>
      <c r="E106" s="75">
        <f t="shared" si="39"/>
        <v>5</v>
      </c>
      <c r="F106" s="79"/>
      <c r="G106" s="82"/>
      <c r="H106" s="68" t="str">
        <f t="shared" si="56"/>
        <v>Lacine13_20191123_12_00</v>
      </c>
      <c r="I106" s="69">
        <f t="shared" si="59"/>
        <v>1</v>
      </c>
      <c r="J106" s="76" t="str">
        <f t="shared" si="59"/>
        <v>Lactuca</v>
      </c>
      <c r="K106" s="76" t="str">
        <f t="shared" si="59"/>
        <v>inermis</v>
      </c>
      <c r="L106" s="77">
        <f t="shared" si="59"/>
        <v>13</v>
      </c>
      <c r="M106" s="77">
        <f t="shared" si="59"/>
        <v>2</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23</v>
      </c>
      <c r="D107" s="74">
        <f t="shared" si="38"/>
        <v>12</v>
      </c>
      <c r="E107" s="75">
        <f t="shared" si="39"/>
        <v>6</v>
      </c>
      <c r="F107" s="79"/>
      <c r="G107" s="82"/>
      <c r="H107" s="68" t="str">
        <f t="shared" si="56"/>
        <v>Lacine13_20191123_12_00</v>
      </c>
      <c r="I107" s="69">
        <f t="shared" si="59"/>
        <v>1</v>
      </c>
      <c r="J107" s="76" t="str">
        <f t="shared" si="59"/>
        <v>Lactuca</v>
      </c>
      <c r="K107" s="76" t="str">
        <f t="shared" si="59"/>
        <v>inermis</v>
      </c>
      <c r="L107" s="77">
        <f t="shared" si="59"/>
        <v>13</v>
      </c>
      <c r="M107" s="77">
        <f t="shared" si="59"/>
        <v>2</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23</v>
      </c>
      <c r="D108" s="74">
        <f t="shared" si="38"/>
        <v>12</v>
      </c>
      <c r="E108" s="75">
        <f t="shared" si="39"/>
        <v>7</v>
      </c>
      <c r="F108" s="79"/>
      <c r="G108" s="82"/>
      <c r="H108" s="68" t="str">
        <f t="shared" si="56"/>
        <v>Lacine13_20191123_12_00</v>
      </c>
      <c r="I108" s="69">
        <f t="shared" si="59"/>
        <v>1</v>
      </c>
      <c r="J108" s="76" t="str">
        <f t="shared" si="59"/>
        <v>Lactuca</v>
      </c>
      <c r="K108" s="76" t="str">
        <f t="shared" si="59"/>
        <v>inermis</v>
      </c>
      <c r="L108" s="77">
        <f t="shared" si="59"/>
        <v>13</v>
      </c>
      <c r="M108" s="77">
        <f t="shared" si="59"/>
        <v>2</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23</v>
      </c>
      <c r="D109" s="74">
        <f t="shared" si="38"/>
        <v>12</v>
      </c>
      <c r="E109" s="75">
        <f t="shared" si="39"/>
        <v>8</v>
      </c>
      <c r="F109" s="79"/>
      <c r="G109" s="82"/>
      <c r="H109" s="68" t="str">
        <f t="shared" si="56"/>
        <v>Lacine13_20191123_12_00</v>
      </c>
      <c r="I109" s="69">
        <f t="shared" si="59"/>
        <v>1</v>
      </c>
      <c r="J109" s="76" t="str">
        <f t="shared" si="59"/>
        <v>Lactuca</v>
      </c>
      <c r="K109" s="76" t="str">
        <f t="shared" si="59"/>
        <v>inermis</v>
      </c>
      <c r="L109" s="77">
        <f t="shared" si="59"/>
        <v>13</v>
      </c>
      <c r="M109" s="77">
        <f t="shared" si="59"/>
        <v>2</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23</v>
      </c>
      <c r="D110" s="74">
        <f t="shared" si="38"/>
        <v>12</v>
      </c>
      <c r="E110" s="75">
        <f t="shared" si="39"/>
        <v>9</v>
      </c>
      <c r="F110" s="79"/>
      <c r="G110" s="82"/>
      <c r="H110" s="68" t="str">
        <f t="shared" si="56"/>
        <v>Lacine13_20191123_12_00</v>
      </c>
      <c r="I110" s="69">
        <f t="shared" si="59"/>
        <v>1</v>
      </c>
      <c r="J110" s="76" t="str">
        <f t="shared" si="59"/>
        <v>Lactuca</v>
      </c>
      <c r="K110" s="76" t="str">
        <f t="shared" si="59"/>
        <v>inermis</v>
      </c>
      <c r="L110" s="77">
        <f t="shared" si="59"/>
        <v>13</v>
      </c>
      <c r="M110" s="77">
        <f t="shared" si="59"/>
        <v>2</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23</v>
      </c>
      <c r="D111" s="74">
        <f t="shared" si="38"/>
        <v>12</v>
      </c>
      <c r="E111" s="75">
        <f t="shared" si="39"/>
        <v>10</v>
      </c>
      <c r="F111" s="79"/>
      <c r="G111" s="82"/>
      <c r="H111" s="68" t="str">
        <f t="shared" si="56"/>
        <v>Lacine13_20191123_12_00</v>
      </c>
      <c r="I111" s="69">
        <f t="shared" si="59"/>
        <v>1</v>
      </c>
      <c r="J111" s="76" t="str">
        <f t="shared" si="59"/>
        <v>Lactuca</v>
      </c>
      <c r="K111" s="76" t="str">
        <f t="shared" si="59"/>
        <v>inermis</v>
      </c>
      <c r="L111" s="77">
        <f t="shared" si="59"/>
        <v>13</v>
      </c>
      <c r="M111" s="77">
        <f t="shared" si="59"/>
        <v>2</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2019</v>
      </c>
      <c r="B112" s="72" t="str">
        <f t="shared" si="37"/>
        <v>Nov</v>
      </c>
      <c r="C112" s="73">
        <f t="shared" si="55"/>
        <v>23</v>
      </c>
      <c r="D112" s="74">
        <f t="shared" si="38"/>
        <v>12</v>
      </c>
      <c r="E112" s="75">
        <f t="shared" si="39"/>
        <v>11</v>
      </c>
      <c r="F112" s="79"/>
      <c r="G112" s="82"/>
      <c r="H112" s="68" t="str">
        <f t="shared" si="56"/>
        <v>Lacine13_20191123_12_00</v>
      </c>
      <c r="I112" s="69">
        <f t="shared" si="59"/>
        <v>1</v>
      </c>
      <c r="J112" s="76" t="str">
        <f t="shared" si="59"/>
        <v>Lactuca</v>
      </c>
      <c r="K112" s="76" t="str">
        <f t="shared" si="59"/>
        <v>inermis</v>
      </c>
      <c r="L112" s="77">
        <f t="shared" si="59"/>
        <v>13</v>
      </c>
      <c r="M112" s="77">
        <f t="shared" si="59"/>
        <v>2</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x14ac:dyDescent="0.35">
      <c r="A113" s="72">
        <f t="shared" si="36"/>
        <v>2019</v>
      </c>
      <c r="B113" s="72" t="str">
        <f t="shared" si="37"/>
        <v>Nov</v>
      </c>
      <c r="C113" s="73">
        <f t="shared" si="55"/>
        <v>23</v>
      </c>
      <c r="D113" s="74">
        <f t="shared" si="38"/>
        <v>12</v>
      </c>
      <c r="E113" s="75">
        <f t="shared" si="39"/>
        <v>12</v>
      </c>
      <c r="F113" s="79">
        <v>9</v>
      </c>
      <c r="G113" s="82"/>
      <c r="H113" s="68" t="str">
        <f t="shared" si="56"/>
        <v>Lacine13_20191123_12_00</v>
      </c>
      <c r="I113" s="69">
        <f t="shared" si="59"/>
        <v>1</v>
      </c>
      <c r="J113" s="76" t="str">
        <f t="shared" si="59"/>
        <v>Lactuca</v>
      </c>
      <c r="K113" s="76" t="str">
        <f t="shared" si="59"/>
        <v>inermis</v>
      </c>
      <c r="L113" s="77">
        <f t="shared" si="59"/>
        <v>13</v>
      </c>
      <c r="M113" s="77">
        <f t="shared" si="59"/>
        <v>2</v>
      </c>
      <c r="N113" s="71">
        <f t="shared" si="59"/>
        <v>0</v>
      </c>
      <c r="O113" s="44"/>
      <c r="P113" s="45">
        <f t="shared" si="40"/>
        <v>1</v>
      </c>
      <c r="Q113" s="46" t="str">
        <f t="shared" si="41"/>
        <v>12:12:09</v>
      </c>
      <c r="R113" s="47" t="str">
        <f t="shared" si="42"/>
        <v>12:09</v>
      </c>
      <c r="S113" s="48">
        <f t="shared" si="31"/>
        <v>631</v>
      </c>
      <c r="T113" s="47" t="str">
        <f t="shared" si="43"/>
        <v>12</v>
      </c>
      <c r="U113" s="49">
        <v>22</v>
      </c>
      <c r="V113" s="50">
        <v>40</v>
      </c>
      <c r="W113" s="51" t="str">
        <f t="shared" si="44"/>
        <v>22:40</v>
      </c>
      <c r="X113" s="52" t="s">
        <v>59</v>
      </c>
      <c r="Y113" s="124" t="s">
        <v>94</v>
      </c>
      <c r="Z113" s="124" t="s">
        <v>92</v>
      </c>
      <c r="AA113" s="47" t="s">
        <v>82</v>
      </c>
      <c r="AB113" s="47" t="str">
        <f t="shared" si="45"/>
        <v>NA</v>
      </c>
      <c r="AC113" s="53">
        <f t="shared" si="46"/>
        <v>0</v>
      </c>
      <c r="AD113" s="54">
        <f t="shared" si="47"/>
        <v>1</v>
      </c>
      <c r="AE113" s="54"/>
      <c r="AF113" s="54"/>
      <c r="AG113" s="55" t="str">
        <f t="shared" si="48"/>
        <v/>
      </c>
      <c r="AH113" s="56" t="str">
        <f t="shared" si="49"/>
        <v/>
      </c>
      <c r="AI113" s="55"/>
      <c r="AJ113" s="56" t="str">
        <f t="shared" si="50"/>
        <v/>
      </c>
      <c r="AK113" s="55"/>
      <c r="AL113" s="56" t="str">
        <f t="shared" si="51"/>
        <v/>
      </c>
      <c r="AM113" s="55">
        <v>1</v>
      </c>
      <c r="AN113" s="56">
        <f t="shared" si="52"/>
        <v>631</v>
      </c>
      <c r="AO113" s="55"/>
      <c r="AP113" s="56" t="str">
        <f t="shared" si="53"/>
        <v/>
      </c>
      <c r="AQ113" s="55"/>
      <c r="AR113" s="56" t="str">
        <f t="shared" si="54"/>
        <v/>
      </c>
      <c r="AS113" s="57" t="s">
        <v>65</v>
      </c>
      <c r="AT113" s="58"/>
      <c r="AU113" s="58"/>
      <c r="AV113" s="59"/>
      <c r="AW113" s="60">
        <v>1</v>
      </c>
      <c r="AX113" s="61">
        <f t="shared" si="33"/>
        <v>1</v>
      </c>
      <c r="AY113" s="60">
        <v>1</v>
      </c>
      <c r="AZ113" s="61">
        <f t="shared" si="35"/>
        <v>1</v>
      </c>
    </row>
    <row r="114" spans="1:52" s="3" customFormat="1" hidden="1" x14ac:dyDescent="0.35">
      <c r="A114" s="72">
        <f t="shared" si="36"/>
        <v>2019</v>
      </c>
      <c r="B114" s="72" t="str">
        <f t="shared" si="37"/>
        <v>Nov</v>
      </c>
      <c r="C114" s="73">
        <f t="shared" si="55"/>
        <v>23</v>
      </c>
      <c r="D114" s="74">
        <f t="shared" si="38"/>
        <v>12</v>
      </c>
      <c r="E114" s="75">
        <f t="shared" si="39"/>
        <v>13</v>
      </c>
      <c r="F114" s="79"/>
      <c r="G114" s="82"/>
      <c r="H114" s="68" t="str">
        <f t="shared" si="56"/>
        <v>Lacine13_20191123_12_00</v>
      </c>
      <c r="I114" s="69">
        <f t="shared" si="59"/>
        <v>1</v>
      </c>
      <c r="J114" s="76" t="str">
        <f t="shared" si="59"/>
        <v>Lactuca</v>
      </c>
      <c r="K114" s="76" t="str">
        <f t="shared" si="59"/>
        <v>inermis</v>
      </c>
      <c r="L114" s="77">
        <f t="shared" si="59"/>
        <v>13</v>
      </c>
      <c r="M114" s="77">
        <f t="shared" si="59"/>
        <v>2</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x14ac:dyDescent="0.35">
      <c r="A115" s="72">
        <f t="shared" si="36"/>
        <v>2019</v>
      </c>
      <c r="B115" s="72" t="str">
        <f t="shared" si="37"/>
        <v>Nov</v>
      </c>
      <c r="C115" s="73">
        <f t="shared" si="55"/>
        <v>23</v>
      </c>
      <c r="D115" s="74">
        <f t="shared" si="38"/>
        <v>12</v>
      </c>
      <c r="E115" s="75">
        <f t="shared" si="39"/>
        <v>14</v>
      </c>
      <c r="F115" s="79">
        <v>47</v>
      </c>
      <c r="G115" s="82"/>
      <c r="H115" s="68" t="str">
        <f t="shared" si="56"/>
        <v>Lacine13_20191123_12_00</v>
      </c>
      <c r="I115" s="69">
        <f t="shared" si="59"/>
        <v>1</v>
      </c>
      <c r="J115" s="76" t="str">
        <f t="shared" si="59"/>
        <v>Lactuca</v>
      </c>
      <c r="K115" s="76" t="str">
        <f t="shared" si="59"/>
        <v>inermis</v>
      </c>
      <c r="L115" s="77">
        <f t="shared" si="59"/>
        <v>13</v>
      </c>
      <c r="M115" s="77">
        <f t="shared" si="59"/>
        <v>2</v>
      </c>
      <c r="N115" s="71">
        <f t="shared" si="59"/>
        <v>0</v>
      </c>
      <c r="O115" s="44"/>
      <c r="P115" s="45">
        <f t="shared" si="40"/>
        <v>1</v>
      </c>
      <c r="Q115" s="46" t="str">
        <f t="shared" si="41"/>
        <v>12:14:47</v>
      </c>
      <c r="R115" s="47" t="str">
        <f t="shared" si="42"/>
        <v>14:47</v>
      </c>
      <c r="S115" s="48">
        <f t="shared" si="31"/>
        <v>35</v>
      </c>
      <c r="T115" s="47" t="str">
        <f t="shared" si="43"/>
        <v>12</v>
      </c>
      <c r="U115" s="49">
        <v>15</v>
      </c>
      <c r="V115" s="50">
        <v>22</v>
      </c>
      <c r="W115" s="51" t="str">
        <f t="shared" si="44"/>
        <v>15:22</v>
      </c>
      <c r="X115" s="52" t="s">
        <v>59</v>
      </c>
      <c r="Y115" s="124" t="s">
        <v>94</v>
      </c>
      <c r="Z115" s="124" t="s">
        <v>92</v>
      </c>
      <c r="AA115" s="47" t="s">
        <v>82</v>
      </c>
      <c r="AB115" s="47" t="str">
        <f t="shared" si="45"/>
        <v>NA</v>
      </c>
      <c r="AC115" s="53">
        <f t="shared" si="46"/>
        <v>0</v>
      </c>
      <c r="AD115" s="54">
        <f t="shared" si="47"/>
        <v>1</v>
      </c>
      <c r="AE115" s="54"/>
      <c r="AF115" s="54"/>
      <c r="AG115" s="55" t="str">
        <f t="shared" si="48"/>
        <v/>
      </c>
      <c r="AH115" s="56" t="str">
        <f t="shared" si="49"/>
        <v/>
      </c>
      <c r="AI115" s="55"/>
      <c r="AJ115" s="56" t="str">
        <f t="shared" si="50"/>
        <v/>
      </c>
      <c r="AK115" s="55"/>
      <c r="AL115" s="56" t="str">
        <f t="shared" si="51"/>
        <v/>
      </c>
      <c r="AM115" s="55">
        <v>1</v>
      </c>
      <c r="AN115" s="56">
        <f t="shared" si="52"/>
        <v>35</v>
      </c>
      <c r="AO115" s="55"/>
      <c r="AP115" s="56" t="str">
        <f t="shared" si="53"/>
        <v/>
      </c>
      <c r="AQ115" s="55"/>
      <c r="AR115" s="56" t="str">
        <f t="shared" si="54"/>
        <v/>
      </c>
      <c r="AS115" s="57"/>
      <c r="AT115" s="58"/>
      <c r="AU115" s="58"/>
      <c r="AV115" s="59"/>
      <c r="AW115" s="60">
        <v>1</v>
      </c>
      <c r="AX115" s="61">
        <f t="shared" si="33"/>
        <v>1</v>
      </c>
      <c r="AY115" s="60">
        <v>1</v>
      </c>
      <c r="AZ115" s="61">
        <f t="shared" si="35"/>
        <v>1</v>
      </c>
    </row>
    <row r="116" spans="1:52" s="3" customFormat="1" hidden="1" x14ac:dyDescent="0.35">
      <c r="A116" s="72">
        <f t="shared" si="36"/>
        <v>2019</v>
      </c>
      <c r="B116" s="72" t="str">
        <f t="shared" si="37"/>
        <v>Nov</v>
      </c>
      <c r="C116" s="73">
        <f t="shared" si="55"/>
        <v>23</v>
      </c>
      <c r="D116" s="74">
        <f t="shared" si="38"/>
        <v>12</v>
      </c>
      <c r="E116" s="75">
        <f t="shared" si="39"/>
        <v>15</v>
      </c>
      <c r="F116" s="79"/>
      <c r="G116" s="82"/>
      <c r="H116" s="68" t="str">
        <f t="shared" si="56"/>
        <v>Lacine13_20191123_12_00</v>
      </c>
      <c r="I116" s="69">
        <f t="shared" si="59"/>
        <v>1</v>
      </c>
      <c r="J116" s="76" t="str">
        <f t="shared" si="59"/>
        <v>Lactuca</v>
      </c>
      <c r="K116" s="76" t="str">
        <f t="shared" si="59"/>
        <v>inermis</v>
      </c>
      <c r="L116" s="77">
        <f t="shared" si="59"/>
        <v>13</v>
      </c>
      <c r="M116" s="77">
        <f t="shared" si="59"/>
        <v>2</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23</v>
      </c>
      <c r="D117" s="74">
        <f t="shared" si="38"/>
        <v>12</v>
      </c>
      <c r="E117" s="75">
        <f t="shared" si="39"/>
        <v>16</v>
      </c>
      <c r="F117" s="79"/>
      <c r="G117" s="82"/>
      <c r="H117" s="68" t="str">
        <f t="shared" si="56"/>
        <v>Lacine13_20191123_12_00</v>
      </c>
      <c r="I117" s="69">
        <f t="shared" ref="I117:N132" si="60">I116</f>
        <v>1</v>
      </c>
      <c r="J117" s="76" t="str">
        <f t="shared" si="60"/>
        <v>Lactuca</v>
      </c>
      <c r="K117" s="76" t="str">
        <f t="shared" si="60"/>
        <v>inermis</v>
      </c>
      <c r="L117" s="77">
        <f t="shared" si="60"/>
        <v>13</v>
      </c>
      <c r="M117" s="77">
        <f t="shared" si="60"/>
        <v>2</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23</v>
      </c>
      <c r="D118" s="74">
        <f t="shared" si="38"/>
        <v>12</v>
      </c>
      <c r="E118" s="75">
        <f t="shared" si="39"/>
        <v>17</v>
      </c>
      <c r="F118" s="79"/>
      <c r="G118" s="82"/>
      <c r="H118" s="68" t="str">
        <f t="shared" si="56"/>
        <v>Lacine13_20191123_12_00</v>
      </c>
      <c r="I118" s="69">
        <f t="shared" si="60"/>
        <v>1</v>
      </c>
      <c r="J118" s="76" t="str">
        <f t="shared" si="60"/>
        <v>Lactuca</v>
      </c>
      <c r="K118" s="76" t="str">
        <f t="shared" si="60"/>
        <v>inermis</v>
      </c>
      <c r="L118" s="77">
        <f t="shared" si="60"/>
        <v>13</v>
      </c>
      <c r="M118" s="77">
        <f t="shared" si="60"/>
        <v>2</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23</v>
      </c>
      <c r="D119" s="74">
        <f t="shared" si="38"/>
        <v>12</v>
      </c>
      <c r="E119" s="75">
        <f t="shared" si="39"/>
        <v>18</v>
      </c>
      <c r="F119" s="79"/>
      <c r="G119" s="82"/>
      <c r="H119" s="68" t="str">
        <f t="shared" si="56"/>
        <v>Lacine13_20191123_12_00</v>
      </c>
      <c r="I119" s="69">
        <f t="shared" si="60"/>
        <v>1</v>
      </c>
      <c r="J119" s="76" t="str">
        <f t="shared" si="60"/>
        <v>Lactuca</v>
      </c>
      <c r="K119" s="76" t="str">
        <f t="shared" si="60"/>
        <v>inermis</v>
      </c>
      <c r="L119" s="77">
        <f t="shared" si="60"/>
        <v>13</v>
      </c>
      <c r="M119" s="77">
        <f t="shared" si="60"/>
        <v>2</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2019</v>
      </c>
      <c r="B120" s="72" t="str">
        <f t="shared" si="37"/>
        <v>Nov</v>
      </c>
      <c r="C120" s="73">
        <f t="shared" si="55"/>
        <v>23</v>
      </c>
      <c r="D120" s="74">
        <f t="shared" si="38"/>
        <v>12</v>
      </c>
      <c r="E120" s="75">
        <f t="shared" si="39"/>
        <v>19</v>
      </c>
      <c r="F120" s="79"/>
      <c r="G120" s="82"/>
      <c r="H120" s="68" t="str">
        <f t="shared" si="56"/>
        <v>Lacine13_20191123_12_00</v>
      </c>
      <c r="I120" s="69">
        <f t="shared" si="60"/>
        <v>1</v>
      </c>
      <c r="J120" s="76" t="str">
        <f t="shared" si="60"/>
        <v>Lactuca</v>
      </c>
      <c r="K120" s="76" t="str">
        <f t="shared" si="60"/>
        <v>inermis</v>
      </c>
      <c r="L120" s="77">
        <f t="shared" si="60"/>
        <v>13</v>
      </c>
      <c r="M120" s="77">
        <f t="shared" si="60"/>
        <v>2</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2019</v>
      </c>
      <c r="B121" s="72" t="str">
        <f t="shared" si="37"/>
        <v>Nov</v>
      </c>
      <c r="C121" s="73">
        <f t="shared" si="55"/>
        <v>23</v>
      </c>
      <c r="D121" s="74">
        <f t="shared" si="38"/>
        <v>12</v>
      </c>
      <c r="E121" s="75">
        <f t="shared" si="39"/>
        <v>20</v>
      </c>
      <c r="F121" s="79"/>
      <c r="G121" s="82"/>
      <c r="H121" s="68" t="str">
        <f t="shared" si="56"/>
        <v>Lacine13_20191123_12_00</v>
      </c>
      <c r="I121" s="69">
        <f t="shared" si="60"/>
        <v>1</v>
      </c>
      <c r="J121" s="76" t="str">
        <f t="shared" si="60"/>
        <v>Lactuca</v>
      </c>
      <c r="K121" s="76" t="str">
        <f t="shared" si="60"/>
        <v>inermis</v>
      </c>
      <c r="L121" s="77">
        <f t="shared" si="60"/>
        <v>13</v>
      </c>
      <c r="M121" s="77">
        <f t="shared" si="60"/>
        <v>2</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23</v>
      </c>
      <c r="D122" s="74">
        <f t="shared" si="38"/>
        <v>12</v>
      </c>
      <c r="E122" s="75">
        <f t="shared" si="39"/>
        <v>21</v>
      </c>
      <c r="F122" s="79"/>
      <c r="G122" s="82"/>
      <c r="H122" s="68" t="str">
        <f t="shared" si="56"/>
        <v>Lacine13_20191123_12_00</v>
      </c>
      <c r="I122" s="69">
        <f t="shared" si="60"/>
        <v>1</v>
      </c>
      <c r="J122" s="76" t="str">
        <f t="shared" si="60"/>
        <v>Lactuca</v>
      </c>
      <c r="K122" s="76" t="str">
        <f t="shared" si="60"/>
        <v>inermis</v>
      </c>
      <c r="L122" s="77">
        <f t="shared" si="60"/>
        <v>13</v>
      </c>
      <c r="M122" s="77">
        <f t="shared" si="60"/>
        <v>2</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23</v>
      </c>
      <c r="D123" s="74">
        <f t="shared" si="38"/>
        <v>12</v>
      </c>
      <c r="E123" s="75">
        <f t="shared" si="39"/>
        <v>22</v>
      </c>
      <c r="F123" s="79"/>
      <c r="G123" s="82"/>
      <c r="H123" s="68" t="str">
        <f t="shared" si="56"/>
        <v>Lacine13_20191123_12_00</v>
      </c>
      <c r="I123" s="69">
        <f t="shared" si="60"/>
        <v>1</v>
      </c>
      <c r="J123" s="76" t="str">
        <f t="shared" si="60"/>
        <v>Lactuca</v>
      </c>
      <c r="K123" s="76" t="str">
        <f t="shared" si="60"/>
        <v>inermis</v>
      </c>
      <c r="L123" s="77">
        <f t="shared" si="60"/>
        <v>13</v>
      </c>
      <c r="M123" s="77">
        <f t="shared" si="60"/>
        <v>2</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23</v>
      </c>
      <c r="D124" s="74">
        <f t="shared" si="38"/>
        <v>12</v>
      </c>
      <c r="E124" s="75">
        <f t="shared" si="39"/>
        <v>23</v>
      </c>
      <c r="F124" s="79"/>
      <c r="G124" s="82"/>
      <c r="H124" s="68" t="str">
        <f t="shared" si="56"/>
        <v>Lacine13_20191123_12_00</v>
      </c>
      <c r="I124" s="69">
        <f t="shared" si="60"/>
        <v>1</v>
      </c>
      <c r="J124" s="76" t="str">
        <f t="shared" si="60"/>
        <v>Lactuca</v>
      </c>
      <c r="K124" s="76" t="str">
        <f t="shared" si="60"/>
        <v>inermis</v>
      </c>
      <c r="L124" s="77">
        <f t="shared" si="60"/>
        <v>13</v>
      </c>
      <c r="M124" s="77">
        <f t="shared" si="60"/>
        <v>2</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23</v>
      </c>
      <c r="D125" s="74">
        <f t="shared" si="38"/>
        <v>12</v>
      </c>
      <c r="E125" s="75">
        <f t="shared" si="39"/>
        <v>24</v>
      </c>
      <c r="F125" s="79"/>
      <c r="G125" s="82"/>
      <c r="H125" s="68" t="str">
        <f t="shared" si="56"/>
        <v>Lacine13_20191123_12_00</v>
      </c>
      <c r="I125" s="69">
        <f t="shared" si="60"/>
        <v>1</v>
      </c>
      <c r="J125" s="76" t="str">
        <f t="shared" si="60"/>
        <v>Lactuca</v>
      </c>
      <c r="K125" s="76" t="str">
        <f t="shared" si="60"/>
        <v>inermis</v>
      </c>
      <c r="L125" s="77">
        <f t="shared" si="60"/>
        <v>13</v>
      </c>
      <c r="M125" s="77">
        <f t="shared" si="60"/>
        <v>2</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2019</v>
      </c>
      <c r="B126" s="72" t="str">
        <f t="shared" si="37"/>
        <v>Nov</v>
      </c>
      <c r="C126" s="73">
        <f t="shared" si="55"/>
        <v>23</v>
      </c>
      <c r="D126" s="74">
        <f t="shared" si="38"/>
        <v>12</v>
      </c>
      <c r="E126" s="75">
        <f t="shared" si="39"/>
        <v>25</v>
      </c>
      <c r="F126" s="79"/>
      <c r="G126" s="82"/>
      <c r="H126" s="68" t="str">
        <f t="shared" si="56"/>
        <v>Lacine13_20191123_12_00</v>
      </c>
      <c r="I126" s="69">
        <f t="shared" si="60"/>
        <v>1</v>
      </c>
      <c r="J126" s="76" t="str">
        <f t="shared" si="60"/>
        <v>Lactuca</v>
      </c>
      <c r="K126" s="76" t="str">
        <f t="shared" si="60"/>
        <v>inermis</v>
      </c>
      <c r="L126" s="77">
        <f t="shared" si="60"/>
        <v>13</v>
      </c>
      <c r="M126" s="77">
        <f t="shared" si="60"/>
        <v>2</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2019</v>
      </c>
      <c r="B127" s="72" t="str">
        <f t="shared" si="37"/>
        <v>Nov</v>
      </c>
      <c r="C127" s="73">
        <f t="shared" si="55"/>
        <v>23</v>
      </c>
      <c r="D127" s="74">
        <f t="shared" si="38"/>
        <v>12</v>
      </c>
      <c r="E127" s="75">
        <f t="shared" si="39"/>
        <v>26</v>
      </c>
      <c r="F127" s="79"/>
      <c r="G127" s="82"/>
      <c r="H127" s="68" t="str">
        <f t="shared" si="56"/>
        <v>Lacine13_20191123_12_00</v>
      </c>
      <c r="I127" s="69">
        <f t="shared" si="60"/>
        <v>1</v>
      </c>
      <c r="J127" s="76" t="str">
        <f t="shared" si="60"/>
        <v>Lactuca</v>
      </c>
      <c r="K127" s="76" t="str">
        <f t="shared" si="60"/>
        <v>inermis</v>
      </c>
      <c r="L127" s="77">
        <f t="shared" si="60"/>
        <v>13</v>
      </c>
      <c r="M127" s="77">
        <f t="shared" si="60"/>
        <v>2</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23</v>
      </c>
      <c r="D128" s="74">
        <f t="shared" si="38"/>
        <v>12</v>
      </c>
      <c r="E128" s="75">
        <f t="shared" si="39"/>
        <v>27</v>
      </c>
      <c r="F128" s="79"/>
      <c r="G128" s="82"/>
      <c r="H128" s="68" t="str">
        <f t="shared" si="56"/>
        <v>Lacine13_20191123_12_00</v>
      </c>
      <c r="I128" s="69">
        <f t="shared" si="60"/>
        <v>1</v>
      </c>
      <c r="J128" s="76" t="str">
        <f t="shared" si="60"/>
        <v>Lactuca</v>
      </c>
      <c r="K128" s="76" t="str">
        <f t="shared" si="60"/>
        <v>inermis</v>
      </c>
      <c r="L128" s="77">
        <f t="shared" si="60"/>
        <v>13</v>
      </c>
      <c r="M128" s="77">
        <f t="shared" si="60"/>
        <v>2</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x14ac:dyDescent="0.35">
      <c r="A129" s="72">
        <f t="shared" si="36"/>
        <v>2019</v>
      </c>
      <c r="B129" s="72" t="str">
        <f t="shared" si="37"/>
        <v>Nov</v>
      </c>
      <c r="C129" s="73">
        <f t="shared" si="55"/>
        <v>23</v>
      </c>
      <c r="D129" s="74">
        <f t="shared" si="38"/>
        <v>12</v>
      </c>
      <c r="E129" s="75">
        <f t="shared" si="39"/>
        <v>28</v>
      </c>
      <c r="F129" s="79">
        <v>1</v>
      </c>
      <c r="G129" s="82"/>
      <c r="H129" s="68" t="str">
        <f t="shared" si="56"/>
        <v>Lacine13_20191123_12_00</v>
      </c>
      <c r="I129" s="69">
        <f t="shared" si="60"/>
        <v>1</v>
      </c>
      <c r="J129" s="76" t="str">
        <f t="shared" si="60"/>
        <v>Lactuca</v>
      </c>
      <c r="K129" s="76" t="str">
        <f t="shared" si="60"/>
        <v>inermis</v>
      </c>
      <c r="L129" s="77">
        <f t="shared" si="60"/>
        <v>13</v>
      </c>
      <c r="M129" s="77">
        <f t="shared" si="60"/>
        <v>2</v>
      </c>
      <c r="N129" s="71">
        <f t="shared" si="60"/>
        <v>0</v>
      </c>
      <c r="O129" s="44"/>
      <c r="P129" s="45">
        <f t="shared" si="40"/>
        <v>1</v>
      </c>
      <c r="Q129" s="46" t="str">
        <f t="shared" si="41"/>
        <v>12:28:01</v>
      </c>
      <c r="R129" s="47" t="str">
        <f t="shared" si="42"/>
        <v>28:01</v>
      </c>
      <c r="S129" s="48">
        <f t="shared" si="31"/>
        <v>460</v>
      </c>
      <c r="T129" s="47" t="str">
        <f t="shared" si="43"/>
        <v>12</v>
      </c>
      <c r="U129" s="49">
        <v>35</v>
      </c>
      <c r="V129" s="50">
        <v>41</v>
      </c>
      <c r="W129" s="51" t="str">
        <f t="shared" si="44"/>
        <v>35:41</v>
      </c>
      <c r="X129" s="52" t="s">
        <v>59</v>
      </c>
      <c r="Y129" s="124" t="s">
        <v>94</v>
      </c>
      <c r="Z129" s="124" t="s">
        <v>92</v>
      </c>
      <c r="AA129" s="47" t="s">
        <v>82</v>
      </c>
      <c r="AB129" s="47" t="str">
        <f t="shared" si="45"/>
        <v>NA</v>
      </c>
      <c r="AC129" s="53">
        <f t="shared" si="46"/>
        <v>0</v>
      </c>
      <c r="AD129" s="54">
        <f t="shared" si="47"/>
        <v>1</v>
      </c>
      <c r="AE129" s="54"/>
      <c r="AF129" s="54"/>
      <c r="AG129" s="55" t="str">
        <f t="shared" si="48"/>
        <v/>
      </c>
      <c r="AH129" s="56" t="str">
        <f t="shared" si="49"/>
        <v/>
      </c>
      <c r="AI129" s="55"/>
      <c r="AJ129" s="56" t="str">
        <f t="shared" si="50"/>
        <v/>
      </c>
      <c r="AK129" s="55"/>
      <c r="AL129" s="56" t="str">
        <f t="shared" si="51"/>
        <v/>
      </c>
      <c r="AM129" s="55">
        <v>1</v>
      </c>
      <c r="AN129" s="56">
        <f t="shared" si="52"/>
        <v>460</v>
      </c>
      <c r="AO129" s="55"/>
      <c r="AP129" s="56" t="str">
        <f t="shared" si="53"/>
        <v/>
      </c>
      <c r="AQ129" s="55"/>
      <c r="AR129" s="56" t="str">
        <f t="shared" si="54"/>
        <v/>
      </c>
      <c r="AS129" s="57"/>
      <c r="AT129" s="58"/>
      <c r="AU129" s="58"/>
      <c r="AV129" s="59"/>
      <c r="AW129" s="60">
        <v>1</v>
      </c>
      <c r="AX129" s="61">
        <f t="shared" si="33"/>
        <v>1</v>
      </c>
      <c r="AY129" s="60">
        <v>1</v>
      </c>
      <c r="AZ129" s="61">
        <f t="shared" si="35"/>
        <v>1</v>
      </c>
    </row>
    <row r="130" spans="1:52" s="3" customFormat="1" hidden="1" x14ac:dyDescent="0.35">
      <c r="A130" s="72">
        <f t="shared" si="36"/>
        <v>2019</v>
      </c>
      <c r="B130" s="72" t="str">
        <f t="shared" si="37"/>
        <v>Nov</v>
      </c>
      <c r="C130" s="73">
        <f t="shared" si="55"/>
        <v>23</v>
      </c>
      <c r="D130" s="74">
        <f t="shared" si="38"/>
        <v>12</v>
      </c>
      <c r="E130" s="75">
        <f t="shared" si="39"/>
        <v>29</v>
      </c>
      <c r="F130" s="79"/>
      <c r="G130" s="82"/>
      <c r="H130" s="68" t="str">
        <f t="shared" si="56"/>
        <v>Lacine13_20191123_12_00</v>
      </c>
      <c r="I130" s="69">
        <f t="shared" si="60"/>
        <v>1</v>
      </c>
      <c r="J130" s="76" t="str">
        <f t="shared" si="60"/>
        <v>Lactuca</v>
      </c>
      <c r="K130" s="76" t="str">
        <f t="shared" si="60"/>
        <v>inermis</v>
      </c>
      <c r="L130" s="77">
        <f t="shared" si="60"/>
        <v>13</v>
      </c>
      <c r="M130" s="77">
        <f t="shared" si="60"/>
        <v>2</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23</v>
      </c>
      <c r="D131" s="74">
        <f t="shared" si="38"/>
        <v>12</v>
      </c>
      <c r="E131" s="75">
        <f t="shared" si="39"/>
        <v>30</v>
      </c>
      <c r="F131" s="79"/>
      <c r="G131" s="82"/>
      <c r="H131" s="68" t="str">
        <f t="shared" si="56"/>
        <v>Lacine13_20191123_12_00</v>
      </c>
      <c r="I131" s="69">
        <f t="shared" si="60"/>
        <v>1</v>
      </c>
      <c r="J131" s="76" t="str">
        <f t="shared" si="60"/>
        <v>Lactuca</v>
      </c>
      <c r="K131" s="76" t="str">
        <f t="shared" si="60"/>
        <v>inermis</v>
      </c>
      <c r="L131" s="77">
        <f t="shared" si="60"/>
        <v>13</v>
      </c>
      <c r="M131" s="77">
        <f t="shared" si="60"/>
        <v>2</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2019</v>
      </c>
      <c r="B132" s="72" t="str">
        <f t="shared" ref="B132:B195" si="67">IF(C131-C132&gt;0, TEXT(DATE(2016,(MONTH(DATEVALUE(B131&amp;"1"))+1),1),"mmm"), B131)</f>
        <v>Nov</v>
      </c>
      <c r="C132" s="73">
        <f t="shared" si="55"/>
        <v>23</v>
      </c>
      <c r="D132" s="74">
        <f t="shared" ref="D132:D195" si="68">IF(IF(E131=59,D131+1,D131)=24,0,IF(E131=59,D131+1,D131))</f>
        <v>12</v>
      </c>
      <c r="E132" s="75">
        <f t="shared" ref="E132:E195" si="69">IF(E131&lt;59,E131+1,0)</f>
        <v>31</v>
      </c>
      <c r="F132" s="79"/>
      <c r="G132" s="82"/>
      <c r="H132" s="68" t="str">
        <f t="shared" si="56"/>
        <v>Lacine13_20191123_12_00</v>
      </c>
      <c r="I132" s="69">
        <f t="shared" si="60"/>
        <v>1</v>
      </c>
      <c r="J132" s="76" t="str">
        <f t="shared" si="60"/>
        <v>Lactuca</v>
      </c>
      <c r="K132" s="76" t="str">
        <f t="shared" si="60"/>
        <v>inermis</v>
      </c>
      <c r="L132" s="77">
        <f t="shared" si="60"/>
        <v>13</v>
      </c>
      <c r="M132" s="77">
        <f t="shared" si="60"/>
        <v>2</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2019</v>
      </c>
      <c r="B133" s="72" t="str">
        <f t="shared" si="67"/>
        <v>Nov</v>
      </c>
      <c r="C133" s="73">
        <f t="shared" ref="C133:C196" si="85">IF(AND(D133=0, E133=0), IF(TEXT(C132,"dd")=TEXT(EOMONTH(DATE(A132,MONTH(DATEVALUE(B132&amp;"1")),C132),0), "dd"), 1, C132+1), C132)</f>
        <v>23</v>
      </c>
      <c r="D133" s="74">
        <f t="shared" si="68"/>
        <v>12</v>
      </c>
      <c r="E133" s="75">
        <f t="shared" si="69"/>
        <v>32</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Lacine13_20191123_12_00</v>
      </c>
      <c r="I133" s="69">
        <f t="shared" ref="I133:N148" si="87">I132</f>
        <v>1</v>
      </c>
      <c r="J133" s="76" t="str">
        <f t="shared" si="87"/>
        <v>Lactuca</v>
      </c>
      <c r="K133" s="76" t="str">
        <f t="shared" si="87"/>
        <v>inermis</v>
      </c>
      <c r="L133" s="77">
        <f t="shared" si="87"/>
        <v>13</v>
      </c>
      <c r="M133" s="77">
        <f t="shared" si="87"/>
        <v>2</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2019</v>
      </c>
      <c r="B134" s="72" t="str">
        <f t="shared" si="67"/>
        <v>Nov</v>
      </c>
      <c r="C134" s="73">
        <f t="shared" si="85"/>
        <v>23</v>
      </c>
      <c r="D134" s="74">
        <f t="shared" si="68"/>
        <v>12</v>
      </c>
      <c r="E134" s="75">
        <f t="shared" si="69"/>
        <v>33</v>
      </c>
      <c r="F134" s="79"/>
      <c r="G134" s="82"/>
      <c r="H134" s="68" t="str">
        <f t="shared" si="86"/>
        <v>Lacine13_20191123_12_00</v>
      </c>
      <c r="I134" s="69">
        <f t="shared" si="87"/>
        <v>1</v>
      </c>
      <c r="J134" s="76" t="str">
        <f t="shared" si="87"/>
        <v>Lactuca</v>
      </c>
      <c r="K134" s="76" t="str">
        <f t="shared" si="87"/>
        <v>inermis</v>
      </c>
      <c r="L134" s="77">
        <f t="shared" si="87"/>
        <v>13</v>
      </c>
      <c r="M134" s="77">
        <f t="shared" si="87"/>
        <v>2</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2019</v>
      </c>
      <c r="B135" s="72" t="str">
        <f t="shared" si="67"/>
        <v>Nov</v>
      </c>
      <c r="C135" s="73">
        <f t="shared" si="85"/>
        <v>23</v>
      </c>
      <c r="D135" s="74">
        <f t="shared" si="68"/>
        <v>12</v>
      </c>
      <c r="E135" s="75">
        <f t="shared" si="69"/>
        <v>34</v>
      </c>
      <c r="F135" s="79"/>
      <c r="G135" s="82"/>
      <c r="H135" s="68" t="str">
        <f t="shared" si="86"/>
        <v>Lacine13_20191123_12_00</v>
      </c>
      <c r="I135" s="69">
        <f t="shared" si="87"/>
        <v>1</v>
      </c>
      <c r="J135" s="76" t="str">
        <f t="shared" si="87"/>
        <v>Lactuca</v>
      </c>
      <c r="K135" s="76" t="str">
        <f t="shared" si="87"/>
        <v>inermis</v>
      </c>
      <c r="L135" s="77">
        <f t="shared" si="87"/>
        <v>13</v>
      </c>
      <c r="M135" s="77">
        <f t="shared" si="87"/>
        <v>2</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x14ac:dyDescent="0.35">
      <c r="A136" s="72">
        <f t="shared" si="66"/>
        <v>2019</v>
      </c>
      <c r="B136" s="72" t="str">
        <f t="shared" si="67"/>
        <v>Nov</v>
      </c>
      <c r="C136" s="73">
        <f t="shared" si="85"/>
        <v>23</v>
      </c>
      <c r="D136" s="74">
        <f t="shared" si="68"/>
        <v>12</v>
      </c>
      <c r="E136" s="75">
        <f t="shared" si="69"/>
        <v>35</v>
      </c>
      <c r="F136" s="79">
        <v>43</v>
      </c>
      <c r="G136" s="82"/>
      <c r="H136" s="68" t="str">
        <f t="shared" si="86"/>
        <v>Lacine13_20191123_12_00</v>
      </c>
      <c r="I136" s="69">
        <f t="shared" si="87"/>
        <v>1</v>
      </c>
      <c r="J136" s="76" t="str">
        <f t="shared" si="87"/>
        <v>Lactuca</v>
      </c>
      <c r="K136" s="76" t="str">
        <f t="shared" si="87"/>
        <v>inermis</v>
      </c>
      <c r="L136" s="77">
        <f t="shared" si="87"/>
        <v>13</v>
      </c>
      <c r="M136" s="77">
        <f t="shared" si="87"/>
        <v>2</v>
      </c>
      <c r="N136" s="71">
        <f t="shared" si="87"/>
        <v>0</v>
      </c>
      <c r="O136" s="44"/>
      <c r="P136" s="45">
        <f t="shared" si="70"/>
        <v>1</v>
      </c>
      <c r="Q136" s="46" t="str">
        <f t="shared" si="71"/>
        <v>12:35:43</v>
      </c>
      <c r="R136" s="47" t="str">
        <f t="shared" si="72"/>
        <v>35:43</v>
      </c>
      <c r="S136" s="48">
        <f t="shared" si="61"/>
        <v>1982</v>
      </c>
      <c r="T136" s="47">
        <v>13</v>
      </c>
      <c r="U136" s="49">
        <v>8</v>
      </c>
      <c r="V136" s="50">
        <v>45</v>
      </c>
      <c r="W136" s="51" t="str">
        <f t="shared" si="74"/>
        <v>08:45</v>
      </c>
      <c r="X136" s="52" t="s">
        <v>59</v>
      </c>
      <c r="Y136" s="124" t="s">
        <v>94</v>
      </c>
      <c r="Z136" s="124" t="s">
        <v>92</v>
      </c>
      <c r="AA136" s="47" t="s">
        <v>82</v>
      </c>
      <c r="AB136" s="47" t="str">
        <f t="shared" si="75"/>
        <v>NA</v>
      </c>
      <c r="AC136" s="53">
        <f t="shared" si="76"/>
        <v>0</v>
      </c>
      <c r="AD136" s="54">
        <v>2</v>
      </c>
      <c r="AE136" s="54"/>
      <c r="AF136" s="54"/>
      <c r="AG136" s="55" t="str">
        <f t="shared" si="78"/>
        <v/>
      </c>
      <c r="AH136" s="56" t="str">
        <f t="shared" si="79"/>
        <v/>
      </c>
      <c r="AI136" s="55"/>
      <c r="AJ136" s="56" t="str">
        <f t="shared" si="80"/>
        <v/>
      </c>
      <c r="AK136" s="55"/>
      <c r="AL136" s="56" t="str">
        <f t="shared" si="81"/>
        <v/>
      </c>
      <c r="AM136" s="55">
        <v>1</v>
      </c>
      <c r="AN136" s="56">
        <f t="shared" si="82"/>
        <v>1982</v>
      </c>
      <c r="AO136" s="55"/>
      <c r="AP136" s="56" t="str">
        <f t="shared" si="83"/>
        <v/>
      </c>
      <c r="AQ136" s="55"/>
      <c r="AR136" s="56" t="str">
        <f t="shared" si="84"/>
        <v/>
      </c>
      <c r="AS136" s="57" t="s">
        <v>66</v>
      </c>
      <c r="AT136" s="58"/>
      <c r="AU136" s="58"/>
      <c r="AV136" s="59"/>
      <c r="AW136" s="60">
        <v>1</v>
      </c>
      <c r="AX136" s="61">
        <f t="shared" si="63"/>
        <v>2</v>
      </c>
      <c r="AY136" s="60">
        <v>1</v>
      </c>
      <c r="AZ136" s="61">
        <f t="shared" si="65"/>
        <v>2</v>
      </c>
    </row>
    <row r="137" spans="1:52" s="3" customFormat="1" hidden="1" x14ac:dyDescent="0.35">
      <c r="A137" s="72">
        <f t="shared" si="66"/>
        <v>2019</v>
      </c>
      <c r="B137" s="72" t="str">
        <f t="shared" si="67"/>
        <v>Nov</v>
      </c>
      <c r="C137" s="73">
        <f t="shared" si="85"/>
        <v>23</v>
      </c>
      <c r="D137" s="74">
        <f t="shared" si="68"/>
        <v>12</v>
      </c>
      <c r="E137" s="75">
        <f t="shared" si="69"/>
        <v>36</v>
      </c>
      <c r="F137" s="79"/>
      <c r="G137" s="82"/>
      <c r="H137" s="68" t="str">
        <f t="shared" si="86"/>
        <v>Lacine13_20191123_12_00</v>
      </c>
      <c r="I137" s="69">
        <f t="shared" si="87"/>
        <v>1</v>
      </c>
      <c r="J137" s="76" t="str">
        <f t="shared" si="87"/>
        <v>Lactuca</v>
      </c>
      <c r="K137" s="76" t="str">
        <f t="shared" si="87"/>
        <v>inermis</v>
      </c>
      <c r="L137" s="77">
        <f t="shared" si="87"/>
        <v>13</v>
      </c>
      <c r="M137" s="77">
        <f t="shared" si="87"/>
        <v>2</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2019</v>
      </c>
      <c r="B138" s="72" t="str">
        <f t="shared" si="67"/>
        <v>Nov</v>
      </c>
      <c r="C138" s="73">
        <f t="shared" si="85"/>
        <v>23</v>
      </c>
      <c r="D138" s="74">
        <f t="shared" si="68"/>
        <v>12</v>
      </c>
      <c r="E138" s="75">
        <f t="shared" si="69"/>
        <v>37</v>
      </c>
      <c r="F138" s="79"/>
      <c r="G138" s="82"/>
      <c r="H138" s="68" t="str">
        <f t="shared" si="86"/>
        <v>Lacine13_20191123_12_00</v>
      </c>
      <c r="I138" s="69">
        <f t="shared" si="87"/>
        <v>1</v>
      </c>
      <c r="J138" s="76" t="str">
        <f t="shared" si="87"/>
        <v>Lactuca</v>
      </c>
      <c r="K138" s="76" t="str">
        <f t="shared" si="87"/>
        <v>inermis</v>
      </c>
      <c r="L138" s="77">
        <f t="shared" si="87"/>
        <v>13</v>
      </c>
      <c r="M138" s="77">
        <f t="shared" si="87"/>
        <v>2</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2019</v>
      </c>
      <c r="B139" s="72" t="str">
        <f t="shared" si="67"/>
        <v>Nov</v>
      </c>
      <c r="C139" s="73">
        <f t="shared" si="85"/>
        <v>23</v>
      </c>
      <c r="D139" s="74">
        <f t="shared" si="68"/>
        <v>12</v>
      </c>
      <c r="E139" s="75">
        <f t="shared" si="69"/>
        <v>38</v>
      </c>
      <c r="F139" s="79"/>
      <c r="G139" s="82"/>
      <c r="H139" s="68" t="str">
        <f t="shared" si="86"/>
        <v>Lacine13_20191123_12_00</v>
      </c>
      <c r="I139" s="69">
        <f t="shared" si="87"/>
        <v>1</v>
      </c>
      <c r="J139" s="76" t="str">
        <f t="shared" si="87"/>
        <v>Lactuca</v>
      </c>
      <c r="K139" s="76" t="str">
        <f t="shared" si="87"/>
        <v>inermis</v>
      </c>
      <c r="L139" s="77">
        <f t="shared" si="87"/>
        <v>13</v>
      </c>
      <c r="M139" s="77">
        <f t="shared" si="87"/>
        <v>2</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2019</v>
      </c>
      <c r="B140" s="72" t="str">
        <f t="shared" si="67"/>
        <v>Nov</v>
      </c>
      <c r="C140" s="73">
        <f t="shared" si="85"/>
        <v>23</v>
      </c>
      <c r="D140" s="74">
        <f t="shared" si="68"/>
        <v>12</v>
      </c>
      <c r="E140" s="75">
        <f t="shared" si="69"/>
        <v>39</v>
      </c>
      <c r="F140" s="79"/>
      <c r="G140" s="82"/>
      <c r="H140" s="68" t="str">
        <f t="shared" si="86"/>
        <v>Lacine13_20191123_12_00</v>
      </c>
      <c r="I140" s="69">
        <f t="shared" si="87"/>
        <v>1</v>
      </c>
      <c r="J140" s="76" t="str">
        <f t="shared" si="87"/>
        <v>Lactuca</v>
      </c>
      <c r="K140" s="76" t="str">
        <f t="shared" si="87"/>
        <v>inermis</v>
      </c>
      <c r="L140" s="77">
        <f t="shared" si="87"/>
        <v>13</v>
      </c>
      <c r="M140" s="77">
        <f t="shared" si="87"/>
        <v>2</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2019</v>
      </c>
      <c r="B141" s="72" t="str">
        <f t="shared" si="67"/>
        <v>Nov</v>
      </c>
      <c r="C141" s="73">
        <f t="shared" si="85"/>
        <v>23</v>
      </c>
      <c r="D141" s="74">
        <f t="shared" si="68"/>
        <v>12</v>
      </c>
      <c r="E141" s="75">
        <f t="shared" si="69"/>
        <v>40</v>
      </c>
      <c r="F141" s="79"/>
      <c r="G141" s="82"/>
      <c r="H141" s="68" t="str">
        <f t="shared" si="86"/>
        <v>Lacine13_20191123_12_00</v>
      </c>
      <c r="I141" s="69">
        <f t="shared" si="87"/>
        <v>1</v>
      </c>
      <c r="J141" s="76" t="str">
        <f t="shared" si="87"/>
        <v>Lactuca</v>
      </c>
      <c r="K141" s="76" t="str">
        <f t="shared" si="87"/>
        <v>inermis</v>
      </c>
      <c r="L141" s="77">
        <f t="shared" si="87"/>
        <v>13</v>
      </c>
      <c r="M141" s="77">
        <f t="shared" si="87"/>
        <v>2</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2019</v>
      </c>
      <c r="B142" s="72" t="str">
        <f t="shared" si="67"/>
        <v>Nov</v>
      </c>
      <c r="C142" s="73">
        <f t="shared" si="85"/>
        <v>23</v>
      </c>
      <c r="D142" s="74">
        <f t="shared" si="68"/>
        <v>12</v>
      </c>
      <c r="E142" s="75">
        <f t="shared" si="69"/>
        <v>41</v>
      </c>
      <c r="F142" s="79"/>
      <c r="G142" s="82"/>
      <c r="H142" s="68" t="str">
        <f t="shared" si="86"/>
        <v>Lacine13_20191123_12_00</v>
      </c>
      <c r="I142" s="69">
        <f t="shared" si="87"/>
        <v>1</v>
      </c>
      <c r="J142" s="76" t="str">
        <f t="shared" si="87"/>
        <v>Lactuca</v>
      </c>
      <c r="K142" s="76" t="str">
        <f t="shared" si="87"/>
        <v>inermis</v>
      </c>
      <c r="L142" s="77">
        <f t="shared" si="87"/>
        <v>13</v>
      </c>
      <c r="M142" s="77">
        <f t="shared" si="87"/>
        <v>2</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2019</v>
      </c>
      <c r="B143" s="72" t="str">
        <f t="shared" si="67"/>
        <v>Nov</v>
      </c>
      <c r="C143" s="73">
        <f t="shared" si="85"/>
        <v>23</v>
      </c>
      <c r="D143" s="74">
        <f t="shared" si="68"/>
        <v>12</v>
      </c>
      <c r="E143" s="75">
        <f t="shared" si="69"/>
        <v>42</v>
      </c>
      <c r="F143" s="79"/>
      <c r="G143" s="82"/>
      <c r="H143" s="68" t="str">
        <f t="shared" si="86"/>
        <v>Lacine13_20191123_12_00</v>
      </c>
      <c r="I143" s="69">
        <f t="shared" si="87"/>
        <v>1</v>
      </c>
      <c r="J143" s="76" t="str">
        <f t="shared" si="87"/>
        <v>Lactuca</v>
      </c>
      <c r="K143" s="76" t="str">
        <f t="shared" si="87"/>
        <v>inermis</v>
      </c>
      <c r="L143" s="77">
        <f t="shared" si="87"/>
        <v>13</v>
      </c>
      <c r="M143" s="77">
        <f t="shared" si="87"/>
        <v>2</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2019</v>
      </c>
      <c r="B144" s="72" t="str">
        <f t="shared" si="67"/>
        <v>Nov</v>
      </c>
      <c r="C144" s="73">
        <f t="shared" si="85"/>
        <v>23</v>
      </c>
      <c r="D144" s="74">
        <f t="shared" si="68"/>
        <v>12</v>
      </c>
      <c r="E144" s="75">
        <f t="shared" si="69"/>
        <v>43</v>
      </c>
      <c r="F144" s="79"/>
      <c r="G144" s="82"/>
      <c r="H144" s="68" t="str">
        <f t="shared" si="86"/>
        <v>Lacine13_20191123_12_00</v>
      </c>
      <c r="I144" s="69">
        <f t="shared" si="87"/>
        <v>1</v>
      </c>
      <c r="J144" s="76" t="str">
        <f t="shared" si="87"/>
        <v>Lactuca</v>
      </c>
      <c r="K144" s="76" t="str">
        <f t="shared" si="87"/>
        <v>inermis</v>
      </c>
      <c r="L144" s="77">
        <f t="shared" si="87"/>
        <v>13</v>
      </c>
      <c r="M144" s="77">
        <f t="shared" si="87"/>
        <v>2</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2019</v>
      </c>
      <c r="B145" s="72" t="str">
        <f t="shared" si="67"/>
        <v>Nov</v>
      </c>
      <c r="C145" s="73">
        <f t="shared" si="85"/>
        <v>23</v>
      </c>
      <c r="D145" s="74">
        <f t="shared" si="68"/>
        <v>12</v>
      </c>
      <c r="E145" s="75">
        <f t="shared" si="69"/>
        <v>44</v>
      </c>
      <c r="F145" s="79"/>
      <c r="G145" s="82"/>
      <c r="H145" s="68" t="str">
        <f t="shared" si="86"/>
        <v>Lacine13_20191123_12_00</v>
      </c>
      <c r="I145" s="69">
        <f t="shared" si="87"/>
        <v>1</v>
      </c>
      <c r="J145" s="76" t="str">
        <f t="shared" si="87"/>
        <v>Lactuca</v>
      </c>
      <c r="K145" s="76" t="str">
        <f t="shared" si="87"/>
        <v>inermis</v>
      </c>
      <c r="L145" s="77">
        <f t="shared" si="87"/>
        <v>13</v>
      </c>
      <c r="M145" s="77">
        <f t="shared" si="87"/>
        <v>2</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2019</v>
      </c>
      <c r="B146" s="72" t="str">
        <f t="shared" si="67"/>
        <v>Nov</v>
      </c>
      <c r="C146" s="73">
        <f t="shared" si="85"/>
        <v>23</v>
      </c>
      <c r="D146" s="74">
        <f t="shared" si="68"/>
        <v>12</v>
      </c>
      <c r="E146" s="75">
        <f t="shared" si="69"/>
        <v>45</v>
      </c>
      <c r="F146" s="79"/>
      <c r="G146" s="82"/>
      <c r="H146" s="68" t="str">
        <f t="shared" si="86"/>
        <v>Lacine13_20191123_12_00</v>
      </c>
      <c r="I146" s="69">
        <f t="shared" si="87"/>
        <v>1</v>
      </c>
      <c r="J146" s="76" t="str">
        <f t="shared" si="87"/>
        <v>Lactuca</v>
      </c>
      <c r="K146" s="76" t="str">
        <f t="shared" si="87"/>
        <v>inermis</v>
      </c>
      <c r="L146" s="77">
        <f t="shared" si="87"/>
        <v>13</v>
      </c>
      <c r="M146" s="77">
        <f t="shared" si="87"/>
        <v>2</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2019</v>
      </c>
      <c r="B147" s="72" t="str">
        <f t="shared" si="67"/>
        <v>Nov</v>
      </c>
      <c r="C147" s="73">
        <f t="shared" si="85"/>
        <v>23</v>
      </c>
      <c r="D147" s="74">
        <f t="shared" si="68"/>
        <v>12</v>
      </c>
      <c r="E147" s="75">
        <f t="shared" si="69"/>
        <v>46</v>
      </c>
      <c r="F147" s="79"/>
      <c r="G147" s="82"/>
      <c r="H147" s="68" t="str">
        <f t="shared" si="86"/>
        <v>Lacine13_20191123_12_00</v>
      </c>
      <c r="I147" s="69">
        <f t="shared" si="87"/>
        <v>1</v>
      </c>
      <c r="J147" s="76" t="str">
        <f t="shared" si="87"/>
        <v>Lactuca</v>
      </c>
      <c r="K147" s="76" t="str">
        <f t="shared" si="87"/>
        <v>inermis</v>
      </c>
      <c r="L147" s="77">
        <f t="shared" si="87"/>
        <v>13</v>
      </c>
      <c r="M147" s="77">
        <f t="shared" si="87"/>
        <v>2</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2019</v>
      </c>
      <c r="B148" s="72" t="str">
        <f t="shared" si="67"/>
        <v>Nov</v>
      </c>
      <c r="C148" s="73">
        <f t="shared" si="85"/>
        <v>23</v>
      </c>
      <c r="D148" s="74">
        <f t="shared" si="68"/>
        <v>12</v>
      </c>
      <c r="E148" s="75">
        <f t="shared" si="69"/>
        <v>47</v>
      </c>
      <c r="F148" s="79"/>
      <c r="G148" s="82"/>
      <c r="H148" s="68" t="str">
        <f t="shared" si="86"/>
        <v>Lacine13_20191123_12_00</v>
      </c>
      <c r="I148" s="69">
        <f t="shared" si="87"/>
        <v>1</v>
      </c>
      <c r="J148" s="76" t="str">
        <f t="shared" si="87"/>
        <v>Lactuca</v>
      </c>
      <c r="K148" s="76" t="str">
        <f t="shared" si="87"/>
        <v>inermis</v>
      </c>
      <c r="L148" s="77">
        <f t="shared" si="87"/>
        <v>13</v>
      </c>
      <c r="M148" s="77">
        <f t="shared" si="87"/>
        <v>2</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2019</v>
      </c>
      <c r="B149" s="72" t="str">
        <f t="shared" si="67"/>
        <v>Nov</v>
      </c>
      <c r="C149" s="73">
        <f t="shared" si="85"/>
        <v>23</v>
      </c>
      <c r="D149" s="74">
        <f t="shared" si="68"/>
        <v>12</v>
      </c>
      <c r="E149" s="75">
        <f t="shared" si="69"/>
        <v>48</v>
      </c>
      <c r="F149" s="79"/>
      <c r="G149" s="82"/>
      <c r="H149" s="68" t="str">
        <f t="shared" si="86"/>
        <v>Lacine13_20191123_12_00</v>
      </c>
      <c r="I149" s="69">
        <f t="shared" ref="I149:N164" si="88">I148</f>
        <v>1</v>
      </c>
      <c r="J149" s="76" t="str">
        <f t="shared" si="88"/>
        <v>Lactuca</v>
      </c>
      <c r="K149" s="76" t="str">
        <f t="shared" si="88"/>
        <v>inermis</v>
      </c>
      <c r="L149" s="77">
        <f t="shared" si="88"/>
        <v>13</v>
      </c>
      <c r="M149" s="77">
        <f t="shared" si="88"/>
        <v>2</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2019</v>
      </c>
      <c r="B150" s="72" t="str">
        <f t="shared" si="67"/>
        <v>Nov</v>
      </c>
      <c r="C150" s="73">
        <f t="shared" si="85"/>
        <v>23</v>
      </c>
      <c r="D150" s="74">
        <f t="shared" si="68"/>
        <v>12</v>
      </c>
      <c r="E150" s="75">
        <f t="shared" si="69"/>
        <v>49</v>
      </c>
      <c r="F150" s="79"/>
      <c r="G150" s="82"/>
      <c r="H150" s="68" t="str">
        <f t="shared" si="86"/>
        <v>Lacine13_20191123_12_00</v>
      </c>
      <c r="I150" s="69">
        <f t="shared" si="88"/>
        <v>1</v>
      </c>
      <c r="J150" s="76" t="str">
        <f t="shared" si="88"/>
        <v>Lactuca</v>
      </c>
      <c r="K150" s="76" t="str">
        <f t="shared" si="88"/>
        <v>inermis</v>
      </c>
      <c r="L150" s="77">
        <f t="shared" si="88"/>
        <v>13</v>
      </c>
      <c r="M150" s="77">
        <f t="shared" si="88"/>
        <v>2</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2019</v>
      </c>
      <c r="B151" s="72" t="str">
        <f t="shared" si="67"/>
        <v>Nov</v>
      </c>
      <c r="C151" s="73">
        <f t="shared" si="85"/>
        <v>23</v>
      </c>
      <c r="D151" s="74">
        <f t="shared" si="68"/>
        <v>12</v>
      </c>
      <c r="E151" s="75">
        <f t="shared" si="69"/>
        <v>50</v>
      </c>
      <c r="F151" s="79"/>
      <c r="G151" s="82"/>
      <c r="H151" s="68" t="str">
        <f t="shared" si="86"/>
        <v>Lacine13_20191123_12_00</v>
      </c>
      <c r="I151" s="69">
        <f t="shared" si="88"/>
        <v>1</v>
      </c>
      <c r="J151" s="76" t="str">
        <f t="shared" si="88"/>
        <v>Lactuca</v>
      </c>
      <c r="K151" s="76" t="str">
        <f t="shared" si="88"/>
        <v>inermis</v>
      </c>
      <c r="L151" s="77">
        <f t="shared" si="88"/>
        <v>13</v>
      </c>
      <c r="M151" s="77">
        <f t="shared" si="88"/>
        <v>2</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2019</v>
      </c>
      <c r="B152" s="72" t="str">
        <f t="shared" si="67"/>
        <v>Nov</v>
      </c>
      <c r="C152" s="73">
        <f t="shared" si="85"/>
        <v>23</v>
      </c>
      <c r="D152" s="74">
        <f t="shared" si="68"/>
        <v>12</v>
      </c>
      <c r="E152" s="75">
        <f t="shared" si="69"/>
        <v>51</v>
      </c>
      <c r="F152" s="79"/>
      <c r="G152" s="82"/>
      <c r="H152" s="68" t="str">
        <f t="shared" si="86"/>
        <v>Lacine13_20191123_12_00</v>
      </c>
      <c r="I152" s="69">
        <f t="shared" si="88"/>
        <v>1</v>
      </c>
      <c r="J152" s="76" t="str">
        <f t="shared" si="88"/>
        <v>Lactuca</v>
      </c>
      <c r="K152" s="76" t="str">
        <f t="shared" si="88"/>
        <v>inermis</v>
      </c>
      <c r="L152" s="77">
        <f t="shared" si="88"/>
        <v>13</v>
      </c>
      <c r="M152" s="77">
        <f t="shared" si="88"/>
        <v>2</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x14ac:dyDescent="0.35">
      <c r="A153" s="72">
        <f t="shared" si="66"/>
        <v>2019</v>
      </c>
      <c r="B153" s="72" t="str">
        <f t="shared" si="67"/>
        <v>Nov</v>
      </c>
      <c r="C153" s="73">
        <f t="shared" si="85"/>
        <v>23</v>
      </c>
      <c r="D153" s="74">
        <f t="shared" si="68"/>
        <v>12</v>
      </c>
      <c r="E153" s="75">
        <f t="shared" si="69"/>
        <v>52</v>
      </c>
      <c r="F153" s="79">
        <v>32</v>
      </c>
      <c r="G153" s="82"/>
      <c r="H153" s="68" t="str">
        <f t="shared" si="86"/>
        <v>Lacine13_20191123_12_00</v>
      </c>
      <c r="I153" s="69">
        <f t="shared" si="88"/>
        <v>1</v>
      </c>
      <c r="J153" s="76" t="str">
        <f t="shared" si="88"/>
        <v>Lactuca</v>
      </c>
      <c r="K153" s="76" t="str">
        <f t="shared" si="88"/>
        <v>inermis</v>
      </c>
      <c r="L153" s="77">
        <f t="shared" si="88"/>
        <v>13</v>
      </c>
      <c r="M153" s="77">
        <f t="shared" si="88"/>
        <v>2</v>
      </c>
      <c r="N153" s="71">
        <f t="shared" si="88"/>
        <v>0</v>
      </c>
      <c r="O153" s="44"/>
      <c r="P153" s="45">
        <f t="shared" si="70"/>
        <v>1</v>
      </c>
      <c r="Q153" s="46" t="str">
        <f t="shared" si="71"/>
        <v>12:52:32</v>
      </c>
      <c r="R153" s="47" t="str">
        <f t="shared" si="72"/>
        <v>52:32</v>
      </c>
      <c r="S153" s="48">
        <f t="shared" si="61"/>
        <v>388</v>
      </c>
      <c r="T153" s="47" t="str">
        <f t="shared" si="73"/>
        <v>12</v>
      </c>
      <c r="U153" s="49">
        <v>59</v>
      </c>
      <c r="V153" s="50">
        <v>0</v>
      </c>
      <c r="W153" s="51" t="str">
        <f t="shared" si="74"/>
        <v>59:00</v>
      </c>
      <c r="X153" s="52" t="s">
        <v>59</v>
      </c>
      <c r="Y153" s="124" t="s">
        <v>94</v>
      </c>
      <c r="Z153" s="124" t="s">
        <v>92</v>
      </c>
      <c r="AA153" s="47" t="s">
        <v>82</v>
      </c>
      <c r="AB153" s="47" t="str">
        <f t="shared" si="75"/>
        <v>NA</v>
      </c>
      <c r="AC153" s="53">
        <f t="shared" si="76"/>
        <v>0</v>
      </c>
      <c r="AD153" s="54">
        <v>2</v>
      </c>
      <c r="AE153" s="54"/>
      <c r="AF153" s="54"/>
      <c r="AG153" s="55" t="str">
        <f t="shared" si="78"/>
        <v/>
      </c>
      <c r="AH153" s="56" t="str">
        <f t="shared" si="79"/>
        <v/>
      </c>
      <c r="AI153" s="55"/>
      <c r="AJ153" s="56" t="str">
        <f t="shared" si="80"/>
        <v/>
      </c>
      <c r="AK153" s="55"/>
      <c r="AL153" s="56" t="str">
        <f t="shared" si="81"/>
        <v/>
      </c>
      <c r="AM153" s="55">
        <v>1</v>
      </c>
      <c r="AN153" s="56">
        <f t="shared" si="82"/>
        <v>388</v>
      </c>
      <c r="AO153" s="55"/>
      <c r="AP153" s="56" t="str">
        <f t="shared" si="83"/>
        <v/>
      </c>
      <c r="AQ153" s="55"/>
      <c r="AR153" s="56" t="str">
        <f t="shared" si="84"/>
        <v/>
      </c>
      <c r="AS153" s="57"/>
      <c r="AT153" s="58"/>
      <c r="AU153" s="58"/>
      <c r="AV153" s="59"/>
      <c r="AW153" s="60">
        <v>1</v>
      </c>
      <c r="AX153" s="61">
        <f t="shared" si="63"/>
        <v>2</v>
      </c>
      <c r="AY153" s="60">
        <v>1</v>
      </c>
      <c r="AZ153" s="61">
        <f t="shared" si="65"/>
        <v>2</v>
      </c>
    </row>
    <row r="154" spans="1:52" s="3" customFormat="1" hidden="1" x14ac:dyDescent="0.35">
      <c r="A154" s="72">
        <f t="shared" si="66"/>
        <v>2019</v>
      </c>
      <c r="B154" s="72" t="str">
        <f t="shared" si="67"/>
        <v>Nov</v>
      </c>
      <c r="C154" s="73">
        <f t="shared" si="85"/>
        <v>23</v>
      </c>
      <c r="D154" s="74">
        <f t="shared" si="68"/>
        <v>12</v>
      </c>
      <c r="E154" s="75">
        <f t="shared" si="69"/>
        <v>53</v>
      </c>
      <c r="F154" s="79"/>
      <c r="G154" s="82"/>
      <c r="H154" s="68" t="str">
        <f t="shared" si="86"/>
        <v>Lacine13_20191123_12_00</v>
      </c>
      <c r="I154" s="69">
        <f t="shared" si="88"/>
        <v>1</v>
      </c>
      <c r="J154" s="76" t="str">
        <f t="shared" si="88"/>
        <v>Lactuca</v>
      </c>
      <c r="K154" s="76" t="str">
        <f t="shared" si="88"/>
        <v>inermis</v>
      </c>
      <c r="L154" s="77">
        <f t="shared" si="88"/>
        <v>13</v>
      </c>
      <c r="M154" s="77">
        <f t="shared" si="88"/>
        <v>2</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2019</v>
      </c>
      <c r="B155" s="72" t="str">
        <f t="shared" si="67"/>
        <v>Nov</v>
      </c>
      <c r="C155" s="73">
        <f t="shared" si="85"/>
        <v>23</v>
      </c>
      <c r="D155" s="74">
        <f t="shared" si="68"/>
        <v>12</v>
      </c>
      <c r="E155" s="75">
        <f t="shared" si="69"/>
        <v>54</v>
      </c>
      <c r="F155" s="79"/>
      <c r="G155" s="82"/>
      <c r="H155" s="68" t="str">
        <f t="shared" si="86"/>
        <v>Lacine13_20191123_12_00</v>
      </c>
      <c r="I155" s="69">
        <f t="shared" si="88"/>
        <v>1</v>
      </c>
      <c r="J155" s="76" t="str">
        <f t="shared" si="88"/>
        <v>Lactuca</v>
      </c>
      <c r="K155" s="76" t="str">
        <f t="shared" si="88"/>
        <v>inermis</v>
      </c>
      <c r="L155" s="77">
        <f t="shared" si="88"/>
        <v>13</v>
      </c>
      <c r="M155" s="77">
        <f t="shared" si="88"/>
        <v>2</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2019</v>
      </c>
      <c r="B156" s="72" t="str">
        <f t="shared" si="67"/>
        <v>Nov</v>
      </c>
      <c r="C156" s="73">
        <f t="shared" si="85"/>
        <v>23</v>
      </c>
      <c r="D156" s="74">
        <f t="shared" si="68"/>
        <v>12</v>
      </c>
      <c r="E156" s="75">
        <f t="shared" si="69"/>
        <v>55</v>
      </c>
      <c r="F156" s="79"/>
      <c r="G156" s="82"/>
      <c r="H156" s="68" t="str">
        <f t="shared" si="86"/>
        <v>Lacine13_20191123_12_00</v>
      </c>
      <c r="I156" s="69">
        <f t="shared" si="88"/>
        <v>1</v>
      </c>
      <c r="J156" s="76" t="str">
        <f t="shared" si="88"/>
        <v>Lactuca</v>
      </c>
      <c r="K156" s="76" t="str">
        <f t="shared" si="88"/>
        <v>inermis</v>
      </c>
      <c r="L156" s="77">
        <f t="shared" si="88"/>
        <v>13</v>
      </c>
      <c r="M156" s="77">
        <f t="shared" si="88"/>
        <v>2</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2019</v>
      </c>
      <c r="B157" s="72" t="str">
        <f t="shared" si="67"/>
        <v>Nov</v>
      </c>
      <c r="C157" s="73">
        <f t="shared" si="85"/>
        <v>23</v>
      </c>
      <c r="D157" s="74">
        <f t="shared" si="68"/>
        <v>12</v>
      </c>
      <c r="E157" s="75">
        <f t="shared" si="69"/>
        <v>56</v>
      </c>
      <c r="F157" s="79"/>
      <c r="G157" s="82"/>
      <c r="H157" s="68" t="str">
        <f t="shared" si="86"/>
        <v>Lacine13_20191123_12_00</v>
      </c>
      <c r="I157" s="69">
        <f t="shared" si="88"/>
        <v>1</v>
      </c>
      <c r="J157" s="76" t="str">
        <f t="shared" si="88"/>
        <v>Lactuca</v>
      </c>
      <c r="K157" s="76" t="str">
        <f t="shared" si="88"/>
        <v>inermis</v>
      </c>
      <c r="L157" s="77">
        <f t="shared" si="88"/>
        <v>13</v>
      </c>
      <c r="M157" s="77">
        <f t="shared" si="88"/>
        <v>2</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2019</v>
      </c>
      <c r="B158" s="72" t="str">
        <f t="shared" si="67"/>
        <v>Nov</v>
      </c>
      <c r="C158" s="73">
        <f t="shared" si="85"/>
        <v>23</v>
      </c>
      <c r="D158" s="74">
        <f t="shared" si="68"/>
        <v>12</v>
      </c>
      <c r="E158" s="75">
        <f t="shared" si="69"/>
        <v>57</v>
      </c>
      <c r="F158" s="79"/>
      <c r="G158" s="82"/>
      <c r="H158" s="68" t="str">
        <f t="shared" si="86"/>
        <v>Lacine13_20191123_12_00</v>
      </c>
      <c r="I158" s="69">
        <f t="shared" si="88"/>
        <v>1</v>
      </c>
      <c r="J158" s="76" t="str">
        <f t="shared" si="88"/>
        <v>Lactuca</v>
      </c>
      <c r="K158" s="76" t="str">
        <f t="shared" si="88"/>
        <v>inermis</v>
      </c>
      <c r="L158" s="77">
        <f t="shared" si="88"/>
        <v>13</v>
      </c>
      <c r="M158" s="77">
        <f t="shared" si="88"/>
        <v>2</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2019</v>
      </c>
      <c r="B159" s="72" t="str">
        <f t="shared" si="67"/>
        <v>Nov</v>
      </c>
      <c r="C159" s="73">
        <f t="shared" si="85"/>
        <v>23</v>
      </c>
      <c r="D159" s="74">
        <f t="shared" si="68"/>
        <v>12</v>
      </c>
      <c r="E159" s="75">
        <f t="shared" si="69"/>
        <v>58</v>
      </c>
      <c r="F159" s="79"/>
      <c r="G159" s="82"/>
      <c r="H159" s="68" t="str">
        <f t="shared" si="86"/>
        <v>Lacine13_20191123_12_00</v>
      </c>
      <c r="I159" s="69">
        <f t="shared" si="88"/>
        <v>1</v>
      </c>
      <c r="J159" s="76" t="str">
        <f t="shared" si="88"/>
        <v>Lactuca</v>
      </c>
      <c r="K159" s="76" t="str">
        <f t="shared" si="88"/>
        <v>inermis</v>
      </c>
      <c r="L159" s="77">
        <f t="shared" si="88"/>
        <v>13</v>
      </c>
      <c r="M159" s="77">
        <f t="shared" si="88"/>
        <v>2</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2019</v>
      </c>
      <c r="B160" s="72" t="str">
        <f t="shared" si="67"/>
        <v>Nov</v>
      </c>
      <c r="C160" s="73">
        <f t="shared" si="85"/>
        <v>23</v>
      </c>
      <c r="D160" s="74">
        <f t="shared" si="68"/>
        <v>12</v>
      </c>
      <c r="E160" s="75">
        <f t="shared" si="69"/>
        <v>59</v>
      </c>
      <c r="F160" s="79"/>
      <c r="G160" s="82"/>
      <c r="H160" s="68" t="str">
        <f t="shared" si="86"/>
        <v>Lacine13_20191123_12_00</v>
      </c>
      <c r="I160" s="69">
        <f t="shared" si="88"/>
        <v>1</v>
      </c>
      <c r="J160" s="76" t="str">
        <f t="shared" si="88"/>
        <v>Lactuca</v>
      </c>
      <c r="K160" s="76" t="str">
        <f t="shared" si="88"/>
        <v>inermis</v>
      </c>
      <c r="L160" s="77">
        <f t="shared" si="88"/>
        <v>13</v>
      </c>
      <c r="M160" s="77">
        <f t="shared" si="88"/>
        <v>2</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x14ac:dyDescent="0.35">
      <c r="A161" s="72">
        <f t="shared" si="66"/>
        <v>2019</v>
      </c>
      <c r="B161" s="72" t="str">
        <f t="shared" si="67"/>
        <v>Nov</v>
      </c>
      <c r="C161" s="73">
        <f t="shared" si="85"/>
        <v>23</v>
      </c>
      <c r="D161" s="74">
        <f t="shared" si="68"/>
        <v>13</v>
      </c>
      <c r="E161" s="75">
        <f t="shared" si="69"/>
        <v>0</v>
      </c>
      <c r="F161" s="79">
        <v>47</v>
      </c>
      <c r="G161" s="82"/>
      <c r="H161" s="68" t="str">
        <f t="shared" si="86"/>
        <v>Lacine13_20191123_13_00</v>
      </c>
      <c r="I161" s="69">
        <f t="shared" si="88"/>
        <v>1</v>
      </c>
      <c r="J161" s="76" t="str">
        <f t="shared" si="88"/>
        <v>Lactuca</v>
      </c>
      <c r="K161" s="76" t="str">
        <f t="shared" si="88"/>
        <v>inermis</v>
      </c>
      <c r="L161" s="77">
        <f t="shared" si="88"/>
        <v>13</v>
      </c>
      <c r="M161" s="77">
        <f t="shared" si="88"/>
        <v>2</v>
      </c>
      <c r="N161" s="71">
        <f t="shared" si="88"/>
        <v>0</v>
      </c>
      <c r="O161" s="44"/>
      <c r="P161" s="45">
        <f t="shared" si="70"/>
        <v>1</v>
      </c>
      <c r="Q161" s="46" t="str">
        <f t="shared" si="71"/>
        <v>13:00:47</v>
      </c>
      <c r="R161" s="47" t="str">
        <f t="shared" si="72"/>
        <v>00:47</v>
      </c>
      <c r="S161" s="48">
        <f t="shared" si="61"/>
        <v>13</v>
      </c>
      <c r="T161" s="47" t="str">
        <f t="shared" si="73"/>
        <v>13</v>
      </c>
      <c r="U161" s="49">
        <v>1</v>
      </c>
      <c r="V161" s="50">
        <v>0</v>
      </c>
      <c r="W161" s="51" t="str">
        <f t="shared" si="74"/>
        <v>01:00</v>
      </c>
      <c r="X161" s="52" t="s">
        <v>59</v>
      </c>
      <c r="Y161" s="124" t="s">
        <v>89</v>
      </c>
      <c r="Z161" s="124" t="s">
        <v>92</v>
      </c>
      <c r="AA161" s="47" t="s">
        <v>82</v>
      </c>
      <c r="AB161" s="47" t="str">
        <f t="shared" si="75"/>
        <v>NA</v>
      </c>
      <c r="AC161" s="53">
        <f t="shared" si="76"/>
        <v>0</v>
      </c>
      <c r="AD161" s="54">
        <f t="shared" si="77"/>
        <v>1</v>
      </c>
      <c r="AE161" s="54"/>
      <c r="AF161" s="54"/>
      <c r="AG161" s="55" t="str">
        <f t="shared" si="78"/>
        <v/>
      </c>
      <c r="AH161" s="56" t="str">
        <f t="shared" si="79"/>
        <v/>
      </c>
      <c r="AI161" s="55"/>
      <c r="AJ161" s="56" t="str">
        <f t="shared" si="80"/>
        <v/>
      </c>
      <c r="AK161" s="55"/>
      <c r="AL161" s="56" t="str">
        <f t="shared" si="81"/>
        <v/>
      </c>
      <c r="AM161" s="55">
        <v>1</v>
      </c>
      <c r="AN161" s="56">
        <f t="shared" si="82"/>
        <v>13</v>
      </c>
      <c r="AO161" s="55"/>
      <c r="AP161" s="56" t="str">
        <f t="shared" si="83"/>
        <v/>
      </c>
      <c r="AQ161" s="55"/>
      <c r="AR161" s="56" t="str">
        <f t="shared" si="84"/>
        <v/>
      </c>
      <c r="AS161" s="57"/>
      <c r="AT161" s="58"/>
      <c r="AU161" s="58"/>
      <c r="AV161" s="59"/>
      <c r="AW161" s="60">
        <v>1</v>
      </c>
      <c r="AX161" s="61">
        <f t="shared" si="63"/>
        <v>1</v>
      </c>
      <c r="AY161" s="60">
        <v>1</v>
      </c>
      <c r="AZ161" s="61">
        <f t="shared" si="65"/>
        <v>1</v>
      </c>
    </row>
    <row r="162" spans="1:52" s="3" customFormat="1" hidden="1" x14ac:dyDescent="0.35">
      <c r="A162" s="72">
        <f t="shared" si="66"/>
        <v>2019</v>
      </c>
      <c r="B162" s="72" t="str">
        <f t="shared" si="67"/>
        <v>Nov</v>
      </c>
      <c r="C162" s="73">
        <f t="shared" si="85"/>
        <v>23</v>
      </c>
      <c r="D162" s="74">
        <f t="shared" si="68"/>
        <v>13</v>
      </c>
      <c r="E162" s="75">
        <f t="shared" si="69"/>
        <v>1</v>
      </c>
      <c r="F162" s="79"/>
      <c r="G162" s="82"/>
      <c r="H162" s="68" t="str">
        <f t="shared" si="86"/>
        <v>Lacine13_20191123_13_00</v>
      </c>
      <c r="I162" s="69">
        <f t="shared" si="88"/>
        <v>1</v>
      </c>
      <c r="J162" s="76" t="str">
        <f t="shared" si="88"/>
        <v>Lactuca</v>
      </c>
      <c r="K162" s="76" t="str">
        <f t="shared" si="88"/>
        <v>inermis</v>
      </c>
      <c r="L162" s="77">
        <f t="shared" si="88"/>
        <v>13</v>
      </c>
      <c r="M162" s="77">
        <f t="shared" si="88"/>
        <v>2</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2019</v>
      </c>
      <c r="B163" s="72" t="str">
        <f t="shared" si="67"/>
        <v>Nov</v>
      </c>
      <c r="C163" s="73">
        <f t="shared" si="85"/>
        <v>23</v>
      </c>
      <c r="D163" s="74">
        <f t="shared" si="68"/>
        <v>13</v>
      </c>
      <c r="E163" s="75">
        <f t="shared" si="69"/>
        <v>2</v>
      </c>
      <c r="F163" s="79"/>
      <c r="G163" s="82"/>
      <c r="H163" s="68" t="str">
        <f t="shared" si="86"/>
        <v>Lacine13_20191123_13_00</v>
      </c>
      <c r="I163" s="69">
        <f t="shared" si="88"/>
        <v>1</v>
      </c>
      <c r="J163" s="76" t="str">
        <f t="shared" si="88"/>
        <v>Lactuca</v>
      </c>
      <c r="K163" s="76" t="str">
        <f t="shared" si="88"/>
        <v>inermis</v>
      </c>
      <c r="L163" s="77">
        <f t="shared" si="88"/>
        <v>13</v>
      </c>
      <c r="M163" s="77">
        <f t="shared" si="88"/>
        <v>2</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2019</v>
      </c>
      <c r="B164" s="72" t="str">
        <f t="shared" si="67"/>
        <v>Nov</v>
      </c>
      <c r="C164" s="73">
        <f t="shared" si="85"/>
        <v>23</v>
      </c>
      <c r="D164" s="74">
        <f t="shared" si="68"/>
        <v>13</v>
      </c>
      <c r="E164" s="75">
        <f t="shared" si="69"/>
        <v>3</v>
      </c>
      <c r="F164" s="79"/>
      <c r="G164" s="82"/>
      <c r="H164" s="68" t="str">
        <f t="shared" si="86"/>
        <v>Lacine13_20191123_13_00</v>
      </c>
      <c r="I164" s="69">
        <f t="shared" si="88"/>
        <v>1</v>
      </c>
      <c r="J164" s="76" t="str">
        <f t="shared" si="88"/>
        <v>Lactuca</v>
      </c>
      <c r="K164" s="76" t="str">
        <f t="shared" si="88"/>
        <v>inermis</v>
      </c>
      <c r="L164" s="77">
        <f t="shared" si="88"/>
        <v>13</v>
      </c>
      <c r="M164" s="77">
        <f t="shared" si="88"/>
        <v>2</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2019</v>
      </c>
      <c r="B165" s="72" t="str">
        <f t="shared" si="67"/>
        <v>Nov</v>
      </c>
      <c r="C165" s="73">
        <f t="shared" si="85"/>
        <v>23</v>
      </c>
      <c r="D165" s="74">
        <f t="shared" si="68"/>
        <v>13</v>
      </c>
      <c r="E165" s="75">
        <f t="shared" si="69"/>
        <v>4</v>
      </c>
      <c r="F165" s="79"/>
      <c r="G165" s="82"/>
      <c r="H165" s="68" t="str">
        <f t="shared" si="86"/>
        <v>Lacine13_20191123_13_00</v>
      </c>
      <c r="I165" s="69">
        <f t="shared" ref="I165:N180" si="89">I164</f>
        <v>1</v>
      </c>
      <c r="J165" s="76" t="str">
        <f t="shared" si="89"/>
        <v>Lactuca</v>
      </c>
      <c r="K165" s="76" t="str">
        <f t="shared" si="89"/>
        <v>inermis</v>
      </c>
      <c r="L165" s="77">
        <f t="shared" si="89"/>
        <v>13</v>
      </c>
      <c r="M165" s="77">
        <f t="shared" si="89"/>
        <v>2</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2019</v>
      </c>
      <c r="B166" s="72" t="str">
        <f t="shared" si="67"/>
        <v>Nov</v>
      </c>
      <c r="C166" s="73">
        <f t="shared" si="85"/>
        <v>23</v>
      </c>
      <c r="D166" s="74">
        <f t="shared" si="68"/>
        <v>13</v>
      </c>
      <c r="E166" s="75">
        <f t="shared" si="69"/>
        <v>5</v>
      </c>
      <c r="F166" s="79"/>
      <c r="G166" s="82"/>
      <c r="H166" s="68" t="str">
        <f t="shared" si="86"/>
        <v>Lacine13_20191123_13_00</v>
      </c>
      <c r="I166" s="69">
        <f t="shared" si="89"/>
        <v>1</v>
      </c>
      <c r="J166" s="76" t="str">
        <f t="shared" si="89"/>
        <v>Lactuca</v>
      </c>
      <c r="K166" s="76" t="str">
        <f t="shared" si="89"/>
        <v>inermis</v>
      </c>
      <c r="L166" s="77">
        <f t="shared" si="89"/>
        <v>13</v>
      </c>
      <c r="M166" s="77">
        <f t="shared" si="89"/>
        <v>2</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2019</v>
      </c>
      <c r="B167" s="72" t="str">
        <f t="shared" si="67"/>
        <v>Nov</v>
      </c>
      <c r="C167" s="73">
        <f t="shared" si="85"/>
        <v>23</v>
      </c>
      <c r="D167" s="74">
        <f t="shared" si="68"/>
        <v>13</v>
      </c>
      <c r="E167" s="75">
        <f t="shared" si="69"/>
        <v>6</v>
      </c>
      <c r="F167" s="79"/>
      <c r="G167" s="82"/>
      <c r="H167" s="68" t="str">
        <f t="shared" si="86"/>
        <v>Lacine13_20191123_13_00</v>
      </c>
      <c r="I167" s="69">
        <f t="shared" si="89"/>
        <v>1</v>
      </c>
      <c r="J167" s="76" t="str">
        <f t="shared" si="89"/>
        <v>Lactuca</v>
      </c>
      <c r="K167" s="76" t="str">
        <f t="shared" si="89"/>
        <v>inermis</v>
      </c>
      <c r="L167" s="77">
        <f t="shared" si="89"/>
        <v>13</v>
      </c>
      <c r="M167" s="77">
        <f t="shared" si="89"/>
        <v>2</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2019</v>
      </c>
      <c r="B168" s="72" t="str">
        <f t="shared" si="67"/>
        <v>Nov</v>
      </c>
      <c r="C168" s="73">
        <f t="shared" si="85"/>
        <v>23</v>
      </c>
      <c r="D168" s="74">
        <f t="shared" si="68"/>
        <v>13</v>
      </c>
      <c r="E168" s="75">
        <f t="shared" si="69"/>
        <v>7</v>
      </c>
      <c r="F168" s="79"/>
      <c r="G168" s="82"/>
      <c r="H168" s="68" t="str">
        <f t="shared" si="86"/>
        <v>Lacine13_20191123_13_00</v>
      </c>
      <c r="I168" s="69">
        <f t="shared" si="89"/>
        <v>1</v>
      </c>
      <c r="J168" s="76" t="str">
        <f t="shared" si="89"/>
        <v>Lactuca</v>
      </c>
      <c r="K168" s="76" t="str">
        <f t="shared" si="89"/>
        <v>inermis</v>
      </c>
      <c r="L168" s="77">
        <f t="shared" si="89"/>
        <v>13</v>
      </c>
      <c r="M168" s="77">
        <f t="shared" si="89"/>
        <v>2</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2019</v>
      </c>
      <c r="B169" s="72" t="str">
        <f t="shared" si="67"/>
        <v>Nov</v>
      </c>
      <c r="C169" s="73">
        <f t="shared" si="85"/>
        <v>23</v>
      </c>
      <c r="D169" s="74">
        <f t="shared" si="68"/>
        <v>13</v>
      </c>
      <c r="E169" s="75">
        <f t="shared" si="69"/>
        <v>8</v>
      </c>
      <c r="F169" s="79"/>
      <c r="G169" s="82"/>
      <c r="H169" s="68" t="str">
        <f t="shared" si="86"/>
        <v>Lacine13_20191123_13_00</v>
      </c>
      <c r="I169" s="69">
        <f t="shared" si="89"/>
        <v>1</v>
      </c>
      <c r="J169" s="76" t="str">
        <f t="shared" si="89"/>
        <v>Lactuca</v>
      </c>
      <c r="K169" s="76" t="str">
        <f t="shared" si="89"/>
        <v>inermis</v>
      </c>
      <c r="L169" s="77">
        <f t="shared" si="89"/>
        <v>13</v>
      </c>
      <c r="M169" s="77">
        <f t="shared" si="89"/>
        <v>2</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2019</v>
      </c>
      <c r="B170" s="72" t="str">
        <f t="shared" si="67"/>
        <v>Nov</v>
      </c>
      <c r="C170" s="73">
        <f t="shared" si="85"/>
        <v>23</v>
      </c>
      <c r="D170" s="74">
        <f t="shared" si="68"/>
        <v>13</v>
      </c>
      <c r="E170" s="75">
        <f t="shared" si="69"/>
        <v>9</v>
      </c>
      <c r="F170" s="79"/>
      <c r="G170" s="82"/>
      <c r="H170" s="68" t="str">
        <f t="shared" si="86"/>
        <v>Lacine13_20191123_13_00</v>
      </c>
      <c r="I170" s="69">
        <f t="shared" si="89"/>
        <v>1</v>
      </c>
      <c r="J170" s="76" t="str">
        <f t="shared" si="89"/>
        <v>Lactuca</v>
      </c>
      <c r="K170" s="76" t="str">
        <f t="shared" si="89"/>
        <v>inermis</v>
      </c>
      <c r="L170" s="77">
        <f t="shared" si="89"/>
        <v>13</v>
      </c>
      <c r="M170" s="77">
        <f t="shared" si="89"/>
        <v>2</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2019</v>
      </c>
      <c r="B171" s="72" t="str">
        <f t="shared" si="67"/>
        <v>Nov</v>
      </c>
      <c r="C171" s="73">
        <f t="shared" si="85"/>
        <v>23</v>
      </c>
      <c r="D171" s="74">
        <f t="shared" si="68"/>
        <v>13</v>
      </c>
      <c r="E171" s="75">
        <f t="shared" si="69"/>
        <v>10</v>
      </c>
      <c r="F171" s="79"/>
      <c r="G171" s="82"/>
      <c r="H171" s="68" t="str">
        <f t="shared" si="86"/>
        <v>Lacine13_20191123_13_00</v>
      </c>
      <c r="I171" s="69">
        <f t="shared" si="89"/>
        <v>1</v>
      </c>
      <c r="J171" s="76" t="str">
        <f t="shared" si="89"/>
        <v>Lactuca</v>
      </c>
      <c r="K171" s="76" t="str">
        <f t="shared" si="89"/>
        <v>inermis</v>
      </c>
      <c r="L171" s="77">
        <f t="shared" si="89"/>
        <v>13</v>
      </c>
      <c r="M171" s="77">
        <f t="shared" si="89"/>
        <v>2</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2019</v>
      </c>
      <c r="B172" s="72" t="str">
        <f t="shared" si="67"/>
        <v>Nov</v>
      </c>
      <c r="C172" s="73">
        <f t="shared" si="85"/>
        <v>23</v>
      </c>
      <c r="D172" s="74">
        <f t="shared" si="68"/>
        <v>13</v>
      </c>
      <c r="E172" s="75">
        <f t="shared" si="69"/>
        <v>11</v>
      </c>
      <c r="F172" s="79"/>
      <c r="G172" s="82"/>
      <c r="H172" s="68" t="str">
        <f t="shared" si="86"/>
        <v>Lacine13_20191123_13_00</v>
      </c>
      <c r="I172" s="69">
        <f t="shared" si="89"/>
        <v>1</v>
      </c>
      <c r="J172" s="76" t="str">
        <f t="shared" si="89"/>
        <v>Lactuca</v>
      </c>
      <c r="K172" s="76" t="str">
        <f t="shared" si="89"/>
        <v>inermis</v>
      </c>
      <c r="L172" s="77">
        <f t="shared" si="89"/>
        <v>13</v>
      </c>
      <c r="M172" s="77">
        <f t="shared" si="89"/>
        <v>2</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2019</v>
      </c>
      <c r="B173" s="72" t="str">
        <f t="shared" si="67"/>
        <v>Nov</v>
      </c>
      <c r="C173" s="73">
        <f t="shared" si="85"/>
        <v>23</v>
      </c>
      <c r="D173" s="74">
        <f t="shared" si="68"/>
        <v>13</v>
      </c>
      <c r="E173" s="75">
        <f t="shared" si="69"/>
        <v>12</v>
      </c>
      <c r="F173" s="79"/>
      <c r="G173" s="82"/>
      <c r="H173" s="68" t="str">
        <f t="shared" si="86"/>
        <v>Lacine13_20191123_13_00</v>
      </c>
      <c r="I173" s="69">
        <f t="shared" si="89"/>
        <v>1</v>
      </c>
      <c r="J173" s="76" t="str">
        <f t="shared" si="89"/>
        <v>Lactuca</v>
      </c>
      <c r="K173" s="76" t="str">
        <f t="shared" si="89"/>
        <v>inermis</v>
      </c>
      <c r="L173" s="77">
        <f t="shared" si="89"/>
        <v>13</v>
      </c>
      <c r="M173" s="77">
        <f t="shared" si="89"/>
        <v>2</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2019</v>
      </c>
      <c r="B174" s="72" t="str">
        <f t="shared" si="67"/>
        <v>Nov</v>
      </c>
      <c r="C174" s="73">
        <f t="shared" si="85"/>
        <v>23</v>
      </c>
      <c r="D174" s="74">
        <f t="shared" si="68"/>
        <v>13</v>
      </c>
      <c r="E174" s="75">
        <f t="shared" si="69"/>
        <v>13</v>
      </c>
      <c r="F174" s="79"/>
      <c r="G174" s="82"/>
      <c r="H174" s="68" t="str">
        <f t="shared" si="86"/>
        <v>Lacine13_20191123_13_00</v>
      </c>
      <c r="I174" s="69">
        <f t="shared" si="89"/>
        <v>1</v>
      </c>
      <c r="J174" s="76" t="str">
        <f t="shared" si="89"/>
        <v>Lactuca</v>
      </c>
      <c r="K174" s="76" t="str">
        <f t="shared" si="89"/>
        <v>inermis</v>
      </c>
      <c r="L174" s="77">
        <f t="shared" si="89"/>
        <v>13</v>
      </c>
      <c r="M174" s="77">
        <f t="shared" si="89"/>
        <v>2</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2019</v>
      </c>
      <c r="B175" s="72" t="str">
        <f t="shared" si="67"/>
        <v>Nov</v>
      </c>
      <c r="C175" s="73">
        <f t="shared" si="85"/>
        <v>23</v>
      </c>
      <c r="D175" s="74">
        <f t="shared" si="68"/>
        <v>13</v>
      </c>
      <c r="E175" s="75">
        <f t="shared" si="69"/>
        <v>14</v>
      </c>
      <c r="F175" s="79"/>
      <c r="G175" s="82"/>
      <c r="H175" s="68" t="str">
        <f t="shared" si="86"/>
        <v>Lacine13_20191123_13_00</v>
      </c>
      <c r="I175" s="69">
        <f t="shared" si="89"/>
        <v>1</v>
      </c>
      <c r="J175" s="76" t="str">
        <f t="shared" si="89"/>
        <v>Lactuca</v>
      </c>
      <c r="K175" s="76" t="str">
        <f t="shared" si="89"/>
        <v>inermis</v>
      </c>
      <c r="L175" s="77">
        <f t="shared" si="89"/>
        <v>13</v>
      </c>
      <c r="M175" s="77">
        <f t="shared" si="89"/>
        <v>2</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2019</v>
      </c>
      <c r="B176" s="72" t="str">
        <f t="shared" si="67"/>
        <v>Nov</v>
      </c>
      <c r="C176" s="73">
        <f t="shared" si="85"/>
        <v>23</v>
      </c>
      <c r="D176" s="74">
        <f t="shared" si="68"/>
        <v>13</v>
      </c>
      <c r="E176" s="75">
        <f t="shared" si="69"/>
        <v>15</v>
      </c>
      <c r="F176" s="79"/>
      <c r="G176" s="82"/>
      <c r="H176" s="68" t="str">
        <f t="shared" si="86"/>
        <v>Lacine13_20191123_13_00</v>
      </c>
      <c r="I176" s="69">
        <f t="shared" si="89"/>
        <v>1</v>
      </c>
      <c r="J176" s="76" t="str">
        <f t="shared" si="89"/>
        <v>Lactuca</v>
      </c>
      <c r="K176" s="76" t="str">
        <f t="shared" si="89"/>
        <v>inermis</v>
      </c>
      <c r="L176" s="77">
        <f t="shared" si="89"/>
        <v>13</v>
      </c>
      <c r="M176" s="77">
        <f t="shared" si="89"/>
        <v>2</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2019</v>
      </c>
      <c r="B177" s="72" t="str">
        <f t="shared" si="67"/>
        <v>Nov</v>
      </c>
      <c r="C177" s="73">
        <f t="shared" si="85"/>
        <v>23</v>
      </c>
      <c r="D177" s="74">
        <f t="shared" si="68"/>
        <v>13</v>
      </c>
      <c r="E177" s="75">
        <f t="shared" si="69"/>
        <v>16</v>
      </c>
      <c r="F177" s="79"/>
      <c r="G177" s="82"/>
      <c r="H177" s="68" t="str">
        <f t="shared" si="86"/>
        <v>Lacine13_20191123_13_00</v>
      </c>
      <c r="I177" s="69">
        <f t="shared" si="89"/>
        <v>1</v>
      </c>
      <c r="J177" s="76" t="str">
        <f t="shared" si="89"/>
        <v>Lactuca</v>
      </c>
      <c r="K177" s="76" t="str">
        <f t="shared" si="89"/>
        <v>inermis</v>
      </c>
      <c r="L177" s="77">
        <f t="shared" si="89"/>
        <v>13</v>
      </c>
      <c r="M177" s="77">
        <f t="shared" si="89"/>
        <v>2</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2019</v>
      </c>
      <c r="B178" s="72" t="str">
        <f t="shared" si="67"/>
        <v>Nov</v>
      </c>
      <c r="C178" s="73">
        <f t="shared" si="85"/>
        <v>23</v>
      </c>
      <c r="D178" s="74">
        <f t="shared" si="68"/>
        <v>13</v>
      </c>
      <c r="E178" s="75">
        <f t="shared" si="69"/>
        <v>17</v>
      </c>
      <c r="F178" s="79"/>
      <c r="G178" s="82"/>
      <c r="H178" s="68" t="str">
        <f t="shared" si="86"/>
        <v>Lacine13_20191123_13_00</v>
      </c>
      <c r="I178" s="69">
        <f t="shared" si="89"/>
        <v>1</v>
      </c>
      <c r="J178" s="76" t="str">
        <f t="shared" si="89"/>
        <v>Lactuca</v>
      </c>
      <c r="K178" s="76" t="str">
        <f t="shared" si="89"/>
        <v>inermis</v>
      </c>
      <c r="L178" s="77">
        <f t="shared" si="89"/>
        <v>13</v>
      </c>
      <c r="M178" s="77">
        <f t="shared" si="89"/>
        <v>2</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2019</v>
      </c>
      <c r="B179" s="72" t="str">
        <f t="shared" si="67"/>
        <v>Nov</v>
      </c>
      <c r="C179" s="73">
        <f t="shared" si="85"/>
        <v>23</v>
      </c>
      <c r="D179" s="74">
        <f t="shared" si="68"/>
        <v>13</v>
      </c>
      <c r="E179" s="75">
        <f t="shared" si="69"/>
        <v>18</v>
      </c>
      <c r="F179" s="79"/>
      <c r="G179" s="82"/>
      <c r="H179" s="68" t="str">
        <f t="shared" si="86"/>
        <v>Lacine13_20191123_13_00</v>
      </c>
      <c r="I179" s="69">
        <f t="shared" si="89"/>
        <v>1</v>
      </c>
      <c r="J179" s="76" t="str">
        <f t="shared" si="89"/>
        <v>Lactuca</v>
      </c>
      <c r="K179" s="76" t="str">
        <f t="shared" si="89"/>
        <v>inermis</v>
      </c>
      <c r="L179" s="77">
        <f t="shared" si="89"/>
        <v>13</v>
      </c>
      <c r="M179" s="77">
        <f t="shared" si="89"/>
        <v>2</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2019</v>
      </c>
      <c r="B180" s="72" t="str">
        <f t="shared" si="67"/>
        <v>Nov</v>
      </c>
      <c r="C180" s="73">
        <f t="shared" si="85"/>
        <v>23</v>
      </c>
      <c r="D180" s="74">
        <f t="shared" si="68"/>
        <v>13</v>
      </c>
      <c r="E180" s="75">
        <f t="shared" si="69"/>
        <v>19</v>
      </c>
      <c r="F180" s="79"/>
      <c r="G180" s="82"/>
      <c r="H180" s="68" t="str">
        <f t="shared" si="86"/>
        <v>Lacine13_20191123_13_00</v>
      </c>
      <c r="I180" s="69">
        <f t="shared" si="89"/>
        <v>1</v>
      </c>
      <c r="J180" s="76" t="str">
        <f t="shared" si="89"/>
        <v>Lactuca</v>
      </c>
      <c r="K180" s="76" t="str">
        <f t="shared" si="89"/>
        <v>inermis</v>
      </c>
      <c r="L180" s="77">
        <f t="shared" si="89"/>
        <v>13</v>
      </c>
      <c r="M180" s="77">
        <f t="shared" si="89"/>
        <v>2</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2019</v>
      </c>
      <c r="B181" s="72" t="str">
        <f t="shared" si="67"/>
        <v>Nov</v>
      </c>
      <c r="C181" s="73">
        <f t="shared" si="85"/>
        <v>23</v>
      </c>
      <c r="D181" s="74">
        <f t="shared" si="68"/>
        <v>13</v>
      </c>
      <c r="E181" s="75">
        <f t="shared" si="69"/>
        <v>20</v>
      </c>
      <c r="F181" s="79"/>
      <c r="G181" s="82"/>
      <c r="H181" s="68" t="str">
        <f t="shared" si="86"/>
        <v>Lacine13_20191123_13_00</v>
      </c>
      <c r="I181" s="69">
        <f t="shared" ref="I181:N196" si="90">I180</f>
        <v>1</v>
      </c>
      <c r="J181" s="76" t="str">
        <f t="shared" si="90"/>
        <v>Lactuca</v>
      </c>
      <c r="K181" s="76" t="str">
        <f t="shared" si="90"/>
        <v>inermis</v>
      </c>
      <c r="L181" s="77">
        <f t="shared" si="90"/>
        <v>13</v>
      </c>
      <c r="M181" s="77">
        <f t="shared" si="90"/>
        <v>2</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2019</v>
      </c>
      <c r="B182" s="72" t="str">
        <f t="shared" si="67"/>
        <v>Nov</v>
      </c>
      <c r="C182" s="73">
        <f t="shared" si="85"/>
        <v>23</v>
      </c>
      <c r="D182" s="74">
        <f t="shared" si="68"/>
        <v>13</v>
      </c>
      <c r="E182" s="75">
        <f t="shared" si="69"/>
        <v>21</v>
      </c>
      <c r="F182" s="79"/>
      <c r="G182" s="82"/>
      <c r="H182" s="68" t="str">
        <f t="shared" si="86"/>
        <v>Lacine13_20191123_13_00</v>
      </c>
      <c r="I182" s="69">
        <f t="shared" si="90"/>
        <v>1</v>
      </c>
      <c r="J182" s="76" t="str">
        <f t="shared" si="90"/>
        <v>Lactuca</v>
      </c>
      <c r="K182" s="76" t="str">
        <f t="shared" si="90"/>
        <v>inermis</v>
      </c>
      <c r="L182" s="77">
        <f t="shared" si="90"/>
        <v>13</v>
      </c>
      <c r="M182" s="77">
        <f t="shared" si="90"/>
        <v>2</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2019</v>
      </c>
      <c r="B183" s="72" t="str">
        <f t="shared" si="67"/>
        <v>Nov</v>
      </c>
      <c r="C183" s="73">
        <f t="shared" si="85"/>
        <v>23</v>
      </c>
      <c r="D183" s="74">
        <f t="shared" si="68"/>
        <v>13</v>
      </c>
      <c r="E183" s="75">
        <f t="shared" si="69"/>
        <v>22</v>
      </c>
      <c r="F183" s="79"/>
      <c r="G183" s="82"/>
      <c r="H183" s="68" t="str">
        <f t="shared" si="86"/>
        <v>Lacine13_20191123_13_00</v>
      </c>
      <c r="I183" s="69">
        <f t="shared" si="90"/>
        <v>1</v>
      </c>
      <c r="J183" s="76" t="str">
        <f t="shared" si="90"/>
        <v>Lactuca</v>
      </c>
      <c r="K183" s="76" t="str">
        <f t="shared" si="90"/>
        <v>inermis</v>
      </c>
      <c r="L183" s="77">
        <f t="shared" si="90"/>
        <v>13</v>
      </c>
      <c r="M183" s="77">
        <f t="shared" si="90"/>
        <v>2</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2019</v>
      </c>
      <c r="B184" s="72" t="str">
        <f t="shared" si="67"/>
        <v>Nov</v>
      </c>
      <c r="C184" s="73">
        <f t="shared" si="85"/>
        <v>23</v>
      </c>
      <c r="D184" s="74">
        <f t="shared" si="68"/>
        <v>13</v>
      </c>
      <c r="E184" s="75">
        <f t="shared" si="69"/>
        <v>23</v>
      </c>
      <c r="F184" s="79"/>
      <c r="G184" s="82"/>
      <c r="H184" s="68" t="str">
        <f t="shared" si="86"/>
        <v>Lacine13_20191123_13_00</v>
      </c>
      <c r="I184" s="69">
        <f t="shared" si="90"/>
        <v>1</v>
      </c>
      <c r="J184" s="76" t="str">
        <f t="shared" si="90"/>
        <v>Lactuca</v>
      </c>
      <c r="K184" s="76" t="str">
        <f t="shared" si="90"/>
        <v>inermis</v>
      </c>
      <c r="L184" s="77">
        <f t="shared" si="90"/>
        <v>13</v>
      </c>
      <c r="M184" s="77">
        <f t="shared" si="90"/>
        <v>2</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2019</v>
      </c>
      <c r="B185" s="72" t="str">
        <f t="shared" si="67"/>
        <v>Nov</v>
      </c>
      <c r="C185" s="73">
        <f t="shared" si="85"/>
        <v>23</v>
      </c>
      <c r="D185" s="74">
        <f t="shared" si="68"/>
        <v>13</v>
      </c>
      <c r="E185" s="75">
        <f t="shared" si="69"/>
        <v>24</v>
      </c>
      <c r="F185" s="79"/>
      <c r="G185" s="82"/>
      <c r="H185" s="68" t="str">
        <f t="shared" si="86"/>
        <v>Lacine13_20191123_13_00</v>
      </c>
      <c r="I185" s="69">
        <f t="shared" si="90"/>
        <v>1</v>
      </c>
      <c r="J185" s="76" t="str">
        <f t="shared" si="90"/>
        <v>Lactuca</v>
      </c>
      <c r="K185" s="76" t="str">
        <f t="shared" si="90"/>
        <v>inermis</v>
      </c>
      <c r="L185" s="77">
        <f t="shared" si="90"/>
        <v>13</v>
      </c>
      <c r="M185" s="77">
        <f t="shared" si="90"/>
        <v>2</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2019</v>
      </c>
      <c r="B186" s="72" t="str">
        <f t="shared" si="67"/>
        <v>Nov</v>
      </c>
      <c r="C186" s="73">
        <f t="shared" si="85"/>
        <v>23</v>
      </c>
      <c r="D186" s="74">
        <f t="shared" si="68"/>
        <v>13</v>
      </c>
      <c r="E186" s="75">
        <f t="shared" si="69"/>
        <v>25</v>
      </c>
      <c r="F186" s="79"/>
      <c r="G186" s="82"/>
      <c r="H186" s="68" t="str">
        <f t="shared" si="86"/>
        <v>Lacine13_20191123_13_00</v>
      </c>
      <c r="I186" s="69">
        <f t="shared" si="90"/>
        <v>1</v>
      </c>
      <c r="J186" s="76" t="str">
        <f t="shared" si="90"/>
        <v>Lactuca</v>
      </c>
      <c r="K186" s="76" t="str">
        <f t="shared" si="90"/>
        <v>inermis</v>
      </c>
      <c r="L186" s="77">
        <f t="shared" si="90"/>
        <v>13</v>
      </c>
      <c r="M186" s="77">
        <f t="shared" si="90"/>
        <v>2</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2019</v>
      </c>
      <c r="B187" s="72" t="str">
        <f t="shared" si="67"/>
        <v>Nov</v>
      </c>
      <c r="C187" s="73">
        <f t="shared" si="85"/>
        <v>23</v>
      </c>
      <c r="D187" s="74">
        <f t="shared" si="68"/>
        <v>13</v>
      </c>
      <c r="E187" s="75">
        <f t="shared" si="69"/>
        <v>26</v>
      </c>
      <c r="F187" s="79"/>
      <c r="G187" s="82"/>
      <c r="H187" s="68" t="str">
        <f t="shared" si="86"/>
        <v>Lacine13_20191123_13_00</v>
      </c>
      <c r="I187" s="69">
        <f t="shared" si="90"/>
        <v>1</v>
      </c>
      <c r="J187" s="76" t="str">
        <f t="shared" si="90"/>
        <v>Lactuca</v>
      </c>
      <c r="K187" s="76" t="str">
        <f t="shared" si="90"/>
        <v>inermis</v>
      </c>
      <c r="L187" s="77">
        <f t="shared" si="90"/>
        <v>13</v>
      </c>
      <c r="M187" s="77">
        <f t="shared" si="90"/>
        <v>2</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2019</v>
      </c>
      <c r="B188" s="72" t="str">
        <f t="shared" si="67"/>
        <v>Nov</v>
      </c>
      <c r="C188" s="73">
        <f t="shared" si="85"/>
        <v>23</v>
      </c>
      <c r="D188" s="74">
        <f t="shared" si="68"/>
        <v>13</v>
      </c>
      <c r="E188" s="75">
        <f t="shared" si="69"/>
        <v>27</v>
      </c>
      <c r="F188" s="79"/>
      <c r="G188" s="82"/>
      <c r="H188" s="68" t="str">
        <f t="shared" si="86"/>
        <v>Lacine13_20191123_13_00</v>
      </c>
      <c r="I188" s="69">
        <f t="shared" si="90"/>
        <v>1</v>
      </c>
      <c r="J188" s="76" t="str">
        <f t="shared" si="90"/>
        <v>Lactuca</v>
      </c>
      <c r="K188" s="76" t="str">
        <f t="shared" si="90"/>
        <v>inermis</v>
      </c>
      <c r="L188" s="77">
        <f t="shared" si="90"/>
        <v>13</v>
      </c>
      <c r="M188" s="77">
        <f t="shared" si="90"/>
        <v>2</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2019</v>
      </c>
      <c r="B189" s="72" t="str">
        <f t="shared" si="67"/>
        <v>Nov</v>
      </c>
      <c r="C189" s="73">
        <f t="shared" si="85"/>
        <v>23</v>
      </c>
      <c r="D189" s="74">
        <f t="shared" si="68"/>
        <v>13</v>
      </c>
      <c r="E189" s="75">
        <f t="shared" si="69"/>
        <v>28</v>
      </c>
      <c r="F189" s="79"/>
      <c r="G189" s="82"/>
      <c r="H189" s="68" t="str">
        <f t="shared" si="86"/>
        <v>Lacine13_20191123_13_00</v>
      </c>
      <c r="I189" s="69">
        <f t="shared" si="90"/>
        <v>1</v>
      </c>
      <c r="J189" s="76" t="str">
        <f t="shared" si="90"/>
        <v>Lactuca</v>
      </c>
      <c r="K189" s="76" t="str">
        <f t="shared" si="90"/>
        <v>inermis</v>
      </c>
      <c r="L189" s="77">
        <f t="shared" si="90"/>
        <v>13</v>
      </c>
      <c r="M189" s="77">
        <f t="shared" si="90"/>
        <v>2</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2019</v>
      </c>
      <c r="B190" s="72" t="str">
        <f t="shared" si="67"/>
        <v>Nov</v>
      </c>
      <c r="C190" s="73">
        <f t="shared" si="85"/>
        <v>23</v>
      </c>
      <c r="D190" s="74">
        <f t="shared" si="68"/>
        <v>13</v>
      </c>
      <c r="E190" s="75">
        <f t="shared" si="69"/>
        <v>29</v>
      </c>
      <c r="F190" s="79"/>
      <c r="G190" s="82"/>
      <c r="H190" s="68" t="str">
        <f t="shared" si="86"/>
        <v>Lacine13_20191123_13_00</v>
      </c>
      <c r="I190" s="69">
        <f t="shared" si="90"/>
        <v>1</v>
      </c>
      <c r="J190" s="76" t="str">
        <f t="shared" si="90"/>
        <v>Lactuca</v>
      </c>
      <c r="K190" s="76" t="str">
        <f t="shared" si="90"/>
        <v>inermis</v>
      </c>
      <c r="L190" s="77">
        <f t="shared" si="90"/>
        <v>13</v>
      </c>
      <c r="M190" s="77">
        <f t="shared" si="90"/>
        <v>2</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2019</v>
      </c>
      <c r="B191" s="72" t="str">
        <f t="shared" si="67"/>
        <v>Nov</v>
      </c>
      <c r="C191" s="73">
        <f t="shared" si="85"/>
        <v>23</v>
      </c>
      <c r="D191" s="74">
        <f t="shared" si="68"/>
        <v>13</v>
      </c>
      <c r="E191" s="75">
        <f t="shared" si="69"/>
        <v>30</v>
      </c>
      <c r="F191" s="79"/>
      <c r="G191" s="82"/>
      <c r="H191" s="68" t="str">
        <f t="shared" si="86"/>
        <v>Lacine13_20191123_13_00</v>
      </c>
      <c r="I191" s="69">
        <f t="shared" si="90"/>
        <v>1</v>
      </c>
      <c r="J191" s="76" t="str">
        <f t="shared" si="90"/>
        <v>Lactuca</v>
      </c>
      <c r="K191" s="76" t="str">
        <f t="shared" si="90"/>
        <v>inermis</v>
      </c>
      <c r="L191" s="77">
        <f t="shared" si="90"/>
        <v>13</v>
      </c>
      <c r="M191" s="77">
        <f t="shared" si="90"/>
        <v>2</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2019</v>
      </c>
      <c r="B192" s="72" t="str">
        <f t="shared" si="67"/>
        <v>Nov</v>
      </c>
      <c r="C192" s="73">
        <f t="shared" si="85"/>
        <v>23</v>
      </c>
      <c r="D192" s="74">
        <f t="shared" si="68"/>
        <v>13</v>
      </c>
      <c r="E192" s="75">
        <f t="shared" si="69"/>
        <v>31</v>
      </c>
      <c r="F192" s="79"/>
      <c r="G192" s="82"/>
      <c r="H192" s="68" t="str">
        <f t="shared" si="86"/>
        <v>Lacine13_20191123_13_00</v>
      </c>
      <c r="I192" s="69">
        <f t="shared" si="90"/>
        <v>1</v>
      </c>
      <c r="J192" s="76" t="str">
        <f t="shared" si="90"/>
        <v>Lactuca</v>
      </c>
      <c r="K192" s="76" t="str">
        <f t="shared" si="90"/>
        <v>inermis</v>
      </c>
      <c r="L192" s="77">
        <f t="shared" si="90"/>
        <v>13</v>
      </c>
      <c r="M192" s="77">
        <f t="shared" si="90"/>
        <v>2</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2019</v>
      </c>
      <c r="B193" s="72" t="str">
        <f t="shared" si="67"/>
        <v>Nov</v>
      </c>
      <c r="C193" s="73">
        <f t="shared" si="85"/>
        <v>23</v>
      </c>
      <c r="D193" s="74">
        <f t="shared" si="68"/>
        <v>13</v>
      </c>
      <c r="E193" s="75">
        <f t="shared" si="69"/>
        <v>32</v>
      </c>
      <c r="F193" s="79"/>
      <c r="G193" s="82"/>
      <c r="H193" s="68" t="str">
        <f t="shared" si="86"/>
        <v>Lacine13_20191123_13_00</v>
      </c>
      <c r="I193" s="69">
        <f t="shared" si="90"/>
        <v>1</v>
      </c>
      <c r="J193" s="76" t="str">
        <f t="shared" si="90"/>
        <v>Lactuca</v>
      </c>
      <c r="K193" s="76" t="str">
        <f t="shared" si="90"/>
        <v>inermis</v>
      </c>
      <c r="L193" s="77">
        <f t="shared" si="90"/>
        <v>13</v>
      </c>
      <c r="M193" s="77">
        <f t="shared" si="90"/>
        <v>2</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2019</v>
      </c>
      <c r="B194" s="72" t="str">
        <f t="shared" si="67"/>
        <v>Nov</v>
      </c>
      <c r="C194" s="73">
        <f t="shared" si="85"/>
        <v>23</v>
      </c>
      <c r="D194" s="74">
        <f t="shared" si="68"/>
        <v>13</v>
      </c>
      <c r="E194" s="75">
        <f t="shared" si="69"/>
        <v>33</v>
      </c>
      <c r="F194" s="79"/>
      <c r="G194" s="82"/>
      <c r="H194" s="68" t="str">
        <f t="shared" si="86"/>
        <v>Lacine13_20191123_13_00</v>
      </c>
      <c r="I194" s="69">
        <f t="shared" si="90"/>
        <v>1</v>
      </c>
      <c r="J194" s="76" t="str">
        <f t="shared" si="90"/>
        <v>Lactuca</v>
      </c>
      <c r="K194" s="76" t="str">
        <f t="shared" si="90"/>
        <v>inermis</v>
      </c>
      <c r="L194" s="77">
        <f t="shared" si="90"/>
        <v>13</v>
      </c>
      <c r="M194" s="77">
        <f t="shared" si="90"/>
        <v>2</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2019</v>
      </c>
      <c r="B195" s="72" t="str">
        <f t="shared" si="67"/>
        <v>Nov</v>
      </c>
      <c r="C195" s="73">
        <f t="shared" si="85"/>
        <v>23</v>
      </c>
      <c r="D195" s="74">
        <f t="shared" si="68"/>
        <v>13</v>
      </c>
      <c r="E195" s="75">
        <f t="shared" si="69"/>
        <v>34</v>
      </c>
      <c r="F195" s="79"/>
      <c r="G195" s="82"/>
      <c r="H195" s="68" t="str">
        <f t="shared" si="86"/>
        <v>Lacine13_20191123_13_00</v>
      </c>
      <c r="I195" s="69">
        <f t="shared" si="90"/>
        <v>1</v>
      </c>
      <c r="J195" s="76" t="str">
        <f t="shared" si="90"/>
        <v>Lactuca</v>
      </c>
      <c r="K195" s="76" t="str">
        <f t="shared" si="90"/>
        <v>inermis</v>
      </c>
      <c r="L195" s="77">
        <f t="shared" si="90"/>
        <v>13</v>
      </c>
      <c r="M195" s="77">
        <f t="shared" si="90"/>
        <v>2</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2019</v>
      </c>
      <c r="B196" s="72" t="str">
        <f t="shared" ref="B196:B259" si="97">IF(C195-C196&gt;0, TEXT(DATE(2016,(MONTH(DATEVALUE(B195&amp;"1"))+1),1),"mmm"), B195)</f>
        <v>Nov</v>
      </c>
      <c r="C196" s="73">
        <f t="shared" si="85"/>
        <v>23</v>
      </c>
      <c r="D196" s="74">
        <f t="shared" ref="D196:D259" si="98">IF(IF(E195=59,D195+1,D195)=24,0,IF(E195=59,D195+1,D195))</f>
        <v>13</v>
      </c>
      <c r="E196" s="75">
        <f t="shared" ref="E196:E259" si="99">IF(E195&lt;59,E195+1,0)</f>
        <v>35</v>
      </c>
      <c r="F196" s="79"/>
      <c r="G196" s="82"/>
      <c r="H196" s="68" t="str">
        <f t="shared" si="86"/>
        <v>Lacine13_20191123_13_00</v>
      </c>
      <c r="I196" s="69">
        <f t="shared" si="90"/>
        <v>1</v>
      </c>
      <c r="J196" s="76" t="str">
        <f t="shared" si="90"/>
        <v>Lactuca</v>
      </c>
      <c r="K196" s="76" t="str">
        <f t="shared" si="90"/>
        <v>inermis</v>
      </c>
      <c r="L196" s="77">
        <f t="shared" si="90"/>
        <v>13</v>
      </c>
      <c r="M196" s="77">
        <f t="shared" si="90"/>
        <v>2</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2019</v>
      </c>
      <c r="B197" s="72" t="str">
        <f t="shared" si="97"/>
        <v>Nov</v>
      </c>
      <c r="C197" s="73">
        <f t="shared" ref="C197:C260" si="115">IF(AND(D197=0, E197=0), IF(TEXT(C196,"dd")=TEXT(EOMONTH(DATE(A196,MONTH(DATEVALUE(B196&amp;"1")),C196),0), "dd"), 1, C196+1), C196)</f>
        <v>23</v>
      </c>
      <c r="D197" s="74">
        <f t="shared" si="98"/>
        <v>13</v>
      </c>
      <c r="E197" s="75">
        <f t="shared" si="99"/>
        <v>36</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Lacine13_20191123_13_00</v>
      </c>
      <c r="I197" s="69">
        <f t="shared" ref="I197:N212" si="117">I196</f>
        <v>1</v>
      </c>
      <c r="J197" s="76" t="str">
        <f t="shared" si="117"/>
        <v>Lactuca</v>
      </c>
      <c r="K197" s="76" t="str">
        <f t="shared" si="117"/>
        <v>inermis</v>
      </c>
      <c r="L197" s="77">
        <f t="shared" si="117"/>
        <v>13</v>
      </c>
      <c r="M197" s="77">
        <f t="shared" si="117"/>
        <v>2</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2019</v>
      </c>
      <c r="B198" s="72" t="str">
        <f t="shared" si="97"/>
        <v>Nov</v>
      </c>
      <c r="C198" s="73">
        <f t="shared" si="115"/>
        <v>23</v>
      </c>
      <c r="D198" s="74">
        <f t="shared" si="98"/>
        <v>13</v>
      </c>
      <c r="E198" s="75">
        <f t="shared" si="99"/>
        <v>37</v>
      </c>
      <c r="F198" s="79"/>
      <c r="G198" s="82"/>
      <c r="H198" s="68" t="str">
        <f t="shared" si="116"/>
        <v>Lacine13_20191123_13_00</v>
      </c>
      <c r="I198" s="69">
        <f t="shared" si="117"/>
        <v>1</v>
      </c>
      <c r="J198" s="76" t="str">
        <f t="shared" si="117"/>
        <v>Lactuca</v>
      </c>
      <c r="K198" s="76" t="str">
        <f t="shared" si="117"/>
        <v>inermis</v>
      </c>
      <c r="L198" s="77">
        <f t="shared" si="117"/>
        <v>13</v>
      </c>
      <c r="M198" s="77">
        <f t="shared" si="117"/>
        <v>2</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2019</v>
      </c>
      <c r="B199" s="72" t="str">
        <f t="shared" si="97"/>
        <v>Nov</v>
      </c>
      <c r="C199" s="73">
        <f t="shared" si="115"/>
        <v>23</v>
      </c>
      <c r="D199" s="74">
        <f t="shared" si="98"/>
        <v>13</v>
      </c>
      <c r="E199" s="75">
        <f t="shared" si="99"/>
        <v>38</v>
      </c>
      <c r="F199" s="79"/>
      <c r="G199" s="82"/>
      <c r="H199" s="68" t="str">
        <f t="shared" si="116"/>
        <v>Lacine13_20191123_13_00</v>
      </c>
      <c r="I199" s="69">
        <f t="shared" si="117"/>
        <v>1</v>
      </c>
      <c r="J199" s="76" t="str">
        <f t="shared" si="117"/>
        <v>Lactuca</v>
      </c>
      <c r="K199" s="76" t="str">
        <f t="shared" si="117"/>
        <v>inermis</v>
      </c>
      <c r="L199" s="77">
        <f t="shared" si="117"/>
        <v>13</v>
      </c>
      <c r="M199" s="77">
        <f t="shared" si="117"/>
        <v>2</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2019</v>
      </c>
      <c r="B200" s="72" t="str">
        <f t="shared" si="97"/>
        <v>Nov</v>
      </c>
      <c r="C200" s="73">
        <f t="shared" si="115"/>
        <v>23</v>
      </c>
      <c r="D200" s="74">
        <f t="shared" si="98"/>
        <v>13</v>
      </c>
      <c r="E200" s="75">
        <f t="shared" si="99"/>
        <v>39</v>
      </c>
      <c r="F200" s="79"/>
      <c r="G200" s="82"/>
      <c r="H200" s="68" t="str">
        <f t="shared" si="116"/>
        <v>Lacine13_20191123_13_00</v>
      </c>
      <c r="I200" s="69">
        <f t="shared" si="117"/>
        <v>1</v>
      </c>
      <c r="J200" s="76" t="str">
        <f t="shared" si="117"/>
        <v>Lactuca</v>
      </c>
      <c r="K200" s="76" t="str">
        <f t="shared" si="117"/>
        <v>inermis</v>
      </c>
      <c r="L200" s="77">
        <f t="shared" si="117"/>
        <v>13</v>
      </c>
      <c r="M200" s="77">
        <f t="shared" si="117"/>
        <v>2</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2019</v>
      </c>
      <c r="B201" s="72" t="str">
        <f t="shared" si="97"/>
        <v>Nov</v>
      </c>
      <c r="C201" s="73">
        <f t="shared" si="115"/>
        <v>23</v>
      </c>
      <c r="D201" s="74">
        <f t="shared" si="98"/>
        <v>13</v>
      </c>
      <c r="E201" s="75">
        <f t="shared" si="99"/>
        <v>40</v>
      </c>
      <c r="F201" s="79"/>
      <c r="G201" s="82"/>
      <c r="H201" s="68" t="str">
        <f t="shared" si="116"/>
        <v>Lacine13_20191123_13_00</v>
      </c>
      <c r="I201" s="69">
        <f t="shared" si="117"/>
        <v>1</v>
      </c>
      <c r="J201" s="76" t="str">
        <f t="shared" si="117"/>
        <v>Lactuca</v>
      </c>
      <c r="K201" s="76" t="str">
        <f t="shared" si="117"/>
        <v>inermis</v>
      </c>
      <c r="L201" s="77">
        <f t="shared" si="117"/>
        <v>13</v>
      </c>
      <c r="M201" s="77">
        <f t="shared" si="117"/>
        <v>2</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x14ac:dyDescent="0.35">
      <c r="A202" s="72">
        <f t="shared" si="96"/>
        <v>2019</v>
      </c>
      <c r="B202" s="72" t="str">
        <f t="shared" si="97"/>
        <v>Nov</v>
      </c>
      <c r="C202" s="73">
        <f t="shared" si="115"/>
        <v>23</v>
      </c>
      <c r="D202" s="74">
        <f t="shared" si="98"/>
        <v>13</v>
      </c>
      <c r="E202" s="75">
        <f t="shared" si="99"/>
        <v>41</v>
      </c>
      <c r="F202" s="79">
        <v>43</v>
      </c>
      <c r="G202" s="82"/>
      <c r="H202" s="68" t="str">
        <f t="shared" si="116"/>
        <v>Lacine13_20191123_13_00</v>
      </c>
      <c r="I202" s="69">
        <f t="shared" si="117"/>
        <v>1</v>
      </c>
      <c r="J202" s="76" t="str">
        <f t="shared" si="117"/>
        <v>Lactuca</v>
      </c>
      <c r="K202" s="76" t="str">
        <f t="shared" si="117"/>
        <v>inermis</v>
      </c>
      <c r="L202" s="77">
        <f t="shared" si="117"/>
        <v>13</v>
      </c>
      <c r="M202" s="77">
        <f t="shared" si="117"/>
        <v>2</v>
      </c>
      <c r="N202" s="71">
        <f t="shared" si="117"/>
        <v>0</v>
      </c>
      <c r="O202" s="44"/>
      <c r="P202" s="45">
        <f t="shared" si="100"/>
        <v>1</v>
      </c>
      <c r="Q202" s="46" t="str">
        <f t="shared" si="101"/>
        <v>13:41:43</v>
      </c>
      <c r="R202" s="47" t="str">
        <f t="shared" si="102"/>
        <v>41:43</v>
      </c>
      <c r="S202" s="48">
        <f t="shared" si="91"/>
        <v>65</v>
      </c>
      <c r="T202" s="47" t="str">
        <f t="shared" si="103"/>
        <v>13</v>
      </c>
      <c r="U202" s="49">
        <v>42</v>
      </c>
      <c r="V202" s="50">
        <v>48</v>
      </c>
      <c r="W202" s="51" t="str">
        <f t="shared" si="104"/>
        <v>42:48</v>
      </c>
      <c r="X202" s="52" t="s">
        <v>59</v>
      </c>
      <c r="Y202" s="124" t="s">
        <v>89</v>
      </c>
      <c r="Z202" s="124" t="s">
        <v>92</v>
      </c>
      <c r="AA202" s="47" t="s">
        <v>82</v>
      </c>
      <c r="AB202" s="47" t="str">
        <f t="shared" si="105"/>
        <v>NA</v>
      </c>
      <c r="AC202" s="53">
        <f t="shared" si="106"/>
        <v>0</v>
      </c>
      <c r="AD202" s="54">
        <v>2</v>
      </c>
      <c r="AE202" s="54"/>
      <c r="AF202" s="54"/>
      <c r="AG202" s="55" t="str">
        <f t="shared" si="108"/>
        <v/>
      </c>
      <c r="AH202" s="56" t="str">
        <f t="shared" si="109"/>
        <v/>
      </c>
      <c r="AI202" s="55"/>
      <c r="AJ202" s="56" t="str">
        <f t="shared" si="110"/>
        <v/>
      </c>
      <c r="AK202" s="55"/>
      <c r="AL202" s="56" t="str">
        <f t="shared" si="111"/>
        <v/>
      </c>
      <c r="AM202" s="55">
        <v>1</v>
      </c>
      <c r="AN202" s="56">
        <f t="shared" si="112"/>
        <v>65</v>
      </c>
      <c r="AO202" s="55"/>
      <c r="AP202" s="56" t="str">
        <f t="shared" si="113"/>
        <v/>
      </c>
      <c r="AQ202" s="55"/>
      <c r="AR202" s="56" t="str">
        <f t="shared" si="114"/>
        <v/>
      </c>
      <c r="AS202" s="57"/>
      <c r="AT202" s="58"/>
      <c r="AU202" s="58"/>
      <c r="AV202" s="59"/>
      <c r="AW202" s="60">
        <v>1</v>
      </c>
      <c r="AX202" s="61">
        <f t="shared" si="93"/>
        <v>2</v>
      </c>
      <c r="AY202" s="60">
        <v>1</v>
      </c>
      <c r="AZ202" s="61">
        <f t="shared" si="95"/>
        <v>2</v>
      </c>
    </row>
    <row r="203" spans="1:52" s="3" customFormat="1" hidden="1" x14ac:dyDescent="0.35">
      <c r="A203" s="72">
        <f t="shared" si="96"/>
        <v>2019</v>
      </c>
      <c r="B203" s="72" t="str">
        <f t="shared" si="97"/>
        <v>Nov</v>
      </c>
      <c r="C203" s="73">
        <f t="shared" si="115"/>
        <v>23</v>
      </c>
      <c r="D203" s="74">
        <f t="shared" si="98"/>
        <v>13</v>
      </c>
      <c r="E203" s="75">
        <f t="shared" si="99"/>
        <v>42</v>
      </c>
      <c r="F203" s="79"/>
      <c r="G203" s="82"/>
      <c r="H203" s="68" t="str">
        <f t="shared" si="116"/>
        <v>Lacine13_20191123_13_00</v>
      </c>
      <c r="I203" s="69">
        <f t="shared" si="117"/>
        <v>1</v>
      </c>
      <c r="J203" s="76" t="str">
        <f t="shared" si="117"/>
        <v>Lactuca</v>
      </c>
      <c r="K203" s="76" t="str">
        <f t="shared" si="117"/>
        <v>inermis</v>
      </c>
      <c r="L203" s="77">
        <f t="shared" si="117"/>
        <v>13</v>
      </c>
      <c r="M203" s="77">
        <f t="shared" si="117"/>
        <v>2</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2019</v>
      </c>
      <c r="B204" s="72" t="str">
        <f t="shared" si="97"/>
        <v>Nov</v>
      </c>
      <c r="C204" s="73">
        <f t="shared" si="115"/>
        <v>23</v>
      </c>
      <c r="D204" s="74">
        <f t="shared" si="98"/>
        <v>13</v>
      </c>
      <c r="E204" s="75">
        <f t="shared" si="99"/>
        <v>43</v>
      </c>
      <c r="F204" s="79"/>
      <c r="G204" s="82"/>
      <c r="H204" s="68" t="str">
        <f t="shared" si="116"/>
        <v>Lacine13_20191123_13_00</v>
      </c>
      <c r="I204" s="69">
        <f t="shared" si="117"/>
        <v>1</v>
      </c>
      <c r="J204" s="76" t="str">
        <f t="shared" si="117"/>
        <v>Lactuca</v>
      </c>
      <c r="K204" s="76" t="str">
        <f t="shared" si="117"/>
        <v>inermis</v>
      </c>
      <c r="L204" s="77">
        <f t="shared" si="117"/>
        <v>13</v>
      </c>
      <c r="M204" s="77">
        <f t="shared" si="117"/>
        <v>2</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2019</v>
      </c>
      <c r="B205" s="72" t="str">
        <f t="shared" si="97"/>
        <v>Nov</v>
      </c>
      <c r="C205" s="73">
        <f t="shared" si="115"/>
        <v>23</v>
      </c>
      <c r="D205" s="74">
        <f t="shared" si="98"/>
        <v>13</v>
      </c>
      <c r="E205" s="75">
        <f t="shared" si="99"/>
        <v>44</v>
      </c>
      <c r="F205" s="79"/>
      <c r="G205" s="82"/>
      <c r="H205" s="68" t="str">
        <f t="shared" si="116"/>
        <v>Lacine13_20191123_13_00</v>
      </c>
      <c r="I205" s="69">
        <f t="shared" si="117"/>
        <v>1</v>
      </c>
      <c r="J205" s="76" t="str">
        <f t="shared" si="117"/>
        <v>Lactuca</v>
      </c>
      <c r="K205" s="76" t="str">
        <f t="shared" si="117"/>
        <v>inermis</v>
      </c>
      <c r="L205" s="77">
        <f t="shared" si="117"/>
        <v>13</v>
      </c>
      <c r="M205" s="77">
        <f t="shared" si="117"/>
        <v>2</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2019</v>
      </c>
      <c r="B206" s="72" t="str">
        <f t="shared" si="97"/>
        <v>Nov</v>
      </c>
      <c r="C206" s="73">
        <f t="shared" si="115"/>
        <v>23</v>
      </c>
      <c r="D206" s="74">
        <f t="shared" si="98"/>
        <v>13</v>
      </c>
      <c r="E206" s="75">
        <f t="shared" si="99"/>
        <v>45</v>
      </c>
      <c r="F206" s="79"/>
      <c r="G206" s="82"/>
      <c r="H206" s="68" t="str">
        <f t="shared" si="116"/>
        <v>Lacine13_20191123_13_00</v>
      </c>
      <c r="I206" s="69">
        <f t="shared" si="117"/>
        <v>1</v>
      </c>
      <c r="J206" s="76" t="str">
        <f t="shared" si="117"/>
        <v>Lactuca</v>
      </c>
      <c r="K206" s="76" t="str">
        <f t="shared" si="117"/>
        <v>inermis</v>
      </c>
      <c r="L206" s="77">
        <f t="shared" si="117"/>
        <v>13</v>
      </c>
      <c r="M206" s="77">
        <f t="shared" si="117"/>
        <v>2</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2019</v>
      </c>
      <c r="B207" s="72" t="str">
        <f t="shared" si="97"/>
        <v>Nov</v>
      </c>
      <c r="C207" s="73">
        <f t="shared" si="115"/>
        <v>23</v>
      </c>
      <c r="D207" s="74">
        <f t="shared" si="98"/>
        <v>13</v>
      </c>
      <c r="E207" s="75">
        <f t="shared" si="99"/>
        <v>46</v>
      </c>
      <c r="F207" s="79"/>
      <c r="G207" s="82"/>
      <c r="H207" s="68" t="str">
        <f t="shared" si="116"/>
        <v>Lacine13_20191123_13_00</v>
      </c>
      <c r="I207" s="69">
        <f t="shared" si="117"/>
        <v>1</v>
      </c>
      <c r="J207" s="76" t="str">
        <f t="shared" si="117"/>
        <v>Lactuca</v>
      </c>
      <c r="K207" s="76" t="str">
        <f t="shared" si="117"/>
        <v>inermis</v>
      </c>
      <c r="L207" s="77">
        <f t="shared" si="117"/>
        <v>13</v>
      </c>
      <c r="M207" s="77">
        <f t="shared" si="117"/>
        <v>2</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2019</v>
      </c>
      <c r="B208" s="72" t="str">
        <f t="shared" si="97"/>
        <v>Nov</v>
      </c>
      <c r="C208" s="73">
        <f t="shared" si="115"/>
        <v>23</v>
      </c>
      <c r="D208" s="74">
        <f t="shared" si="98"/>
        <v>13</v>
      </c>
      <c r="E208" s="75">
        <f t="shared" si="99"/>
        <v>47</v>
      </c>
      <c r="F208" s="79"/>
      <c r="G208" s="82"/>
      <c r="H208" s="68" t="str">
        <f t="shared" si="116"/>
        <v>Lacine13_20191123_13_00</v>
      </c>
      <c r="I208" s="69">
        <f t="shared" si="117"/>
        <v>1</v>
      </c>
      <c r="J208" s="76" t="str">
        <f t="shared" si="117"/>
        <v>Lactuca</v>
      </c>
      <c r="K208" s="76" t="str">
        <f t="shared" si="117"/>
        <v>inermis</v>
      </c>
      <c r="L208" s="77">
        <f t="shared" si="117"/>
        <v>13</v>
      </c>
      <c r="M208" s="77">
        <f t="shared" si="117"/>
        <v>2</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2019</v>
      </c>
      <c r="B209" s="72" t="str">
        <f t="shared" si="97"/>
        <v>Nov</v>
      </c>
      <c r="C209" s="73">
        <f t="shared" si="115"/>
        <v>23</v>
      </c>
      <c r="D209" s="74">
        <f t="shared" si="98"/>
        <v>13</v>
      </c>
      <c r="E209" s="75">
        <f t="shared" si="99"/>
        <v>48</v>
      </c>
      <c r="F209" s="79"/>
      <c r="G209" s="82"/>
      <c r="H209" s="68" t="str">
        <f t="shared" si="116"/>
        <v>Lacine13_20191123_13_00</v>
      </c>
      <c r="I209" s="69">
        <f t="shared" si="117"/>
        <v>1</v>
      </c>
      <c r="J209" s="76" t="str">
        <f t="shared" si="117"/>
        <v>Lactuca</v>
      </c>
      <c r="K209" s="76" t="str">
        <f t="shared" si="117"/>
        <v>inermis</v>
      </c>
      <c r="L209" s="77">
        <f t="shared" si="117"/>
        <v>13</v>
      </c>
      <c r="M209" s="77">
        <f t="shared" si="117"/>
        <v>2</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2019</v>
      </c>
      <c r="B210" s="72" t="str">
        <f t="shared" si="97"/>
        <v>Nov</v>
      </c>
      <c r="C210" s="73">
        <f t="shared" si="115"/>
        <v>23</v>
      </c>
      <c r="D210" s="74">
        <f t="shared" si="98"/>
        <v>13</v>
      </c>
      <c r="E210" s="75">
        <f t="shared" si="99"/>
        <v>49</v>
      </c>
      <c r="F210" s="79"/>
      <c r="G210" s="82"/>
      <c r="H210" s="68" t="str">
        <f t="shared" si="116"/>
        <v>Lacine13_20191123_13_00</v>
      </c>
      <c r="I210" s="69">
        <f t="shared" si="117"/>
        <v>1</v>
      </c>
      <c r="J210" s="76" t="str">
        <f t="shared" si="117"/>
        <v>Lactuca</v>
      </c>
      <c r="K210" s="76" t="str">
        <f t="shared" si="117"/>
        <v>inermis</v>
      </c>
      <c r="L210" s="77">
        <f t="shared" si="117"/>
        <v>13</v>
      </c>
      <c r="M210" s="77">
        <f t="shared" si="117"/>
        <v>2</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2019</v>
      </c>
      <c r="B211" s="72" t="str">
        <f t="shared" si="97"/>
        <v>Nov</v>
      </c>
      <c r="C211" s="73">
        <f t="shared" si="115"/>
        <v>23</v>
      </c>
      <c r="D211" s="74">
        <f t="shared" si="98"/>
        <v>13</v>
      </c>
      <c r="E211" s="75">
        <f t="shared" si="99"/>
        <v>50</v>
      </c>
      <c r="F211" s="79"/>
      <c r="G211" s="82"/>
      <c r="H211" s="68" t="str">
        <f t="shared" si="116"/>
        <v>Lacine13_20191123_13_00</v>
      </c>
      <c r="I211" s="69">
        <f t="shared" si="117"/>
        <v>1</v>
      </c>
      <c r="J211" s="76" t="str">
        <f t="shared" si="117"/>
        <v>Lactuca</v>
      </c>
      <c r="K211" s="76" t="str">
        <f t="shared" si="117"/>
        <v>inermis</v>
      </c>
      <c r="L211" s="77">
        <f t="shared" si="117"/>
        <v>13</v>
      </c>
      <c r="M211" s="77">
        <f t="shared" si="117"/>
        <v>2</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2019</v>
      </c>
      <c r="B212" s="72" t="str">
        <f t="shared" si="97"/>
        <v>Nov</v>
      </c>
      <c r="C212" s="73">
        <f t="shared" si="115"/>
        <v>23</v>
      </c>
      <c r="D212" s="74">
        <f t="shared" si="98"/>
        <v>13</v>
      </c>
      <c r="E212" s="75">
        <f t="shared" si="99"/>
        <v>51</v>
      </c>
      <c r="F212" s="79"/>
      <c r="G212" s="82"/>
      <c r="H212" s="68" t="str">
        <f t="shared" si="116"/>
        <v>Lacine13_20191123_13_00</v>
      </c>
      <c r="I212" s="69">
        <f t="shared" si="117"/>
        <v>1</v>
      </c>
      <c r="J212" s="76" t="str">
        <f t="shared" si="117"/>
        <v>Lactuca</v>
      </c>
      <c r="K212" s="76" t="str">
        <f t="shared" si="117"/>
        <v>inermis</v>
      </c>
      <c r="L212" s="77">
        <f t="shared" si="117"/>
        <v>13</v>
      </c>
      <c r="M212" s="77">
        <f t="shared" si="117"/>
        <v>2</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2019</v>
      </c>
      <c r="B213" s="72" t="str">
        <f t="shared" si="97"/>
        <v>Nov</v>
      </c>
      <c r="C213" s="73">
        <f t="shared" si="115"/>
        <v>23</v>
      </c>
      <c r="D213" s="74">
        <f t="shared" si="98"/>
        <v>13</v>
      </c>
      <c r="E213" s="75">
        <f t="shared" si="99"/>
        <v>52</v>
      </c>
      <c r="F213" s="79"/>
      <c r="G213" s="82"/>
      <c r="H213" s="68" t="str">
        <f t="shared" si="116"/>
        <v>Lacine13_20191123_13_00</v>
      </c>
      <c r="I213" s="69">
        <f t="shared" ref="I213:N228" si="118">I212</f>
        <v>1</v>
      </c>
      <c r="J213" s="76" t="str">
        <f t="shared" si="118"/>
        <v>Lactuca</v>
      </c>
      <c r="K213" s="76" t="str">
        <f t="shared" si="118"/>
        <v>inermis</v>
      </c>
      <c r="L213" s="77">
        <f t="shared" si="118"/>
        <v>13</v>
      </c>
      <c r="M213" s="77">
        <f t="shared" si="118"/>
        <v>2</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2019</v>
      </c>
      <c r="B214" s="72" t="str">
        <f t="shared" si="97"/>
        <v>Nov</v>
      </c>
      <c r="C214" s="73">
        <f t="shared" si="115"/>
        <v>23</v>
      </c>
      <c r="D214" s="74">
        <f t="shared" si="98"/>
        <v>13</v>
      </c>
      <c r="E214" s="75">
        <f t="shared" si="99"/>
        <v>53</v>
      </c>
      <c r="F214" s="79"/>
      <c r="G214" s="82"/>
      <c r="H214" s="68" t="str">
        <f t="shared" si="116"/>
        <v>Lacine13_20191123_13_00</v>
      </c>
      <c r="I214" s="69">
        <f t="shared" si="118"/>
        <v>1</v>
      </c>
      <c r="J214" s="76" t="str">
        <f t="shared" si="118"/>
        <v>Lactuca</v>
      </c>
      <c r="K214" s="76" t="str">
        <f t="shared" si="118"/>
        <v>inermis</v>
      </c>
      <c r="L214" s="77">
        <f t="shared" si="118"/>
        <v>13</v>
      </c>
      <c r="M214" s="77">
        <f t="shared" si="118"/>
        <v>2</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x14ac:dyDescent="0.35">
      <c r="A215" s="72">
        <f t="shared" si="96"/>
        <v>2019</v>
      </c>
      <c r="B215" s="72" t="str">
        <f t="shared" si="97"/>
        <v>Nov</v>
      </c>
      <c r="C215" s="73">
        <f t="shared" si="115"/>
        <v>23</v>
      </c>
      <c r="D215" s="74">
        <f t="shared" si="98"/>
        <v>13</v>
      </c>
      <c r="E215" s="75">
        <f t="shared" si="99"/>
        <v>54</v>
      </c>
      <c r="F215" s="79">
        <v>44</v>
      </c>
      <c r="G215" s="82"/>
      <c r="H215" s="68" t="str">
        <f t="shared" si="116"/>
        <v>Lacine13_20191123_13_00</v>
      </c>
      <c r="I215" s="69">
        <f t="shared" si="118"/>
        <v>1</v>
      </c>
      <c r="J215" s="76" t="str">
        <f t="shared" si="118"/>
        <v>Lactuca</v>
      </c>
      <c r="K215" s="76" t="str">
        <f t="shared" si="118"/>
        <v>inermis</v>
      </c>
      <c r="L215" s="77">
        <f t="shared" si="118"/>
        <v>13</v>
      </c>
      <c r="M215" s="77">
        <f t="shared" si="118"/>
        <v>2</v>
      </c>
      <c r="N215" s="71">
        <f t="shared" si="118"/>
        <v>0</v>
      </c>
      <c r="O215" s="44"/>
      <c r="P215" s="45">
        <f t="shared" si="100"/>
        <v>1</v>
      </c>
      <c r="Q215" s="46" t="str">
        <f t="shared" si="101"/>
        <v>13:54:44</v>
      </c>
      <c r="R215" s="47" t="str">
        <f t="shared" si="102"/>
        <v>54:44</v>
      </c>
      <c r="S215" s="48">
        <f t="shared" si="91"/>
        <v>88</v>
      </c>
      <c r="T215" s="47" t="str">
        <f t="shared" si="103"/>
        <v>13</v>
      </c>
      <c r="U215" s="49">
        <v>56</v>
      </c>
      <c r="V215" s="50">
        <v>12</v>
      </c>
      <c r="W215" s="51" t="str">
        <f t="shared" si="104"/>
        <v>56:12</v>
      </c>
      <c r="X215" s="52" t="s">
        <v>59</v>
      </c>
      <c r="Y215" s="124" t="s">
        <v>89</v>
      </c>
      <c r="Z215" s="124" t="s">
        <v>92</v>
      </c>
      <c r="AA215" s="47" t="s">
        <v>82</v>
      </c>
      <c r="AB215" s="47" t="str">
        <f t="shared" si="105"/>
        <v>NA</v>
      </c>
      <c r="AC215" s="53">
        <f t="shared" si="106"/>
        <v>0</v>
      </c>
      <c r="AD215" s="54">
        <v>2</v>
      </c>
      <c r="AE215" s="54"/>
      <c r="AF215" s="54"/>
      <c r="AG215" s="55" t="str">
        <f t="shared" si="108"/>
        <v/>
      </c>
      <c r="AH215" s="56" t="str">
        <f t="shared" si="109"/>
        <v/>
      </c>
      <c r="AI215" s="55"/>
      <c r="AJ215" s="56" t="str">
        <f t="shared" si="110"/>
        <v/>
      </c>
      <c r="AK215" s="55"/>
      <c r="AL215" s="56" t="str">
        <f t="shared" si="111"/>
        <v/>
      </c>
      <c r="AM215" s="55">
        <v>1</v>
      </c>
      <c r="AN215" s="56">
        <f t="shared" si="112"/>
        <v>88</v>
      </c>
      <c r="AO215" s="55"/>
      <c r="AP215" s="56" t="str">
        <f t="shared" si="113"/>
        <v/>
      </c>
      <c r="AQ215" s="55"/>
      <c r="AR215" s="56" t="str">
        <f t="shared" si="114"/>
        <v/>
      </c>
      <c r="AS215" s="57"/>
      <c r="AT215" s="58"/>
      <c r="AU215" s="58"/>
      <c r="AV215" s="59"/>
      <c r="AW215" s="60">
        <v>1</v>
      </c>
      <c r="AX215" s="61">
        <f t="shared" si="93"/>
        <v>2</v>
      </c>
      <c r="AY215" s="60">
        <v>1</v>
      </c>
      <c r="AZ215" s="61">
        <f t="shared" si="95"/>
        <v>2</v>
      </c>
    </row>
    <row r="216" spans="1:52" s="3" customFormat="1" hidden="1" x14ac:dyDescent="0.35">
      <c r="A216" s="72">
        <f t="shared" si="96"/>
        <v>2019</v>
      </c>
      <c r="B216" s="72" t="str">
        <f t="shared" si="97"/>
        <v>Nov</v>
      </c>
      <c r="C216" s="73">
        <f t="shared" si="115"/>
        <v>23</v>
      </c>
      <c r="D216" s="74">
        <f t="shared" si="98"/>
        <v>13</v>
      </c>
      <c r="E216" s="75">
        <f t="shared" si="99"/>
        <v>55</v>
      </c>
      <c r="F216" s="79"/>
      <c r="G216" s="82"/>
      <c r="H216" s="68" t="str">
        <f t="shared" si="116"/>
        <v>Lacine13_20191123_13_00</v>
      </c>
      <c r="I216" s="69">
        <f t="shared" si="118"/>
        <v>1</v>
      </c>
      <c r="J216" s="76" t="str">
        <f t="shared" si="118"/>
        <v>Lactuca</v>
      </c>
      <c r="K216" s="76" t="str">
        <f t="shared" si="118"/>
        <v>inermis</v>
      </c>
      <c r="L216" s="77">
        <f t="shared" si="118"/>
        <v>13</v>
      </c>
      <c r="M216" s="77">
        <f t="shared" si="118"/>
        <v>2</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x14ac:dyDescent="0.35">
      <c r="A217" s="72">
        <f t="shared" si="96"/>
        <v>2019</v>
      </c>
      <c r="B217" s="72" t="str">
        <f t="shared" si="97"/>
        <v>Nov</v>
      </c>
      <c r="C217" s="73">
        <f t="shared" si="115"/>
        <v>23</v>
      </c>
      <c r="D217" s="74">
        <f t="shared" si="98"/>
        <v>13</v>
      </c>
      <c r="E217" s="75">
        <f t="shared" si="99"/>
        <v>56</v>
      </c>
      <c r="F217" s="79">
        <v>11</v>
      </c>
      <c r="G217" s="82"/>
      <c r="H217" s="68" t="str">
        <f t="shared" si="116"/>
        <v>Lacine13_20191123_13_00</v>
      </c>
      <c r="I217" s="69">
        <f t="shared" si="118"/>
        <v>1</v>
      </c>
      <c r="J217" s="76" t="str">
        <f t="shared" si="118"/>
        <v>Lactuca</v>
      </c>
      <c r="K217" s="76" t="str">
        <f t="shared" si="118"/>
        <v>inermis</v>
      </c>
      <c r="L217" s="77">
        <f t="shared" si="118"/>
        <v>13</v>
      </c>
      <c r="M217" s="77">
        <f t="shared" si="118"/>
        <v>2</v>
      </c>
      <c r="N217" s="71">
        <f t="shared" si="118"/>
        <v>0</v>
      </c>
      <c r="O217" s="44"/>
      <c r="P217" s="45">
        <f t="shared" si="100"/>
        <v>1</v>
      </c>
      <c r="Q217" s="46" t="str">
        <f t="shared" si="101"/>
        <v>13:56:11</v>
      </c>
      <c r="R217" s="47" t="str">
        <f t="shared" si="102"/>
        <v>56:11</v>
      </c>
      <c r="S217" s="48">
        <f t="shared" si="91"/>
        <v>1</v>
      </c>
      <c r="T217" s="47" t="str">
        <f t="shared" si="103"/>
        <v>13</v>
      </c>
      <c r="U217" s="49">
        <v>56</v>
      </c>
      <c r="V217" s="50">
        <v>12</v>
      </c>
      <c r="W217" s="51" t="str">
        <f t="shared" si="104"/>
        <v>56:12</v>
      </c>
      <c r="X217" s="52" t="s">
        <v>67</v>
      </c>
      <c r="Y217" s="124" t="s">
        <v>87</v>
      </c>
      <c r="Z217" s="124"/>
      <c r="AA217" s="47" t="s">
        <v>82</v>
      </c>
      <c r="AB217" s="47" t="str">
        <f t="shared" si="105"/>
        <v>NA</v>
      </c>
      <c r="AC217" s="53">
        <f t="shared" si="106"/>
        <v>0</v>
      </c>
      <c r="AD217" s="54">
        <f t="shared" si="107"/>
        <v>1</v>
      </c>
      <c r="AE217" s="54"/>
      <c r="AF217" s="54"/>
      <c r="AG217" s="55">
        <v>1</v>
      </c>
      <c r="AH217" s="56">
        <f t="shared" si="109"/>
        <v>1</v>
      </c>
      <c r="AI217" s="55"/>
      <c r="AJ217" s="56" t="str">
        <f t="shared" si="110"/>
        <v/>
      </c>
      <c r="AK217" s="55"/>
      <c r="AL217" s="56" t="str">
        <f t="shared" si="111"/>
        <v/>
      </c>
      <c r="AM217" s="55"/>
      <c r="AN217" s="56" t="str">
        <f t="shared" si="112"/>
        <v/>
      </c>
      <c r="AO217" s="55"/>
      <c r="AP217" s="56" t="str">
        <f t="shared" si="113"/>
        <v/>
      </c>
      <c r="AQ217" s="55"/>
      <c r="AR217" s="56" t="str">
        <f t="shared" si="114"/>
        <v/>
      </c>
      <c r="AS217" s="57" t="s">
        <v>68</v>
      </c>
      <c r="AT217" s="58"/>
      <c r="AU217" s="58"/>
      <c r="AV217" s="59"/>
      <c r="AW217" s="60">
        <f t="shared" si="92"/>
        <v>0</v>
      </c>
      <c r="AX217" s="61" t="str">
        <f t="shared" si="93"/>
        <v/>
      </c>
      <c r="AY217" s="60">
        <f t="shared" si="94"/>
        <v>0</v>
      </c>
      <c r="AZ217" s="61" t="str">
        <f t="shared" si="95"/>
        <v/>
      </c>
    </row>
    <row r="218" spans="1:52" s="3" customFormat="1" x14ac:dyDescent="0.35">
      <c r="A218" s="72">
        <f t="shared" si="96"/>
        <v>2019</v>
      </c>
      <c r="B218" s="72" t="str">
        <f t="shared" si="97"/>
        <v>Nov</v>
      </c>
      <c r="C218" s="73">
        <f t="shared" si="115"/>
        <v>23</v>
      </c>
      <c r="D218" s="74">
        <f t="shared" si="98"/>
        <v>13</v>
      </c>
      <c r="E218" s="75">
        <v>56</v>
      </c>
      <c r="F218" s="79">
        <v>35</v>
      </c>
      <c r="G218" s="82"/>
      <c r="H218" s="68" t="str">
        <f t="shared" si="116"/>
        <v>Lacine13_20191123_13_00</v>
      </c>
      <c r="I218" s="69">
        <f t="shared" si="118"/>
        <v>1</v>
      </c>
      <c r="J218" s="76" t="str">
        <f t="shared" si="118"/>
        <v>Lactuca</v>
      </c>
      <c r="K218" s="76" t="str">
        <f t="shared" si="118"/>
        <v>inermis</v>
      </c>
      <c r="L218" s="77">
        <f t="shared" si="118"/>
        <v>13</v>
      </c>
      <c r="M218" s="77">
        <f t="shared" si="118"/>
        <v>2</v>
      </c>
      <c r="N218" s="71">
        <f t="shared" si="118"/>
        <v>0</v>
      </c>
      <c r="O218" s="44"/>
      <c r="P218" s="45">
        <f t="shared" si="100"/>
        <v>1</v>
      </c>
      <c r="Q218" s="46" t="str">
        <f t="shared" si="101"/>
        <v>13:56:35</v>
      </c>
      <c r="R218" s="47" t="str">
        <f t="shared" si="102"/>
        <v>56:35</v>
      </c>
      <c r="S218" s="48">
        <f t="shared" si="91"/>
        <v>11</v>
      </c>
      <c r="T218" s="47" t="str">
        <f t="shared" si="103"/>
        <v>13</v>
      </c>
      <c r="U218" s="49">
        <v>56</v>
      </c>
      <c r="V218" s="50">
        <v>46</v>
      </c>
      <c r="W218" s="51" t="str">
        <f t="shared" si="104"/>
        <v>56:46</v>
      </c>
      <c r="X218" s="52" t="s">
        <v>59</v>
      </c>
      <c r="Y218" s="124" t="s">
        <v>89</v>
      </c>
      <c r="Z218" s="124" t="s">
        <v>92</v>
      </c>
      <c r="AA218" s="47" t="s">
        <v>82</v>
      </c>
      <c r="AB218" s="47" t="str">
        <f t="shared" si="105"/>
        <v>NA</v>
      </c>
      <c r="AC218" s="53">
        <f t="shared" si="106"/>
        <v>0</v>
      </c>
      <c r="AD218" s="54">
        <f t="shared" si="107"/>
        <v>1</v>
      </c>
      <c r="AE218" s="54"/>
      <c r="AF218" s="54"/>
      <c r="AG218" s="55" t="str">
        <f t="shared" si="108"/>
        <v/>
      </c>
      <c r="AH218" s="56" t="str">
        <f t="shared" si="109"/>
        <v/>
      </c>
      <c r="AI218" s="55"/>
      <c r="AJ218" s="56" t="str">
        <f t="shared" si="110"/>
        <v/>
      </c>
      <c r="AK218" s="55"/>
      <c r="AL218" s="56" t="str">
        <f t="shared" si="111"/>
        <v/>
      </c>
      <c r="AM218" s="55">
        <v>1</v>
      </c>
      <c r="AN218" s="56">
        <f t="shared" si="112"/>
        <v>11</v>
      </c>
      <c r="AO218" s="55"/>
      <c r="AP218" s="56" t="str">
        <f t="shared" si="113"/>
        <v/>
      </c>
      <c r="AQ218" s="55"/>
      <c r="AR218" s="56" t="str">
        <f t="shared" si="114"/>
        <v/>
      </c>
      <c r="AS218" s="57" t="s">
        <v>70</v>
      </c>
      <c r="AT218" s="58"/>
      <c r="AU218" s="58"/>
      <c r="AV218" s="59"/>
      <c r="AW218" s="60">
        <v>1</v>
      </c>
      <c r="AX218" s="61">
        <f t="shared" si="93"/>
        <v>1</v>
      </c>
      <c r="AY218" s="60">
        <v>1</v>
      </c>
      <c r="AZ218" s="61">
        <f t="shared" si="95"/>
        <v>1</v>
      </c>
    </row>
    <row r="219" spans="1:52" s="3" customFormat="1" x14ac:dyDescent="0.35">
      <c r="A219" s="72">
        <f t="shared" si="96"/>
        <v>2019</v>
      </c>
      <c r="B219" s="72" t="str">
        <f t="shared" si="97"/>
        <v>Nov</v>
      </c>
      <c r="C219" s="73">
        <f t="shared" si="115"/>
        <v>23</v>
      </c>
      <c r="D219" s="74">
        <f t="shared" si="98"/>
        <v>13</v>
      </c>
      <c r="E219" s="75">
        <f t="shared" si="99"/>
        <v>57</v>
      </c>
      <c r="F219" s="79">
        <v>21</v>
      </c>
      <c r="G219" s="82"/>
      <c r="H219" s="68" t="str">
        <f t="shared" si="116"/>
        <v>Lacine13_20191123_13_00</v>
      </c>
      <c r="I219" s="69">
        <f t="shared" si="118"/>
        <v>1</v>
      </c>
      <c r="J219" s="76" t="str">
        <f t="shared" si="118"/>
        <v>Lactuca</v>
      </c>
      <c r="K219" s="76" t="str">
        <f t="shared" si="118"/>
        <v>inermis</v>
      </c>
      <c r="L219" s="77">
        <f t="shared" si="118"/>
        <v>13</v>
      </c>
      <c r="M219" s="77">
        <f t="shared" si="118"/>
        <v>2</v>
      </c>
      <c r="N219" s="71">
        <f t="shared" si="118"/>
        <v>0</v>
      </c>
      <c r="O219" s="44"/>
      <c r="P219" s="45">
        <f t="shared" si="100"/>
        <v>1</v>
      </c>
      <c r="Q219" s="46" t="str">
        <f t="shared" si="101"/>
        <v>13:57:21</v>
      </c>
      <c r="R219" s="47" t="str">
        <f t="shared" si="102"/>
        <v>57:21</v>
      </c>
      <c r="S219" s="48">
        <f t="shared" si="91"/>
        <v>66</v>
      </c>
      <c r="T219" s="47" t="str">
        <f t="shared" si="103"/>
        <v>13</v>
      </c>
      <c r="U219" s="49">
        <v>58</v>
      </c>
      <c r="V219" s="50">
        <v>27</v>
      </c>
      <c r="W219" s="51" t="str">
        <f t="shared" si="104"/>
        <v>58:27</v>
      </c>
      <c r="X219" s="52" t="s">
        <v>59</v>
      </c>
      <c r="Y219" s="124" t="s">
        <v>89</v>
      </c>
      <c r="Z219" s="124" t="s">
        <v>92</v>
      </c>
      <c r="AA219" s="47" t="s">
        <v>82</v>
      </c>
      <c r="AB219" s="47" t="str">
        <f t="shared" si="105"/>
        <v>NA</v>
      </c>
      <c r="AC219" s="53">
        <f t="shared" si="106"/>
        <v>0</v>
      </c>
      <c r="AD219" s="54">
        <v>2</v>
      </c>
      <c r="AE219" s="54"/>
      <c r="AF219" s="54"/>
      <c r="AG219" s="55" t="str">
        <f t="shared" si="108"/>
        <v/>
      </c>
      <c r="AH219" s="56" t="str">
        <f t="shared" si="109"/>
        <v/>
      </c>
      <c r="AI219" s="55"/>
      <c r="AJ219" s="56" t="str">
        <f t="shared" si="110"/>
        <v/>
      </c>
      <c r="AK219" s="55"/>
      <c r="AL219" s="56" t="str">
        <f t="shared" si="111"/>
        <v/>
      </c>
      <c r="AM219" s="55">
        <v>1</v>
      </c>
      <c r="AN219" s="56">
        <f t="shared" si="112"/>
        <v>66</v>
      </c>
      <c r="AO219" s="55"/>
      <c r="AP219" s="56" t="str">
        <f t="shared" si="113"/>
        <v/>
      </c>
      <c r="AQ219" s="55"/>
      <c r="AR219" s="56" t="str">
        <f t="shared" si="114"/>
        <v/>
      </c>
      <c r="AS219" s="57" t="s">
        <v>69</v>
      </c>
      <c r="AT219" s="58"/>
      <c r="AU219" s="58"/>
      <c r="AV219" s="59"/>
      <c r="AW219" s="60">
        <v>1</v>
      </c>
      <c r="AX219" s="61">
        <f t="shared" si="93"/>
        <v>2</v>
      </c>
      <c r="AY219" s="60">
        <v>1</v>
      </c>
      <c r="AZ219" s="61">
        <f t="shared" si="95"/>
        <v>2</v>
      </c>
    </row>
    <row r="220" spans="1:52" s="3" customFormat="1" hidden="1" x14ac:dyDescent="0.35">
      <c r="A220" s="72">
        <f t="shared" si="96"/>
        <v>2019</v>
      </c>
      <c r="B220" s="72" t="str">
        <f t="shared" si="97"/>
        <v>Nov</v>
      </c>
      <c r="C220" s="73">
        <f t="shared" si="115"/>
        <v>23</v>
      </c>
      <c r="D220" s="74">
        <f t="shared" si="98"/>
        <v>13</v>
      </c>
      <c r="E220" s="75">
        <f t="shared" si="99"/>
        <v>58</v>
      </c>
      <c r="F220" s="79"/>
      <c r="G220" s="82"/>
      <c r="H220" s="68" t="str">
        <f t="shared" si="116"/>
        <v>Lacine13_20191123_13_00</v>
      </c>
      <c r="I220" s="69">
        <f t="shared" si="118"/>
        <v>1</v>
      </c>
      <c r="J220" s="76" t="str">
        <f t="shared" si="118"/>
        <v>Lactuca</v>
      </c>
      <c r="K220" s="76" t="str">
        <f t="shared" si="118"/>
        <v>inermis</v>
      </c>
      <c r="L220" s="77">
        <f t="shared" si="118"/>
        <v>13</v>
      </c>
      <c r="M220" s="77">
        <f t="shared" si="118"/>
        <v>2</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2019</v>
      </c>
      <c r="B221" s="72" t="str">
        <f t="shared" si="97"/>
        <v>Nov</v>
      </c>
      <c r="C221" s="73">
        <f t="shared" si="115"/>
        <v>23</v>
      </c>
      <c r="D221" s="74">
        <f t="shared" si="98"/>
        <v>13</v>
      </c>
      <c r="E221" s="75">
        <f t="shared" si="99"/>
        <v>59</v>
      </c>
      <c r="F221" s="79"/>
      <c r="G221" s="82"/>
      <c r="H221" s="68" t="str">
        <f t="shared" si="116"/>
        <v>Lacine13_20191123_13_00</v>
      </c>
      <c r="I221" s="69">
        <f t="shared" si="118"/>
        <v>1</v>
      </c>
      <c r="J221" s="76" t="str">
        <f t="shared" si="118"/>
        <v>Lactuca</v>
      </c>
      <c r="K221" s="76" t="str">
        <f t="shared" si="118"/>
        <v>inermis</v>
      </c>
      <c r="L221" s="77">
        <f t="shared" si="118"/>
        <v>13</v>
      </c>
      <c r="M221" s="77">
        <f t="shared" si="118"/>
        <v>2</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2019</v>
      </c>
      <c r="B222" s="72" t="str">
        <f t="shared" si="97"/>
        <v>Nov</v>
      </c>
      <c r="C222" s="73">
        <f t="shared" si="115"/>
        <v>23</v>
      </c>
      <c r="D222" s="74">
        <f t="shared" si="98"/>
        <v>14</v>
      </c>
      <c r="E222" s="75">
        <f t="shared" si="99"/>
        <v>0</v>
      </c>
      <c r="F222" s="79"/>
      <c r="G222" s="82"/>
      <c r="H222" s="68" t="str">
        <f t="shared" si="116"/>
        <v>Lacine13_20191123_14_00</v>
      </c>
      <c r="I222" s="69">
        <f t="shared" si="118"/>
        <v>1</v>
      </c>
      <c r="J222" s="76" t="str">
        <f t="shared" si="118"/>
        <v>Lactuca</v>
      </c>
      <c r="K222" s="76" t="str">
        <f t="shared" si="118"/>
        <v>inermis</v>
      </c>
      <c r="L222" s="77">
        <f t="shared" si="118"/>
        <v>13</v>
      </c>
      <c r="M222" s="77">
        <f t="shared" si="118"/>
        <v>2</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2019</v>
      </c>
      <c r="B223" s="72" t="str">
        <f t="shared" si="97"/>
        <v>Nov</v>
      </c>
      <c r="C223" s="73">
        <f t="shared" si="115"/>
        <v>23</v>
      </c>
      <c r="D223" s="74">
        <f t="shared" si="98"/>
        <v>14</v>
      </c>
      <c r="E223" s="75">
        <f t="shared" si="99"/>
        <v>1</v>
      </c>
      <c r="F223" s="79"/>
      <c r="G223" s="82"/>
      <c r="H223" s="68" t="str">
        <f t="shared" si="116"/>
        <v>Lacine13_20191123_14_00</v>
      </c>
      <c r="I223" s="69">
        <f t="shared" si="118"/>
        <v>1</v>
      </c>
      <c r="J223" s="76" t="str">
        <f t="shared" si="118"/>
        <v>Lactuca</v>
      </c>
      <c r="K223" s="76" t="str">
        <f t="shared" si="118"/>
        <v>inermis</v>
      </c>
      <c r="L223" s="77">
        <f t="shared" si="118"/>
        <v>13</v>
      </c>
      <c r="M223" s="77">
        <f t="shared" si="118"/>
        <v>2</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2019</v>
      </c>
      <c r="B224" s="72" t="str">
        <f t="shared" si="97"/>
        <v>Nov</v>
      </c>
      <c r="C224" s="73">
        <f t="shared" si="115"/>
        <v>23</v>
      </c>
      <c r="D224" s="74">
        <f t="shared" si="98"/>
        <v>14</v>
      </c>
      <c r="E224" s="75">
        <f t="shared" si="99"/>
        <v>2</v>
      </c>
      <c r="F224" s="79"/>
      <c r="G224" s="82"/>
      <c r="H224" s="68" t="str">
        <f t="shared" si="116"/>
        <v>Lacine13_20191123_14_00</v>
      </c>
      <c r="I224" s="69">
        <f t="shared" si="118"/>
        <v>1</v>
      </c>
      <c r="J224" s="76" t="str">
        <f t="shared" si="118"/>
        <v>Lactuca</v>
      </c>
      <c r="K224" s="76" t="str">
        <f t="shared" si="118"/>
        <v>inermis</v>
      </c>
      <c r="L224" s="77">
        <f t="shared" si="118"/>
        <v>13</v>
      </c>
      <c r="M224" s="77">
        <f t="shared" si="118"/>
        <v>2</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2019</v>
      </c>
      <c r="B225" s="72" t="str">
        <f t="shared" si="97"/>
        <v>Nov</v>
      </c>
      <c r="C225" s="73">
        <f t="shared" si="115"/>
        <v>23</v>
      </c>
      <c r="D225" s="74">
        <f t="shared" si="98"/>
        <v>14</v>
      </c>
      <c r="E225" s="75">
        <f t="shared" si="99"/>
        <v>3</v>
      </c>
      <c r="F225" s="79"/>
      <c r="G225" s="82"/>
      <c r="H225" s="68" t="str">
        <f t="shared" si="116"/>
        <v>Lacine13_20191123_14_00</v>
      </c>
      <c r="I225" s="69">
        <f t="shared" si="118"/>
        <v>1</v>
      </c>
      <c r="J225" s="76" t="str">
        <f t="shared" si="118"/>
        <v>Lactuca</v>
      </c>
      <c r="K225" s="76" t="str">
        <f t="shared" si="118"/>
        <v>inermis</v>
      </c>
      <c r="L225" s="77">
        <f t="shared" si="118"/>
        <v>13</v>
      </c>
      <c r="M225" s="77">
        <f t="shared" si="118"/>
        <v>2</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2019</v>
      </c>
      <c r="B226" s="72" t="str">
        <f t="shared" si="97"/>
        <v>Nov</v>
      </c>
      <c r="C226" s="73">
        <f t="shared" si="115"/>
        <v>23</v>
      </c>
      <c r="D226" s="74">
        <f t="shared" si="98"/>
        <v>14</v>
      </c>
      <c r="E226" s="75">
        <f t="shared" si="99"/>
        <v>4</v>
      </c>
      <c r="F226" s="79"/>
      <c r="G226" s="82"/>
      <c r="H226" s="68" t="str">
        <f t="shared" si="116"/>
        <v>Lacine13_20191123_14_00</v>
      </c>
      <c r="I226" s="69">
        <f t="shared" si="118"/>
        <v>1</v>
      </c>
      <c r="J226" s="76" t="str">
        <f t="shared" si="118"/>
        <v>Lactuca</v>
      </c>
      <c r="K226" s="76" t="str">
        <f t="shared" si="118"/>
        <v>inermis</v>
      </c>
      <c r="L226" s="77">
        <f t="shared" si="118"/>
        <v>13</v>
      </c>
      <c r="M226" s="77">
        <f t="shared" si="118"/>
        <v>2</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2019</v>
      </c>
      <c r="B227" s="72" t="str">
        <f t="shared" si="97"/>
        <v>Nov</v>
      </c>
      <c r="C227" s="73">
        <f t="shared" si="115"/>
        <v>23</v>
      </c>
      <c r="D227" s="74">
        <f t="shared" si="98"/>
        <v>14</v>
      </c>
      <c r="E227" s="75">
        <f t="shared" si="99"/>
        <v>5</v>
      </c>
      <c r="F227" s="79"/>
      <c r="G227" s="82"/>
      <c r="H227" s="68" t="str">
        <f t="shared" si="116"/>
        <v>Lacine13_20191123_14_00</v>
      </c>
      <c r="I227" s="69">
        <f t="shared" si="118"/>
        <v>1</v>
      </c>
      <c r="J227" s="76" t="str">
        <f t="shared" si="118"/>
        <v>Lactuca</v>
      </c>
      <c r="K227" s="76" t="str">
        <f t="shared" si="118"/>
        <v>inermis</v>
      </c>
      <c r="L227" s="77">
        <f t="shared" si="118"/>
        <v>13</v>
      </c>
      <c r="M227" s="77">
        <f t="shared" si="118"/>
        <v>2</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2019</v>
      </c>
      <c r="B228" s="72" t="str">
        <f t="shared" si="97"/>
        <v>Nov</v>
      </c>
      <c r="C228" s="73">
        <f t="shared" si="115"/>
        <v>23</v>
      </c>
      <c r="D228" s="74">
        <f t="shared" si="98"/>
        <v>14</v>
      </c>
      <c r="E228" s="75">
        <f t="shared" si="99"/>
        <v>6</v>
      </c>
      <c r="F228" s="79"/>
      <c r="G228" s="82"/>
      <c r="H228" s="68" t="str">
        <f t="shared" si="116"/>
        <v>Lacine13_20191123_14_00</v>
      </c>
      <c r="I228" s="69">
        <f t="shared" si="118"/>
        <v>1</v>
      </c>
      <c r="J228" s="76" t="str">
        <f t="shared" si="118"/>
        <v>Lactuca</v>
      </c>
      <c r="K228" s="76" t="str">
        <f t="shared" si="118"/>
        <v>inermis</v>
      </c>
      <c r="L228" s="77">
        <f t="shared" si="118"/>
        <v>13</v>
      </c>
      <c r="M228" s="77">
        <f t="shared" si="118"/>
        <v>2</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2019</v>
      </c>
      <c r="B229" s="72" t="str">
        <f t="shared" si="97"/>
        <v>Nov</v>
      </c>
      <c r="C229" s="73">
        <f t="shared" si="115"/>
        <v>23</v>
      </c>
      <c r="D229" s="74">
        <f t="shared" si="98"/>
        <v>14</v>
      </c>
      <c r="E229" s="75">
        <f t="shared" si="99"/>
        <v>7</v>
      </c>
      <c r="F229" s="79"/>
      <c r="G229" s="82"/>
      <c r="H229" s="68" t="str">
        <f t="shared" si="116"/>
        <v>Lacine13_20191123_14_00</v>
      </c>
      <c r="I229" s="69">
        <f t="shared" ref="I229:N244" si="119">I228</f>
        <v>1</v>
      </c>
      <c r="J229" s="76" t="str">
        <f t="shared" si="119"/>
        <v>Lactuca</v>
      </c>
      <c r="K229" s="76" t="str">
        <f t="shared" si="119"/>
        <v>inermis</v>
      </c>
      <c r="L229" s="77">
        <f t="shared" si="119"/>
        <v>13</v>
      </c>
      <c r="M229" s="77">
        <f t="shared" si="119"/>
        <v>2</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2019</v>
      </c>
      <c r="B230" s="72" t="str">
        <f t="shared" si="97"/>
        <v>Nov</v>
      </c>
      <c r="C230" s="73">
        <f t="shared" si="115"/>
        <v>23</v>
      </c>
      <c r="D230" s="74">
        <f t="shared" si="98"/>
        <v>14</v>
      </c>
      <c r="E230" s="75">
        <f t="shared" si="99"/>
        <v>8</v>
      </c>
      <c r="F230" s="79"/>
      <c r="G230" s="82"/>
      <c r="H230" s="68" t="str">
        <f t="shared" si="116"/>
        <v>Lacine13_20191123_14_00</v>
      </c>
      <c r="I230" s="69">
        <f t="shared" si="119"/>
        <v>1</v>
      </c>
      <c r="J230" s="76" t="str">
        <f t="shared" si="119"/>
        <v>Lactuca</v>
      </c>
      <c r="K230" s="76" t="str">
        <f t="shared" si="119"/>
        <v>inermis</v>
      </c>
      <c r="L230" s="77">
        <f t="shared" si="119"/>
        <v>13</v>
      </c>
      <c r="M230" s="77">
        <f t="shared" si="119"/>
        <v>2</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x14ac:dyDescent="0.35">
      <c r="A231" s="72">
        <f t="shared" si="96"/>
        <v>2019</v>
      </c>
      <c r="B231" s="72" t="str">
        <f t="shared" si="97"/>
        <v>Nov</v>
      </c>
      <c r="C231" s="73">
        <f t="shared" si="115"/>
        <v>23</v>
      </c>
      <c r="D231" s="74">
        <f t="shared" si="98"/>
        <v>14</v>
      </c>
      <c r="E231" s="75">
        <f t="shared" si="99"/>
        <v>9</v>
      </c>
      <c r="F231" s="79">
        <v>36</v>
      </c>
      <c r="G231" s="82"/>
      <c r="H231" s="68" t="str">
        <f t="shared" si="116"/>
        <v>Lacine13_20191123_14_00</v>
      </c>
      <c r="I231" s="69">
        <f t="shared" si="119"/>
        <v>1</v>
      </c>
      <c r="J231" s="76" t="str">
        <f t="shared" si="119"/>
        <v>Lactuca</v>
      </c>
      <c r="K231" s="76" t="str">
        <f t="shared" si="119"/>
        <v>inermis</v>
      </c>
      <c r="L231" s="77">
        <f t="shared" si="119"/>
        <v>13</v>
      </c>
      <c r="M231" s="77">
        <f t="shared" si="119"/>
        <v>2</v>
      </c>
      <c r="N231" s="71">
        <f t="shared" si="119"/>
        <v>0</v>
      </c>
      <c r="O231" s="44"/>
      <c r="P231" s="45">
        <f t="shared" si="100"/>
        <v>1</v>
      </c>
      <c r="Q231" s="46" t="str">
        <f t="shared" si="101"/>
        <v>14:09:36</v>
      </c>
      <c r="R231" s="47" t="str">
        <f t="shared" si="102"/>
        <v>09:36</v>
      </c>
      <c r="S231" s="48">
        <f t="shared" si="91"/>
        <v>85</v>
      </c>
      <c r="T231" s="47" t="str">
        <f t="shared" si="103"/>
        <v>14</v>
      </c>
      <c r="U231" s="49">
        <v>11</v>
      </c>
      <c r="V231" s="50">
        <v>1</v>
      </c>
      <c r="W231" s="51" t="str">
        <f t="shared" si="104"/>
        <v>11:01</v>
      </c>
      <c r="X231" s="52" t="s">
        <v>59</v>
      </c>
      <c r="Y231" s="124" t="s">
        <v>89</v>
      </c>
      <c r="Z231" s="124" t="s">
        <v>92</v>
      </c>
      <c r="AA231" s="47" t="s">
        <v>82</v>
      </c>
      <c r="AB231" s="47" t="str">
        <f t="shared" si="105"/>
        <v>NA</v>
      </c>
      <c r="AC231" s="53">
        <f t="shared" si="106"/>
        <v>0</v>
      </c>
      <c r="AD231" s="54">
        <v>2</v>
      </c>
      <c r="AE231" s="54"/>
      <c r="AF231" s="54"/>
      <c r="AG231" s="55" t="str">
        <f t="shared" si="108"/>
        <v/>
      </c>
      <c r="AH231" s="56" t="str">
        <f t="shared" si="109"/>
        <v/>
      </c>
      <c r="AI231" s="55"/>
      <c r="AJ231" s="56" t="str">
        <f t="shared" si="110"/>
        <v/>
      </c>
      <c r="AK231" s="55"/>
      <c r="AL231" s="56" t="str">
        <f t="shared" si="111"/>
        <v/>
      </c>
      <c r="AM231" s="55">
        <v>1</v>
      </c>
      <c r="AN231" s="56">
        <f t="shared" si="112"/>
        <v>85</v>
      </c>
      <c r="AO231" s="55"/>
      <c r="AP231" s="56" t="str">
        <f t="shared" si="113"/>
        <v/>
      </c>
      <c r="AQ231" s="55"/>
      <c r="AR231" s="56" t="str">
        <f t="shared" si="114"/>
        <v/>
      </c>
      <c r="AS231" s="57"/>
      <c r="AT231" s="58"/>
      <c r="AU231" s="58"/>
      <c r="AV231" s="59"/>
      <c r="AW231" s="60">
        <v>1</v>
      </c>
      <c r="AX231" s="61">
        <f t="shared" si="93"/>
        <v>2</v>
      </c>
      <c r="AY231" s="60">
        <v>1</v>
      </c>
      <c r="AZ231" s="61">
        <f t="shared" si="95"/>
        <v>2</v>
      </c>
    </row>
    <row r="232" spans="1:52" s="3" customFormat="1" hidden="1" x14ac:dyDescent="0.35">
      <c r="A232" s="72">
        <f t="shared" si="96"/>
        <v>2019</v>
      </c>
      <c r="B232" s="72" t="str">
        <f t="shared" si="97"/>
        <v>Nov</v>
      </c>
      <c r="C232" s="73">
        <f t="shared" si="115"/>
        <v>23</v>
      </c>
      <c r="D232" s="74">
        <f t="shared" si="98"/>
        <v>14</v>
      </c>
      <c r="E232" s="75">
        <f t="shared" si="99"/>
        <v>10</v>
      </c>
      <c r="F232" s="79"/>
      <c r="G232" s="82"/>
      <c r="H232" s="68" t="str">
        <f t="shared" si="116"/>
        <v>Lacine13_20191123_14_00</v>
      </c>
      <c r="I232" s="69">
        <f t="shared" si="119"/>
        <v>1</v>
      </c>
      <c r="J232" s="76" t="str">
        <f t="shared" si="119"/>
        <v>Lactuca</v>
      </c>
      <c r="K232" s="76" t="str">
        <f t="shared" si="119"/>
        <v>inermis</v>
      </c>
      <c r="L232" s="77">
        <f t="shared" si="119"/>
        <v>13</v>
      </c>
      <c r="M232" s="77">
        <f t="shared" si="119"/>
        <v>2</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2019</v>
      </c>
      <c r="B233" s="72" t="str">
        <f t="shared" si="97"/>
        <v>Nov</v>
      </c>
      <c r="C233" s="73">
        <f t="shared" si="115"/>
        <v>23</v>
      </c>
      <c r="D233" s="74">
        <f t="shared" si="98"/>
        <v>14</v>
      </c>
      <c r="E233" s="75">
        <f t="shared" si="99"/>
        <v>11</v>
      </c>
      <c r="F233" s="79"/>
      <c r="G233" s="82"/>
      <c r="H233" s="68" t="str">
        <f t="shared" si="116"/>
        <v>Lacine13_20191123_14_00</v>
      </c>
      <c r="I233" s="69">
        <f t="shared" si="119"/>
        <v>1</v>
      </c>
      <c r="J233" s="76" t="str">
        <f t="shared" si="119"/>
        <v>Lactuca</v>
      </c>
      <c r="K233" s="76" t="str">
        <f t="shared" si="119"/>
        <v>inermis</v>
      </c>
      <c r="L233" s="77">
        <f t="shared" si="119"/>
        <v>13</v>
      </c>
      <c r="M233" s="77">
        <f t="shared" si="119"/>
        <v>2</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x14ac:dyDescent="0.35">
      <c r="A234" s="72">
        <f t="shared" si="96"/>
        <v>2019</v>
      </c>
      <c r="B234" s="72" t="str">
        <f t="shared" si="97"/>
        <v>Nov</v>
      </c>
      <c r="C234" s="73">
        <f t="shared" si="115"/>
        <v>23</v>
      </c>
      <c r="D234" s="74">
        <f t="shared" si="98"/>
        <v>14</v>
      </c>
      <c r="E234" s="75">
        <f t="shared" si="99"/>
        <v>12</v>
      </c>
      <c r="F234" s="79">
        <v>15</v>
      </c>
      <c r="G234" s="82"/>
      <c r="H234" s="68" t="str">
        <f t="shared" si="116"/>
        <v>Lacine13_20191123_14_00</v>
      </c>
      <c r="I234" s="69">
        <f t="shared" si="119"/>
        <v>1</v>
      </c>
      <c r="J234" s="76" t="str">
        <f t="shared" si="119"/>
        <v>Lactuca</v>
      </c>
      <c r="K234" s="76" t="str">
        <f t="shared" si="119"/>
        <v>inermis</v>
      </c>
      <c r="L234" s="77">
        <f t="shared" si="119"/>
        <v>13</v>
      </c>
      <c r="M234" s="77">
        <f t="shared" si="119"/>
        <v>2</v>
      </c>
      <c r="N234" s="71">
        <f t="shared" si="119"/>
        <v>0</v>
      </c>
      <c r="O234" s="44"/>
      <c r="P234" s="45">
        <f t="shared" si="100"/>
        <v>1</v>
      </c>
      <c r="Q234" s="46" t="str">
        <f t="shared" si="101"/>
        <v>14:12:15</v>
      </c>
      <c r="R234" s="47" t="str">
        <f t="shared" si="102"/>
        <v>12:15</v>
      </c>
      <c r="S234" s="48">
        <f t="shared" si="91"/>
        <v>53</v>
      </c>
      <c r="T234" s="47" t="str">
        <f t="shared" si="103"/>
        <v>14</v>
      </c>
      <c r="U234" s="49">
        <v>13</v>
      </c>
      <c r="V234" s="50">
        <v>8</v>
      </c>
      <c r="W234" s="51" t="str">
        <f t="shared" si="104"/>
        <v>13:08</v>
      </c>
      <c r="X234" s="52" t="s">
        <v>59</v>
      </c>
      <c r="Y234" s="124" t="s">
        <v>89</v>
      </c>
      <c r="Z234" s="124" t="s">
        <v>92</v>
      </c>
      <c r="AA234" s="47" t="s">
        <v>82</v>
      </c>
      <c r="AB234" s="47" t="str">
        <f t="shared" si="105"/>
        <v>NA</v>
      </c>
      <c r="AC234" s="53">
        <f t="shared" si="106"/>
        <v>0</v>
      </c>
      <c r="AD234" s="54">
        <v>2</v>
      </c>
      <c r="AE234" s="54"/>
      <c r="AF234" s="54"/>
      <c r="AG234" s="55" t="str">
        <f t="shared" si="108"/>
        <v/>
      </c>
      <c r="AH234" s="56" t="str">
        <f t="shared" si="109"/>
        <v/>
      </c>
      <c r="AI234" s="55"/>
      <c r="AJ234" s="56" t="str">
        <f t="shared" si="110"/>
        <v/>
      </c>
      <c r="AK234" s="55"/>
      <c r="AL234" s="56" t="str">
        <f t="shared" si="111"/>
        <v/>
      </c>
      <c r="AM234" s="55">
        <v>1</v>
      </c>
      <c r="AN234" s="56">
        <f t="shared" si="112"/>
        <v>53</v>
      </c>
      <c r="AO234" s="55"/>
      <c r="AP234" s="56" t="str">
        <f t="shared" si="113"/>
        <v/>
      </c>
      <c r="AQ234" s="55"/>
      <c r="AR234" s="56" t="str">
        <f t="shared" si="114"/>
        <v/>
      </c>
      <c r="AS234" s="57"/>
      <c r="AT234" s="58"/>
      <c r="AU234" s="58"/>
      <c r="AV234" s="59"/>
      <c r="AW234" s="60">
        <v>1</v>
      </c>
      <c r="AX234" s="61">
        <f t="shared" si="93"/>
        <v>2</v>
      </c>
      <c r="AY234" s="60">
        <v>1</v>
      </c>
      <c r="AZ234" s="61">
        <f t="shared" si="95"/>
        <v>2</v>
      </c>
    </row>
    <row r="235" spans="1:52" s="3" customFormat="1" hidden="1" x14ac:dyDescent="0.35">
      <c r="A235" s="72">
        <f t="shared" si="96"/>
        <v>2019</v>
      </c>
      <c r="B235" s="72" t="str">
        <f t="shared" si="97"/>
        <v>Nov</v>
      </c>
      <c r="C235" s="73">
        <f t="shared" si="115"/>
        <v>23</v>
      </c>
      <c r="D235" s="74">
        <f t="shared" si="98"/>
        <v>14</v>
      </c>
      <c r="E235" s="75">
        <f t="shared" si="99"/>
        <v>13</v>
      </c>
      <c r="F235" s="79"/>
      <c r="G235" s="82"/>
      <c r="H235" s="68" t="str">
        <f t="shared" si="116"/>
        <v>Lacine13_20191123_14_00</v>
      </c>
      <c r="I235" s="69">
        <f t="shared" si="119"/>
        <v>1</v>
      </c>
      <c r="J235" s="76" t="str">
        <f t="shared" si="119"/>
        <v>Lactuca</v>
      </c>
      <c r="K235" s="76" t="str">
        <f t="shared" si="119"/>
        <v>inermis</v>
      </c>
      <c r="L235" s="77">
        <f t="shared" si="119"/>
        <v>13</v>
      </c>
      <c r="M235" s="77">
        <f t="shared" si="119"/>
        <v>2</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2019</v>
      </c>
      <c r="B236" s="72" t="str">
        <f t="shared" si="97"/>
        <v>Nov</v>
      </c>
      <c r="C236" s="73">
        <f t="shared" si="115"/>
        <v>23</v>
      </c>
      <c r="D236" s="74">
        <f t="shared" si="98"/>
        <v>14</v>
      </c>
      <c r="E236" s="75">
        <f t="shared" si="99"/>
        <v>14</v>
      </c>
      <c r="F236" s="79"/>
      <c r="G236" s="82"/>
      <c r="H236" s="68" t="str">
        <f t="shared" si="116"/>
        <v>Lacine13_20191123_14_00</v>
      </c>
      <c r="I236" s="69">
        <f t="shared" si="119"/>
        <v>1</v>
      </c>
      <c r="J236" s="76" t="str">
        <f t="shared" si="119"/>
        <v>Lactuca</v>
      </c>
      <c r="K236" s="76" t="str">
        <f t="shared" si="119"/>
        <v>inermis</v>
      </c>
      <c r="L236" s="77">
        <f t="shared" si="119"/>
        <v>13</v>
      </c>
      <c r="M236" s="77">
        <f t="shared" si="119"/>
        <v>2</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x14ac:dyDescent="0.35">
      <c r="A237" s="72">
        <f t="shared" si="96"/>
        <v>2019</v>
      </c>
      <c r="B237" s="72" t="str">
        <f t="shared" si="97"/>
        <v>Nov</v>
      </c>
      <c r="C237" s="73">
        <f t="shared" si="115"/>
        <v>23</v>
      </c>
      <c r="D237" s="74">
        <f t="shared" si="98"/>
        <v>14</v>
      </c>
      <c r="E237" s="75">
        <f t="shared" si="99"/>
        <v>15</v>
      </c>
      <c r="F237" s="79">
        <v>8</v>
      </c>
      <c r="G237" s="82"/>
      <c r="H237" s="68" t="str">
        <f t="shared" si="116"/>
        <v>Lacine13_20191123_14_00</v>
      </c>
      <c r="I237" s="69">
        <f t="shared" si="119"/>
        <v>1</v>
      </c>
      <c r="J237" s="76" t="str">
        <f t="shared" si="119"/>
        <v>Lactuca</v>
      </c>
      <c r="K237" s="76" t="str">
        <f t="shared" si="119"/>
        <v>inermis</v>
      </c>
      <c r="L237" s="77">
        <f t="shared" si="119"/>
        <v>13</v>
      </c>
      <c r="M237" s="77">
        <f t="shared" si="119"/>
        <v>2</v>
      </c>
      <c r="N237" s="71">
        <f t="shared" si="119"/>
        <v>0</v>
      </c>
      <c r="O237" s="44"/>
      <c r="P237" s="45">
        <f t="shared" si="100"/>
        <v>1</v>
      </c>
      <c r="Q237" s="46" t="str">
        <f t="shared" si="101"/>
        <v>14:15:08</v>
      </c>
      <c r="R237" s="47" t="str">
        <f t="shared" si="102"/>
        <v>15:08</v>
      </c>
      <c r="S237" s="48">
        <f t="shared" si="91"/>
        <v>68</v>
      </c>
      <c r="T237" s="47" t="str">
        <f t="shared" si="103"/>
        <v>14</v>
      </c>
      <c r="U237" s="49">
        <v>16</v>
      </c>
      <c r="V237" s="50">
        <v>16</v>
      </c>
      <c r="W237" s="51" t="str">
        <f t="shared" si="104"/>
        <v>16:16</v>
      </c>
      <c r="X237" s="52" t="s">
        <v>59</v>
      </c>
      <c r="Y237" s="124" t="s">
        <v>89</v>
      </c>
      <c r="Z237" s="124" t="s">
        <v>92</v>
      </c>
      <c r="AA237" s="47" t="s">
        <v>82</v>
      </c>
      <c r="AB237" s="47" t="str">
        <f t="shared" si="105"/>
        <v>NA</v>
      </c>
      <c r="AC237" s="53">
        <f t="shared" si="106"/>
        <v>0</v>
      </c>
      <c r="AD237" s="54">
        <v>2</v>
      </c>
      <c r="AE237" s="54"/>
      <c r="AF237" s="54"/>
      <c r="AG237" s="55" t="str">
        <f t="shared" si="108"/>
        <v/>
      </c>
      <c r="AH237" s="56" t="str">
        <f t="shared" si="109"/>
        <v/>
      </c>
      <c r="AI237" s="55"/>
      <c r="AJ237" s="56" t="str">
        <f t="shared" si="110"/>
        <v/>
      </c>
      <c r="AK237" s="55"/>
      <c r="AL237" s="56" t="str">
        <f t="shared" si="111"/>
        <v/>
      </c>
      <c r="AM237" s="55">
        <v>1</v>
      </c>
      <c r="AN237" s="56">
        <f t="shared" si="112"/>
        <v>68</v>
      </c>
      <c r="AO237" s="55"/>
      <c r="AP237" s="56" t="str">
        <f t="shared" si="113"/>
        <v/>
      </c>
      <c r="AQ237" s="55"/>
      <c r="AR237" s="56" t="str">
        <f t="shared" si="114"/>
        <v/>
      </c>
      <c r="AS237" s="57"/>
      <c r="AT237" s="58"/>
      <c r="AU237" s="58"/>
      <c r="AV237" s="59"/>
      <c r="AW237" s="60">
        <v>1</v>
      </c>
      <c r="AX237" s="61">
        <f t="shared" si="93"/>
        <v>2</v>
      </c>
      <c r="AY237" s="60">
        <v>1</v>
      </c>
      <c r="AZ237" s="61">
        <f t="shared" si="95"/>
        <v>2</v>
      </c>
    </row>
    <row r="238" spans="1:52" s="3" customFormat="1" hidden="1" x14ac:dyDescent="0.35">
      <c r="A238" s="72">
        <f t="shared" si="96"/>
        <v>2019</v>
      </c>
      <c r="B238" s="72" t="str">
        <f t="shared" si="97"/>
        <v>Nov</v>
      </c>
      <c r="C238" s="73">
        <f t="shared" si="115"/>
        <v>23</v>
      </c>
      <c r="D238" s="74">
        <f t="shared" si="98"/>
        <v>14</v>
      </c>
      <c r="E238" s="75">
        <f t="shared" si="99"/>
        <v>16</v>
      </c>
      <c r="F238" s="79"/>
      <c r="G238" s="82"/>
      <c r="H238" s="68" t="str">
        <f t="shared" si="116"/>
        <v>Lacine13_20191123_14_00</v>
      </c>
      <c r="I238" s="69">
        <f t="shared" si="119"/>
        <v>1</v>
      </c>
      <c r="J238" s="76" t="str">
        <f t="shared" si="119"/>
        <v>Lactuca</v>
      </c>
      <c r="K238" s="76" t="str">
        <f t="shared" si="119"/>
        <v>inermis</v>
      </c>
      <c r="L238" s="77">
        <f t="shared" si="119"/>
        <v>13</v>
      </c>
      <c r="M238" s="77">
        <f t="shared" si="119"/>
        <v>2</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2019</v>
      </c>
      <c r="B239" s="72" t="str">
        <f t="shared" si="97"/>
        <v>Nov</v>
      </c>
      <c r="C239" s="73">
        <f t="shared" si="115"/>
        <v>23</v>
      </c>
      <c r="D239" s="74">
        <f t="shared" si="98"/>
        <v>14</v>
      </c>
      <c r="E239" s="75">
        <f t="shared" si="99"/>
        <v>17</v>
      </c>
      <c r="F239" s="79"/>
      <c r="G239" s="82"/>
      <c r="H239" s="68" t="str">
        <f t="shared" si="116"/>
        <v>Lacine13_20191123_14_00</v>
      </c>
      <c r="I239" s="69">
        <f t="shared" si="119"/>
        <v>1</v>
      </c>
      <c r="J239" s="76" t="str">
        <f t="shared" si="119"/>
        <v>Lactuca</v>
      </c>
      <c r="K239" s="76" t="str">
        <f t="shared" si="119"/>
        <v>inermis</v>
      </c>
      <c r="L239" s="77">
        <f t="shared" si="119"/>
        <v>13</v>
      </c>
      <c r="M239" s="77">
        <f t="shared" si="119"/>
        <v>2</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2019</v>
      </c>
      <c r="B240" s="72" t="str">
        <f t="shared" si="97"/>
        <v>Nov</v>
      </c>
      <c r="C240" s="73">
        <f t="shared" si="115"/>
        <v>23</v>
      </c>
      <c r="D240" s="74">
        <f t="shared" si="98"/>
        <v>14</v>
      </c>
      <c r="E240" s="75">
        <f t="shared" si="99"/>
        <v>18</v>
      </c>
      <c r="F240" s="79"/>
      <c r="G240" s="82"/>
      <c r="H240" s="68" t="str">
        <f t="shared" si="116"/>
        <v>Lacine13_20191123_14_00</v>
      </c>
      <c r="I240" s="69">
        <f t="shared" si="119"/>
        <v>1</v>
      </c>
      <c r="J240" s="76" t="str">
        <f t="shared" si="119"/>
        <v>Lactuca</v>
      </c>
      <c r="K240" s="76" t="str">
        <f t="shared" si="119"/>
        <v>inermis</v>
      </c>
      <c r="L240" s="77">
        <f t="shared" si="119"/>
        <v>13</v>
      </c>
      <c r="M240" s="77">
        <f t="shared" si="119"/>
        <v>2</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2019</v>
      </c>
      <c r="B241" s="72" t="str">
        <f t="shared" si="97"/>
        <v>Nov</v>
      </c>
      <c r="C241" s="73">
        <f t="shared" si="115"/>
        <v>23</v>
      </c>
      <c r="D241" s="74">
        <f t="shared" si="98"/>
        <v>14</v>
      </c>
      <c r="E241" s="75">
        <f t="shared" si="99"/>
        <v>19</v>
      </c>
      <c r="F241" s="79"/>
      <c r="G241" s="82"/>
      <c r="H241" s="68" t="str">
        <f t="shared" si="116"/>
        <v>Lacine13_20191123_14_00</v>
      </c>
      <c r="I241" s="69">
        <f t="shared" si="119"/>
        <v>1</v>
      </c>
      <c r="J241" s="76" t="str">
        <f t="shared" si="119"/>
        <v>Lactuca</v>
      </c>
      <c r="K241" s="76" t="str">
        <f t="shared" si="119"/>
        <v>inermis</v>
      </c>
      <c r="L241" s="77">
        <f t="shared" si="119"/>
        <v>13</v>
      </c>
      <c r="M241" s="77">
        <f t="shared" si="119"/>
        <v>2</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2019</v>
      </c>
      <c r="B242" s="72" t="str">
        <f t="shared" si="97"/>
        <v>Nov</v>
      </c>
      <c r="C242" s="73">
        <f t="shared" si="115"/>
        <v>23</v>
      </c>
      <c r="D242" s="74">
        <f t="shared" si="98"/>
        <v>14</v>
      </c>
      <c r="E242" s="75">
        <f t="shared" si="99"/>
        <v>20</v>
      </c>
      <c r="F242" s="79"/>
      <c r="G242" s="82"/>
      <c r="H242" s="68" t="str">
        <f t="shared" si="116"/>
        <v>Lacine13_20191123_14_00</v>
      </c>
      <c r="I242" s="69">
        <f t="shared" si="119"/>
        <v>1</v>
      </c>
      <c r="J242" s="76" t="str">
        <f t="shared" si="119"/>
        <v>Lactuca</v>
      </c>
      <c r="K242" s="76" t="str">
        <f t="shared" si="119"/>
        <v>inermis</v>
      </c>
      <c r="L242" s="77">
        <f t="shared" si="119"/>
        <v>13</v>
      </c>
      <c r="M242" s="77">
        <f t="shared" si="119"/>
        <v>2</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x14ac:dyDescent="0.35">
      <c r="A243" s="72">
        <f t="shared" si="96"/>
        <v>2019</v>
      </c>
      <c r="B243" s="72" t="str">
        <f t="shared" si="97"/>
        <v>Nov</v>
      </c>
      <c r="C243" s="73">
        <f t="shared" si="115"/>
        <v>23</v>
      </c>
      <c r="D243" s="74">
        <f t="shared" si="98"/>
        <v>14</v>
      </c>
      <c r="E243" s="75">
        <f t="shared" si="99"/>
        <v>21</v>
      </c>
      <c r="F243" s="79">
        <v>45</v>
      </c>
      <c r="G243" s="82"/>
      <c r="H243" s="68" t="str">
        <f t="shared" si="116"/>
        <v>Lacine13_20191123_14_00</v>
      </c>
      <c r="I243" s="69">
        <f t="shared" si="119"/>
        <v>1</v>
      </c>
      <c r="J243" s="76" t="str">
        <f t="shared" si="119"/>
        <v>Lactuca</v>
      </c>
      <c r="K243" s="76" t="str">
        <f t="shared" si="119"/>
        <v>inermis</v>
      </c>
      <c r="L243" s="77">
        <f t="shared" si="119"/>
        <v>13</v>
      </c>
      <c r="M243" s="77">
        <f t="shared" si="119"/>
        <v>2</v>
      </c>
      <c r="N243" s="71">
        <f t="shared" si="119"/>
        <v>0</v>
      </c>
      <c r="O243" s="44"/>
      <c r="P243" s="45">
        <f t="shared" si="100"/>
        <v>1</v>
      </c>
      <c r="Q243" s="46" t="str">
        <f t="shared" si="101"/>
        <v>14:21:45</v>
      </c>
      <c r="R243" s="47" t="str">
        <f t="shared" si="102"/>
        <v>21:45</v>
      </c>
      <c r="S243" s="48">
        <f t="shared" si="91"/>
        <v>27</v>
      </c>
      <c r="T243" s="47" t="str">
        <f t="shared" si="103"/>
        <v>14</v>
      </c>
      <c r="U243" s="49">
        <v>22</v>
      </c>
      <c r="V243" s="50">
        <v>12</v>
      </c>
      <c r="W243" s="51" t="str">
        <f t="shared" si="104"/>
        <v>22:12</v>
      </c>
      <c r="X243" s="52" t="s">
        <v>59</v>
      </c>
      <c r="Y243" s="124" t="s">
        <v>89</v>
      </c>
      <c r="Z243" s="124" t="s">
        <v>92</v>
      </c>
      <c r="AA243" s="47" t="s">
        <v>82</v>
      </c>
      <c r="AB243" s="47" t="str">
        <f t="shared" si="105"/>
        <v>NA</v>
      </c>
      <c r="AC243" s="53">
        <f t="shared" si="106"/>
        <v>0</v>
      </c>
      <c r="AD243" s="54">
        <v>2</v>
      </c>
      <c r="AE243" s="54"/>
      <c r="AF243" s="54"/>
      <c r="AG243" s="55" t="str">
        <f t="shared" si="108"/>
        <v/>
      </c>
      <c r="AH243" s="56" t="str">
        <f t="shared" si="109"/>
        <v/>
      </c>
      <c r="AI243" s="55"/>
      <c r="AJ243" s="56" t="str">
        <f t="shared" si="110"/>
        <v/>
      </c>
      <c r="AK243" s="55"/>
      <c r="AL243" s="56" t="str">
        <f t="shared" si="111"/>
        <v/>
      </c>
      <c r="AM243" s="55">
        <v>1</v>
      </c>
      <c r="AN243" s="56">
        <f t="shared" si="112"/>
        <v>27</v>
      </c>
      <c r="AO243" s="55"/>
      <c r="AP243" s="56" t="str">
        <f t="shared" si="113"/>
        <v/>
      </c>
      <c r="AQ243" s="55"/>
      <c r="AR243" s="56" t="str">
        <f t="shared" si="114"/>
        <v/>
      </c>
      <c r="AS243" s="57" t="s">
        <v>71</v>
      </c>
      <c r="AT243" s="58"/>
      <c r="AU243" s="58"/>
      <c r="AV243" s="59"/>
      <c r="AW243" s="60">
        <v>1</v>
      </c>
      <c r="AX243" s="61">
        <f t="shared" si="93"/>
        <v>2</v>
      </c>
      <c r="AY243" s="60">
        <v>1</v>
      </c>
      <c r="AZ243" s="61">
        <f t="shared" si="95"/>
        <v>2</v>
      </c>
    </row>
    <row r="244" spans="1:52" s="3" customFormat="1" hidden="1" x14ac:dyDescent="0.35">
      <c r="A244" s="72">
        <f t="shared" si="96"/>
        <v>2019</v>
      </c>
      <c r="B244" s="72" t="str">
        <f t="shared" si="97"/>
        <v>Nov</v>
      </c>
      <c r="C244" s="73">
        <f t="shared" si="115"/>
        <v>23</v>
      </c>
      <c r="D244" s="74">
        <f t="shared" si="98"/>
        <v>14</v>
      </c>
      <c r="E244" s="75">
        <f t="shared" si="99"/>
        <v>22</v>
      </c>
      <c r="F244" s="79"/>
      <c r="G244" s="82"/>
      <c r="H244" s="68" t="str">
        <f t="shared" si="116"/>
        <v>Lacine13_20191123_14_00</v>
      </c>
      <c r="I244" s="69">
        <f t="shared" si="119"/>
        <v>1</v>
      </c>
      <c r="J244" s="76" t="str">
        <f t="shared" si="119"/>
        <v>Lactuca</v>
      </c>
      <c r="K244" s="76" t="str">
        <f t="shared" si="119"/>
        <v>inermis</v>
      </c>
      <c r="L244" s="77">
        <f t="shared" si="119"/>
        <v>13</v>
      </c>
      <c r="M244" s="77">
        <f t="shared" si="119"/>
        <v>2</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2019</v>
      </c>
      <c r="B245" s="72" t="str">
        <f t="shared" si="97"/>
        <v>Nov</v>
      </c>
      <c r="C245" s="73">
        <f t="shared" si="115"/>
        <v>23</v>
      </c>
      <c r="D245" s="74">
        <f t="shared" si="98"/>
        <v>14</v>
      </c>
      <c r="E245" s="75">
        <f t="shared" si="99"/>
        <v>23</v>
      </c>
      <c r="F245" s="79"/>
      <c r="G245" s="82"/>
      <c r="H245" s="68" t="str">
        <f t="shared" si="116"/>
        <v>Lacine13_20191123_14_00</v>
      </c>
      <c r="I245" s="69">
        <f t="shared" ref="I245:N260" si="120">I244</f>
        <v>1</v>
      </c>
      <c r="J245" s="76" t="str">
        <f t="shared" si="120"/>
        <v>Lactuca</v>
      </c>
      <c r="K245" s="76" t="str">
        <f t="shared" si="120"/>
        <v>inermis</v>
      </c>
      <c r="L245" s="77">
        <f t="shared" si="120"/>
        <v>13</v>
      </c>
      <c r="M245" s="77">
        <f t="shared" si="120"/>
        <v>2</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2019</v>
      </c>
      <c r="B246" s="72" t="str">
        <f t="shared" si="97"/>
        <v>Nov</v>
      </c>
      <c r="C246" s="73">
        <f t="shared" si="115"/>
        <v>23</v>
      </c>
      <c r="D246" s="74">
        <f t="shared" si="98"/>
        <v>14</v>
      </c>
      <c r="E246" s="75">
        <f t="shared" si="99"/>
        <v>24</v>
      </c>
      <c r="F246" s="79"/>
      <c r="G246" s="82"/>
      <c r="H246" s="68" t="str">
        <f t="shared" si="116"/>
        <v>Lacine13_20191123_14_00</v>
      </c>
      <c r="I246" s="69">
        <f t="shared" si="120"/>
        <v>1</v>
      </c>
      <c r="J246" s="76" t="str">
        <f t="shared" si="120"/>
        <v>Lactuca</v>
      </c>
      <c r="K246" s="76" t="str">
        <f t="shared" si="120"/>
        <v>inermis</v>
      </c>
      <c r="L246" s="77">
        <f t="shared" si="120"/>
        <v>13</v>
      </c>
      <c r="M246" s="77">
        <f t="shared" si="120"/>
        <v>2</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2019</v>
      </c>
      <c r="B247" s="72" t="str">
        <f t="shared" si="97"/>
        <v>Nov</v>
      </c>
      <c r="C247" s="73">
        <f t="shared" si="115"/>
        <v>23</v>
      </c>
      <c r="D247" s="74">
        <f t="shared" si="98"/>
        <v>14</v>
      </c>
      <c r="E247" s="75">
        <f t="shared" si="99"/>
        <v>25</v>
      </c>
      <c r="F247" s="79"/>
      <c r="G247" s="82"/>
      <c r="H247" s="68" t="str">
        <f t="shared" si="116"/>
        <v>Lacine13_20191123_14_00</v>
      </c>
      <c r="I247" s="69">
        <f t="shared" si="120"/>
        <v>1</v>
      </c>
      <c r="J247" s="76" t="str">
        <f t="shared" si="120"/>
        <v>Lactuca</v>
      </c>
      <c r="K247" s="76" t="str">
        <f t="shared" si="120"/>
        <v>inermis</v>
      </c>
      <c r="L247" s="77">
        <f t="shared" si="120"/>
        <v>13</v>
      </c>
      <c r="M247" s="77">
        <f t="shared" si="120"/>
        <v>2</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2019</v>
      </c>
      <c r="B248" s="72" t="str">
        <f t="shared" si="97"/>
        <v>Nov</v>
      </c>
      <c r="C248" s="73">
        <f t="shared" si="115"/>
        <v>23</v>
      </c>
      <c r="D248" s="74">
        <f t="shared" si="98"/>
        <v>14</v>
      </c>
      <c r="E248" s="75">
        <f t="shared" si="99"/>
        <v>26</v>
      </c>
      <c r="F248" s="79"/>
      <c r="G248" s="82"/>
      <c r="H248" s="68" t="str">
        <f t="shared" si="116"/>
        <v>Lacine13_20191123_14_00</v>
      </c>
      <c r="I248" s="69">
        <f t="shared" si="120"/>
        <v>1</v>
      </c>
      <c r="J248" s="76" t="str">
        <f t="shared" si="120"/>
        <v>Lactuca</v>
      </c>
      <c r="K248" s="76" t="str">
        <f t="shared" si="120"/>
        <v>inermis</v>
      </c>
      <c r="L248" s="77">
        <f t="shared" si="120"/>
        <v>13</v>
      </c>
      <c r="M248" s="77">
        <f t="shared" si="120"/>
        <v>2</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2019</v>
      </c>
      <c r="B249" s="72" t="str">
        <f t="shared" si="97"/>
        <v>Nov</v>
      </c>
      <c r="C249" s="73">
        <f t="shared" si="115"/>
        <v>23</v>
      </c>
      <c r="D249" s="74">
        <f t="shared" si="98"/>
        <v>14</v>
      </c>
      <c r="E249" s="75">
        <f t="shared" si="99"/>
        <v>27</v>
      </c>
      <c r="F249" s="79"/>
      <c r="G249" s="82"/>
      <c r="H249" s="68" t="str">
        <f t="shared" si="116"/>
        <v>Lacine13_20191123_14_00</v>
      </c>
      <c r="I249" s="69">
        <f t="shared" si="120"/>
        <v>1</v>
      </c>
      <c r="J249" s="76" t="str">
        <f t="shared" si="120"/>
        <v>Lactuca</v>
      </c>
      <c r="K249" s="76" t="str">
        <f t="shared" si="120"/>
        <v>inermis</v>
      </c>
      <c r="L249" s="77">
        <f t="shared" si="120"/>
        <v>13</v>
      </c>
      <c r="M249" s="77">
        <f t="shared" si="120"/>
        <v>2</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2019</v>
      </c>
      <c r="B250" s="72" t="str">
        <f t="shared" si="97"/>
        <v>Nov</v>
      </c>
      <c r="C250" s="73">
        <f t="shared" si="115"/>
        <v>23</v>
      </c>
      <c r="D250" s="74">
        <f t="shared" si="98"/>
        <v>14</v>
      </c>
      <c r="E250" s="75">
        <f t="shared" si="99"/>
        <v>28</v>
      </c>
      <c r="F250" s="79"/>
      <c r="G250" s="82"/>
      <c r="H250" s="68" t="str">
        <f t="shared" si="116"/>
        <v>Lacine13_20191123_14_00</v>
      </c>
      <c r="I250" s="69">
        <f t="shared" si="120"/>
        <v>1</v>
      </c>
      <c r="J250" s="76" t="str">
        <f t="shared" si="120"/>
        <v>Lactuca</v>
      </c>
      <c r="K250" s="76" t="str">
        <f t="shared" si="120"/>
        <v>inermis</v>
      </c>
      <c r="L250" s="77">
        <f t="shared" si="120"/>
        <v>13</v>
      </c>
      <c r="M250" s="77">
        <f t="shared" si="120"/>
        <v>2</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2019</v>
      </c>
      <c r="B251" s="72" t="str">
        <f t="shared" si="97"/>
        <v>Nov</v>
      </c>
      <c r="C251" s="73">
        <f t="shared" si="115"/>
        <v>23</v>
      </c>
      <c r="D251" s="74">
        <f t="shared" si="98"/>
        <v>14</v>
      </c>
      <c r="E251" s="75">
        <f t="shared" si="99"/>
        <v>29</v>
      </c>
      <c r="F251" s="79"/>
      <c r="G251" s="82"/>
      <c r="H251" s="68" t="str">
        <f t="shared" si="116"/>
        <v>Lacine13_20191123_14_00</v>
      </c>
      <c r="I251" s="69">
        <f t="shared" si="120"/>
        <v>1</v>
      </c>
      <c r="J251" s="76" t="str">
        <f t="shared" si="120"/>
        <v>Lactuca</v>
      </c>
      <c r="K251" s="76" t="str">
        <f t="shared" si="120"/>
        <v>inermis</v>
      </c>
      <c r="L251" s="77">
        <f t="shared" si="120"/>
        <v>13</v>
      </c>
      <c r="M251" s="77">
        <f t="shared" si="120"/>
        <v>2</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2019</v>
      </c>
      <c r="B252" s="72" t="str">
        <f t="shared" si="97"/>
        <v>Nov</v>
      </c>
      <c r="C252" s="73">
        <f t="shared" si="115"/>
        <v>23</v>
      </c>
      <c r="D252" s="74">
        <f t="shared" si="98"/>
        <v>14</v>
      </c>
      <c r="E252" s="75">
        <f t="shared" si="99"/>
        <v>30</v>
      </c>
      <c r="F252" s="79"/>
      <c r="G252" s="82"/>
      <c r="H252" s="68" t="str">
        <f t="shared" si="116"/>
        <v>Lacine13_20191123_14_00</v>
      </c>
      <c r="I252" s="69">
        <f t="shared" si="120"/>
        <v>1</v>
      </c>
      <c r="J252" s="76" t="str">
        <f t="shared" si="120"/>
        <v>Lactuca</v>
      </c>
      <c r="K252" s="76" t="str">
        <f t="shared" si="120"/>
        <v>inermis</v>
      </c>
      <c r="L252" s="77">
        <f t="shared" si="120"/>
        <v>13</v>
      </c>
      <c r="M252" s="77">
        <f t="shared" si="120"/>
        <v>2</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2019</v>
      </c>
      <c r="B253" s="72" t="str">
        <f t="shared" si="97"/>
        <v>Nov</v>
      </c>
      <c r="C253" s="73">
        <f t="shared" si="115"/>
        <v>23</v>
      </c>
      <c r="D253" s="74">
        <f t="shared" si="98"/>
        <v>14</v>
      </c>
      <c r="E253" s="75">
        <f t="shared" si="99"/>
        <v>31</v>
      </c>
      <c r="F253" s="79"/>
      <c r="G253" s="82"/>
      <c r="H253" s="68" t="str">
        <f t="shared" si="116"/>
        <v>Lacine13_20191123_14_00</v>
      </c>
      <c r="I253" s="69">
        <f t="shared" si="120"/>
        <v>1</v>
      </c>
      <c r="J253" s="76" t="str">
        <f t="shared" si="120"/>
        <v>Lactuca</v>
      </c>
      <c r="K253" s="76" t="str">
        <f t="shared" si="120"/>
        <v>inermis</v>
      </c>
      <c r="L253" s="77">
        <f t="shared" si="120"/>
        <v>13</v>
      </c>
      <c r="M253" s="77">
        <f t="shared" si="120"/>
        <v>2</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x14ac:dyDescent="0.35">
      <c r="A254" s="72">
        <f t="shared" si="96"/>
        <v>2019</v>
      </c>
      <c r="B254" s="72" t="str">
        <f t="shared" si="97"/>
        <v>Nov</v>
      </c>
      <c r="C254" s="73">
        <f t="shared" si="115"/>
        <v>23</v>
      </c>
      <c r="D254" s="74">
        <f t="shared" si="98"/>
        <v>14</v>
      </c>
      <c r="E254" s="75">
        <f t="shared" si="99"/>
        <v>32</v>
      </c>
      <c r="F254" s="79">
        <v>30</v>
      </c>
      <c r="G254" s="82"/>
      <c r="H254" s="68" t="str">
        <f t="shared" si="116"/>
        <v>Lacine13_20191123_14_00</v>
      </c>
      <c r="I254" s="69">
        <f t="shared" si="120"/>
        <v>1</v>
      </c>
      <c r="J254" s="76" t="str">
        <f t="shared" si="120"/>
        <v>Lactuca</v>
      </c>
      <c r="K254" s="76" t="str">
        <f t="shared" si="120"/>
        <v>inermis</v>
      </c>
      <c r="L254" s="77">
        <f t="shared" si="120"/>
        <v>13</v>
      </c>
      <c r="M254" s="77">
        <f t="shared" si="120"/>
        <v>2</v>
      </c>
      <c r="N254" s="71">
        <f t="shared" si="120"/>
        <v>0</v>
      </c>
      <c r="O254" s="44"/>
      <c r="P254" s="45">
        <f t="shared" si="100"/>
        <v>1</v>
      </c>
      <c r="Q254" s="46" t="str">
        <f t="shared" si="101"/>
        <v>14:32:30</v>
      </c>
      <c r="R254" s="47" t="str">
        <f t="shared" si="102"/>
        <v>32:30</v>
      </c>
      <c r="S254" s="48">
        <f t="shared" si="91"/>
        <v>16</v>
      </c>
      <c r="T254" s="47" t="str">
        <f t="shared" si="103"/>
        <v>14</v>
      </c>
      <c r="U254" s="49">
        <v>32</v>
      </c>
      <c r="V254" s="50">
        <v>46</v>
      </c>
      <c r="W254" s="51" t="str">
        <f t="shared" si="104"/>
        <v>32:46</v>
      </c>
      <c r="X254" s="52" t="s">
        <v>59</v>
      </c>
      <c r="Y254" s="124" t="s">
        <v>89</v>
      </c>
      <c r="Z254" s="124" t="s">
        <v>92</v>
      </c>
      <c r="AA254" s="47" t="s">
        <v>82</v>
      </c>
      <c r="AB254" s="47" t="str">
        <f t="shared" si="105"/>
        <v>NA</v>
      </c>
      <c r="AC254" s="53">
        <f t="shared" si="106"/>
        <v>0</v>
      </c>
      <c r="AD254" s="54">
        <f t="shared" si="107"/>
        <v>1</v>
      </c>
      <c r="AE254" s="54"/>
      <c r="AF254" s="54"/>
      <c r="AG254" s="55" t="str">
        <f t="shared" si="108"/>
        <v/>
      </c>
      <c r="AH254" s="56" t="str">
        <f t="shared" si="109"/>
        <v/>
      </c>
      <c r="AI254" s="55"/>
      <c r="AJ254" s="56" t="str">
        <f t="shared" si="110"/>
        <v/>
      </c>
      <c r="AK254" s="55"/>
      <c r="AL254" s="56" t="str">
        <f t="shared" si="111"/>
        <v/>
      </c>
      <c r="AM254" s="55">
        <v>1</v>
      </c>
      <c r="AN254" s="56">
        <f t="shared" si="112"/>
        <v>16</v>
      </c>
      <c r="AO254" s="55"/>
      <c r="AP254" s="56" t="str">
        <f t="shared" si="113"/>
        <v/>
      </c>
      <c r="AQ254" s="55"/>
      <c r="AR254" s="56" t="str">
        <f t="shared" si="114"/>
        <v/>
      </c>
      <c r="AS254" s="57"/>
      <c r="AT254" s="58"/>
      <c r="AU254" s="58"/>
      <c r="AV254" s="59"/>
      <c r="AW254" s="60">
        <v>1</v>
      </c>
      <c r="AX254" s="61">
        <f t="shared" si="93"/>
        <v>1</v>
      </c>
      <c r="AY254" s="60">
        <v>1</v>
      </c>
      <c r="AZ254" s="61">
        <f t="shared" si="95"/>
        <v>1</v>
      </c>
    </row>
    <row r="255" spans="1:52" s="3" customFormat="1" hidden="1" x14ac:dyDescent="0.35">
      <c r="A255" s="72">
        <f t="shared" si="96"/>
        <v>2019</v>
      </c>
      <c r="B255" s="72" t="str">
        <f t="shared" si="97"/>
        <v>Nov</v>
      </c>
      <c r="C255" s="73">
        <f t="shared" si="115"/>
        <v>23</v>
      </c>
      <c r="D255" s="74">
        <f t="shared" si="98"/>
        <v>14</v>
      </c>
      <c r="E255" s="75">
        <f t="shared" si="99"/>
        <v>33</v>
      </c>
      <c r="F255" s="79"/>
      <c r="G255" s="82"/>
      <c r="H255" s="68" t="str">
        <f t="shared" si="116"/>
        <v>Lacine13_20191123_14_00</v>
      </c>
      <c r="I255" s="69">
        <f t="shared" si="120"/>
        <v>1</v>
      </c>
      <c r="J255" s="76" t="str">
        <f t="shared" si="120"/>
        <v>Lactuca</v>
      </c>
      <c r="K255" s="76" t="str">
        <f t="shared" si="120"/>
        <v>inermis</v>
      </c>
      <c r="L255" s="77">
        <f t="shared" si="120"/>
        <v>13</v>
      </c>
      <c r="M255" s="77">
        <f t="shared" si="120"/>
        <v>2</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2019</v>
      </c>
      <c r="B256" s="72" t="str">
        <f t="shared" si="97"/>
        <v>Nov</v>
      </c>
      <c r="C256" s="73">
        <f t="shared" si="115"/>
        <v>23</v>
      </c>
      <c r="D256" s="74">
        <f t="shared" si="98"/>
        <v>14</v>
      </c>
      <c r="E256" s="75">
        <f t="shared" si="99"/>
        <v>34</v>
      </c>
      <c r="F256" s="79"/>
      <c r="G256" s="82"/>
      <c r="H256" s="68" t="str">
        <f t="shared" si="116"/>
        <v>Lacine13_20191123_14_00</v>
      </c>
      <c r="I256" s="69">
        <f t="shared" si="120"/>
        <v>1</v>
      </c>
      <c r="J256" s="76" t="str">
        <f t="shared" si="120"/>
        <v>Lactuca</v>
      </c>
      <c r="K256" s="76" t="str">
        <f t="shared" si="120"/>
        <v>inermis</v>
      </c>
      <c r="L256" s="77">
        <f t="shared" si="120"/>
        <v>13</v>
      </c>
      <c r="M256" s="77">
        <f t="shared" si="120"/>
        <v>2</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2019</v>
      </c>
      <c r="B257" s="72" t="str">
        <f t="shared" si="97"/>
        <v>Nov</v>
      </c>
      <c r="C257" s="73">
        <f t="shared" si="115"/>
        <v>23</v>
      </c>
      <c r="D257" s="74">
        <f t="shared" si="98"/>
        <v>14</v>
      </c>
      <c r="E257" s="75">
        <f t="shared" si="99"/>
        <v>35</v>
      </c>
      <c r="F257" s="79"/>
      <c r="G257" s="82"/>
      <c r="H257" s="68" t="str">
        <f t="shared" si="116"/>
        <v>Lacine13_20191123_14_00</v>
      </c>
      <c r="I257" s="69">
        <f t="shared" si="120"/>
        <v>1</v>
      </c>
      <c r="J257" s="76" t="str">
        <f t="shared" si="120"/>
        <v>Lactuca</v>
      </c>
      <c r="K257" s="76" t="str">
        <f t="shared" si="120"/>
        <v>inermis</v>
      </c>
      <c r="L257" s="77">
        <f t="shared" si="120"/>
        <v>13</v>
      </c>
      <c r="M257" s="77">
        <f t="shared" si="120"/>
        <v>2</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2019</v>
      </c>
      <c r="B258" s="72" t="str">
        <f t="shared" si="97"/>
        <v>Nov</v>
      </c>
      <c r="C258" s="73">
        <f t="shared" si="115"/>
        <v>23</v>
      </c>
      <c r="D258" s="74">
        <f t="shared" si="98"/>
        <v>14</v>
      </c>
      <c r="E258" s="75">
        <f t="shared" si="99"/>
        <v>36</v>
      </c>
      <c r="F258" s="79"/>
      <c r="G258" s="82"/>
      <c r="H258" s="68" t="str">
        <f t="shared" si="116"/>
        <v>Lacine13_20191123_14_00</v>
      </c>
      <c r="I258" s="69">
        <f t="shared" si="120"/>
        <v>1</v>
      </c>
      <c r="J258" s="76" t="str">
        <f t="shared" si="120"/>
        <v>Lactuca</v>
      </c>
      <c r="K258" s="76" t="str">
        <f t="shared" si="120"/>
        <v>inermis</v>
      </c>
      <c r="L258" s="77">
        <f t="shared" si="120"/>
        <v>13</v>
      </c>
      <c r="M258" s="77">
        <f t="shared" si="120"/>
        <v>2</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2019</v>
      </c>
      <c r="B259" s="72" t="str">
        <f t="shared" si="97"/>
        <v>Nov</v>
      </c>
      <c r="C259" s="73">
        <f t="shared" si="115"/>
        <v>23</v>
      </c>
      <c r="D259" s="74">
        <f t="shared" si="98"/>
        <v>14</v>
      </c>
      <c r="E259" s="75">
        <f t="shared" si="99"/>
        <v>37</v>
      </c>
      <c r="F259" s="79"/>
      <c r="G259" s="82"/>
      <c r="H259" s="68" t="str">
        <f t="shared" si="116"/>
        <v>Lacine13_20191123_14_00</v>
      </c>
      <c r="I259" s="69">
        <f t="shared" si="120"/>
        <v>1</v>
      </c>
      <c r="J259" s="76" t="str">
        <f t="shared" si="120"/>
        <v>Lactuca</v>
      </c>
      <c r="K259" s="76" t="str">
        <f t="shared" si="120"/>
        <v>inermis</v>
      </c>
      <c r="L259" s="77">
        <f t="shared" si="120"/>
        <v>13</v>
      </c>
      <c r="M259" s="77">
        <f t="shared" si="120"/>
        <v>2</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2019</v>
      </c>
      <c r="B260" s="72" t="str">
        <f t="shared" ref="B260:B323" si="127">IF(C259-C260&gt;0, TEXT(DATE(2016,(MONTH(DATEVALUE(B259&amp;"1"))+1),1),"mmm"), B259)</f>
        <v>Nov</v>
      </c>
      <c r="C260" s="73">
        <f t="shared" si="115"/>
        <v>23</v>
      </c>
      <c r="D260" s="74">
        <f t="shared" ref="D260:D323" si="128">IF(IF(E259=59,D259+1,D259)=24,0,IF(E259=59,D259+1,D259))</f>
        <v>14</v>
      </c>
      <c r="E260" s="75">
        <f t="shared" ref="E260:E323" si="129">IF(E259&lt;59,E259+1,0)</f>
        <v>38</v>
      </c>
      <c r="F260" s="79"/>
      <c r="G260" s="82"/>
      <c r="H260" s="68" t="str">
        <f t="shared" si="116"/>
        <v>Lacine13_20191123_14_00</v>
      </c>
      <c r="I260" s="69">
        <f t="shared" si="120"/>
        <v>1</v>
      </c>
      <c r="J260" s="76" t="str">
        <f t="shared" si="120"/>
        <v>Lactuca</v>
      </c>
      <c r="K260" s="76" t="str">
        <f t="shared" si="120"/>
        <v>inermis</v>
      </c>
      <c r="L260" s="77">
        <f t="shared" si="120"/>
        <v>13</v>
      </c>
      <c r="M260" s="77">
        <f t="shared" si="120"/>
        <v>2</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2019</v>
      </c>
      <c r="B261" s="72" t="str">
        <f t="shared" si="127"/>
        <v>Nov</v>
      </c>
      <c r="C261" s="73">
        <f t="shared" ref="C261:C324" si="145">IF(AND(D261=0, E261=0), IF(TEXT(C260,"dd")=TEXT(EOMONTH(DATE(A260,MONTH(DATEVALUE(B260&amp;"1")),C260),0), "dd"), 1, C260+1), C260)</f>
        <v>23</v>
      </c>
      <c r="D261" s="74">
        <f t="shared" si="128"/>
        <v>14</v>
      </c>
      <c r="E261" s="75">
        <f t="shared" si="129"/>
        <v>39</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Lacine13_20191123_14_00</v>
      </c>
      <c r="I261" s="69">
        <f t="shared" ref="I261:N276" si="147">I260</f>
        <v>1</v>
      </c>
      <c r="J261" s="76" t="str">
        <f t="shared" si="147"/>
        <v>Lactuca</v>
      </c>
      <c r="K261" s="76" t="str">
        <f t="shared" si="147"/>
        <v>inermis</v>
      </c>
      <c r="L261" s="77">
        <f t="shared" si="147"/>
        <v>13</v>
      </c>
      <c r="M261" s="77">
        <f t="shared" si="147"/>
        <v>2</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2019</v>
      </c>
      <c r="B262" s="72" t="str">
        <f t="shared" si="127"/>
        <v>Nov</v>
      </c>
      <c r="C262" s="73">
        <f t="shared" si="145"/>
        <v>23</v>
      </c>
      <c r="D262" s="74">
        <f t="shared" si="128"/>
        <v>14</v>
      </c>
      <c r="E262" s="75">
        <f t="shared" si="129"/>
        <v>40</v>
      </c>
      <c r="F262" s="79"/>
      <c r="G262" s="82"/>
      <c r="H262" s="68" t="str">
        <f t="shared" si="146"/>
        <v>Lacine13_20191123_14_00</v>
      </c>
      <c r="I262" s="69">
        <f t="shared" si="147"/>
        <v>1</v>
      </c>
      <c r="J262" s="76" t="str">
        <f t="shared" si="147"/>
        <v>Lactuca</v>
      </c>
      <c r="K262" s="76" t="str">
        <f t="shared" si="147"/>
        <v>inermis</v>
      </c>
      <c r="L262" s="77">
        <f t="shared" si="147"/>
        <v>13</v>
      </c>
      <c r="M262" s="77">
        <f t="shared" si="147"/>
        <v>2</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2019</v>
      </c>
      <c r="B263" s="72" t="str">
        <f t="shared" si="127"/>
        <v>Nov</v>
      </c>
      <c r="C263" s="73">
        <f t="shared" si="145"/>
        <v>23</v>
      </c>
      <c r="D263" s="74">
        <f t="shared" si="128"/>
        <v>14</v>
      </c>
      <c r="E263" s="75">
        <f t="shared" si="129"/>
        <v>41</v>
      </c>
      <c r="F263" s="79"/>
      <c r="G263" s="82"/>
      <c r="H263" s="68" t="str">
        <f t="shared" si="146"/>
        <v>Lacine13_20191123_14_00</v>
      </c>
      <c r="I263" s="69">
        <f t="shared" si="147"/>
        <v>1</v>
      </c>
      <c r="J263" s="76" t="str">
        <f t="shared" si="147"/>
        <v>Lactuca</v>
      </c>
      <c r="K263" s="76" t="str">
        <f t="shared" si="147"/>
        <v>inermis</v>
      </c>
      <c r="L263" s="77">
        <f t="shared" si="147"/>
        <v>13</v>
      </c>
      <c r="M263" s="77">
        <f t="shared" si="147"/>
        <v>2</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2019</v>
      </c>
      <c r="B264" s="72" t="str">
        <f t="shared" si="127"/>
        <v>Nov</v>
      </c>
      <c r="C264" s="73">
        <f t="shared" si="145"/>
        <v>23</v>
      </c>
      <c r="D264" s="74">
        <f t="shared" si="128"/>
        <v>14</v>
      </c>
      <c r="E264" s="75">
        <f t="shared" si="129"/>
        <v>42</v>
      </c>
      <c r="F264" s="79"/>
      <c r="G264" s="82"/>
      <c r="H264" s="68" t="str">
        <f t="shared" si="146"/>
        <v>Lacine13_20191123_14_00</v>
      </c>
      <c r="I264" s="69">
        <f t="shared" si="147"/>
        <v>1</v>
      </c>
      <c r="J264" s="76" t="str">
        <f t="shared" si="147"/>
        <v>Lactuca</v>
      </c>
      <c r="K264" s="76" t="str">
        <f t="shared" si="147"/>
        <v>inermis</v>
      </c>
      <c r="L264" s="77">
        <f t="shared" si="147"/>
        <v>13</v>
      </c>
      <c r="M264" s="77">
        <f t="shared" si="147"/>
        <v>2</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2019</v>
      </c>
      <c r="B265" s="72" t="str">
        <f t="shared" si="127"/>
        <v>Nov</v>
      </c>
      <c r="C265" s="73">
        <f t="shared" si="145"/>
        <v>23</v>
      </c>
      <c r="D265" s="74">
        <f t="shared" si="128"/>
        <v>14</v>
      </c>
      <c r="E265" s="75">
        <f t="shared" si="129"/>
        <v>43</v>
      </c>
      <c r="F265" s="79"/>
      <c r="G265" s="82"/>
      <c r="H265" s="68" t="str">
        <f t="shared" si="146"/>
        <v>Lacine13_20191123_14_00</v>
      </c>
      <c r="I265" s="69">
        <f t="shared" si="147"/>
        <v>1</v>
      </c>
      <c r="J265" s="76" t="str">
        <f t="shared" si="147"/>
        <v>Lactuca</v>
      </c>
      <c r="K265" s="76" t="str">
        <f t="shared" si="147"/>
        <v>inermis</v>
      </c>
      <c r="L265" s="77">
        <f t="shared" si="147"/>
        <v>13</v>
      </c>
      <c r="M265" s="77">
        <f t="shared" si="147"/>
        <v>2</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2019</v>
      </c>
      <c r="B266" s="72" t="str">
        <f t="shared" si="127"/>
        <v>Nov</v>
      </c>
      <c r="C266" s="73">
        <f t="shared" si="145"/>
        <v>23</v>
      </c>
      <c r="D266" s="74">
        <f t="shared" si="128"/>
        <v>14</v>
      </c>
      <c r="E266" s="75">
        <f t="shared" si="129"/>
        <v>44</v>
      </c>
      <c r="F266" s="79"/>
      <c r="G266" s="82"/>
      <c r="H266" s="68" t="str">
        <f t="shared" si="146"/>
        <v>Lacine13_20191123_14_00</v>
      </c>
      <c r="I266" s="69">
        <f t="shared" si="147"/>
        <v>1</v>
      </c>
      <c r="J266" s="76" t="str">
        <f t="shared" si="147"/>
        <v>Lactuca</v>
      </c>
      <c r="K266" s="76" t="str">
        <f t="shared" si="147"/>
        <v>inermis</v>
      </c>
      <c r="L266" s="77">
        <f t="shared" si="147"/>
        <v>13</v>
      </c>
      <c r="M266" s="77">
        <f t="shared" si="147"/>
        <v>2</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2019</v>
      </c>
      <c r="B267" s="72" t="str">
        <f t="shared" si="127"/>
        <v>Nov</v>
      </c>
      <c r="C267" s="73">
        <f t="shared" si="145"/>
        <v>23</v>
      </c>
      <c r="D267" s="74">
        <f t="shared" si="128"/>
        <v>14</v>
      </c>
      <c r="E267" s="75">
        <f t="shared" si="129"/>
        <v>45</v>
      </c>
      <c r="F267" s="79"/>
      <c r="G267" s="82"/>
      <c r="H267" s="68" t="str">
        <f t="shared" si="146"/>
        <v>Lacine13_20191123_14_00</v>
      </c>
      <c r="I267" s="69">
        <f t="shared" si="147"/>
        <v>1</v>
      </c>
      <c r="J267" s="76" t="str">
        <f t="shared" si="147"/>
        <v>Lactuca</v>
      </c>
      <c r="K267" s="76" t="str">
        <f t="shared" si="147"/>
        <v>inermis</v>
      </c>
      <c r="L267" s="77">
        <f t="shared" si="147"/>
        <v>13</v>
      </c>
      <c r="M267" s="77">
        <f t="shared" si="147"/>
        <v>2</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x14ac:dyDescent="0.35">
      <c r="A268" s="72">
        <f t="shared" si="126"/>
        <v>2019</v>
      </c>
      <c r="B268" s="72" t="str">
        <f t="shared" si="127"/>
        <v>Nov</v>
      </c>
      <c r="C268" s="73">
        <f t="shared" si="145"/>
        <v>23</v>
      </c>
      <c r="D268" s="74">
        <f t="shared" si="128"/>
        <v>14</v>
      </c>
      <c r="E268" s="75">
        <f t="shared" si="129"/>
        <v>46</v>
      </c>
      <c r="F268" s="79">
        <v>28</v>
      </c>
      <c r="G268" s="82"/>
      <c r="H268" s="68" t="str">
        <f t="shared" si="146"/>
        <v>Lacine13_20191123_14_00</v>
      </c>
      <c r="I268" s="69">
        <f t="shared" si="147"/>
        <v>1</v>
      </c>
      <c r="J268" s="76" t="str">
        <f t="shared" si="147"/>
        <v>Lactuca</v>
      </c>
      <c r="K268" s="76" t="str">
        <f t="shared" si="147"/>
        <v>inermis</v>
      </c>
      <c r="L268" s="77">
        <f t="shared" si="147"/>
        <v>13</v>
      </c>
      <c r="M268" s="77">
        <f t="shared" si="147"/>
        <v>2</v>
      </c>
      <c r="N268" s="71">
        <f t="shared" si="147"/>
        <v>0</v>
      </c>
      <c r="O268" s="44"/>
      <c r="P268" s="45">
        <f t="shared" si="130"/>
        <v>1</v>
      </c>
      <c r="Q268" s="46" t="str">
        <f t="shared" si="131"/>
        <v>14:46:28</v>
      </c>
      <c r="R268" s="47" t="str">
        <f t="shared" si="132"/>
        <v>46:28</v>
      </c>
      <c r="S268" s="48">
        <f t="shared" si="121"/>
        <v>19</v>
      </c>
      <c r="T268" s="47" t="str">
        <f t="shared" si="133"/>
        <v>14</v>
      </c>
      <c r="U268" s="49">
        <v>46</v>
      </c>
      <c r="V268" s="50">
        <v>47</v>
      </c>
      <c r="W268" s="51" t="str">
        <f t="shared" si="134"/>
        <v>46:47</v>
      </c>
      <c r="X268" s="52" t="s">
        <v>72</v>
      </c>
      <c r="Y268" s="124" t="s">
        <v>90</v>
      </c>
      <c r="Z268" s="124"/>
      <c r="AA268" s="47" t="s">
        <v>82</v>
      </c>
      <c r="AB268" s="47" t="str">
        <f t="shared" si="135"/>
        <v>NA</v>
      </c>
      <c r="AC268" s="53">
        <f t="shared" si="136"/>
        <v>0</v>
      </c>
      <c r="AD268" s="54">
        <f t="shared" si="137"/>
        <v>1</v>
      </c>
      <c r="AE268" s="54"/>
      <c r="AF268" s="54"/>
      <c r="AG268" s="55" t="str">
        <f t="shared" si="138"/>
        <v/>
      </c>
      <c r="AH268" s="56" t="str">
        <f t="shared" si="139"/>
        <v/>
      </c>
      <c r="AI268" s="55"/>
      <c r="AJ268" s="56" t="str">
        <f t="shared" si="140"/>
        <v/>
      </c>
      <c r="AK268" s="55"/>
      <c r="AL268" s="56" t="str">
        <f t="shared" si="141"/>
        <v/>
      </c>
      <c r="AM268" s="55">
        <v>1</v>
      </c>
      <c r="AN268" s="56">
        <f t="shared" si="142"/>
        <v>19</v>
      </c>
      <c r="AO268" s="55"/>
      <c r="AP268" s="56" t="str">
        <f t="shared" si="143"/>
        <v/>
      </c>
      <c r="AQ268" s="55"/>
      <c r="AR268" s="56" t="str">
        <f t="shared" si="144"/>
        <v/>
      </c>
      <c r="AS268" s="57" t="s">
        <v>73</v>
      </c>
      <c r="AT268" s="58"/>
      <c r="AU268" s="58"/>
      <c r="AV268" s="59"/>
      <c r="AW268" s="60">
        <v>1</v>
      </c>
      <c r="AX268" s="61">
        <f t="shared" si="123"/>
        <v>1</v>
      </c>
      <c r="AY268" s="60">
        <v>1</v>
      </c>
      <c r="AZ268" s="61">
        <f t="shared" si="125"/>
        <v>1</v>
      </c>
    </row>
    <row r="269" spans="1:52" s="3" customFormat="1" x14ac:dyDescent="0.35">
      <c r="A269" s="72">
        <f t="shared" si="126"/>
        <v>2019</v>
      </c>
      <c r="B269" s="72" t="str">
        <f t="shared" si="127"/>
        <v>Nov</v>
      </c>
      <c r="C269" s="73">
        <f t="shared" si="145"/>
        <v>23</v>
      </c>
      <c r="D269" s="74">
        <f t="shared" si="128"/>
        <v>14</v>
      </c>
      <c r="E269" s="75">
        <v>46</v>
      </c>
      <c r="F269" s="79">
        <v>40</v>
      </c>
      <c r="G269" s="82"/>
      <c r="H269" s="68" t="str">
        <f t="shared" si="146"/>
        <v>Lacine13_20191123_14_00</v>
      </c>
      <c r="I269" s="69">
        <f t="shared" si="147"/>
        <v>1</v>
      </c>
      <c r="J269" s="76" t="str">
        <f t="shared" si="147"/>
        <v>Lactuca</v>
      </c>
      <c r="K269" s="76" t="str">
        <f t="shared" si="147"/>
        <v>inermis</v>
      </c>
      <c r="L269" s="77">
        <f t="shared" si="147"/>
        <v>13</v>
      </c>
      <c r="M269" s="77">
        <f t="shared" si="147"/>
        <v>2</v>
      </c>
      <c r="N269" s="71">
        <f t="shared" si="147"/>
        <v>0</v>
      </c>
      <c r="O269" s="44"/>
      <c r="P269" s="45">
        <f t="shared" si="130"/>
        <v>1</v>
      </c>
      <c r="Q269" s="46" t="str">
        <f t="shared" si="131"/>
        <v>14:46:40</v>
      </c>
      <c r="R269" s="47" t="str">
        <f t="shared" si="132"/>
        <v>46:40</v>
      </c>
      <c r="S269" s="48">
        <f t="shared" si="121"/>
        <v>218</v>
      </c>
      <c r="T269" s="47" t="str">
        <f t="shared" si="133"/>
        <v>14</v>
      </c>
      <c r="U269" s="49">
        <v>50</v>
      </c>
      <c r="V269" s="50">
        <v>18</v>
      </c>
      <c r="W269" s="51" t="str">
        <f t="shared" si="134"/>
        <v>50:18</v>
      </c>
      <c r="X269" s="52" t="s">
        <v>59</v>
      </c>
      <c r="Y269" s="124" t="s">
        <v>89</v>
      </c>
      <c r="Z269" s="124" t="s">
        <v>92</v>
      </c>
      <c r="AA269" s="47" t="s">
        <v>82</v>
      </c>
      <c r="AB269" s="47" t="str">
        <f t="shared" si="135"/>
        <v>NA</v>
      </c>
      <c r="AC269" s="53">
        <f t="shared" si="136"/>
        <v>0</v>
      </c>
      <c r="AD269" s="54">
        <v>2</v>
      </c>
      <c r="AE269" s="54"/>
      <c r="AF269" s="54"/>
      <c r="AG269" s="55" t="str">
        <f t="shared" si="138"/>
        <v/>
      </c>
      <c r="AH269" s="56" t="str">
        <f t="shared" si="139"/>
        <v/>
      </c>
      <c r="AI269" s="55"/>
      <c r="AJ269" s="56" t="str">
        <f t="shared" si="140"/>
        <v/>
      </c>
      <c r="AK269" s="55"/>
      <c r="AL269" s="56" t="str">
        <f t="shared" si="141"/>
        <v/>
      </c>
      <c r="AM269" s="55">
        <v>1</v>
      </c>
      <c r="AN269" s="56">
        <f t="shared" si="142"/>
        <v>218</v>
      </c>
      <c r="AO269" s="55"/>
      <c r="AP269" s="56" t="str">
        <f t="shared" si="143"/>
        <v/>
      </c>
      <c r="AQ269" s="55"/>
      <c r="AR269" s="56" t="str">
        <f t="shared" si="144"/>
        <v/>
      </c>
      <c r="AS269" s="57"/>
      <c r="AT269" s="58"/>
      <c r="AU269" s="58"/>
      <c r="AV269" s="59"/>
      <c r="AW269" s="60">
        <v>1</v>
      </c>
      <c r="AX269" s="61">
        <f t="shared" si="123"/>
        <v>2</v>
      </c>
      <c r="AY269" s="60">
        <v>1</v>
      </c>
      <c r="AZ269" s="61">
        <f t="shared" si="125"/>
        <v>2</v>
      </c>
    </row>
    <row r="270" spans="1:52" s="3" customFormat="1" hidden="1" x14ac:dyDescent="0.35">
      <c r="A270" s="72">
        <f t="shared" si="126"/>
        <v>2019</v>
      </c>
      <c r="B270" s="72" t="str">
        <f t="shared" si="127"/>
        <v>Nov</v>
      </c>
      <c r="C270" s="73">
        <f t="shared" si="145"/>
        <v>23</v>
      </c>
      <c r="D270" s="74">
        <f t="shared" si="128"/>
        <v>14</v>
      </c>
      <c r="E270" s="75">
        <f t="shared" si="129"/>
        <v>47</v>
      </c>
      <c r="F270" s="79"/>
      <c r="G270" s="82"/>
      <c r="H270" s="68" t="str">
        <f t="shared" si="146"/>
        <v>Lacine13_20191123_14_00</v>
      </c>
      <c r="I270" s="69">
        <f t="shared" si="147"/>
        <v>1</v>
      </c>
      <c r="J270" s="76" t="str">
        <f t="shared" si="147"/>
        <v>Lactuca</v>
      </c>
      <c r="K270" s="76" t="str">
        <f t="shared" si="147"/>
        <v>inermis</v>
      </c>
      <c r="L270" s="77">
        <f t="shared" si="147"/>
        <v>13</v>
      </c>
      <c r="M270" s="77">
        <f t="shared" si="147"/>
        <v>2</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2019</v>
      </c>
      <c r="B271" s="72" t="str">
        <f t="shared" si="127"/>
        <v>Nov</v>
      </c>
      <c r="C271" s="73">
        <f t="shared" si="145"/>
        <v>23</v>
      </c>
      <c r="D271" s="74">
        <f t="shared" si="128"/>
        <v>14</v>
      </c>
      <c r="E271" s="75">
        <f t="shared" si="129"/>
        <v>48</v>
      </c>
      <c r="F271" s="79"/>
      <c r="G271" s="82"/>
      <c r="H271" s="68" t="str">
        <f t="shared" si="146"/>
        <v>Lacine13_20191123_14_00</v>
      </c>
      <c r="I271" s="69">
        <f t="shared" si="147"/>
        <v>1</v>
      </c>
      <c r="J271" s="76" t="str">
        <f t="shared" si="147"/>
        <v>Lactuca</v>
      </c>
      <c r="K271" s="76" t="str">
        <f t="shared" si="147"/>
        <v>inermis</v>
      </c>
      <c r="L271" s="77">
        <f t="shared" si="147"/>
        <v>13</v>
      </c>
      <c r="M271" s="77">
        <f t="shared" si="147"/>
        <v>2</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2019</v>
      </c>
      <c r="B272" s="72" t="str">
        <f t="shared" si="127"/>
        <v>Nov</v>
      </c>
      <c r="C272" s="73">
        <f t="shared" si="145"/>
        <v>23</v>
      </c>
      <c r="D272" s="74">
        <f t="shared" si="128"/>
        <v>14</v>
      </c>
      <c r="E272" s="75">
        <f t="shared" si="129"/>
        <v>49</v>
      </c>
      <c r="F272" s="79"/>
      <c r="G272" s="82"/>
      <c r="H272" s="68" t="str">
        <f t="shared" si="146"/>
        <v>Lacine13_20191123_14_00</v>
      </c>
      <c r="I272" s="69">
        <f t="shared" si="147"/>
        <v>1</v>
      </c>
      <c r="J272" s="76" t="str">
        <f t="shared" si="147"/>
        <v>Lactuca</v>
      </c>
      <c r="K272" s="76" t="str">
        <f t="shared" si="147"/>
        <v>inermis</v>
      </c>
      <c r="L272" s="77">
        <f t="shared" si="147"/>
        <v>13</v>
      </c>
      <c r="M272" s="77">
        <f t="shared" si="147"/>
        <v>2</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2019</v>
      </c>
      <c r="B273" s="72" t="str">
        <f t="shared" si="127"/>
        <v>Nov</v>
      </c>
      <c r="C273" s="73">
        <f t="shared" si="145"/>
        <v>23</v>
      </c>
      <c r="D273" s="74">
        <f t="shared" si="128"/>
        <v>14</v>
      </c>
      <c r="E273" s="75">
        <f t="shared" si="129"/>
        <v>50</v>
      </c>
      <c r="F273" s="79"/>
      <c r="G273" s="82"/>
      <c r="H273" s="68" t="str">
        <f t="shared" si="146"/>
        <v>Lacine13_20191123_14_00</v>
      </c>
      <c r="I273" s="69">
        <f t="shared" si="147"/>
        <v>1</v>
      </c>
      <c r="J273" s="76" t="str">
        <f t="shared" si="147"/>
        <v>Lactuca</v>
      </c>
      <c r="K273" s="76" t="str">
        <f t="shared" si="147"/>
        <v>inermis</v>
      </c>
      <c r="L273" s="77">
        <f t="shared" si="147"/>
        <v>13</v>
      </c>
      <c r="M273" s="77">
        <f t="shared" si="147"/>
        <v>2</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2019</v>
      </c>
      <c r="B274" s="72" t="str">
        <f t="shared" si="127"/>
        <v>Nov</v>
      </c>
      <c r="C274" s="73">
        <f t="shared" si="145"/>
        <v>23</v>
      </c>
      <c r="D274" s="74">
        <f t="shared" si="128"/>
        <v>14</v>
      </c>
      <c r="E274" s="75">
        <f t="shared" si="129"/>
        <v>51</v>
      </c>
      <c r="F274" s="79"/>
      <c r="G274" s="82"/>
      <c r="H274" s="68" t="str">
        <f t="shared" si="146"/>
        <v>Lacine13_20191123_14_00</v>
      </c>
      <c r="I274" s="69">
        <f t="shared" si="147"/>
        <v>1</v>
      </c>
      <c r="J274" s="76" t="str">
        <f t="shared" si="147"/>
        <v>Lactuca</v>
      </c>
      <c r="K274" s="76" t="str">
        <f t="shared" si="147"/>
        <v>inermis</v>
      </c>
      <c r="L274" s="77">
        <f t="shared" si="147"/>
        <v>13</v>
      </c>
      <c r="M274" s="77">
        <f t="shared" si="147"/>
        <v>2</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2019</v>
      </c>
      <c r="B275" s="72" t="str">
        <f t="shared" si="127"/>
        <v>Nov</v>
      </c>
      <c r="C275" s="73">
        <f t="shared" si="145"/>
        <v>23</v>
      </c>
      <c r="D275" s="74">
        <f t="shared" si="128"/>
        <v>14</v>
      </c>
      <c r="E275" s="75">
        <f t="shared" si="129"/>
        <v>52</v>
      </c>
      <c r="F275" s="79"/>
      <c r="G275" s="82"/>
      <c r="H275" s="68" t="str">
        <f t="shared" si="146"/>
        <v>Lacine13_20191123_14_00</v>
      </c>
      <c r="I275" s="69">
        <f t="shared" si="147"/>
        <v>1</v>
      </c>
      <c r="J275" s="76" t="str">
        <f t="shared" si="147"/>
        <v>Lactuca</v>
      </c>
      <c r="K275" s="76" t="str">
        <f t="shared" si="147"/>
        <v>inermis</v>
      </c>
      <c r="L275" s="77">
        <f t="shared" si="147"/>
        <v>13</v>
      </c>
      <c r="M275" s="77">
        <f t="shared" si="147"/>
        <v>2</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2019</v>
      </c>
      <c r="B276" s="72" t="str">
        <f t="shared" si="127"/>
        <v>Nov</v>
      </c>
      <c r="C276" s="73">
        <f t="shared" si="145"/>
        <v>23</v>
      </c>
      <c r="D276" s="74">
        <f t="shared" si="128"/>
        <v>14</v>
      </c>
      <c r="E276" s="75">
        <f t="shared" si="129"/>
        <v>53</v>
      </c>
      <c r="F276" s="79"/>
      <c r="G276" s="82"/>
      <c r="H276" s="68" t="str">
        <f t="shared" si="146"/>
        <v>Lacine13_20191123_14_00</v>
      </c>
      <c r="I276" s="69">
        <f t="shared" si="147"/>
        <v>1</v>
      </c>
      <c r="J276" s="76" t="str">
        <f t="shared" si="147"/>
        <v>Lactuca</v>
      </c>
      <c r="K276" s="76" t="str">
        <f t="shared" si="147"/>
        <v>inermis</v>
      </c>
      <c r="L276" s="77">
        <f t="shared" si="147"/>
        <v>13</v>
      </c>
      <c r="M276" s="77">
        <f t="shared" si="147"/>
        <v>2</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2019</v>
      </c>
      <c r="B277" s="72" t="str">
        <f t="shared" si="127"/>
        <v>Nov</v>
      </c>
      <c r="C277" s="73">
        <f t="shared" si="145"/>
        <v>23</v>
      </c>
      <c r="D277" s="74">
        <f t="shared" si="128"/>
        <v>14</v>
      </c>
      <c r="E277" s="75">
        <f t="shared" si="129"/>
        <v>54</v>
      </c>
      <c r="F277" s="79"/>
      <c r="G277" s="82"/>
      <c r="H277" s="68" t="str">
        <f t="shared" si="146"/>
        <v>Lacine13_20191123_14_00</v>
      </c>
      <c r="I277" s="69">
        <f t="shared" ref="I277:N292" si="148">I276</f>
        <v>1</v>
      </c>
      <c r="J277" s="76" t="str">
        <f t="shared" si="148"/>
        <v>Lactuca</v>
      </c>
      <c r="K277" s="76" t="str">
        <f t="shared" si="148"/>
        <v>inermis</v>
      </c>
      <c r="L277" s="77">
        <f t="shared" si="148"/>
        <v>13</v>
      </c>
      <c r="M277" s="77">
        <f t="shared" si="148"/>
        <v>2</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2019</v>
      </c>
      <c r="B278" s="72" t="str">
        <f t="shared" si="127"/>
        <v>Nov</v>
      </c>
      <c r="C278" s="73">
        <f t="shared" si="145"/>
        <v>23</v>
      </c>
      <c r="D278" s="74">
        <f t="shared" si="128"/>
        <v>14</v>
      </c>
      <c r="E278" s="75">
        <f t="shared" si="129"/>
        <v>55</v>
      </c>
      <c r="F278" s="79"/>
      <c r="G278" s="82"/>
      <c r="H278" s="68" t="str">
        <f t="shared" si="146"/>
        <v>Lacine13_20191123_14_00</v>
      </c>
      <c r="I278" s="69">
        <f t="shared" si="148"/>
        <v>1</v>
      </c>
      <c r="J278" s="76" t="str">
        <f t="shared" si="148"/>
        <v>Lactuca</v>
      </c>
      <c r="K278" s="76" t="str">
        <f t="shared" si="148"/>
        <v>inermis</v>
      </c>
      <c r="L278" s="77">
        <f t="shared" si="148"/>
        <v>13</v>
      </c>
      <c r="M278" s="77">
        <f t="shared" si="148"/>
        <v>2</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2019</v>
      </c>
      <c r="B279" s="72" t="str">
        <f t="shared" si="127"/>
        <v>Nov</v>
      </c>
      <c r="C279" s="73">
        <f t="shared" si="145"/>
        <v>23</v>
      </c>
      <c r="D279" s="74">
        <f t="shared" si="128"/>
        <v>14</v>
      </c>
      <c r="E279" s="75">
        <f t="shared" si="129"/>
        <v>56</v>
      </c>
      <c r="F279" s="79"/>
      <c r="G279" s="82"/>
      <c r="H279" s="68" t="str">
        <f t="shared" si="146"/>
        <v>Lacine13_20191123_14_00</v>
      </c>
      <c r="I279" s="69">
        <f t="shared" si="148"/>
        <v>1</v>
      </c>
      <c r="J279" s="76" t="str">
        <f t="shared" si="148"/>
        <v>Lactuca</v>
      </c>
      <c r="K279" s="76" t="str">
        <f t="shared" si="148"/>
        <v>inermis</v>
      </c>
      <c r="L279" s="77">
        <f t="shared" si="148"/>
        <v>13</v>
      </c>
      <c r="M279" s="77">
        <f t="shared" si="148"/>
        <v>2</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x14ac:dyDescent="0.35">
      <c r="A280" s="72">
        <f t="shared" si="126"/>
        <v>2019</v>
      </c>
      <c r="B280" s="72" t="str">
        <f t="shared" si="127"/>
        <v>Nov</v>
      </c>
      <c r="C280" s="73">
        <f t="shared" si="145"/>
        <v>23</v>
      </c>
      <c r="D280" s="74">
        <f t="shared" si="128"/>
        <v>14</v>
      </c>
      <c r="E280" s="75">
        <f t="shared" si="129"/>
        <v>57</v>
      </c>
      <c r="F280" s="79">
        <v>54</v>
      </c>
      <c r="G280" s="82"/>
      <c r="H280" s="68" t="str">
        <f t="shared" si="146"/>
        <v>Lacine13_20191123_14_00</v>
      </c>
      <c r="I280" s="69">
        <f t="shared" si="148"/>
        <v>1</v>
      </c>
      <c r="J280" s="76" t="str">
        <f t="shared" si="148"/>
        <v>Lactuca</v>
      </c>
      <c r="K280" s="76" t="str">
        <f t="shared" si="148"/>
        <v>inermis</v>
      </c>
      <c r="L280" s="77">
        <f t="shared" si="148"/>
        <v>13</v>
      </c>
      <c r="M280" s="77">
        <f t="shared" si="148"/>
        <v>2</v>
      </c>
      <c r="N280" s="71">
        <f t="shared" si="148"/>
        <v>0</v>
      </c>
      <c r="O280" s="44"/>
      <c r="P280" s="45">
        <f t="shared" si="130"/>
        <v>1</v>
      </c>
      <c r="Q280" s="46" t="str">
        <f t="shared" si="131"/>
        <v>14:57:54</v>
      </c>
      <c r="R280" s="47" t="str">
        <f t="shared" si="132"/>
        <v>57:54</v>
      </c>
      <c r="S280" s="48">
        <f t="shared" si="121"/>
        <v>34</v>
      </c>
      <c r="T280" s="47" t="str">
        <f t="shared" si="133"/>
        <v>14</v>
      </c>
      <c r="U280" s="49">
        <v>58</v>
      </c>
      <c r="V280" s="50">
        <v>28</v>
      </c>
      <c r="W280" s="51" t="str">
        <f t="shared" si="134"/>
        <v>58:28</v>
      </c>
      <c r="X280" s="52" t="s">
        <v>59</v>
      </c>
      <c r="Y280" s="124" t="s">
        <v>87</v>
      </c>
      <c r="Z280" s="124"/>
      <c r="AA280" s="47" t="s">
        <v>82</v>
      </c>
      <c r="AB280" s="47" t="str">
        <f t="shared" si="135"/>
        <v>NA</v>
      </c>
      <c r="AC280" s="53">
        <f t="shared" si="136"/>
        <v>0</v>
      </c>
      <c r="AD280" s="54">
        <f t="shared" si="137"/>
        <v>1</v>
      </c>
      <c r="AE280" s="54"/>
      <c r="AF280" s="54"/>
      <c r="AG280" s="55" t="str">
        <f t="shared" si="138"/>
        <v/>
      </c>
      <c r="AH280" s="56" t="str">
        <f t="shared" si="139"/>
        <v/>
      </c>
      <c r="AI280" s="55"/>
      <c r="AJ280" s="56" t="str">
        <f t="shared" si="140"/>
        <v/>
      </c>
      <c r="AK280" s="55"/>
      <c r="AL280" s="56" t="str">
        <f t="shared" si="141"/>
        <v/>
      </c>
      <c r="AM280" s="55">
        <v>1</v>
      </c>
      <c r="AN280" s="56">
        <f t="shared" si="142"/>
        <v>34</v>
      </c>
      <c r="AO280" s="55"/>
      <c r="AP280" s="56" t="str">
        <f t="shared" si="143"/>
        <v/>
      </c>
      <c r="AQ280" s="55"/>
      <c r="AR280" s="56" t="str">
        <f t="shared" si="144"/>
        <v/>
      </c>
      <c r="AS280" s="57"/>
      <c r="AT280" s="58"/>
      <c r="AU280" s="58"/>
      <c r="AV280" s="59"/>
      <c r="AW280" s="60">
        <v>1</v>
      </c>
      <c r="AX280" s="61">
        <f t="shared" si="123"/>
        <v>1</v>
      </c>
      <c r="AY280" s="60">
        <v>1</v>
      </c>
      <c r="AZ280" s="61">
        <f t="shared" si="125"/>
        <v>1</v>
      </c>
    </row>
    <row r="281" spans="1:52" s="3" customFormat="1" hidden="1" x14ac:dyDescent="0.35">
      <c r="A281" s="72">
        <f t="shared" si="126"/>
        <v>2019</v>
      </c>
      <c r="B281" s="72" t="str">
        <f t="shared" si="127"/>
        <v>Nov</v>
      </c>
      <c r="C281" s="73">
        <f t="shared" si="145"/>
        <v>23</v>
      </c>
      <c r="D281" s="74">
        <f t="shared" si="128"/>
        <v>14</v>
      </c>
      <c r="E281" s="75">
        <f t="shared" si="129"/>
        <v>58</v>
      </c>
      <c r="F281" s="79"/>
      <c r="G281" s="82"/>
      <c r="H281" s="68" t="str">
        <f t="shared" si="146"/>
        <v>Lacine13_20191123_14_00</v>
      </c>
      <c r="I281" s="69">
        <f t="shared" si="148"/>
        <v>1</v>
      </c>
      <c r="J281" s="76" t="str">
        <f t="shared" si="148"/>
        <v>Lactuca</v>
      </c>
      <c r="K281" s="76" t="str">
        <f t="shared" si="148"/>
        <v>inermis</v>
      </c>
      <c r="L281" s="77">
        <f t="shared" si="148"/>
        <v>13</v>
      </c>
      <c r="M281" s="77">
        <f t="shared" si="148"/>
        <v>2</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2019</v>
      </c>
      <c r="B282" s="72" t="str">
        <f t="shared" si="127"/>
        <v>Nov</v>
      </c>
      <c r="C282" s="73">
        <f t="shared" si="145"/>
        <v>23</v>
      </c>
      <c r="D282" s="74">
        <f t="shared" si="128"/>
        <v>14</v>
      </c>
      <c r="E282" s="75">
        <f t="shared" si="129"/>
        <v>59</v>
      </c>
      <c r="F282" s="79"/>
      <c r="G282" s="82"/>
      <c r="H282" s="68" t="str">
        <f t="shared" si="146"/>
        <v>Lacine13_20191123_14_00</v>
      </c>
      <c r="I282" s="69">
        <f t="shared" si="148"/>
        <v>1</v>
      </c>
      <c r="J282" s="76" t="str">
        <f t="shared" si="148"/>
        <v>Lactuca</v>
      </c>
      <c r="K282" s="76" t="str">
        <f t="shared" si="148"/>
        <v>inermis</v>
      </c>
      <c r="L282" s="77">
        <f t="shared" si="148"/>
        <v>13</v>
      </c>
      <c r="M282" s="77">
        <f t="shared" si="148"/>
        <v>2</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2019</v>
      </c>
      <c r="B283" s="72" t="str">
        <f t="shared" si="127"/>
        <v>Nov</v>
      </c>
      <c r="C283" s="73">
        <f t="shared" si="145"/>
        <v>23</v>
      </c>
      <c r="D283" s="74">
        <f t="shared" si="128"/>
        <v>15</v>
      </c>
      <c r="E283" s="75">
        <f t="shared" si="129"/>
        <v>0</v>
      </c>
      <c r="F283" s="79"/>
      <c r="G283" s="82"/>
      <c r="H283" s="68" t="str">
        <f t="shared" si="146"/>
        <v>Lacine13_20191123_15_00</v>
      </c>
      <c r="I283" s="69">
        <f t="shared" si="148"/>
        <v>1</v>
      </c>
      <c r="J283" s="76" t="str">
        <f t="shared" si="148"/>
        <v>Lactuca</v>
      </c>
      <c r="K283" s="76" t="str">
        <f t="shared" si="148"/>
        <v>inermis</v>
      </c>
      <c r="L283" s="77">
        <f t="shared" si="148"/>
        <v>13</v>
      </c>
      <c r="M283" s="77">
        <f t="shared" si="148"/>
        <v>2</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2019</v>
      </c>
      <c r="B284" s="72" t="str">
        <f t="shared" si="127"/>
        <v>Nov</v>
      </c>
      <c r="C284" s="73">
        <f t="shared" si="145"/>
        <v>23</v>
      </c>
      <c r="D284" s="74">
        <f t="shared" si="128"/>
        <v>15</v>
      </c>
      <c r="E284" s="75">
        <f t="shared" si="129"/>
        <v>1</v>
      </c>
      <c r="F284" s="79"/>
      <c r="G284" s="82"/>
      <c r="H284" s="68" t="str">
        <f t="shared" si="146"/>
        <v>Lacine13_20191123_15_00</v>
      </c>
      <c r="I284" s="69">
        <f t="shared" si="148"/>
        <v>1</v>
      </c>
      <c r="J284" s="76" t="str">
        <f t="shared" si="148"/>
        <v>Lactuca</v>
      </c>
      <c r="K284" s="76" t="str">
        <f t="shared" si="148"/>
        <v>inermis</v>
      </c>
      <c r="L284" s="77">
        <f t="shared" si="148"/>
        <v>13</v>
      </c>
      <c r="M284" s="77">
        <f t="shared" si="148"/>
        <v>2</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2019</v>
      </c>
      <c r="B285" s="72" t="str">
        <f t="shared" si="127"/>
        <v>Nov</v>
      </c>
      <c r="C285" s="73">
        <f t="shared" si="145"/>
        <v>23</v>
      </c>
      <c r="D285" s="74">
        <f t="shared" si="128"/>
        <v>15</v>
      </c>
      <c r="E285" s="75">
        <f t="shared" si="129"/>
        <v>2</v>
      </c>
      <c r="F285" s="79"/>
      <c r="G285" s="82"/>
      <c r="H285" s="68" t="str">
        <f t="shared" si="146"/>
        <v>Lacine13_20191123_15_00</v>
      </c>
      <c r="I285" s="69">
        <f t="shared" si="148"/>
        <v>1</v>
      </c>
      <c r="J285" s="76" t="str">
        <f t="shared" si="148"/>
        <v>Lactuca</v>
      </c>
      <c r="K285" s="76" t="str">
        <f t="shared" si="148"/>
        <v>inermis</v>
      </c>
      <c r="L285" s="77">
        <f t="shared" si="148"/>
        <v>13</v>
      </c>
      <c r="M285" s="77">
        <f t="shared" si="148"/>
        <v>2</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2019</v>
      </c>
      <c r="B286" s="72" t="str">
        <f t="shared" si="127"/>
        <v>Nov</v>
      </c>
      <c r="C286" s="73">
        <f t="shared" si="145"/>
        <v>23</v>
      </c>
      <c r="D286" s="74">
        <f t="shared" si="128"/>
        <v>15</v>
      </c>
      <c r="E286" s="75">
        <f t="shared" si="129"/>
        <v>3</v>
      </c>
      <c r="F286" s="79"/>
      <c r="G286" s="82"/>
      <c r="H286" s="68" t="str">
        <f t="shared" si="146"/>
        <v>Lacine13_20191123_15_00</v>
      </c>
      <c r="I286" s="69">
        <f t="shared" si="148"/>
        <v>1</v>
      </c>
      <c r="J286" s="76" t="str">
        <f t="shared" si="148"/>
        <v>Lactuca</v>
      </c>
      <c r="K286" s="76" t="str">
        <f t="shared" si="148"/>
        <v>inermis</v>
      </c>
      <c r="L286" s="77">
        <f t="shared" si="148"/>
        <v>13</v>
      </c>
      <c r="M286" s="77">
        <f t="shared" si="148"/>
        <v>2</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2019</v>
      </c>
      <c r="B287" s="72" t="str">
        <f t="shared" si="127"/>
        <v>Nov</v>
      </c>
      <c r="C287" s="73">
        <f t="shared" si="145"/>
        <v>23</v>
      </c>
      <c r="D287" s="74">
        <f t="shared" si="128"/>
        <v>15</v>
      </c>
      <c r="E287" s="75">
        <f t="shared" si="129"/>
        <v>4</v>
      </c>
      <c r="F287" s="79"/>
      <c r="G287" s="82"/>
      <c r="H287" s="68" t="str">
        <f t="shared" si="146"/>
        <v>Lacine13_20191123_15_00</v>
      </c>
      <c r="I287" s="69">
        <f t="shared" si="148"/>
        <v>1</v>
      </c>
      <c r="J287" s="76" t="str">
        <f t="shared" si="148"/>
        <v>Lactuca</v>
      </c>
      <c r="K287" s="76" t="str">
        <f t="shared" si="148"/>
        <v>inermis</v>
      </c>
      <c r="L287" s="77">
        <f t="shared" si="148"/>
        <v>13</v>
      </c>
      <c r="M287" s="77">
        <f t="shared" si="148"/>
        <v>2</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2019</v>
      </c>
      <c r="B288" s="72" t="str">
        <f t="shared" si="127"/>
        <v>Nov</v>
      </c>
      <c r="C288" s="73">
        <f t="shared" si="145"/>
        <v>23</v>
      </c>
      <c r="D288" s="74">
        <f t="shared" si="128"/>
        <v>15</v>
      </c>
      <c r="E288" s="75">
        <f t="shared" si="129"/>
        <v>5</v>
      </c>
      <c r="F288" s="79"/>
      <c r="G288" s="82"/>
      <c r="H288" s="68" t="str">
        <f t="shared" si="146"/>
        <v>Lacine13_20191123_15_00</v>
      </c>
      <c r="I288" s="69">
        <f t="shared" si="148"/>
        <v>1</v>
      </c>
      <c r="J288" s="76" t="str">
        <f t="shared" si="148"/>
        <v>Lactuca</v>
      </c>
      <c r="K288" s="76" t="str">
        <f t="shared" si="148"/>
        <v>inermis</v>
      </c>
      <c r="L288" s="77">
        <f t="shared" si="148"/>
        <v>13</v>
      </c>
      <c r="M288" s="77">
        <f t="shared" si="148"/>
        <v>2</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2019</v>
      </c>
      <c r="B289" s="72" t="str">
        <f t="shared" si="127"/>
        <v>Nov</v>
      </c>
      <c r="C289" s="73">
        <f t="shared" si="145"/>
        <v>23</v>
      </c>
      <c r="D289" s="74">
        <f t="shared" si="128"/>
        <v>15</v>
      </c>
      <c r="E289" s="75">
        <f t="shared" si="129"/>
        <v>6</v>
      </c>
      <c r="F289" s="79"/>
      <c r="G289" s="82"/>
      <c r="H289" s="68" t="str">
        <f t="shared" si="146"/>
        <v>Lacine13_20191123_15_00</v>
      </c>
      <c r="I289" s="69">
        <f t="shared" si="148"/>
        <v>1</v>
      </c>
      <c r="J289" s="76" t="str">
        <f t="shared" si="148"/>
        <v>Lactuca</v>
      </c>
      <c r="K289" s="76" t="str">
        <f t="shared" si="148"/>
        <v>inermis</v>
      </c>
      <c r="L289" s="77">
        <f t="shared" si="148"/>
        <v>13</v>
      </c>
      <c r="M289" s="77">
        <f t="shared" si="148"/>
        <v>2</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2019</v>
      </c>
      <c r="B290" s="72" t="str">
        <f t="shared" si="127"/>
        <v>Nov</v>
      </c>
      <c r="C290" s="73">
        <f t="shared" si="145"/>
        <v>23</v>
      </c>
      <c r="D290" s="74">
        <f t="shared" si="128"/>
        <v>15</v>
      </c>
      <c r="E290" s="75">
        <f t="shared" si="129"/>
        <v>7</v>
      </c>
      <c r="F290" s="79"/>
      <c r="G290" s="82"/>
      <c r="H290" s="68" t="str">
        <f t="shared" si="146"/>
        <v>Lacine13_20191123_15_00</v>
      </c>
      <c r="I290" s="69">
        <f t="shared" si="148"/>
        <v>1</v>
      </c>
      <c r="J290" s="76" t="str">
        <f t="shared" si="148"/>
        <v>Lactuca</v>
      </c>
      <c r="K290" s="76" t="str">
        <f t="shared" si="148"/>
        <v>inermis</v>
      </c>
      <c r="L290" s="77">
        <f t="shared" si="148"/>
        <v>13</v>
      </c>
      <c r="M290" s="77">
        <f t="shared" si="148"/>
        <v>2</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2019</v>
      </c>
      <c r="B291" s="72" t="str">
        <f t="shared" si="127"/>
        <v>Nov</v>
      </c>
      <c r="C291" s="73">
        <f t="shared" si="145"/>
        <v>23</v>
      </c>
      <c r="D291" s="74">
        <f t="shared" si="128"/>
        <v>15</v>
      </c>
      <c r="E291" s="75">
        <f t="shared" si="129"/>
        <v>8</v>
      </c>
      <c r="F291" s="79"/>
      <c r="G291" s="82"/>
      <c r="H291" s="68" t="str">
        <f t="shared" si="146"/>
        <v>Lacine13_20191123_15_00</v>
      </c>
      <c r="I291" s="69">
        <f t="shared" si="148"/>
        <v>1</v>
      </c>
      <c r="J291" s="76" t="str">
        <f t="shared" si="148"/>
        <v>Lactuca</v>
      </c>
      <c r="K291" s="76" t="str">
        <f t="shared" si="148"/>
        <v>inermis</v>
      </c>
      <c r="L291" s="77">
        <f t="shared" si="148"/>
        <v>13</v>
      </c>
      <c r="M291" s="77">
        <f t="shared" si="148"/>
        <v>2</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x14ac:dyDescent="0.35">
      <c r="A292" s="72">
        <f t="shared" si="126"/>
        <v>2019</v>
      </c>
      <c r="B292" s="72" t="str">
        <f t="shared" si="127"/>
        <v>Nov</v>
      </c>
      <c r="C292" s="73">
        <f t="shared" si="145"/>
        <v>23</v>
      </c>
      <c r="D292" s="74">
        <f t="shared" si="128"/>
        <v>15</v>
      </c>
      <c r="E292" s="75">
        <f t="shared" si="129"/>
        <v>9</v>
      </c>
      <c r="F292" s="79">
        <v>23</v>
      </c>
      <c r="G292" s="82"/>
      <c r="H292" s="68" t="str">
        <f t="shared" si="146"/>
        <v>Lacine13_20191123_15_00</v>
      </c>
      <c r="I292" s="69">
        <f t="shared" si="148"/>
        <v>1</v>
      </c>
      <c r="J292" s="76" t="str">
        <f t="shared" si="148"/>
        <v>Lactuca</v>
      </c>
      <c r="K292" s="76" t="str">
        <f t="shared" si="148"/>
        <v>inermis</v>
      </c>
      <c r="L292" s="77">
        <f t="shared" si="148"/>
        <v>13</v>
      </c>
      <c r="M292" s="77">
        <f t="shared" si="148"/>
        <v>2</v>
      </c>
      <c r="N292" s="71">
        <f t="shared" si="148"/>
        <v>0</v>
      </c>
      <c r="O292" s="44"/>
      <c r="P292" s="45">
        <f t="shared" si="130"/>
        <v>1</v>
      </c>
      <c r="Q292" s="46" t="str">
        <f t="shared" si="131"/>
        <v>15:09:23</v>
      </c>
      <c r="R292" s="47" t="str">
        <f t="shared" si="132"/>
        <v>09:23</v>
      </c>
      <c r="S292" s="48">
        <f t="shared" si="121"/>
        <v>19</v>
      </c>
      <c r="T292" s="47" t="str">
        <f t="shared" si="133"/>
        <v>15</v>
      </c>
      <c r="U292" s="49">
        <v>9</v>
      </c>
      <c r="V292" s="50">
        <v>42</v>
      </c>
      <c r="W292" s="51" t="str">
        <f t="shared" si="134"/>
        <v>09:42</v>
      </c>
      <c r="X292" s="52" t="s">
        <v>59</v>
      </c>
      <c r="Y292" s="124" t="s">
        <v>87</v>
      </c>
      <c r="Z292" s="124"/>
      <c r="AA292" s="47" t="s">
        <v>82</v>
      </c>
      <c r="AB292" s="47" t="str">
        <f t="shared" si="135"/>
        <v>NA</v>
      </c>
      <c r="AC292" s="53">
        <f t="shared" si="136"/>
        <v>0</v>
      </c>
      <c r="AD292" s="54">
        <f t="shared" si="137"/>
        <v>1</v>
      </c>
      <c r="AE292" s="54"/>
      <c r="AF292" s="54"/>
      <c r="AG292" s="55" t="str">
        <f t="shared" si="138"/>
        <v/>
      </c>
      <c r="AH292" s="56" t="str">
        <f t="shared" si="139"/>
        <v/>
      </c>
      <c r="AI292" s="55"/>
      <c r="AJ292" s="56" t="str">
        <f t="shared" si="140"/>
        <v/>
      </c>
      <c r="AK292" s="55"/>
      <c r="AL292" s="56" t="str">
        <f t="shared" si="141"/>
        <v/>
      </c>
      <c r="AM292" s="55">
        <v>1</v>
      </c>
      <c r="AN292" s="56">
        <f t="shared" si="142"/>
        <v>19</v>
      </c>
      <c r="AO292" s="55"/>
      <c r="AP292" s="56" t="str">
        <f t="shared" si="143"/>
        <v/>
      </c>
      <c r="AQ292" s="55"/>
      <c r="AR292" s="56" t="str">
        <f t="shared" si="144"/>
        <v/>
      </c>
      <c r="AS292" s="57"/>
      <c r="AT292" s="58"/>
      <c r="AU292" s="58"/>
      <c r="AV292" s="59"/>
      <c r="AW292" s="60">
        <v>1</v>
      </c>
      <c r="AX292" s="61">
        <f t="shared" si="123"/>
        <v>1</v>
      </c>
      <c r="AY292" s="60">
        <v>1</v>
      </c>
      <c r="AZ292" s="61">
        <f t="shared" si="125"/>
        <v>1</v>
      </c>
    </row>
    <row r="293" spans="1:52" s="3" customFormat="1" hidden="1" x14ac:dyDescent="0.35">
      <c r="A293" s="72">
        <f t="shared" si="126"/>
        <v>2019</v>
      </c>
      <c r="B293" s="72" t="str">
        <f t="shared" si="127"/>
        <v>Nov</v>
      </c>
      <c r="C293" s="73">
        <f t="shared" si="145"/>
        <v>23</v>
      </c>
      <c r="D293" s="74">
        <f t="shared" si="128"/>
        <v>15</v>
      </c>
      <c r="E293" s="75">
        <f t="shared" si="129"/>
        <v>10</v>
      </c>
      <c r="F293" s="79"/>
      <c r="G293" s="82"/>
      <c r="H293" s="68" t="str">
        <f t="shared" si="146"/>
        <v>Lacine13_20191123_15_00</v>
      </c>
      <c r="I293" s="69">
        <f t="shared" ref="I293:N308" si="149">I292</f>
        <v>1</v>
      </c>
      <c r="J293" s="76" t="str">
        <f t="shared" si="149"/>
        <v>Lactuca</v>
      </c>
      <c r="K293" s="76" t="str">
        <f t="shared" si="149"/>
        <v>inermis</v>
      </c>
      <c r="L293" s="77">
        <f t="shared" si="149"/>
        <v>13</v>
      </c>
      <c r="M293" s="77">
        <f t="shared" si="149"/>
        <v>2</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2019</v>
      </c>
      <c r="B294" s="72" t="str">
        <f t="shared" si="127"/>
        <v>Nov</v>
      </c>
      <c r="C294" s="73">
        <f t="shared" si="145"/>
        <v>23</v>
      </c>
      <c r="D294" s="74">
        <f t="shared" si="128"/>
        <v>15</v>
      </c>
      <c r="E294" s="75">
        <f t="shared" si="129"/>
        <v>11</v>
      </c>
      <c r="F294" s="79"/>
      <c r="G294" s="82"/>
      <c r="H294" s="68" t="str">
        <f t="shared" si="146"/>
        <v>Lacine13_20191123_15_00</v>
      </c>
      <c r="I294" s="69">
        <f t="shared" si="149"/>
        <v>1</v>
      </c>
      <c r="J294" s="76" t="str">
        <f t="shared" si="149"/>
        <v>Lactuca</v>
      </c>
      <c r="K294" s="76" t="str">
        <f t="shared" si="149"/>
        <v>inermis</v>
      </c>
      <c r="L294" s="77">
        <f t="shared" si="149"/>
        <v>13</v>
      </c>
      <c r="M294" s="77">
        <f t="shared" si="149"/>
        <v>2</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2019</v>
      </c>
      <c r="B295" s="72" t="str">
        <f t="shared" si="127"/>
        <v>Nov</v>
      </c>
      <c r="C295" s="73">
        <f t="shared" si="145"/>
        <v>23</v>
      </c>
      <c r="D295" s="74">
        <f t="shared" si="128"/>
        <v>15</v>
      </c>
      <c r="E295" s="75">
        <f t="shared" si="129"/>
        <v>12</v>
      </c>
      <c r="F295" s="79"/>
      <c r="G295" s="82"/>
      <c r="H295" s="68" t="str">
        <f t="shared" si="146"/>
        <v>Lacine13_20191123_15_00</v>
      </c>
      <c r="I295" s="69">
        <f t="shared" si="149"/>
        <v>1</v>
      </c>
      <c r="J295" s="76" t="str">
        <f t="shared" si="149"/>
        <v>Lactuca</v>
      </c>
      <c r="K295" s="76" t="str">
        <f t="shared" si="149"/>
        <v>inermis</v>
      </c>
      <c r="L295" s="77">
        <f t="shared" si="149"/>
        <v>13</v>
      </c>
      <c r="M295" s="77">
        <f t="shared" si="149"/>
        <v>2</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2019</v>
      </c>
      <c r="B296" s="72" t="str">
        <f t="shared" si="127"/>
        <v>Nov</v>
      </c>
      <c r="C296" s="73">
        <f t="shared" si="145"/>
        <v>23</v>
      </c>
      <c r="D296" s="74">
        <f t="shared" si="128"/>
        <v>15</v>
      </c>
      <c r="E296" s="75">
        <f t="shared" si="129"/>
        <v>13</v>
      </c>
      <c r="F296" s="79"/>
      <c r="G296" s="82"/>
      <c r="H296" s="68" t="str">
        <f t="shared" si="146"/>
        <v>Lacine13_20191123_15_00</v>
      </c>
      <c r="I296" s="69">
        <f t="shared" si="149"/>
        <v>1</v>
      </c>
      <c r="J296" s="76" t="str">
        <f t="shared" si="149"/>
        <v>Lactuca</v>
      </c>
      <c r="K296" s="76" t="str">
        <f t="shared" si="149"/>
        <v>inermis</v>
      </c>
      <c r="L296" s="77">
        <f t="shared" si="149"/>
        <v>13</v>
      </c>
      <c r="M296" s="77">
        <f t="shared" si="149"/>
        <v>2</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2019</v>
      </c>
      <c r="B297" s="72" t="str">
        <f t="shared" si="127"/>
        <v>Nov</v>
      </c>
      <c r="C297" s="73">
        <f t="shared" si="145"/>
        <v>23</v>
      </c>
      <c r="D297" s="74">
        <f t="shared" si="128"/>
        <v>15</v>
      </c>
      <c r="E297" s="75">
        <f t="shared" si="129"/>
        <v>14</v>
      </c>
      <c r="F297" s="79"/>
      <c r="G297" s="82"/>
      <c r="H297" s="68" t="str">
        <f t="shared" si="146"/>
        <v>Lacine13_20191123_15_00</v>
      </c>
      <c r="I297" s="69">
        <f t="shared" si="149"/>
        <v>1</v>
      </c>
      <c r="J297" s="76" t="str">
        <f t="shared" si="149"/>
        <v>Lactuca</v>
      </c>
      <c r="K297" s="76" t="str">
        <f t="shared" si="149"/>
        <v>inermis</v>
      </c>
      <c r="L297" s="77">
        <f t="shared" si="149"/>
        <v>13</v>
      </c>
      <c r="M297" s="77">
        <f t="shared" si="149"/>
        <v>2</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2019</v>
      </c>
      <c r="B298" s="72" t="str">
        <f t="shared" si="127"/>
        <v>Nov</v>
      </c>
      <c r="C298" s="73">
        <f t="shared" si="145"/>
        <v>23</v>
      </c>
      <c r="D298" s="74">
        <f t="shared" si="128"/>
        <v>15</v>
      </c>
      <c r="E298" s="75">
        <f t="shared" si="129"/>
        <v>15</v>
      </c>
      <c r="F298" s="79"/>
      <c r="G298" s="82"/>
      <c r="H298" s="68" t="str">
        <f t="shared" si="146"/>
        <v>Lacine13_20191123_15_00</v>
      </c>
      <c r="I298" s="69">
        <f t="shared" si="149"/>
        <v>1</v>
      </c>
      <c r="J298" s="76" t="str">
        <f t="shared" si="149"/>
        <v>Lactuca</v>
      </c>
      <c r="K298" s="76" t="str">
        <f t="shared" si="149"/>
        <v>inermis</v>
      </c>
      <c r="L298" s="77">
        <f t="shared" si="149"/>
        <v>13</v>
      </c>
      <c r="M298" s="77">
        <f t="shared" si="149"/>
        <v>2</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2019</v>
      </c>
      <c r="B299" s="72" t="str">
        <f t="shared" si="127"/>
        <v>Nov</v>
      </c>
      <c r="C299" s="73">
        <f t="shared" si="145"/>
        <v>23</v>
      </c>
      <c r="D299" s="74">
        <f t="shared" si="128"/>
        <v>15</v>
      </c>
      <c r="E299" s="75">
        <f t="shared" si="129"/>
        <v>16</v>
      </c>
      <c r="F299" s="79"/>
      <c r="G299" s="82"/>
      <c r="H299" s="68" t="str">
        <f t="shared" si="146"/>
        <v>Lacine13_20191123_15_00</v>
      </c>
      <c r="I299" s="69">
        <f t="shared" si="149"/>
        <v>1</v>
      </c>
      <c r="J299" s="76" t="str">
        <f t="shared" si="149"/>
        <v>Lactuca</v>
      </c>
      <c r="K299" s="76" t="str">
        <f t="shared" si="149"/>
        <v>inermis</v>
      </c>
      <c r="L299" s="77">
        <f t="shared" si="149"/>
        <v>13</v>
      </c>
      <c r="M299" s="77">
        <f t="shared" si="149"/>
        <v>2</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2019</v>
      </c>
      <c r="B300" s="72" t="str">
        <f t="shared" si="127"/>
        <v>Nov</v>
      </c>
      <c r="C300" s="73">
        <f t="shared" si="145"/>
        <v>23</v>
      </c>
      <c r="D300" s="74">
        <f t="shared" si="128"/>
        <v>15</v>
      </c>
      <c r="E300" s="75">
        <f t="shared" si="129"/>
        <v>17</v>
      </c>
      <c r="F300" s="79"/>
      <c r="G300" s="82"/>
      <c r="H300" s="68" t="str">
        <f t="shared" si="146"/>
        <v>Lacine13_20191123_15_00</v>
      </c>
      <c r="I300" s="69">
        <f t="shared" si="149"/>
        <v>1</v>
      </c>
      <c r="J300" s="76" t="str">
        <f t="shared" si="149"/>
        <v>Lactuca</v>
      </c>
      <c r="K300" s="76" t="str">
        <f t="shared" si="149"/>
        <v>inermis</v>
      </c>
      <c r="L300" s="77">
        <f t="shared" si="149"/>
        <v>13</v>
      </c>
      <c r="M300" s="77">
        <f t="shared" si="149"/>
        <v>2</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2019</v>
      </c>
      <c r="B301" s="72" t="str">
        <f t="shared" si="127"/>
        <v>Nov</v>
      </c>
      <c r="C301" s="73">
        <f t="shared" si="145"/>
        <v>23</v>
      </c>
      <c r="D301" s="74">
        <f t="shared" si="128"/>
        <v>15</v>
      </c>
      <c r="E301" s="75">
        <f t="shared" si="129"/>
        <v>18</v>
      </c>
      <c r="F301" s="79"/>
      <c r="G301" s="82"/>
      <c r="H301" s="68" t="str">
        <f t="shared" si="146"/>
        <v>Lacine13_20191123_15_00</v>
      </c>
      <c r="I301" s="69">
        <f t="shared" si="149"/>
        <v>1</v>
      </c>
      <c r="J301" s="76" t="str">
        <f t="shared" si="149"/>
        <v>Lactuca</v>
      </c>
      <c r="K301" s="76" t="str">
        <f t="shared" si="149"/>
        <v>inermis</v>
      </c>
      <c r="L301" s="77">
        <f t="shared" si="149"/>
        <v>13</v>
      </c>
      <c r="M301" s="77">
        <f t="shared" si="149"/>
        <v>2</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2019</v>
      </c>
      <c r="B302" s="72" t="str">
        <f t="shared" si="127"/>
        <v>Nov</v>
      </c>
      <c r="C302" s="73">
        <f t="shared" si="145"/>
        <v>23</v>
      </c>
      <c r="D302" s="74">
        <f t="shared" si="128"/>
        <v>15</v>
      </c>
      <c r="E302" s="75">
        <f t="shared" si="129"/>
        <v>19</v>
      </c>
      <c r="F302" s="79"/>
      <c r="G302" s="82"/>
      <c r="H302" s="68" t="str">
        <f t="shared" si="146"/>
        <v>Lacine13_20191123_15_00</v>
      </c>
      <c r="I302" s="69">
        <f t="shared" si="149"/>
        <v>1</v>
      </c>
      <c r="J302" s="76" t="str">
        <f t="shared" si="149"/>
        <v>Lactuca</v>
      </c>
      <c r="K302" s="76" t="str">
        <f t="shared" si="149"/>
        <v>inermis</v>
      </c>
      <c r="L302" s="77">
        <f t="shared" si="149"/>
        <v>13</v>
      </c>
      <c r="M302" s="77">
        <f t="shared" si="149"/>
        <v>2</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2019</v>
      </c>
      <c r="B303" s="72" t="str">
        <f t="shared" si="127"/>
        <v>Nov</v>
      </c>
      <c r="C303" s="73">
        <f t="shared" si="145"/>
        <v>23</v>
      </c>
      <c r="D303" s="74">
        <f t="shared" si="128"/>
        <v>15</v>
      </c>
      <c r="E303" s="75">
        <f t="shared" si="129"/>
        <v>20</v>
      </c>
      <c r="F303" s="79"/>
      <c r="G303" s="82"/>
      <c r="H303" s="68" t="str">
        <f t="shared" si="146"/>
        <v>Lacine13_20191123_15_00</v>
      </c>
      <c r="I303" s="69">
        <f t="shared" si="149"/>
        <v>1</v>
      </c>
      <c r="J303" s="76" t="str">
        <f t="shared" si="149"/>
        <v>Lactuca</v>
      </c>
      <c r="K303" s="76" t="str">
        <f t="shared" si="149"/>
        <v>inermis</v>
      </c>
      <c r="L303" s="77">
        <f t="shared" si="149"/>
        <v>13</v>
      </c>
      <c r="M303" s="77">
        <f t="shared" si="149"/>
        <v>2</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2019</v>
      </c>
      <c r="B304" s="72" t="str">
        <f t="shared" si="127"/>
        <v>Nov</v>
      </c>
      <c r="C304" s="73">
        <f t="shared" si="145"/>
        <v>23</v>
      </c>
      <c r="D304" s="74">
        <f t="shared" si="128"/>
        <v>15</v>
      </c>
      <c r="E304" s="75">
        <f t="shared" si="129"/>
        <v>21</v>
      </c>
      <c r="F304" s="79"/>
      <c r="G304" s="82"/>
      <c r="H304" s="68" t="str">
        <f t="shared" si="146"/>
        <v>Lacine13_20191123_15_00</v>
      </c>
      <c r="I304" s="69">
        <f t="shared" si="149"/>
        <v>1</v>
      </c>
      <c r="J304" s="76" t="str">
        <f t="shared" si="149"/>
        <v>Lactuca</v>
      </c>
      <c r="K304" s="76" t="str">
        <f t="shared" si="149"/>
        <v>inermis</v>
      </c>
      <c r="L304" s="77">
        <f t="shared" si="149"/>
        <v>13</v>
      </c>
      <c r="M304" s="77">
        <f t="shared" si="149"/>
        <v>2</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2019</v>
      </c>
      <c r="B305" s="72" t="str">
        <f t="shared" si="127"/>
        <v>Nov</v>
      </c>
      <c r="C305" s="73">
        <f t="shared" si="145"/>
        <v>23</v>
      </c>
      <c r="D305" s="74">
        <f t="shared" si="128"/>
        <v>15</v>
      </c>
      <c r="E305" s="75">
        <f t="shared" si="129"/>
        <v>22</v>
      </c>
      <c r="F305" s="79"/>
      <c r="G305" s="82"/>
      <c r="H305" s="68" t="str">
        <f t="shared" si="146"/>
        <v>Lacine13_20191123_15_00</v>
      </c>
      <c r="I305" s="69">
        <f t="shared" si="149"/>
        <v>1</v>
      </c>
      <c r="J305" s="76" t="str">
        <f t="shared" si="149"/>
        <v>Lactuca</v>
      </c>
      <c r="K305" s="76" t="str">
        <f t="shared" si="149"/>
        <v>inermis</v>
      </c>
      <c r="L305" s="77">
        <f t="shared" si="149"/>
        <v>13</v>
      </c>
      <c r="M305" s="77">
        <f t="shared" si="149"/>
        <v>2</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2019</v>
      </c>
      <c r="B306" s="72" t="str">
        <f t="shared" si="127"/>
        <v>Nov</v>
      </c>
      <c r="C306" s="73">
        <f t="shared" si="145"/>
        <v>23</v>
      </c>
      <c r="D306" s="74">
        <f t="shared" si="128"/>
        <v>15</v>
      </c>
      <c r="E306" s="75">
        <f t="shared" si="129"/>
        <v>23</v>
      </c>
      <c r="F306" s="79"/>
      <c r="G306" s="82"/>
      <c r="H306" s="68" t="str">
        <f t="shared" si="146"/>
        <v>Lacine13_20191123_15_00</v>
      </c>
      <c r="I306" s="69">
        <f t="shared" si="149"/>
        <v>1</v>
      </c>
      <c r="J306" s="76" t="str">
        <f t="shared" si="149"/>
        <v>Lactuca</v>
      </c>
      <c r="K306" s="76" t="str">
        <f t="shared" si="149"/>
        <v>inermis</v>
      </c>
      <c r="L306" s="77">
        <f t="shared" si="149"/>
        <v>13</v>
      </c>
      <c r="M306" s="77">
        <f t="shared" si="149"/>
        <v>2</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2019</v>
      </c>
      <c r="B307" s="72" t="str">
        <f t="shared" si="127"/>
        <v>Nov</v>
      </c>
      <c r="C307" s="73">
        <f t="shared" si="145"/>
        <v>23</v>
      </c>
      <c r="D307" s="74">
        <f t="shared" si="128"/>
        <v>15</v>
      </c>
      <c r="E307" s="75">
        <f t="shared" si="129"/>
        <v>24</v>
      </c>
      <c r="F307" s="79"/>
      <c r="G307" s="82"/>
      <c r="H307" s="68" t="str">
        <f t="shared" si="146"/>
        <v>Lacine13_20191123_15_00</v>
      </c>
      <c r="I307" s="69">
        <f t="shared" si="149"/>
        <v>1</v>
      </c>
      <c r="J307" s="76" t="str">
        <f t="shared" si="149"/>
        <v>Lactuca</v>
      </c>
      <c r="K307" s="76" t="str">
        <f t="shared" si="149"/>
        <v>inermis</v>
      </c>
      <c r="L307" s="77">
        <f t="shared" si="149"/>
        <v>13</v>
      </c>
      <c r="M307" s="77">
        <f t="shared" si="149"/>
        <v>2</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2019</v>
      </c>
      <c r="B308" s="72" t="str">
        <f t="shared" si="127"/>
        <v>Nov</v>
      </c>
      <c r="C308" s="73">
        <f t="shared" si="145"/>
        <v>23</v>
      </c>
      <c r="D308" s="74">
        <f t="shared" si="128"/>
        <v>15</v>
      </c>
      <c r="E308" s="75">
        <f t="shared" si="129"/>
        <v>25</v>
      </c>
      <c r="F308" s="79"/>
      <c r="G308" s="82"/>
      <c r="H308" s="68" t="str">
        <f t="shared" si="146"/>
        <v>Lacine13_20191123_15_00</v>
      </c>
      <c r="I308" s="69">
        <f t="shared" si="149"/>
        <v>1</v>
      </c>
      <c r="J308" s="76" t="str">
        <f t="shared" si="149"/>
        <v>Lactuca</v>
      </c>
      <c r="K308" s="76" t="str">
        <f t="shared" si="149"/>
        <v>inermis</v>
      </c>
      <c r="L308" s="77">
        <f t="shared" si="149"/>
        <v>13</v>
      </c>
      <c r="M308" s="77">
        <f t="shared" si="149"/>
        <v>2</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x14ac:dyDescent="0.35">
      <c r="A309" s="72">
        <f t="shared" si="126"/>
        <v>2019</v>
      </c>
      <c r="B309" s="72" t="str">
        <f t="shared" si="127"/>
        <v>Nov</v>
      </c>
      <c r="C309" s="73">
        <f t="shared" si="145"/>
        <v>23</v>
      </c>
      <c r="D309" s="74">
        <f t="shared" si="128"/>
        <v>15</v>
      </c>
      <c r="E309" s="75">
        <f t="shared" si="129"/>
        <v>26</v>
      </c>
      <c r="F309" s="79">
        <v>20</v>
      </c>
      <c r="G309" s="82"/>
      <c r="H309" s="68" t="str">
        <f t="shared" si="146"/>
        <v>Lacine13_20191123_15_00</v>
      </c>
      <c r="I309" s="69">
        <f t="shared" ref="I309:N324" si="150">I308</f>
        <v>1</v>
      </c>
      <c r="J309" s="76" t="str">
        <f t="shared" si="150"/>
        <v>Lactuca</v>
      </c>
      <c r="K309" s="76" t="str">
        <f t="shared" si="150"/>
        <v>inermis</v>
      </c>
      <c r="L309" s="77">
        <f t="shared" si="150"/>
        <v>13</v>
      </c>
      <c r="M309" s="77">
        <f t="shared" si="150"/>
        <v>2</v>
      </c>
      <c r="N309" s="71">
        <f t="shared" si="150"/>
        <v>0</v>
      </c>
      <c r="O309" s="44"/>
      <c r="P309" s="45">
        <f t="shared" si="130"/>
        <v>1</v>
      </c>
      <c r="Q309" s="46" t="str">
        <f t="shared" si="131"/>
        <v>15:26:20</v>
      </c>
      <c r="R309" s="47" t="str">
        <f t="shared" si="132"/>
        <v>26:20</v>
      </c>
      <c r="S309" s="48">
        <f t="shared" si="121"/>
        <v>87</v>
      </c>
      <c r="T309" s="47" t="str">
        <f t="shared" si="133"/>
        <v>15</v>
      </c>
      <c r="U309" s="49">
        <v>27</v>
      </c>
      <c r="V309" s="50">
        <v>47</v>
      </c>
      <c r="W309" s="51" t="str">
        <f t="shared" si="134"/>
        <v>27:47</v>
      </c>
      <c r="X309" s="52" t="s">
        <v>59</v>
      </c>
      <c r="Y309" s="124" t="s">
        <v>87</v>
      </c>
      <c r="Z309" s="124"/>
      <c r="AA309" s="47" t="s">
        <v>82</v>
      </c>
      <c r="AB309" s="47" t="str">
        <f t="shared" si="135"/>
        <v>NA</v>
      </c>
      <c r="AC309" s="53">
        <f t="shared" si="136"/>
        <v>0</v>
      </c>
      <c r="AD309" s="54">
        <f t="shared" si="137"/>
        <v>1</v>
      </c>
      <c r="AE309" s="54"/>
      <c r="AF309" s="54"/>
      <c r="AG309" s="55" t="str">
        <f t="shared" si="138"/>
        <v/>
      </c>
      <c r="AH309" s="56" t="str">
        <f t="shared" si="139"/>
        <v/>
      </c>
      <c r="AI309" s="55"/>
      <c r="AJ309" s="56" t="str">
        <f t="shared" si="140"/>
        <v/>
      </c>
      <c r="AK309" s="55"/>
      <c r="AL309" s="56" t="str">
        <f t="shared" si="141"/>
        <v/>
      </c>
      <c r="AM309" s="55">
        <v>1</v>
      </c>
      <c r="AN309" s="56">
        <f t="shared" si="142"/>
        <v>87</v>
      </c>
      <c r="AO309" s="55"/>
      <c r="AP309" s="56" t="str">
        <f t="shared" si="143"/>
        <v/>
      </c>
      <c r="AQ309" s="55"/>
      <c r="AR309" s="56" t="str">
        <f t="shared" si="144"/>
        <v/>
      </c>
      <c r="AS309" s="57"/>
      <c r="AT309" s="58"/>
      <c r="AU309" s="58"/>
      <c r="AV309" s="59"/>
      <c r="AW309" s="60">
        <v>1</v>
      </c>
      <c r="AX309" s="61">
        <f t="shared" si="123"/>
        <v>1</v>
      </c>
      <c r="AY309" s="60">
        <v>1</v>
      </c>
      <c r="AZ309" s="61">
        <f t="shared" si="125"/>
        <v>1</v>
      </c>
    </row>
    <row r="310" spans="1:52" s="3" customFormat="1" hidden="1" x14ac:dyDescent="0.35">
      <c r="A310" s="72">
        <f t="shared" si="126"/>
        <v>2019</v>
      </c>
      <c r="B310" s="72" t="str">
        <f t="shared" si="127"/>
        <v>Nov</v>
      </c>
      <c r="C310" s="73">
        <f t="shared" si="145"/>
        <v>23</v>
      </c>
      <c r="D310" s="74">
        <f t="shared" si="128"/>
        <v>15</v>
      </c>
      <c r="E310" s="75">
        <f t="shared" si="129"/>
        <v>27</v>
      </c>
      <c r="F310" s="79"/>
      <c r="G310" s="82"/>
      <c r="H310" s="68" t="str">
        <f t="shared" si="146"/>
        <v>Lacine13_20191123_15_00</v>
      </c>
      <c r="I310" s="69">
        <f t="shared" si="150"/>
        <v>1</v>
      </c>
      <c r="J310" s="76" t="str">
        <f t="shared" si="150"/>
        <v>Lactuca</v>
      </c>
      <c r="K310" s="76" t="str">
        <f t="shared" si="150"/>
        <v>inermis</v>
      </c>
      <c r="L310" s="77">
        <f t="shared" si="150"/>
        <v>13</v>
      </c>
      <c r="M310" s="77">
        <f t="shared" si="150"/>
        <v>2</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2019</v>
      </c>
      <c r="B311" s="72" t="str">
        <f t="shared" si="127"/>
        <v>Nov</v>
      </c>
      <c r="C311" s="73">
        <f t="shared" si="145"/>
        <v>23</v>
      </c>
      <c r="D311" s="74">
        <f t="shared" si="128"/>
        <v>15</v>
      </c>
      <c r="E311" s="75">
        <f t="shared" si="129"/>
        <v>28</v>
      </c>
      <c r="F311" s="79"/>
      <c r="G311" s="82"/>
      <c r="H311" s="68" t="str">
        <f t="shared" si="146"/>
        <v>Lacine13_20191123_15_00</v>
      </c>
      <c r="I311" s="69">
        <f t="shared" si="150"/>
        <v>1</v>
      </c>
      <c r="J311" s="76" t="str">
        <f t="shared" si="150"/>
        <v>Lactuca</v>
      </c>
      <c r="K311" s="76" t="str">
        <f t="shared" si="150"/>
        <v>inermis</v>
      </c>
      <c r="L311" s="77">
        <f t="shared" si="150"/>
        <v>13</v>
      </c>
      <c r="M311" s="77">
        <f t="shared" si="150"/>
        <v>2</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2019</v>
      </c>
      <c r="B312" s="72" t="str">
        <f t="shared" si="127"/>
        <v>Nov</v>
      </c>
      <c r="C312" s="73">
        <f t="shared" si="145"/>
        <v>23</v>
      </c>
      <c r="D312" s="74">
        <f t="shared" si="128"/>
        <v>15</v>
      </c>
      <c r="E312" s="75">
        <f t="shared" si="129"/>
        <v>29</v>
      </c>
      <c r="F312" s="79"/>
      <c r="G312" s="82"/>
      <c r="H312" s="68" t="str">
        <f t="shared" si="146"/>
        <v>Lacine13_20191123_15_00</v>
      </c>
      <c r="I312" s="69">
        <f t="shared" si="150"/>
        <v>1</v>
      </c>
      <c r="J312" s="76" t="str">
        <f t="shared" si="150"/>
        <v>Lactuca</v>
      </c>
      <c r="K312" s="76" t="str">
        <f t="shared" si="150"/>
        <v>inermis</v>
      </c>
      <c r="L312" s="77">
        <f t="shared" si="150"/>
        <v>13</v>
      </c>
      <c r="M312" s="77">
        <f t="shared" si="150"/>
        <v>2</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2019</v>
      </c>
      <c r="B313" s="72" t="str">
        <f t="shared" si="127"/>
        <v>Nov</v>
      </c>
      <c r="C313" s="73">
        <f t="shared" si="145"/>
        <v>23</v>
      </c>
      <c r="D313" s="74">
        <f t="shared" si="128"/>
        <v>15</v>
      </c>
      <c r="E313" s="75">
        <f t="shared" si="129"/>
        <v>30</v>
      </c>
      <c r="F313" s="79"/>
      <c r="G313" s="82"/>
      <c r="H313" s="68" t="str">
        <f t="shared" si="146"/>
        <v>Lacine13_20191123_15_00</v>
      </c>
      <c r="I313" s="69">
        <f t="shared" si="150"/>
        <v>1</v>
      </c>
      <c r="J313" s="76" t="str">
        <f t="shared" si="150"/>
        <v>Lactuca</v>
      </c>
      <c r="K313" s="76" t="str">
        <f t="shared" si="150"/>
        <v>inermis</v>
      </c>
      <c r="L313" s="77">
        <f t="shared" si="150"/>
        <v>13</v>
      </c>
      <c r="M313" s="77">
        <f t="shared" si="150"/>
        <v>2</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2019</v>
      </c>
      <c r="B314" s="72" t="str">
        <f t="shared" si="127"/>
        <v>Nov</v>
      </c>
      <c r="C314" s="73">
        <f t="shared" si="145"/>
        <v>23</v>
      </c>
      <c r="D314" s="74">
        <f t="shared" si="128"/>
        <v>15</v>
      </c>
      <c r="E314" s="75">
        <f t="shared" si="129"/>
        <v>31</v>
      </c>
      <c r="F314" s="79"/>
      <c r="G314" s="82"/>
      <c r="H314" s="68" t="str">
        <f t="shared" si="146"/>
        <v>Lacine13_20191123_15_00</v>
      </c>
      <c r="I314" s="69">
        <f t="shared" si="150"/>
        <v>1</v>
      </c>
      <c r="J314" s="76" t="str">
        <f t="shared" si="150"/>
        <v>Lactuca</v>
      </c>
      <c r="K314" s="76" t="str">
        <f t="shared" si="150"/>
        <v>inermis</v>
      </c>
      <c r="L314" s="77">
        <f t="shared" si="150"/>
        <v>13</v>
      </c>
      <c r="M314" s="77">
        <f t="shared" si="150"/>
        <v>2</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2019</v>
      </c>
      <c r="B315" s="72" t="str">
        <f t="shared" si="127"/>
        <v>Nov</v>
      </c>
      <c r="C315" s="73">
        <f t="shared" si="145"/>
        <v>23</v>
      </c>
      <c r="D315" s="74">
        <f t="shared" si="128"/>
        <v>15</v>
      </c>
      <c r="E315" s="75">
        <f t="shared" si="129"/>
        <v>32</v>
      </c>
      <c r="F315" s="79"/>
      <c r="G315" s="82"/>
      <c r="H315" s="68" t="str">
        <f t="shared" si="146"/>
        <v>Lacine13_20191123_15_00</v>
      </c>
      <c r="I315" s="69">
        <f t="shared" si="150"/>
        <v>1</v>
      </c>
      <c r="J315" s="76" t="str">
        <f t="shared" si="150"/>
        <v>Lactuca</v>
      </c>
      <c r="K315" s="76" t="str">
        <f t="shared" si="150"/>
        <v>inermis</v>
      </c>
      <c r="L315" s="77">
        <f t="shared" si="150"/>
        <v>13</v>
      </c>
      <c r="M315" s="77">
        <f t="shared" si="150"/>
        <v>2</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2019</v>
      </c>
      <c r="B316" s="72" t="str">
        <f t="shared" si="127"/>
        <v>Nov</v>
      </c>
      <c r="C316" s="73">
        <f t="shared" si="145"/>
        <v>23</v>
      </c>
      <c r="D316" s="74">
        <f t="shared" si="128"/>
        <v>15</v>
      </c>
      <c r="E316" s="75">
        <f t="shared" si="129"/>
        <v>33</v>
      </c>
      <c r="F316" s="79"/>
      <c r="G316" s="82"/>
      <c r="H316" s="68" t="str">
        <f t="shared" si="146"/>
        <v>Lacine13_20191123_15_00</v>
      </c>
      <c r="I316" s="69">
        <f t="shared" si="150"/>
        <v>1</v>
      </c>
      <c r="J316" s="76" t="str">
        <f t="shared" si="150"/>
        <v>Lactuca</v>
      </c>
      <c r="K316" s="76" t="str">
        <f t="shared" si="150"/>
        <v>inermis</v>
      </c>
      <c r="L316" s="77">
        <f t="shared" si="150"/>
        <v>13</v>
      </c>
      <c r="M316" s="77">
        <f t="shared" si="150"/>
        <v>2</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2019</v>
      </c>
      <c r="B317" s="72" t="str">
        <f t="shared" si="127"/>
        <v>Nov</v>
      </c>
      <c r="C317" s="73">
        <f t="shared" si="145"/>
        <v>23</v>
      </c>
      <c r="D317" s="74">
        <f t="shared" si="128"/>
        <v>15</v>
      </c>
      <c r="E317" s="75">
        <f t="shared" si="129"/>
        <v>34</v>
      </c>
      <c r="F317" s="79"/>
      <c r="G317" s="82"/>
      <c r="H317" s="68" t="str">
        <f t="shared" si="146"/>
        <v>Lacine13_20191123_15_00</v>
      </c>
      <c r="I317" s="69">
        <f t="shared" si="150"/>
        <v>1</v>
      </c>
      <c r="J317" s="76" t="str">
        <f t="shared" si="150"/>
        <v>Lactuca</v>
      </c>
      <c r="K317" s="76" t="str">
        <f t="shared" si="150"/>
        <v>inermis</v>
      </c>
      <c r="L317" s="77">
        <f t="shared" si="150"/>
        <v>13</v>
      </c>
      <c r="M317" s="77">
        <f t="shared" si="150"/>
        <v>2</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2019</v>
      </c>
      <c r="B318" s="72" t="str">
        <f t="shared" si="127"/>
        <v>Nov</v>
      </c>
      <c r="C318" s="73">
        <f t="shared" si="145"/>
        <v>23</v>
      </c>
      <c r="D318" s="74">
        <f t="shared" si="128"/>
        <v>15</v>
      </c>
      <c r="E318" s="75">
        <f t="shared" si="129"/>
        <v>35</v>
      </c>
      <c r="F318" s="79"/>
      <c r="G318" s="82"/>
      <c r="H318" s="68" t="str">
        <f t="shared" si="146"/>
        <v>Lacine13_20191123_15_00</v>
      </c>
      <c r="I318" s="69">
        <f t="shared" si="150"/>
        <v>1</v>
      </c>
      <c r="J318" s="76" t="str">
        <f t="shared" si="150"/>
        <v>Lactuca</v>
      </c>
      <c r="K318" s="76" t="str">
        <f t="shared" si="150"/>
        <v>inermis</v>
      </c>
      <c r="L318" s="77">
        <f t="shared" si="150"/>
        <v>13</v>
      </c>
      <c r="M318" s="77">
        <f t="shared" si="150"/>
        <v>2</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2019</v>
      </c>
      <c r="B319" s="72" t="str">
        <f t="shared" si="127"/>
        <v>Nov</v>
      </c>
      <c r="C319" s="73">
        <f t="shared" si="145"/>
        <v>23</v>
      </c>
      <c r="D319" s="74">
        <f t="shared" si="128"/>
        <v>15</v>
      </c>
      <c r="E319" s="75">
        <f t="shared" si="129"/>
        <v>36</v>
      </c>
      <c r="F319" s="79"/>
      <c r="G319" s="82"/>
      <c r="H319" s="68" t="str">
        <f t="shared" si="146"/>
        <v>Lacine13_20191123_15_00</v>
      </c>
      <c r="I319" s="69">
        <f t="shared" si="150"/>
        <v>1</v>
      </c>
      <c r="J319" s="76" t="str">
        <f t="shared" si="150"/>
        <v>Lactuca</v>
      </c>
      <c r="K319" s="76" t="str">
        <f t="shared" si="150"/>
        <v>inermis</v>
      </c>
      <c r="L319" s="77">
        <f t="shared" si="150"/>
        <v>13</v>
      </c>
      <c r="M319" s="77">
        <f t="shared" si="150"/>
        <v>2</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2019</v>
      </c>
      <c r="B320" s="72" t="str">
        <f t="shared" si="127"/>
        <v>Nov</v>
      </c>
      <c r="C320" s="73">
        <f t="shared" si="145"/>
        <v>23</v>
      </c>
      <c r="D320" s="74">
        <f t="shared" si="128"/>
        <v>15</v>
      </c>
      <c r="E320" s="75">
        <f t="shared" si="129"/>
        <v>37</v>
      </c>
      <c r="F320" s="79"/>
      <c r="G320" s="82"/>
      <c r="H320" s="68" t="str">
        <f t="shared" si="146"/>
        <v>Lacine13_20191123_15_00</v>
      </c>
      <c r="I320" s="69">
        <f t="shared" si="150"/>
        <v>1</v>
      </c>
      <c r="J320" s="76" t="str">
        <f t="shared" si="150"/>
        <v>Lactuca</v>
      </c>
      <c r="K320" s="76" t="str">
        <f t="shared" si="150"/>
        <v>inermis</v>
      </c>
      <c r="L320" s="77">
        <f t="shared" si="150"/>
        <v>13</v>
      </c>
      <c r="M320" s="77">
        <f t="shared" si="150"/>
        <v>2</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2019</v>
      </c>
      <c r="B321" s="72" t="str">
        <f t="shared" si="127"/>
        <v>Nov</v>
      </c>
      <c r="C321" s="73">
        <f t="shared" si="145"/>
        <v>23</v>
      </c>
      <c r="D321" s="74">
        <f t="shared" si="128"/>
        <v>15</v>
      </c>
      <c r="E321" s="75">
        <f t="shared" si="129"/>
        <v>38</v>
      </c>
      <c r="F321" s="79"/>
      <c r="G321" s="82"/>
      <c r="H321" s="68" t="str">
        <f t="shared" si="146"/>
        <v>Lacine13_20191123_15_00</v>
      </c>
      <c r="I321" s="69">
        <f t="shared" si="150"/>
        <v>1</v>
      </c>
      <c r="J321" s="76" t="str">
        <f t="shared" si="150"/>
        <v>Lactuca</v>
      </c>
      <c r="K321" s="76" t="str">
        <f t="shared" si="150"/>
        <v>inermis</v>
      </c>
      <c r="L321" s="77">
        <f t="shared" si="150"/>
        <v>13</v>
      </c>
      <c r="M321" s="77">
        <f t="shared" si="150"/>
        <v>2</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2019</v>
      </c>
      <c r="B322" s="72" t="str">
        <f t="shared" si="127"/>
        <v>Nov</v>
      </c>
      <c r="C322" s="73">
        <f t="shared" si="145"/>
        <v>23</v>
      </c>
      <c r="D322" s="74">
        <f t="shared" si="128"/>
        <v>15</v>
      </c>
      <c r="E322" s="75">
        <f t="shared" si="129"/>
        <v>39</v>
      </c>
      <c r="F322" s="79"/>
      <c r="G322" s="82"/>
      <c r="H322" s="68" t="str">
        <f t="shared" si="146"/>
        <v>Lacine13_20191123_15_00</v>
      </c>
      <c r="I322" s="69">
        <f t="shared" si="150"/>
        <v>1</v>
      </c>
      <c r="J322" s="76" t="str">
        <f t="shared" si="150"/>
        <v>Lactuca</v>
      </c>
      <c r="K322" s="76" t="str">
        <f t="shared" si="150"/>
        <v>inermis</v>
      </c>
      <c r="L322" s="77">
        <f t="shared" si="150"/>
        <v>13</v>
      </c>
      <c r="M322" s="77">
        <f t="shared" si="150"/>
        <v>2</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2019</v>
      </c>
      <c r="B323" s="72" t="str">
        <f t="shared" si="127"/>
        <v>Nov</v>
      </c>
      <c r="C323" s="73">
        <f t="shared" si="145"/>
        <v>23</v>
      </c>
      <c r="D323" s="74">
        <f t="shared" si="128"/>
        <v>15</v>
      </c>
      <c r="E323" s="75">
        <f t="shared" si="129"/>
        <v>40</v>
      </c>
      <c r="F323" s="79"/>
      <c r="G323" s="82"/>
      <c r="H323" s="68" t="str">
        <f t="shared" si="146"/>
        <v>Lacine13_20191123_15_00</v>
      </c>
      <c r="I323" s="69">
        <f t="shared" si="150"/>
        <v>1</v>
      </c>
      <c r="J323" s="76" t="str">
        <f t="shared" si="150"/>
        <v>Lactuca</v>
      </c>
      <c r="K323" s="76" t="str">
        <f t="shared" si="150"/>
        <v>inermis</v>
      </c>
      <c r="L323" s="77">
        <f t="shared" si="150"/>
        <v>13</v>
      </c>
      <c r="M323" s="77">
        <f t="shared" si="150"/>
        <v>2</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2019</v>
      </c>
      <c r="B324" s="72" t="str">
        <f t="shared" ref="B324:B387" si="157">IF(C323-C324&gt;0, TEXT(DATE(2016,(MONTH(DATEVALUE(B323&amp;"1"))+1),1),"mmm"), B323)</f>
        <v>Nov</v>
      </c>
      <c r="C324" s="73">
        <f t="shared" si="145"/>
        <v>23</v>
      </c>
      <c r="D324" s="74">
        <f t="shared" ref="D324:D387" si="158">IF(IF(E323=59,D323+1,D323)=24,0,IF(E323=59,D323+1,D323))</f>
        <v>15</v>
      </c>
      <c r="E324" s="75">
        <f t="shared" ref="E324:E387" si="159">IF(E323&lt;59,E323+1,0)</f>
        <v>41</v>
      </c>
      <c r="F324" s="79"/>
      <c r="G324" s="82"/>
      <c r="H324" s="68" t="str">
        <f t="shared" si="146"/>
        <v>Lacine13_20191123_15_00</v>
      </c>
      <c r="I324" s="69">
        <f t="shared" si="150"/>
        <v>1</v>
      </c>
      <c r="J324" s="76" t="str">
        <f t="shared" si="150"/>
        <v>Lactuca</v>
      </c>
      <c r="K324" s="76" t="str">
        <f t="shared" si="150"/>
        <v>inermis</v>
      </c>
      <c r="L324" s="77">
        <f t="shared" si="150"/>
        <v>13</v>
      </c>
      <c r="M324" s="77">
        <f t="shared" si="150"/>
        <v>2</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2019</v>
      </c>
      <c r="B325" s="72" t="str">
        <f t="shared" si="157"/>
        <v>Nov</v>
      </c>
      <c r="C325" s="73">
        <f t="shared" ref="C325:C388" si="175">IF(AND(D325=0, E325=0), IF(TEXT(C324,"dd")=TEXT(EOMONTH(DATE(A324,MONTH(DATEVALUE(B324&amp;"1")),C324),0), "dd"), 1, C324+1), C324)</f>
        <v>23</v>
      </c>
      <c r="D325" s="74">
        <f t="shared" si="158"/>
        <v>15</v>
      </c>
      <c r="E325" s="75">
        <f t="shared" si="159"/>
        <v>42</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Lacine13_20191123_15_00</v>
      </c>
      <c r="I325" s="69">
        <f t="shared" ref="I325:N340" si="177">I324</f>
        <v>1</v>
      </c>
      <c r="J325" s="76" t="str">
        <f t="shared" si="177"/>
        <v>Lactuca</v>
      </c>
      <c r="K325" s="76" t="str">
        <f t="shared" si="177"/>
        <v>inermis</v>
      </c>
      <c r="L325" s="77">
        <f t="shared" si="177"/>
        <v>13</v>
      </c>
      <c r="M325" s="77">
        <f t="shared" si="177"/>
        <v>2</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2019</v>
      </c>
      <c r="B326" s="72" t="str">
        <f t="shared" si="157"/>
        <v>Nov</v>
      </c>
      <c r="C326" s="73">
        <f t="shared" si="175"/>
        <v>23</v>
      </c>
      <c r="D326" s="74">
        <f t="shared" si="158"/>
        <v>15</v>
      </c>
      <c r="E326" s="75">
        <f t="shared" si="159"/>
        <v>43</v>
      </c>
      <c r="F326" s="79"/>
      <c r="G326" s="82"/>
      <c r="H326" s="68" t="str">
        <f t="shared" si="176"/>
        <v>Lacine13_20191123_15_00</v>
      </c>
      <c r="I326" s="69">
        <f t="shared" si="177"/>
        <v>1</v>
      </c>
      <c r="J326" s="76" t="str">
        <f t="shared" si="177"/>
        <v>Lactuca</v>
      </c>
      <c r="K326" s="76" t="str">
        <f t="shared" si="177"/>
        <v>inermis</v>
      </c>
      <c r="L326" s="77">
        <f t="shared" si="177"/>
        <v>13</v>
      </c>
      <c r="M326" s="77">
        <f t="shared" si="177"/>
        <v>2</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2019</v>
      </c>
      <c r="B327" s="72" t="str">
        <f t="shared" si="157"/>
        <v>Nov</v>
      </c>
      <c r="C327" s="73">
        <f t="shared" si="175"/>
        <v>23</v>
      </c>
      <c r="D327" s="74">
        <f t="shared" si="158"/>
        <v>15</v>
      </c>
      <c r="E327" s="75">
        <f t="shared" si="159"/>
        <v>44</v>
      </c>
      <c r="F327" s="79"/>
      <c r="G327" s="82"/>
      <c r="H327" s="68" t="str">
        <f t="shared" si="176"/>
        <v>Lacine13_20191123_15_00</v>
      </c>
      <c r="I327" s="69">
        <f t="shared" si="177"/>
        <v>1</v>
      </c>
      <c r="J327" s="76" t="str">
        <f t="shared" si="177"/>
        <v>Lactuca</v>
      </c>
      <c r="K327" s="76" t="str">
        <f t="shared" si="177"/>
        <v>inermis</v>
      </c>
      <c r="L327" s="77">
        <f t="shared" si="177"/>
        <v>13</v>
      </c>
      <c r="M327" s="77">
        <f t="shared" si="177"/>
        <v>2</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2019</v>
      </c>
      <c r="B328" s="72" t="str">
        <f t="shared" si="157"/>
        <v>Nov</v>
      </c>
      <c r="C328" s="73">
        <f t="shared" si="175"/>
        <v>23</v>
      </c>
      <c r="D328" s="74">
        <f t="shared" si="158"/>
        <v>15</v>
      </c>
      <c r="E328" s="75">
        <f t="shared" si="159"/>
        <v>45</v>
      </c>
      <c r="F328" s="79"/>
      <c r="G328" s="82"/>
      <c r="H328" s="68" t="str">
        <f t="shared" si="176"/>
        <v>Lacine13_20191123_15_00</v>
      </c>
      <c r="I328" s="69">
        <f t="shared" si="177"/>
        <v>1</v>
      </c>
      <c r="J328" s="76" t="str">
        <f t="shared" si="177"/>
        <v>Lactuca</v>
      </c>
      <c r="K328" s="76" t="str">
        <f t="shared" si="177"/>
        <v>inermis</v>
      </c>
      <c r="L328" s="77">
        <f t="shared" si="177"/>
        <v>13</v>
      </c>
      <c r="M328" s="77">
        <f t="shared" si="177"/>
        <v>2</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2019</v>
      </c>
      <c r="B329" s="72" t="str">
        <f t="shared" si="157"/>
        <v>Nov</v>
      </c>
      <c r="C329" s="73">
        <f t="shared" si="175"/>
        <v>23</v>
      </c>
      <c r="D329" s="74">
        <f t="shared" si="158"/>
        <v>15</v>
      </c>
      <c r="E329" s="75">
        <f t="shared" si="159"/>
        <v>46</v>
      </c>
      <c r="F329" s="79"/>
      <c r="G329" s="82"/>
      <c r="H329" s="68" t="str">
        <f t="shared" si="176"/>
        <v>Lacine13_20191123_15_00</v>
      </c>
      <c r="I329" s="69">
        <f t="shared" si="177"/>
        <v>1</v>
      </c>
      <c r="J329" s="76" t="str">
        <f t="shared" si="177"/>
        <v>Lactuca</v>
      </c>
      <c r="K329" s="76" t="str">
        <f t="shared" si="177"/>
        <v>inermis</v>
      </c>
      <c r="L329" s="77">
        <f t="shared" si="177"/>
        <v>13</v>
      </c>
      <c r="M329" s="77">
        <f t="shared" si="177"/>
        <v>2</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2019</v>
      </c>
      <c r="B330" s="72" t="str">
        <f t="shared" si="157"/>
        <v>Nov</v>
      </c>
      <c r="C330" s="73">
        <f t="shared" si="175"/>
        <v>23</v>
      </c>
      <c r="D330" s="74">
        <f t="shared" si="158"/>
        <v>15</v>
      </c>
      <c r="E330" s="75">
        <f t="shared" si="159"/>
        <v>47</v>
      </c>
      <c r="F330" s="79"/>
      <c r="G330" s="82"/>
      <c r="H330" s="68" t="str">
        <f t="shared" si="176"/>
        <v>Lacine13_20191123_15_00</v>
      </c>
      <c r="I330" s="69">
        <f t="shared" si="177"/>
        <v>1</v>
      </c>
      <c r="J330" s="76" t="str">
        <f t="shared" si="177"/>
        <v>Lactuca</v>
      </c>
      <c r="K330" s="76" t="str">
        <f t="shared" si="177"/>
        <v>inermis</v>
      </c>
      <c r="L330" s="77">
        <f t="shared" si="177"/>
        <v>13</v>
      </c>
      <c r="M330" s="77">
        <f t="shared" si="177"/>
        <v>2</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2019</v>
      </c>
      <c r="B331" s="72" t="str">
        <f t="shared" si="157"/>
        <v>Nov</v>
      </c>
      <c r="C331" s="73">
        <f t="shared" si="175"/>
        <v>23</v>
      </c>
      <c r="D331" s="74">
        <f t="shared" si="158"/>
        <v>15</v>
      </c>
      <c r="E331" s="75">
        <f t="shared" si="159"/>
        <v>48</v>
      </c>
      <c r="F331" s="79"/>
      <c r="G331" s="82"/>
      <c r="H331" s="68" t="str">
        <f t="shared" si="176"/>
        <v>Lacine13_20191123_15_00</v>
      </c>
      <c r="I331" s="69">
        <f t="shared" si="177"/>
        <v>1</v>
      </c>
      <c r="J331" s="76" t="str">
        <f t="shared" si="177"/>
        <v>Lactuca</v>
      </c>
      <c r="K331" s="76" t="str">
        <f t="shared" si="177"/>
        <v>inermis</v>
      </c>
      <c r="L331" s="77">
        <f t="shared" si="177"/>
        <v>13</v>
      </c>
      <c r="M331" s="77">
        <f t="shared" si="177"/>
        <v>2</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2019</v>
      </c>
      <c r="B332" s="72" t="str">
        <f t="shared" si="157"/>
        <v>Nov</v>
      </c>
      <c r="C332" s="73">
        <f t="shared" si="175"/>
        <v>23</v>
      </c>
      <c r="D332" s="74">
        <f t="shared" si="158"/>
        <v>15</v>
      </c>
      <c r="E332" s="75">
        <f t="shared" si="159"/>
        <v>49</v>
      </c>
      <c r="F332" s="79"/>
      <c r="G332" s="82"/>
      <c r="H332" s="68" t="str">
        <f t="shared" si="176"/>
        <v>Lacine13_20191123_15_00</v>
      </c>
      <c r="I332" s="69">
        <f t="shared" si="177"/>
        <v>1</v>
      </c>
      <c r="J332" s="76" t="str">
        <f t="shared" si="177"/>
        <v>Lactuca</v>
      </c>
      <c r="K332" s="76" t="str">
        <f t="shared" si="177"/>
        <v>inermis</v>
      </c>
      <c r="L332" s="77">
        <f t="shared" si="177"/>
        <v>13</v>
      </c>
      <c r="M332" s="77">
        <f t="shared" si="177"/>
        <v>2</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2019</v>
      </c>
      <c r="B333" s="72" t="str">
        <f t="shared" si="157"/>
        <v>Nov</v>
      </c>
      <c r="C333" s="73">
        <f t="shared" si="175"/>
        <v>23</v>
      </c>
      <c r="D333" s="74">
        <f t="shared" si="158"/>
        <v>15</v>
      </c>
      <c r="E333" s="75">
        <f t="shared" si="159"/>
        <v>50</v>
      </c>
      <c r="F333" s="79"/>
      <c r="G333" s="82"/>
      <c r="H333" s="68" t="str">
        <f t="shared" si="176"/>
        <v>Lacine13_20191123_15_00</v>
      </c>
      <c r="I333" s="69">
        <f t="shared" si="177"/>
        <v>1</v>
      </c>
      <c r="J333" s="76" t="str">
        <f t="shared" si="177"/>
        <v>Lactuca</v>
      </c>
      <c r="K333" s="76" t="str">
        <f t="shared" si="177"/>
        <v>inermis</v>
      </c>
      <c r="L333" s="77">
        <f t="shared" si="177"/>
        <v>13</v>
      </c>
      <c r="M333" s="77">
        <f t="shared" si="177"/>
        <v>2</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2019</v>
      </c>
      <c r="B334" s="72" t="str">
        <f t="shared" si="157"/>
        <v>Nov</v>
      </c>
      <c r="C334" s="73">
        <f t="shared" si="175"/>
        <v>23</v>
      </c>
      <c r="D334" s="74">
        <f t="shared" si="158"/>
        <v>15</v>
      </c>
      <c r="E334" s="75">
        <f t="shared" si="159"/>
        <v>51</v>
      </c>
      <c r="F334" s="79"/>
      <c r="G334" s="82"/>
      <c r="H334" s="68" t="str">
        <f t="shared" si="176"/>
        <v>Lacine13_20191123_15_00</v>
      </c>
      <c r="I334" s="69">
        <f t="shared" si="177"/>
        <v>1</v>
      </c>
      <c r="J334" s="76" t="str">
        <f t="shared" si="177"/>
        <v>Lactuca</v>
      </c>
      <c r="K334" s="76" t="str">
        <f t="shared" si="177"/>
        <v>inermis</v>
      </c>
      <c r="L334" s="77">
        <f t="shared" si="177"/>
        <v>13</v>
      </c>
      <c r="M334" s="77">
        <f t="shared" si="177"/>
        <v>2</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2019</v>
      </c>
      <c r="B335" s="72" t="str">
        <f t="shared" si="157"/>
        <v>Nov</v>
      </c>
      <c r="C335" s="73">
        <f t="shared" si="175"/>
        <v>23</v>
      </c>
      <c r="D335" s="74">
        <f t="shared" si="158"/>
        <v>15</v>
      </c>
      <c r="E335" s="75">
        <f t="shared" si="159"/>
        <v>52</v>
      </c>
      <c r="F335" s="79"/>
      <c r="G335" s="82"/>
      <c r="H335" s="68" t="str">
        <f t="shared" si="176"/>
        <v>Lacine13_20191123_15_00</v>
      </c>
      <c r="I335" s="69">
        <f t="shared" si="177"/>
        <v>1</v>
      </c>
      <c r="J335" s="76" t="str">
        <f t="shared" si="177"/>
        <v>Lactuca</v>
      </c>
      <c r="K335" s="76" t="str">
        <f t="shared" si="177"/>
        <v>inermis</v>
      </c>
      <c r="L335" s="77">
        <f t="shared" si="177"/>
        <v>13</v>
      </c>
      <c r="M335" s="77">
        <f t="shared" si="177"/>
        <v>2</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2019</v>
      </c>
      <c r="B336" s="72" t="str">
        <f t="shared" si="157"/>
        <v>Nov</v>
      </c>
      <c r="C336" s="73">
        <f t="shared" si="175"/>
        <v>23</v>
      </c>
      <c r="D336" s="74">
        <f t="shared" si="158"/>
        <v>15</v>
      </c>
      <c r="E336" s="75">
        <f t="shared" si="159"/>
        <v>53</v>
      </c>
      <c r="F336" s="79"/>
      <c r="G336" s="82"/>
      <c r="H336" s="68" t="str">
        <f t="shared" si="176"/>
        <v>Lacine13_20191123_15_00</v>
      </c>
      <c r="I336" s="69">
        <f t="shared" si="177"/>
        <v>1</v>
      </c>
      <c r="J336" s="76" t="str">
        <f t="shared" si="177"/>
        <v>Lactuca</v>
      </c>
      <c r="K336" s="76" t="str">
        <f t="shared" si="177"/>
        <v>inermis</v>
      </c>
      <c r="L336" s="77">
        <f t="shared" si="177"/>
        <v>13</v>
      </c>
      <c r="M336" s="77">
        <f t="shared" si="177"/>
        <v>2</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2019</v>
      </c>
      <c r="B337" s="72" t="str">
        <f t="shared" si="157"/>
        <v>Nov</v>
      </c>
      <c r="C337" s="73">
        <f t="shared" si="175"/>
        <v>23</v>
      </c>
      <c r="D337" s="74">
        <f t="shared" si="158"/>
        <v>15</v>
      </c>
      <c r="E337" s="75">
        <f t="shared" si="159"/>
        <v>54</v>
      </c>
      <c r="F337" s="79"/>
      <c r="G337" s="82"/>
      <c r="H337" s="68" t="str">
        <f t="shared" si="176"/>
        <v>Lacine13_20191123_15_00</v>
      </c>
      <c r="I337" s="69">
        <f t="shared" si="177"/>
        <v>1</v>
      </c>
      <c r="J337" s="76" t="str">
        <f t="shared" si="177"/>
        <v>Lactuca</v>
      </c>
      <c r="K337" s="76" t="str">
        <f t="shared" si="177"/>
        <v>inermis</v>
      </c>
      <c r="L337" s="77">
        <f t="shared" si="177"/>
        <v>13</v>
      </c>
      <c r="M337" s="77">
        <f t="shared" si="177"/>
        <v>2</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2019</v>
      </c>
      <c r="B338" s="72" t="str">
        <f t="shared" si="157"/>
        <v>Nov</v>
      </c>
      <c r="C338" s="73">
        <f t="shared" si="175"/>
        <v>23</v>
      </c>
      <c r="D338" s="74">
        <f t="shared" si="158"/>
        <v>15</v>
      </c>
      <c r="E338" s="75">
        <f t="shared" si="159"/>
        <v>55</v>
      </c>
      <c r="F338" s="79"/>
      <c r="G338" s="82"/>
      <c r="H338" s="68" t="str">
        <f t="shared" si="176"/>
        <v>Lacine13_20191123_15_00</v>
      </c>
      <c r="I338" s="69">
        <f t="shared" si="177"/>
        <v>1</v>
      </c>
      <c r="J338" s="76" t="str">
        <f t="shared" si="177"/>
        <v>Lactuca</v>
      </c>
      <c r="K338" s="76" t="str">
        <f t="shared" si="177"/>
        <v>inermis</v>
      </c>
      <c r="L338" s="77">
        <f t="shared" si="177"/>
        <v>13</v>
      </c>
      <c r="M338" s="77">
        <f t="shared" si="177"/>
        <v>2</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2019</v>
      </c>
      <c r="B339" s="72" t="str">
        <f t="shared" si="157"/>
        <v>Nov</v>
      </c>
      <c r="C339" s="73">
        <f t="shared" si="175"/>
        <v>23</v>
      </c>
      <c r="D339" s="74">
        <f t="shared" si="158"/>
        <v>15</v>
      </c>
      <c r="E339" s="75">
        <f t="shared" si="159"/>
        <v>56</v>
      </c>
      <c r="F339" s="79"/>
      <c r="G339" s="82"/>
      <c r="H339" s="68" t="str">
        <f t="shared" si="176"/>
        <v>Lacine13_20191123_15_00</v>
      </c>
      <c r="I339" s="69">
        <f t="shared" si="177"/>
        <v>1</v>
      </c>
      <c r="J339" s="76" t="str">
        <f t="shared" si="177"/>
        <v>Lactuca</v>
      </c>
      <c r="K339" s="76" t="str">
        <f t="shared" si="177"/>
        <v>inermis</v>
      </c>
      <c r="L339" s="77">
        <f t="shared" si="177"/>
        <v>13</v>
      </c>
      <c r="M339" s="77">
        <f t="shared" si="177"/>
        <v>2</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2019</v>
      </c>
      <c r="B340" s="72" t="str">
        <f t="shared" si="157"/>
        <v>Nov</v>
      </c>
      <c r="C340" s="73">
        <f t="shared" si="175"/>
        <v>23</v>
      </c>
      <c r="D340" s="74">
        <f t="shared" si="158"/>
        <v>15</v>
      </c>
      <c r="E340" s="75">
        <f t="shared" si="159"/>
        <v>57</v>
      </c>
      <c r="F340" s="79"/>
      <c r="G340" s="82"/>
      <c r="H340" s="68" t="str">
        <f t="shared" si="176"/>
        <v>Lacine13_20191123_15_00</v>
      </c>
      <c r="I340" s="69">
        <f t="shared" si="177"/>
        <v>1</v>
      </c>
      <c r="J340" s="76" t="str">
        <f t="shared" si="177"/>
        <v>Lactuca</v>
      </c>
      <c r="K340" s="76" t="str">
        <f t="shared" si="177"/>
        <v>inermis</v>
      </c>
      <c r="L340" s="77">
        <f t="shared" si="177"/>
        <v>13</v>
      </c>
      <c r="M340" s="77">
        <f t="shared" si="177"/>
        <v>2</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2019</v>
      </c>
      <c r="B341" s="72" t="str">
        <f t="shared" si="157"/>
        <v>Nov</v>
      </c>
      <c r="C341" s="73">
        <f t="shared" si="175"/>
        <v>23</v>
      </c>
      <c r="D341" s="74">
        <f t="shared" si="158"/>
        <v>15</v>
      </c>
      <c r="E341" s="75">
        <f t="shared" si="159"/>
        <v>58</v>
      </c>
      <c r="F341" s="79"/>
      <c r="G341" s="82"/>
      <c r="H341" s="68" t="str">
        <f t="shared" si="176"/>
        <v>Lacine13_20191123_15_00</v>
      </c>
      <c r="I341" s="69">
        <f t="shared" ref="I341:N356" si="178">I340</f>
        <v>1</v>
      </c>
      <c r="J341" s="76" t="str">
        <f t="shared" si="178"/>
        <v>Lactuca</v>
      </c>
      <c r="K341" s="76" t="str">
        <f t="shared" si="178"/>
        <v>inermis</v>
      </c>
      <c r="L341" s="77">
        <f t="shared" si="178"/>
        <v>13</v>
      </c>
      <c r="M341" s="77">
        <f t="shared" si="178"/>
        <v>2</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2019</v>
      </c>
      <c r="B342" s="72" t="str">
        <f t="shared" si="157"/>
        <v>Nov</v>
      </c>
      <c r="C342" s="73">
        <f t="shared" si="175"/>
        <v>23</v>
      </c>
      <c r="D342" s="74">
        <f t="shared" si="158"/>
        <v>15</v>
      </c>
      <c r="E342" s="75">
        <f t="shared" si="159"/>
        <v>59</v>
      </c>
      <c r="F342" s="79"/>
      <c r="G342" s="82"/>
      <c r="H342" s="68" t="str">
        <f t="shared" si="176"/>
        <v>Lacine13_20191123_15_00</v>
      </c>
      <c r="I342" s="69">
        <f t="shared" si="178"/>
        <v>1</v>
      </c>
      <c r="J342" s="76" t="str">
        <f t="shared" si="178"/>
        <v>Lactuca</v>
      </c>
      <c r="K342" s="76" t="str">
        <f t="shared" si="178"/>
        <v>inermis</v>
      </c>
      <c r="L342" s="77">
        <f t="shared" si="178"/>
        <v>13</v>
      </c>
      <c r="M342" s="77">
        <f t="shared" si="178"/>
        <v>2</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2019</v>
      </c>
      <c r="B343" s="72" t="str">
        <f t="shared" si="157"/>
        <v>Nov</v>
      </c>
      <c r="C343" s="73">
        <f t="shared" si="175"/>
        <v>23</v>
      </c>
      <c r="D343" s="74">
        <f t="shared" si="158"/>
        <v>16</v>
      </c>
      <c r="E343" s="75">
        <f t="shared" si="159"/>
        <v>0</v>
      </c>
      <c r="F343" s="79"/>
      <c r="G343" s="82"/>
      <c r="H343" s="68" t="str">
        <f t="shared" si="176"/>
        <v>Lacine13_20191123_16_00</v>
      </c>
      <c r="I343" s="69">
        <f t="shared" si="178"/>
        <v>1</v>
      </c>
      <c r="J343" s="76" t="str">
        <f t="shared" si="178"/>
        <v>Lactuca</v>
      </c>
      <c r="K343" s="76" t="str">
        <f t="shared" si="178"/>
        <v>inermis</v>
      </c>
      <c r="L343" s="77">
        <f t="shared" si="178"/>
        <v>13</v>
      </c>
      <c r="M343" s="77">
        <f t="shared" si="178"/>
        <v>2</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2019</v>
      </c>
      <c r="B344" s="72" t="str">
        <f t="shared" si="157"/>
        <v>Nov</v>
      </c>
      <c r="C344" s="73">
        <f t="shared" si="175"/>
        <v>23</v>
      </c>
      <c r="D344" s="74">
        <f t="shared" si="158"/>
        <v>16</v>
      </c>
      <c r="E344" s="75">
        <f t="shared" si="159"/>
        <v>1</v>
      </c>
      <c r="F344" s="79"/>
      <c r="G344" s="82"/>
      <c r="H344" s="68" t="str">
        <f t="shared" si="176"/>
        <v>Lacine13_20191123_16_00</v>
      </c>
      <c r="I344" s="69">
        <f t="shared" si="178"/>
        <v>1</v>
      </c>
      <c r="J344" s="76" t="str">
        <f t="shared" si="178"/>
        <v>Lactuca</v>
      </c>
      <c r="K344" s="76" t="str">
        <f t="shared" si="178"/>
        <v>inermis</v>
      </c>
      <c r="L344" s="77">
        <f t="shared" si="178"/>
        <v>13</v>
      </c>
      <c r="M344" s="77">
        <f t="shared" si="178"/>
        <v>2</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2019</v>
      </c>
      <c r="B345" s="72" t="str">
        <f t="shared" si="157"/>
        <v>Nov</v>
      </c>
      <c r="C345" s="73">
        <f t="shared" si="175"/>
        <v>23</v>
      </c>
      <c r="D345" s="74">
        <f t="shared" si="158"/>
        <v>16</v>
      </c>
      <c r="E345" s="75">
        <f t="shared" si="159"/>
        <v>2</v>
      </c>
      <c r="F345" s="79"/>
      <c r="G345" s="82"/>
      <c r="H345" s="68" t="str">
        <f t="shared" si="176"/>
        <v>Lacine13_20191123_16_00</v>
      </c>
      <c r="I345" s="69">
        <f t="shared" si="178"/>
        <v>1</v>
      </c>
      <c r="J345" s="76" t="str">
        <f t="shared" si="178"/>
        <v>Lactuca</v>
      </c>
      <c r="K345" s="76" t="str">
        <f t="shared" si="178"/>
        <v>inermis</v>
      </c>
      <c r="L345" s="77">
        <f t="shared" si="178"/>
        <v>13</v>
      </c>
      <c r="M345" s="77">
        <f t="shared" si="178"/>
        <v>2</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2019</v>
      </c>
      <c r="B346" s="72" t="str">
        <f t="shared" si="157"/>
        <v>Nov</v>
      </c>
      <c r="C346" s="73">
        <f t="shared" si="175"/>
        <v>23</v>
      </c>
      <c r="D346" s="74">
        <f t="shared" si="158"/>
        <v>16</v>
      </c>
      <c r="E346" s="75">
        <f t="shared" si="159"/>
        <v>3</v>
      </c>
      <c r="F346" s="79"/>
      <c r="G346" s="82"/>
      <c r="H346" s="68" t="str">
        <f t="shared" si="176"/>
        <v>Lacine13_20191123_16_00</v>
      </c>
      <c r="I346" s="69">
        <f t="shared" si="178"/>
        <v>1</v>
      </c>
      <c r="J346" s="76" t="str">
        <f t="shared" si="178"/>
        <v>Lactuca</v>
      </c>
      <c r="K346" s="76" t="str">
        <f t="shared" si="178"/>
        <v>inermis</v>
      </c>
      <c r="L346" s="77">
        <f t="shared" si="178"/>
        <v>13</v>
      </c>
      <c r="M346" s="77">
        <f t="shared" si="178"/>
        <v>2</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2019</v>
      </c>
      <c r="B347" s="72" t="str">
        <f t="shared" si="157"/>
        <v>Nov</v>
      </c>
      <c r="C347" s="73">
        <f t="shared" si="175"/>
        <v>23</v>
      </c>
      <c r="D347" s="74">
        <f t="shared" si="158"/>
        <v>16</v>
      </c>
      <c r="E347" s="75">
        <f t="shared" si="159"/>
        <v>4</v>
      </c>
      <c r="F347" s="79"/>
      <c r="G347" s="82"/>
      <c r="H347" s="68" t="str">
        <f t="shared" si="176"/>
        <v>Lacine13_20191123_16_00</v>
      </c>
      <c r="I347" s="69">
        <f t="shared" si="178"/>
        <v>1</v>
      </c>
      <c r="J347" s="76" t="str">
        <f t="shared" si="178"/>
        <v>Lactuca</v>
      </c>
      <c r="K347" s="76" t="str">
        <f t="shared" si="178"/>
        <v>inermis</v>
      </c>
      <c r="L347" s="77">
        <f t="shared" si="178"/>
        <v>13</v>
      </c>
      <c r="M347" s="77">
        <f t="shared" si="178"/>
        <v>2</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2019</v>
      </c>
      <c r="B348" s="72" t="str">
        <f t="shared" si="157"/>
        <v>Nov</v>
      </c>
      <c r="C348" s="73">
        <f t="shared" si="175"/>
        <v>23</v>
      </c>
      <c r="D348" s="74">
        <f t="shared" si="158"/>
        <v>16</v>
      </c>
      <c r="E348" s="75">
        <f t="shared" si="159"/>
        <v>5</v>
      </c>
      <c r="F348" s="79"/>
      <c r="G348" s="82"/>
      <c r="H348" s="68" t="str">
        <f t="shared" si="176"/>
        <v>Lacine13_20191123_16_00</v>
      </c>
      <c r="I348" s="69">
        <f t="shared" si="178"/>
        <v>1</v>
      </c>
      <c r="J348" s="76" t="str">
        <f t="shared" si="178"/>
        <v>Lactuca</v>
      </c>
      <c r="K348" s="76" t="str">
        <f t="shared" si="178"/>
        <v>inermis</v>
      </c>
      <c r="L348" s="77">
        <f t="shared" si="178"/>
        <v>13</v>
      </c>
      <c r="M348" s="77">
        <f t="shared" si="178"/>
        <v>2</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2019</v>
      </c>
      <c r="B349" s="72" t="str">
        <f t="shared" si="157"/>
        <v>Nov</v>
      </c>
      <c r="C349" s="73">
        <f t="shared" si="175"/>
        <v>23</v>
      </c>
      <c r="D349" s="74">
        <f t="shared" si="158"/>
        <v>16</v>
      </c>
      <c r="E349" s="75">
        <f t="shared" si="159"/>
        <v>6</v>
      </c>
      <c r="F349" s="79"/>
      <c r="G349" s="82"/>
      <c r="H349" s="68" t="str">
        <f t="shared" si="176"/>
        <v>Lacine13_20191123_16_00</v>
      </c>
      <c r="I349" s="69">
        <f t="shared" si="178"/>
        <v>1</v>
      </c>
      <c r="J349" s="76" t="str">
        <f t="shared" si="178"/>
        <v>Lactuca</v>
      </c>
      <c r="K349" s="76" t="str">
        <f t="shared" si="178"/>
        <v>inermis</v>
      </c>
      <c r="L349" s="77">
        <f t="shared" si="178"/>
        <v>13</v>
      </c>
      <c r="M349" s="77">
        <f t="shared" si="178"/>
        <v>2</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2019</v>
      </c>
      <c r="B350" s="72" t="str">
        <f t="shared" si="157"/>
        <v>Nov</v>
      </c>
      <c r="C350" s="73">
        <f t="shared" si="175"/>
        <v>23</v>
      </c>
      <c r="D350" s="74">
        <f t="shared" si="158"/>
        <v>16</v>
      </c>
      <c r="E350" s="75">
        <f t="shared" si="159"/>
        <v>7</v>
      </c>
      <c r="F350" s="79"/>
      <c r="G350" s="82"/>
      <c r="H350" s="68" t="str">
        <f t="shared" si="176"/>
        <v>Lacine13_20191123_16_00</v>
      </c>
      <c r="I350" s="69">
        <f t="shared" si="178"/>
        <v>1</v>
      </c>
      <c r="J350" s="76" t="str">
        <f t="shared" si="178"/>
        <v>Lactuca</v>
      </c>
      <c r="K350" s="76" t="str">
        <f t="shared" si="178"/>
        <v>inermis</v>
      </c>
      <c r="L350" s="77">
        <f t="shared" si="178"/>
        <v>13</v>
      </c>
      <c r="M350" s="77">
        <f t="shared" si="178"/>
        <v>2</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2019</v>
      </c>
      <c r="B351" s="72" t="str">
        <f t="shared" si="157"/>
        <v>Nov</v>
      </c>
      <c r="C351" s="73">
        <f t="shared" si="175"/>
        <v>23</v>
      </c>
      <c r="D351" s="74">
        <f t="shared" si="158"/>
        <v>16</v>
      </c>
      <c r="E351" s="75">
        <f t="shared" si="159"/>
        <v>8</v>
      </c>
      <c r="F351" s="79"/>
      <c r="G351" s="82"/>
      <c r="H351" s="68" t="str">
        <f t="shared" si="176"/>
        <v>Lacine13_20191123_16_00</v>
      </c>
      <c r="I351" s="69">
        <f t="shared" si="178"/>
        <v>1</v>
      </c>
      <c r="J351" s="76" t="str">
        <f t="shared" si="178"/>
        <v>Lactuca</v>
      </c>
      <c r="K351" s="76" t="str">
        <f t="shared" si="178"/>
        <v>inermis</v>
      </c>
      <c r="L351" s="77">
        <f t="shared" si="178"/>
        <v>13</v>
      </c>
      <c r="M351" s="77">
        <f t="shared" si="178"/>
        <v>2</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2019</v>
      </c>
      <c r="B352" s="72" t="str">
        <f t="shared" si="157"/>
        <v>Nov</v>
      </c>
      <c r="C352" s="73">
        <f t="shared" si="175"/>
        <v>23</v>
      </c>
      <c r="D352" s="74">
        <f t="shared" si="158"/>
        <v>16</v>
      </c>
      <c r="E352" s="75">
        <f t="shared" si="159"/>
        <v>9</v>
      </c>
      <c r="F352" s="79"/>
      <c r="G352" s="82"/>
      <c r="H352" s="68" t="str">
        <f t="shared" si="176"/>
        <v>Lacine13_20191123_16_00</v>
      </c>
      <c r="I352" s="69">
        <f t="shared" si="178"/>
        <v>1</v>
      </c>
      <c r="J352" s="76" t="str">
        <f t="shared" si="178"/>
        <v>Lactuca</v>
      </c>
      <c r="K352" s="76" t="str">
        <f t="shared" si="178"/>
        <v>inermis</v>
      </c>
      <c r="L352" s="77">
        <f t="shared" si="178"/>
        <v>13</v>
      </c>
      <c r="M352" s="77">
        <f t="shared" si="178"/>
        <v>2</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2019</v>
      </c>
      <c r="B353" s="72" t="str">
        <f t="shared" si="157"/>
        <v>Nov</v>
      </c>
      <c r="C353" s="73">
        <f t="shared" si="175"/>
        <v>23</v>
      </c>
      <c r="D353" s="74">
        <f t="shared" si="158"/>
        <v>16</v>
      </c>
      <c r="E353" s="75">
        <f t="shared" si="159"/>
        <v>10</v>
      </c>
      <c r="F353" s="79"/>
      <c r="G353" s="82"/>
      <c r="H353" s="68" t="str">
        <f t="shared" si="176"/>
        <v>Lacine13_20191123_16_00</v>
      </c>
      <c r="I353" s="69">
        <f t="shared" si="178"/>
        <v>1</v>
      </c>
      <c r="J353" s="76" t="str">
        <f t="shared" si="178"/>
        <v>Lactuca</v>
      </c>
      <c r="K353" s="76" t="str">
        <f t="shared" si="178"/>
        <v>inermis</v>
      </c>
      <c r="L353" s="77">
        <f t="shared" si="178"/>
        <v>13</v>
      </c>
      <c r="M353" s="77">
        <f t="shared" si="178"/>
        <v>2</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2019</v>
      </c>
      <c r="B354" s="72" t="str">
        <f t="shared" si="157"/>
        <v>Nov</v>
      </c>
      <c r="C354" s="73">
        <f t="shared" si="175"/>
        <v>23</v>
      </c>
      <c r="D354" s="74">
        <f t="shared" si="158"/>
        <v>16</v>
      </c>
      <c r="E354" s="75">
        <f t="shared" si="159"/>
        <v>11</v>
      </c>
      <c r="F354" s="79"/>
      <c r="G354" s="82"/>
      <c r="H354" s="68" t="str">
        <f t="shared" si="176"/>
        <v>Lacine13_20191123_16_00</v>
      </c>
      <c r="I354" s="69">
        <f t="shared" si="178"/>
        <v>1</v>
      </c>
      <c r="J354" s="76" t="str">
        <f t="shared" si="178"/>
        <v>Lactuca</v>
      </c>
      <c r="K354" s="76" t="str">
        <f t="shared" si="178"/>
        <v>inermis</v>
      </c>
      <c r="L354" s="77">
        <f t="shared" si="178"/>
        <v>13</v>
      </c>
      <c r="M354" s="77">
        <f t="shared" si="178"/>
        <v>2</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2019</v>
      </c>
      <c r="B355" s="72" t="str">
        <f t="shared" si="157"/>
        <v>Nov</v>
      </c>
      <c r="C355" s="73">
        <f t="shared" si="175"/>
        <v>23</v>
      </c>
      <c r="D355" s="74">
        <f t="shared" si="158"/>
        <v>16</v>
      </c>
      <c r="E355" s="75">
        <f t="shared" si="159"/>
        <v>12</v>
      </c>
      <c r="F355" s="79"/>
      <c r="G355" s="82"/>
      <c r="H355" s="68" t="str">
        <f t="shared" si="176"/>
        <v>Lacine13_20191123_16_00</v>
      </c>
      <c r="I355" s="69">
        <f t="shared" si="178"/>
        <v>1</v>
      </c>
      <c r="J355" s="76" t="str">
        <f t="shared" si="178"/>
        <v>Lactuca</v>
      </c>
      <c r="K355" s="76" t="str">
        <f t="shared" si="178"/>
        <v>inermis</v>
      </c>
      <c r="L355" s="77">
        <f t="shared" si="178"/>
        <v>13</v>
      </c>
      <c r="M355" s="77">
        <f t="shared" si="178"/>
        <v>2</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2019</v>
      </c>
      <c r="B356" s="72" t="str">
        <f t="shared" si="157"/>
        <v>Nov</v>
      </c>
      <c r="C356" s="73">
        <f t="shared" si="175"/>
        <v>23</v>
      </c>
      <c r="D356" s="74">
        <f t="shared" si="158"/>
        <v>16</v>
      </c>
      <c r="E356" s="75">
        <f t="shared" si="159"/>
        <v>13</v>
      </c>
      <c r="F356" s="79"/>
      <c r="G356" s="82"/>
      <c r="H356" s="68" t="str">
        <f t="shared" si="176"/>
        <v>Lacine13_20191123_16_00</v>
      </c>
      <c r="I356" s="69">
        <f t="shared" si="178"/>
        <v>1</v>
      </c>
      <c r="J356" s="76" t="str">
        <f t="shared" si="178"/>
        <v>Lactuca</v>
      </c>
      <c r="K356" s="76" t="str">
        <f t="shared" si="178"/>
        <v>inermis</v>
      </c>
      <c r="L356" s="77">
        <f t="shared" si="178"/>
        <v>13</v>
      </c>
      <c r="M356" s="77">
        <f t="shared" si="178"/>
        <v>2</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2019</v>
      </c>
      <c r="B357" s="72" t="str">
        <f t="shared" si="157"/>
        <v>Nov</v>
      </c>
      <c r="C357" s="73">
        <f t="shared" si="175"/>
        <v>23</v>
      </c>
      <c r="D357" s="74">
        <f t="shared" si="158"/>
        <v>16</v>
      </c>
      <c r="E357" s="75">
        <f t="shared" si="159"/>
        <v>14</v>
      </c>
      <c r="F357" s="79"/>
      <c r="G357" s="82"/>
      <c r="H357" s="68" t="str">
        <f t="shared" si="176"/>
        <v>Lacine13_20191123_16_00</v>
      </c>
      <c r="I357" s="69">
        <f t="shared" ref="I357:N372" si="179">I356</f>
        <v>1</v>
      </c>
      <c r="J357" s="76" t="str">
        <f t="shared" si="179"/>
        <v>Lactuca</v>
      </c>
      <c r="K357" s="76" t="str">
        <f t="shared" si="179"/>
        <v>inermis</v>
      </c>
      <c r="L357" s="77">
        <f t="shared" si="179"/>
        <v>13</v>
      </c>
      <c r="M357" s="77">
        <f t="shared" si="179"/>
        <v>2</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2019</v>
      </c>
      <c r="B358" s="72" t="str">
        <f t="shared" si="157"/>
        <v>Nov</v>
      </c>
      <c r="C358" s="73">
        <f t="shared" si="175"/>
        <v>23</v>
      </c>
      <c r="D358" s="74">
        <f t="shared" si="158"/>
        <v>16</v>
      </c>
      <c r="E358" s="75">
        <f t="shared" si="159"/>
        <v>15</v>
      </c>
      <c r="F358" s="79"/>
      <c r="G358" s="82"/>
      <c r="H358" s="68" t="str">
        <f t="shared" si="176"/>
        <v>Lacine13_20191123_16_00</v>
      </c>
      <c r="I358" s="69">
        <f t="shared" si="179"/>
        <v>1</v>
      </c>
      <c r="J358" s="76" t="str">
        <f t="shared" si="179"/>
        <v>Lactuca</v>
      </c>
      <c r="K358" s="76" t="str">
        <f t="shared" si="179"/>
        <v>inermis</v>
      </c>
      <c r="L358" s="77">
        <f t="shared" si="179"/>
        <v>13</v>
      </c>
      <c r="M358" s="77">
        <f t="shared" si="179"/>
        <v>2</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2019</v>
      </c>
      <c r="B359" s="72" t="str">
        <f t="shared" si="157"/>
        <v>Nov</v>
      </c>
      <c r="C359" s="73">
        <f t="shared" si="175"/>
        <v>23</v>
      </c>
      <c r="D359" s="74">
        <f t="shared" si="158"/>
        <v>16</v>
      </c>
      <c r="E359" s="75">
        <f t="shared" si="159"/>
        <v>16</v>
      </c>
      <c r="F359" s="79"/>
      <c r="G359" s="82"/>
      <c r="H359" s="68" t="str">
        <f t="shared" si="176"/>
        <v>Lacine13_20191123_16_00</v>
      </c>
      <c r="I359" s="69">
        <f t="shared" si="179"/>
        <v>1</v>
      </c>
      <c r="J359" s="76" t="str">
        <f t="shared" si="179"/>
        <v>Lactuca</v>
      </c>
      <c r="K359" s="76" t="str">
        <f t="shared" si="179"/>
        <v>inermis</v>
      </c>
      <c r="L359" s="77">
        <f t="shared" si="179"/>
        <v>13</v>
      </c>
      <c r="M359" s="77">
        <f t="shared" si="179"/>
        <v>2</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2019</v>
      </c>
      <c r="B360" s="72" t="str">
        <f t="shared" si="157"/>
        <v>Nov</v>
      </c>
      <c r="C360" s="73">
        <f t="shared" si="175"/>
        <v>23</v>
      </c>
      <c r="D360" s="74">
        <f t="shared" si="158"/>
        <v>16</v>
      </c>
      <c r="E360" s="75">
        <f t="shared" si="159"/>
        <v>17</v>
      </c>
      <c r="F360" s="79"/>
      <c r="G360" s="82"/>
      <c r="H360" s="68" t="str">
        <f t="shared" si="176"/>
        <v>Lacine13_20191123_16_00</v>
      </c>
      <c r="I360" s="69">
        <f t="shared" si="179"/>
        <v>1</v>
      </c>
      <c r="J360" s="76" t="str">
        <f t="shared" si="179"/>
        <v>Lactuca</v>
      </c>
      <c r="K360" s="76" t="str">
        <f t="shared" si="179"/>
        <v>inermis</v>
      </c>
      <c r="L360" s="77">
        <f t="shared" si="179"/>
        <v>13</v>
      </c>
      <c r="M360" s="77">
        <f t="shared" si="179"/>
        <v>2</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2019</v>
      </c>
      <c r="B361" s="72" t="str">
        <f t="shared" si="157"/>
        <v>Nov</v>
      </c>
      <c r="C361" s="73">
        <f t="shared" si="175"/>
        <v>23</v>
      </c>
      <c r="D361" s="74">
        <f t="shared" si="158"/>
        <v>16</v>
      </c>
      <c r="E361" s="75">
        <f t="shared" si="159"/>
        <v>18</v>
      </c>
      <c r="F361" s="79"/>
      <c r="G361" s="82"/>
      <c r="H361" s="68" t="str">
        <f t="shared" si="176"/>
        <v>Lacine13_20191123_16_00</v>
      </c>
      <c r="I361" s="69">
        <f t="shared" si="179"/>
        <v>1</v>
      </c>
      <c r="J361" s="76" t="str">
        <f t="shared" si="179"/>
        <v>Lactuca</v>
      </c>
      <c r="K361" s="76" t="str">
        <f t="shared" si="179"/>
        <v>inermis</v>
      </c>
      <c r="L361" s="77">
        <f t="shared" si="179"/>
        <v>13</v>
      </c>
      <c r="M361" s="77">
        <f t="shared" si="179"/>
        <v>2</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2019</v>
      </c>
      <c r="B362" s="72" t="str">
        <f t="shared" si="157"/>
        <v>Nov</v>
      </c>
      <c r="C362" s="73">
        <f t="shared" si="175"/>
        <v>23</v>
      </c>
      <c r="D362" s="74">
        <f t="shared" si="158"/>
        <v>16</v>
      </c>
      <c r="E362" s="75">
        <f t="shared" si="159"/>
        <v>19</v>
      </c>
      <c r="F362" s="79"/>
      <c r="G362" s="82"/>
      <c r="H362" s="68" t="str">
        <f t="shared" si="176"/>
        <v>Lacine13_20191123_16_00</v>
      </c>
      <c r="I362" s="69">
        <f t="shared" si="179"/>
        <v>1</v>
      </c>
      <c r="J362" s="76" t="str">
        <f t="shared" si="179"/>
        <v>Lactuca</v>
      </c>
      <c r="K362" s="76" t="str">
        <f t="shared" si="179"/>
        <v>inermis</v>
      </c>
      <c r="L362" s="77">
        <f t="shared" si="179"/>
        <v>13</v>
      </c>
      <c r="M362" s="77">
        <f t="shared" si="179"/>
        <v>2</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2019</v>
      </c>
      <c r="B363" s="72" t="str">
        <f t="shared" si="157"/>
        <v>Nov</v>
      </c>
      <c r="C363" s="73">
        <f t="shared" si="175"/>
        <v>23</v>
      </c>
      <c r="D363" s="74">
        <f t="shared" si="158"/>
        <v>16</v>
      </c>
      <c r="E363" s="75">
        <f t="shared" si="159"/>
        <v>20</v>
      </c>
      <c r="F363" s="79"/>
      <c r="G363" s="82"/>
      <c r="H363" s="68" t="str">
        <f t="shared" si="176"/>
        <v>Lacine13_20191123_16_00</v>
      </c>
      <c r="I363" s="69">
        <f t="shared" si="179"/>
        <v>1</v>
      </c>
      <c r="J363" s="76" t="str">
        <f t="shared" si="179"/>
        <v>Lactuca</v>
      </c>
      <c r="K363" s="76" t="str">
        <f t="shared" si="179"/>
        <v>inermis</v>
      </c>
      <c r="L363" s="77">
        <f t="shared" si="179"/>
        <v>13</v>
      </c>
      <c r="M363" s="77">
        <f t="shared" si="179"/>
        <v>2</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2019</v>
      </c>
      <c r="B364" s="72" t="str">
        <f t="shared" si="157"/>
        <v>Nov</v>
      </c>
      <c r="C364" s="73">
        <f t="shared" si="175"/>
        <v>23</v>
      </c>
      <c r="D364" s="74">
        <f t="shared" si="158"/>
        <v>16</v>
      </c>
      <c r="E364" s="75">
        <f t="shared" si="159"/>
        <v>21</v>
      </c>
      <c r="F364" s="79"/>
      <c r="G364" s="82"/>
      <c r="H364" s="68" t="str">
        <f t="shared" si="176"/>
        <v>Lacine13_20191123_16_00</v>
      </c>
      <c r="I364" s="69">
        <f t="shared" si="179"/>
        <v>1</v>
      </c>
      <c r="J364" s="76" t="str">
        <f t="shared" si="179"/>
        <v>Lactuca</v>
      </c>
      <c r="K364" s="76" t="str">
        <f t="shared" si="179"/>
        <v>inermis</v>
      </c>
      <c r="L364" s="77">
        <f t="shared" si="179"/>
        <v>13</v>
      </c>
      <c r="M364" s="77">
        <f t="shared" si="179"/>
        <v>2</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x14ac:dyDescent="0.35">
      <c r="A365" s="72">
        <f t="shared" si="156"/>
        <v>2019</v>
      </c>
      <c r="B365" s="72" t="str">
        <f t="shared" si="157"/>
        <v>Nov</v>
      </c>
      <c r="C365" s="73">
        <f t="shared" si="175"/>
        <v>23</v>
      </c>
      <c r="D365" s="74">
        <f t="shared" si="158"/>
        <v>16</v>
      </c>
      <c r="E365" s="75">
        <f t="shared" si="159"/>
        <v>22</v>
      </c>
      <c r="F365" s="79">
        <v>2</v>
      </c>
      <c r="G365" s="82"/>
      <c r="H365" s="68" t="str">
        <f t="shared" si="176"/>
        <v>Lacine13_20191123_16_00</v>
      </c>
      <c r="I365" s="69">
        <f t="shared" si="179"/>
        <v>1</v>
      </c>
      <c r="J365" s="76" t="str">
        <f t="shared" si="179"/>
        <v>Lactuca</v>
      </c>
      <c r="K365" s="76" t="str">
        <f t="shared" si="179"/>
        <v>inermis</v>
      </c>
      <c r="L365" s="77">
        <f t="shared" si="179"/>
        <v>13</v>
      </c>
      <c r="M365" s="77">
        <f t="shared" si="179"/>
        <v>2</v>
      </c>
      <c r="N365" s="71">
        <f t="shared" si="179"/>
        <v>0</v>
      </c>
      <c r="O365" s="44"/>
      <c r="P365" s="45">
        <f t="shared" si="160"/>
        <v>1</v>
      </c>
      <c r="Q365" s="46" t="str">
        <f t="shared" si="161"/>
        <v>16:22:02</v>
      </c>
      <c r="R365" s="47" t="str">
        <f t="shared" si="162"/>
        <v>22:02</v>
      </c>
      <c r="S365" s="48">
        <f t="shared" si="151"/>
        <v>6</v>
      </c>
      <c r="T365" s="47" t="str">
        <f t="shared" si="163"/>
        <v>16</v>
      </c>
      <c r="U365" s="49">
        <v>22</v>
      </c>
      <c r="V365" s="50">
        <v>8</v>
      </c>
      <c r="W365" s="51" t="str">
        <f t="shared" si="164"/>
        <v>22:08</v>
      </c>
      <c r="X365" s="52" t="s">
        <v>59</v>
      </c>
      <c r="Y365" s="124" t="s">
        <v>87</v>
      </c>
      <c r="Z365" s="124"/>
      <c r="AA365" s="47" t="s">
        <v>82</v>
      </c>
      <c r="AB365" s="47" t="str">
        <f t="shared" si="165"/>
        <v>NA</v>
      </c>
      <c r="AC365" s="53">
        <f t="shared" si="166"/>
        <v>0</v>
      </c>
      <c r="AD365" s="54">
        <f t="shared" si="167"/>
        <v>1</v>
      </c>
      <c r="AE365" s="54"/>
      <c r="AF365" s="54"/>
      <c r="AG365" s="55" t="str">
        <f t="shared" si="168"/>
        <v/>
      </c>
      <c r="AH365" s="56" t="str">
        <f t="shared" si="169"/>
        <v/>
      </c>
      <c r="AI365" s="55"/>
      <c r="AJ365" s="56" t="str">
        <f t="shared" si="170"/>
        <v/>
      </c>
      <c r="AK365" s="55"/>
      <c r="AL365" s="56" t="str">
        <f t="shared" si="171"/>
        <v/>
      </c>
      <c r="AM365" s="55">
        <v>1</v>
      </c>
      <c r="AN365" s="56">
        <f t="shared" si="172"/>
        <v>6</v>
      </c>
      <c r="AO365" s="55"/>
      <c r="AP365" s="56" t="str">
        <f t="shared" si="173"/>
        <v/>
      </c>
      <c r="AQ365" s="55"/>
      <c r="AR365" s="56" t="str">
        <f t="shared" si="174"/>
        <v/>
      </c>
      <c r="AS365" s="57"/>
      <c r="AT365" s="58"/>
      <c r="AU365" s="58"/>
      <c r="AV365" s="59"/>
      <c r="AW365" s="60">
        <v>1</v>
      </c>
      <c r="AX365" s="61">
        <f t="shared" si="153"/>
        <v>1</v>
      </c>
      <c r="AY365" s="60">
        <v>1</v>
      </c>
      <c r="AZ365" s="61">
        <f t="shared" si="155"/>
        <v>1</v>
      </c>
    </row>
    <row r="366" spans="1:52" s="3" customFormat="1" hidden="1" x14ac:dyDescent="0.35">
      <c r="A366" s="72">
        <f t="shared" si="156"/>
        <v>2019</v>
      </c>
      <c r="B366" s="72" t="str">
        <f t="shared" si="157"/>
        <v>Nov</v>
      </c>
      <c r="C366" s="73">
        <f t="shared" si="175"/>
        <v>23</v>
      </c>
      <c r="D366" s="74">
        <f t="shared" si="158"/>
        <v>16</v>
      </c>
      <c r="E366" s="75">
        <f t="shared" si="159"/>
        <v>23</v>
      </c>
      <c r="F366" s="79"/>
      <c r="G366" s="82"/>
      <c r="H366" s="68" t="str">
        <f t="shared" si="176"/>
        <v>Lacine13_20191123_16_00</v>
      </c>
      <c r="I366" s="69">
        <f t="shared" si="179"/>
        <v>1</v>
      </c>
      <c r="J366" s="76" t="str">
        <f t="shared" si="179"/>
        <v>Lactuca</v>
      </c>
      <c r="K366" s="76" t="str">
        <f t="shared" si="179"/>
        <v>inermis</v>
      </c>
      <c r="L366" s="77">
        <f t="shared" si="179"/>
        <v>13</v>
      </c>
      <c r="M366" s="77">
        <f t="shared" si="179"/>
        <v>2</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2019</v>
      </c>
      <c r="B367" s="72" t="str">
        <f t="shared" si="157"/>
        <v>Nov</v>
      </c>
      <c r="C367" s="73">
        <f t="shared" si="175"/>
        <v>23</v>
      </c>
      <c r="D367" s="74">
        <f t="shared" si="158"/>
        <v>16</v>
      </c>
      <c r="E367" s="75">
        <f t="shared" si="159"/>
        <v>24</v>
      </c>
      <c r="F367" s="79"/>
      <c r="G367" s="82"/>
      <c r="H367" s="68" t="str">
        <f t="shared" si="176"/>
        <v>Lacine13_20191123_16_00</v>
      </c>
      <c r="I367" s="69">
        <f t="shared" si="179"/>
        <v>1</v>
      </c>
      <c r="J367" s="76" t="str">
        <f t="shared" si="179"/>
        <v>Lactuca</v>
      </c>
      <c r="K367" s="76" t="str">
        <f t="shared" si="179"/>
        <v>inermis</v>
      </c>
      <c r="L367" s="77">
        <f t="shared" si="179"/>
        <v>13</v>
      </c>
      <c r="M367" s="77">
        <f t="shared" si="179"/>
        <v>2</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2019</v>
      </c>
      <c r="B368" s="72" t="str">
        <f t="shared" si="157"/>
        <v>Nov</v>
      </c>
      <c r="C368" s="73">
        <f t="shared" si="175"/>
        <v>23</v>
      </c>
      <c r="D368" s="74">
        <f t="shared" si="158"/>
        <v>16</v>
      </c>
      <c r="E368" s="75">
        <f t="shared" si="159"/>
        <v>25</v>
      </c>
      <c r="F368" s="79"/>
      <c r="G368" s="82"/>
      <c r="H368" s="68" t="str">
        <f t="shared" si="176"/>
        <v>Lacine13_20191123_16_00</v>
      </c>
      <c r="I368" s="69">
        <f t="shared" si="179"/>
        <v>1</v>
      </c>
      <c r="J368" s="76" t="str">
        <f t="shared" si="179"/>
        <v>Lactuca</v>
      </c>
      <c r="K368" s="76" t="str">
        <f t="shared" si="179"/>
        <v>inermis</v>
      </c>
      <c r="L368" s="77">
        <f t="shared" si="179"/>
        <v>13</v>
      </c>
      <c r="M368" s="77">
        <f t="shared" si="179"/>
        <v>2</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2019</v>
      </c>
      <c r="B369" s="72" t="str">
        <f t="shared" si="157"/>
        <v>Nov</v>
      </c>
      <c r="C369" s="73">
        <f t="shared" si="175"/>
        <v>23</v>
      </c>
      <c r="D369" s="74">
        <f t="shared" si="158"/>
        <v>16</v>
      </c>
      <c r="E369" s="75">
        <f t="shared" si="159"/>
        <v>26</v>
      </c>
      <c r="F369" s="79"/>
      <c r="G369" s="82"/>
      <c r="H369" s="68" t="str">
        <f t="shared" si="176"/>
        <v>Lacine13_20191123_16_00</v>
      </c>
      <c r="I369" s="69">
        <f t="shared" si="179"/>
        <v>1</v>
      </c>
      <c r="J369" s="76" t="str">
        <f t="shared" si="179"/>
        <v>Lactuca</v>
      </c>
      <c r="K369" s="76" t="str">
        <f t="shared" si="179"/>
        <v>inermis</v>
      </c>
      <c r="L369" s="77">
        <f t="shared" si="179"/>
        <v>13</v>
      </c>
      <c r="M369" s="77">
        <f t="shared" si="179"/>
        <v>2</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2019</v>
      </c>
      <c r="B370" s="72" t="str">
        <f t="shared" si="157"/>
        <v>Nov</v>
      </c>
      <c r="C370" s="73">
        <f t="shared" si="175"/>
        <v>23</v>
      </c>
      <c r="D370" s="74">
        <f t="shared" si="158"/>
        <v>16</v>
      </c>
      <c r="E370" s="75">
        <f t="shared" si="159"/>
        <v>27</v>
      </c>
      <c r="F370" s="79"/>
      <c r="G370" s="82"/>
      <c r="H370" s="68" t="str">
        <f t="shared" si="176"/>
        <v>Lacine13_20191123_16_00</v>
      </c>
      <c r="I370" s="69">
        <f t="shared" si="179"/>
        <v>1</v>
      </c>
      <c r="J370" s="76" t="str">
        <f t="shared" si="179"/>
        <v>Lactuca</v>
      </c>
      <c r="K370" s="76" t="str">
        <f t="shared" si="179"/>
        <v>inermis</v>
      </c>
      <c r="L370" s="77">
        <f t="shared" si="179"/>
        <v>13</v>
      </c>
      <c r="M370" s="77">
        <f t="shared" si="179"/>
        <v>2</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2019</v>
      </c>
      <c r="B371" s="72" t="str">
        <f t="shared" si="157"/>
        <v>Nov</v>
      </c>
      <c r="C371" s="73">
        <f t="shared" si="175"/>
        <v>23</v>
      </c>
      <c r="D371" s="74">
        <f t="shared" si="158"/>
        <v>16</v>
      </c>
      <c r="E371" s="75">
        <f t="shared" si="159"/>
        <v>28</v>
      </c>
      <c r="F371" s="79"/>
      <c r="G371" s="82"/>
      <c r="H371" s="68" t="str">
        <f t="shared" si="176"/>
        <v>Lacine13_20191123_16_00</v>
      </c>
      <c r="I371" s="69">
        <f t="shared" si="179"/>
        <v>1</v>
      </c>
      <c r="J371" s="76" t="str">
        <f t="shared" si="179"/>
        <v>Lactuca</v>
      </c>
      <c r="K371" s="76" t="str">
        <f t="shared" si="179"/>
        <v>inermis</v>
      </c>
      <c r="L371" s="77">
        <f t="shared" si="179"/>
        <v>13</v>
      </c>
      <c r="M371" s="77">
        <f t="shared" si="179"/>
        <v>2</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2019</v>
      </c>
      <c r="B372" s="72" t="str">
        <f t="shared" si="157"/>
        <v>Nov</v>
      </c>
      <c r="C372" s="73">
        <f t="shared" si="175"/>
        <v>23</v>
      </c>
      <c r="D372" s="74">
        <f t="shared" si="158"/>
        <v>16</v>
      </c>
      <c r="E372" s="75">
        <f t="shared" si="159"/>
        <v>29</v>
      </c>
      <c r="F372" s="79"/>
      <c r="G372" s="82"/>
      <c r="H372" s="68" t="str">
        <f t="shared" si="176"/>
        <v>Lacine13_20191123_16_00</v>
      </c>
      <c r="I372" s="69">
        <f t="shared" si="179"/>
        <v>1</v>
      </c>
      <c r="J372" s="76" t="str">
        <f t="shared" si="179"/>
        <v>Lactuca</v>
      </c>
      <c r="K372" s="76" t="str">
        <f t="shared" si="179"/>
        <v>inermis</v>
      </c>
      <c r="L372" s="77">
        <f t="shared" si="179"/>
        <v>13</v>
      </c>
      <c r="M372" s="77">
        <f t="shared" si="179"/>
        <v>2</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2019</v>
      </c>
      <c r="B373" s="72" t="str">
        <f t="shared" si="157"/>
        <v>Nov</v>
      </c>
      <c r="C373" s="73">
        <f t="shared" si="175"/>
        <v>23</v>
      </c>
      <c r="D373" s="74">
        <f t="shared" si="158"/>
        <v>16</v>
      </c>
      <c r="E373" s="75">
        <f t="shared" si="159"/>
        <v>30</v>
      </c>
      <c r="F373" s="79"/>
      <c r="G373" s="82"/>
      <c r="H373" s="68" t="str">
        <f t="shared" si="176"/>
        <v>Lacine13_20191123_16_00</v>
      </c>
      <c r="I373" s="69">
        <f t="shared" ref="I373:N388" si="180">I372</f>
        <v>1</v>
      </c>
      <c r="J373" s="76" t="str">
        <f t="shared" si="180"/>
        <v>Lactuca</v>
      </c>
      <c r="K373" s="76" t="str">
        <f t="shared" si="180"/>
        <v>inermis</v>
      </c>
      <c r="L373" s="77">
        <f t="shared" si="180"/>
        <v>13</v>
      </c>
      <c r="M373" s="77">
        <f t="shared" si="180"/>
        <v>2</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2019</v>
      </c>
      <c r="B374" s="72" t="str">
        <f t="shared" si="157"/>
        <v>Nov</v>
      </c>
      <c r="C374" s="73">
        <f t="shared" si="175"/>
        <v>23</v>
      </c>
      <c r="D374" s="74">
        <f t="shared" si="158"/>
        <v>16</v>
      </c>
      <c r="E374" s="75">
        <f t="shared" si="159"/>
        <v>31</v>
      </c>
      <c r="F374" s="79"/>
      <c r="G374" s="82"/>
      <c r="H374" s="68" t="str">
        <f t="shared" si="176"/>
        <v>Lacine13_20191123_16_00</v>
      </c>
      <c r="I374" s="69">
        <f t="shared" si="180"/>
        <v>1</v>
      </c>
      <c r="J374" s="76" t="str">
        <f t="shared" si="180"/>
        <v>Lactuca</v>
      </c>
      <c r="K374" s="76" t="str">
        <f t="shared" si="180"/>
        <v>inermis</v>
      </c>
      <c r="L374" s="77">
        <f t="shared" si="180"/>
        <v>13</v>
      </c>
      <c r="M374" s="77">
        <f t="shared" si="180"/>
        <v>2</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2019</v>
      </c>
      <c r="B375" s="72" t="str">
        <f t="shared" si="157"/>
        <v>Nov</v>
      </c>
      <c r="C375" s="73">
        <f t="shared" si="175"/>
        <v>23</v>
      </c>
      <c r="D375" s="74">
        <f t="shared" si="158"/>
        <v>16</v>
      </c>
      <c r="E375" s="75">
        <f t="shared" si="159"/>
        <v>32</v>
      </c>
      <c r="F375" s="79"/>
      <c r="G375" s="82"/>
      <c r="H375" s="68" t="str">
        <f t="shared" si="176"/>
        <v>Lacine13_20191123_16_00</v>
      </c>
      <c r="I375" s="69">
        <f t="shared" si="180"/>
        <v>1</v>
      </c>
      <c r="J375" s="76" t="str">
        <f t="shared" si="180"/>
        <v>Lactuca</v>
      </c>
      <c r="K375" s="76" t="str">
        <f t="shared" si="180"/>
        <v>inermis</v>
      </c>
      <c r="L375" s="77">
        <f t="shared" si="180"/>
        <v>13</v>
      </c>
      <c r="M375" s="77">
        <f t="shared" si="180"/>
        <v>2</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2019</v>
      </c>
      <c r="B376" s="72" t="str">
        <f t="shared" si="157"/>
        <v>Nov</v>
      </c>
      <c r="C376" s="73">
        <f t="shared" si="175"/>
        <v>23</v>
      </c>
      <c r="D376" s="74">
        <f t="shared" si="158"/>
        <v>16</v>
      </c>
      <c r="E376" s="75">
        <f t="shared" si="159"/>
        <v>33</v>
      </c>
      <c r="F376" s="79"/>
      <c r="G376" s="82"/>
      <c r="H376" s="68" t="str">
        <f t="shared" si="176"/>
        <v>Lacine13_20191123_16_00</v>
      </c>
      <c r="I376" s="69">
        <f t="shared" si="180"/>
        <v>1</v>
      </c>
      <c r="J376" s="76" t="str">
        <f t="shared" si="180"/>
        <v>Lactuca</v>
      </c>
      <c r="K376" s="76" t="str">
        <f t="shared" si="180"/>
        <v>inermis</v>
      </c>
      <c r="L376" s="77">
        <f t="shared" si="180"/>
        <v>13</v>
      </c>
      <c r="M376" s="77">
        <f t="shared" si="180"/>
        <v>2</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2019</v>
      </c>
      <c r="B377" s="72" t="str">
        <f t="shared" si="157"/>
        <v>Nov</v>
      </c>
      <c r="C377" s="73">
        <f t="shared" si="175"/>
        <v>23</v>
      </c>
      <c r="D377" s="74">
        <f t="shared" si="158"/>
        <v>16</v>
      </c>
      <c r="E377" s="75">
        <f t="shared" si="159"/>
        <v>34</v>
      </c>
      <c r="F377" s="79"/>
      <c r="G377" s="82"/>
      <c r="H377" s="68" t="str">
        <f t="shared" si="176"/>
        <v>Lacine13_20191123_16_00</v>
      </c>
      <c r="I377" s="69">
        <f t="shared" si="180"/>
        <v>1</v>
      </c>
      <c r="J377" s="76" t="str">
        <f t="shared" si="180"/>
        <v>Lactuca</v>
      </c>
      <c r="K377" s="76" t="str">
        <f t="shared" si="180"/>
        <v>inermis</v>
      </c>
      <c r="L377" s="77">
        <f t="shared" si="180"/>
        <v>13</v>
      </c>
      <c r="M377" s="77">
        <f t="shared" si="180"/>
        <v>2</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2019</v>
      </c>
      <c r="B378" s="72" t="str">
        <f t="shared" si="157"/>
        <v>Nov</v>
      </c>
      <c r="C378" s="73">
        <f t="shared" si="175"/>
        <v>23</v>
      </c>
      <c r="D378" s="74">
        <f t="shared" si="158"/>
        <v>16</v>
      </c>
      <c r="E378" s="75">
        <f t="shared" si="159"/>
        <v>35</v>
      </c>
      <c r="F378" s="79"/>
      <c r="G378" s="82"/>
      <c r="H378" s="68" t="str">
        <f t="shared" si="176"/>
        <v>Lacine13_20191123_16_00</v>
      </c>
      <c r="I378" s="69">
        <f t="shared" si="180"/>
        <v>1</v>
      </c>
      <c r="J378" s="76" t="str">
        <f t="shared" si="180"/>
        <v>Lactuca</v>
      </c>
      <c r="K378" s="76" t="str">
        <f t="shared" si="180"/>
        <v>inermis</v>
      </c>
      <c r="L378" s="77">
        <f t="shared" si="180"/>
        <v>13</v>
      </c>
      <c r="M378" s="77">
        <f t="shared" si="180"/>
        <v>2</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2019</v>
      </c>
      <c r="B379" s="72" t="str">
        <f t="shared" si="157"/>
        <v>Nov</v>
      </c>
      <c r="C379" s="73">
        <f t="shared" si="175"/>
        <v>23</v>
      </c>
      <c r="D379" s="74">
        <f t="shared" si="158"/>
        <v>16</v>
      </c>
      <c r="E379" s="75">
        <f t="shared" si="159"/>
        <v>36</v>
      </c>
      <c r="F379" s="79"/>
      <c r="G379" s="82"/>
      <c r="H379" s="68" t="str">
        <f t="shared" si="176"/>
        <v>Lacine13_20191123_16_00</v>
      </c>
      <c r="I379" s="69">
        <f t="shared" si="180"/>
        <v>1</v>
      </c>
      <c r="J379" s="76" t="str">
        <f t="shared" si="180"/>
        <v>Lactuca</v>
      </c>
      <c r="K379" s="76" t="str">
        <f t="shared" si="180"/>
        <v>inermis</v>
      </c>
      <c r="L379" s="77">
        <f t="shared" si="180"/>
        <v>13</v>
      </c>
      <c r="M379" s="77">
        <f t="shared" si="180"/>
        <v>2</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2019</v>
      </c>
      <c r="B380" s="72" t="str">
        <f t="shared" si="157"/>
        <v>Nov</v>
      </c>
      <c r="C380" s="73">
        <f t="shared" si="175"/>
        <v>23</v>
      </c>
      <c r="D380" s="74">
        <f t="shared" si="158"/>
        <v>16</v>
      </c>
      <c r="E380" s="75">
        <f t="shared" si="159"/>
        <v>37</v>
      </c>
      <c r="F380" s="79"/>
      <c r="G380" s="82"/>
      <c r="H380" s="68" t="str">
        <f t="shared" si="176"/>
        <v>Lacine13_20191123_16_00</v>
      </c>
      <c r="I380" s="69">
        <f t="shared" si="180"/>
        <v>1</v>
      </c>
      <c r="J380" s="76" t="str">
        <f t="shared" si="180"/>
        <v>Lactuca</v>
      </c>
      <c r="K380" s="76" t="str">
        <f t="shared" si="180"/>
        <v>inermis</v>
      </c>
      <c r="L380" s="77">
        <f t="shared" si="180"/>
        <v>13</v>
      </c>
      <c r="M380" s="77">
        <f t="shared" si="180"/>
        <v>2</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2019</v>
      </c>
      <c r="B381" s="72" t="str">
        <f t="shared" si="157"/>
        <v>Nov</v>
      </c>
      <c r="C381" s="73">
        <f t="shared" si="175"/>
        <v>23</v>
      </c>
      <c r="D381" s="74">
        <f t="shared" si="158"/>
        <v>16</v>
      </c>
      <c r="E381" s="75">
        <f t="shared" si="159"/>
        <v>38</v>
      </c>
      <c r="F381" s="79"/>
      <c r="G381" s="82"/>
      <c r="H381" s="68" t="str">
        <f t="shared" si="176"/>
        <v>Lacine13_20191123_16_00</v>
      </c>
      <c r="I381" s="69">
        <f t="shared" si="180"/>
        <v>1</v>
      </c>
      <c r="J381" s="76" t="str">
        <f t="shared" si="180"/>
        <v>Lactuca</v>
      </c>
      <c r="K381" s="76" t="str">
        <f t="shared" si="180"/>
        <v>inermis</v>
      </c>
      <c r="L381" s="77">
        <f t="shared" si="180"/>
        <v>13</v>
      </c>
      <c r="M381" s="77">
        <f t="shared" si="180"/>
        <v>2</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2019</v>
      </c>
      <c r="B382" s="72" t="str">
        <f t="shared" si="157"/>
        <v>Nov</v>
      </c>
      <c r="C382" s="73">
        <f t="shared" si="175"/>
        <v>23</v>
      </c>
      <c r="D382" s="74">
        <f t="shared" si="158"/>
        <v>16</v>
      </c>
      <c r="E382" s="75">
        <f t="shared" si="159"/>
        <v>39</v>
      </c>
      <c r="F382" s="79"/>
      <c r="G382" s="82"/>
      <c r="H382" s="68" t="str">
        <f t="shared" si="176"/>
        <v>Lacine13_20191123_16_00</v>
      </c>
      <c r="I382" s="69">
        <f t="shared" si="180"/>
        <v>1</v>
      </c>
      <c r="J382" s="76" t="str">
        <f t="shared" si="180"/>
        <v>Lactuca</v>
      </c>
      <c r="K382" s="76" t="str">
        <f t="shared" si="180"/>
        <v>inermis</v>
      </c>
      <c r="L382" s="77">
        <f t="shared" si="180"/>
        <v>13</v>
      </c>
      <c r="M382" s="77">
        <f t="shared" si="180"/>
        <v>2</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2019</v>
      </c>
      <c r="B383" s="72" t="str">
        <f t="shared" si="157"/>
        <v>Nov</v>
      </c>
      <c r="C383" s="73">
        <f t="shared" si="175"/>
        <v>23</v>
      </c>
      <c r="D383" s="74">
        <f t="shared" si="158"/>
        <v>16</v>
      </c>
      <c r="E383" s="75">
        <f t="shared" si="159"/>
        <v>40</v>
      </c>
      <c r="F383" s="79"/>
      <c r="G383" s="82"/>
      <c r="H383" s="68" t="str">
        <f t="shared" si="176"/>
        <v>Lacine13_20191123_16_00</v>
      </c>
      <c r="I383" s="69">
        <f t="shared" si="180"/>
        <v>1</v>
      </c>
      <c r="J383" s="76" t="str">
        <f t="shared" si="180"/>
        <v>Lactuca</v>
      </c>
      <c r="K383" s="76" t="str">
        <f t="shared" si="180"/>
        <v>inermis</v>
      </c>
      <c r="L383" s="77">
        <f t="shared" si="180"/>
        <v>13</v>
      </c>
      <c r="M383" s="77">
        <f t="shared" si="180"/>
        <v>2</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2019</v>
      </c>
      <c r="B384" s="72" t="str">
        <f t="shared" si="157"/>
        <v>Nov</v>
      </c>
      <c r="C384" s="73">
        <f t="shared" si="175"/>
        <v>23</v>
      </c>
      <c r="D384" s="74">
        <f t="shared" si="158"/>
        <v>16</v>
      </c>
      <c r="E384" s="75">
        <f t="shared" si="159"/>
        <v>41</v>
      </c>
      <c r="F384" s="79"/>
      <c r="G384" s="82"/>
      <c r="H384" s="68" t="str">
        <f t="shared" si="176"/>
        <v>Lacine13_20191123_16_00</v>
      </c>
      <c r="I384" s="69">
        <f t="shared" si="180"/>
        <v>1</v>
      </c>
      <c r="J384" s="76" t="str">
        <f t="shared" si="180"/>
        <v>Lactuca</v>
      </c>
      <c r="K384" s="76" t="str">
        <f t="shared" si="180"/>
        <v>inermis</v>
      </c>
      <c r="L384" s="77">
        <f t="shared" si="180"/>
        <v>13</v>
      </c>
      <c r="M384" s="77">
        <f t="shared" si="180"/>
        <v>2</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2019</v>
      </c>
      <c r="B385" s="72" t="str">
        <f t="shared" si="157"/>
        <v>Nov</v>
      </c>
      <c r="C385" s="73">
        <f t="shared" si="175"/>
        <v>23</v>
      </c>
      <c r="D385" s="74">
        <f t="shared" si="158"/>
        <v>16</v>
      </c>
      <c r="E385" s="75">
        <f t="shared" si="159"/>
        <v>42</v>
      </c>
      <c r="F385" s="79"/>
      <c r="G385" s="82"/>
      <c r="H385" s="68" t="str">
        <f t="shared" si="176"/>
        <v>Lacine13_20191123_16_00</v>
      </c>
      <c r="I385" s="69">
        <f t="shared" si="180"/>
        <v>1</v>
      </c>
      <c r="J385" s="76" t="str">
        <f t="shared" si="180"/>
        <v>Lactuca</v>
      </c>
      <c r="K385" s="76" t="str">
        <f t="shared" si="180"/>
        <v>inermis</v>
      </c>
      <c r="L385" s="77">
        <f t="shared" si="180"/>
        <v>13</v>
      </c>
      <c r="M385" s="77">
        <f t="shared" si="180"/>
        <v>2</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2019</v>
      </c>
      <c r="B386" s="72" t="str">
        <f t="shared" si="157"/>
        <v>Nov</v>
      </c>
      <c r="C386" s="73">
        <f t="shared" si="175"/>
        <v>23</v>
      </c>
      <c r="D386" s="74">
        <f t="shared" si="158"/>
        <v>16</v>
      </c>
      <c r="E386" s="75">
        <f t="shared" si="159"/>
        <v>43</v>
      </c>
      <c r="F386" s="79"/>
      <c r="G386" s="82"/>
      <c r="H386" s="68" t="str">
        <f t="shared" si="176"/>
        <v>Lacine13_20191123_16_00</v>
      </c>
      <c r="I386" s="69">
        <f t="shared" si="180"/>
        <v>1</v>
      </c>
      <c r="J386" s="76" t="str">
        <f t="shared" si="180"/>
        <v>Lactuca</v>
      </c>
      <c r="K386" s="76" t="str">
        <f t="shared" si="180"/>
        <v>inermis</v>
      </c>
      <c r="L386" s="77">
        <f t="shared" si="180"/>
        <v>13</v>
      </c>
      <c r="M386" s="77">
        <f t="shared" si="180"/>
        <v>2</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2019</v>
      </c>
      <c r="B387" s="72" t="str">
        <f t="shared" si="157"/>
        <v>Nov</v>
      </c>
      <c r="C387" s="73">
        <f t="shared" si="175"/>
        <v>23</v>
      </c>
      <c r="D387" s="74">
        <f t="shared" si="158"/>
        <v>16</v>
      </c>
      <c r="E387" s="75">
        <f t="shared" si="159"/>
        <v>44</v>
      </c>
      <c r="F387" s="79"/>
      <c r="G387" s="82"/>
      <c r="H387" s="68" t="str">
        <f t="shared" si="176"/>
        <v>Lacine13_20191123_16_00</v>
      </c>
      <c r="I387" s="69">
        <f t="shared" si="180"/>
        <v>1</v>
      </c>
      <c r="J387" s="76" t="str">
        <f t="shared" si="180"/>
        <v>Lactuca</v>
      </c>
      <c r="K387" s="76" t="str">
        <f t="shared" si="180"/>
        <v>inermis</v>
      </c>
      <c r="L387" s="77">
        <f t="shared" si="180"/>
        <v>13</v>
      </c>
      <c r="M387" s="77">
        <f t="shared" si="180"/>
        <v>2</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2019</v>
      </c>
      <c r="B388" s="72" t="str">
        <f t="shared" ref="B388:B451" si="187">IF(C387-C388&gt;0, TEXT(DATE(2016,(MONTH(DATEVALUE(B387&amp;"1"))+1),1),"mmm"), B387)</f>
        <v>Nov</v>
      </c>
      <c r="C388" s="73">
        <f t="shared" si="175"/>
        <v>23</v>
      </c>
      <c r="D388" s="74">
        <f t="shared" ref="D388:D451" si="188">IF(IF(E387=59,D387+1,D387)=24,0,IF(E387=59,D387+1,D387))</f>
        <v>16</v>
      </c>
      <c r="E388" s="75">
        <f t="shared" ref="E388:E451" si="189">IF(E387&lt;59,E387+1,0)</f>
        <v>45</v>
      </c>
      <c r="F388" s="79"/>
      <c r="G388" s="82"/>
      <c r="H388" s="68" t="str">
        <f t="shared" si="176"/>
        <v>Lacine13_20191123_16_00</v>
      </c>
      <c r="I388" s="69">
        <f t="shared" si="180"/>
        <v>1</v>
      </c>
      <c r="J388" s="76" t="str">
        <f t="shared" si="180"/>
        <v>Lactuca</v>
      </c>
      <c r="K388" s="76" t="str">
        <f t="shared" si="180"/>
        <v>inermis</v>
      </c>
      <c r="L388" s="77">
        <f t="shared" si="180"/>
        <v>13</v>
      </c>
      <c r="M388" s="77">
        <f t="shared" si="180"/>
        <v>2</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2019</v>
      </c>
      <c r="B389" s="72" t="str">
        <f t="shared" si="187"/>
        <v>Nov</v>
      </c>
      <c r="C389" s="73">
        <f t="shared" ref="C389:C452" si="205">IF(AND(D389=0, E389=0), IF(TEXT(C388,"dd")=TEXT(EOMONTH(DATE(A388,MONTH(DATEVALUE(B388&amp;"1")),C388),0), "dd"), 1, C388+1), C388)</f>
        <v>23</v>
      </c>
      <c r="D389" s="74">
        <f t="shared" si="188"/>
        <v>16</v>
      </c>
      <c r="E389" s="75">
        <f t="shared" si="189"/>
        <v>46</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Lacine13_20191123_16_00</v>
      </c>
      <c r="I389" s="69">
        <f t="shared" ref="I389:N404" si="207">I388</f>
        <v>1</v>
      </c>
      <c r="J389" s="76" t="str">
        <f t="shared" si="207"/>
        <v>Lactuca</v>
      </c>
      <c r="K389" s="76" t="str">
        <f t="shared" si="207"/>
        <v>inermis</v>
      </c>
      <c r="L389" s="77">
        <f t="shared" si="207"/>
        <v>13</v>
      </c>
      <c r="M389" s="77">
        <f t="shared" si="207"/>
        <v>2</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2019</v>
      </c>
      <c r="B390" s="72" t="str">
        <f t="shared" si="187"/>
        <v>Nov</v>
      </c>
      <c r="C390" s="73">
        <f t="shared" si="205"/>
        <v>23</v>
      </c>
      <c r="D390" s="74">
        <f t="shared" si="188"/>
        <v>16</v>
      </c>
      <c r="E390" s="75">
        <f t="shared" si="189"/>
        <v>47</v>
      </c>
      <c r="F390" s="79"/>
      <c r="G390" s="82"/>
      <c r="H390" s="68" t="str">
        <f t="shared" si="206"/>
        <v>Lacine13_20191123_16_00</v>
      </c>
      <c r="I390" s="69">
        <f t="shared" si="207"/>
        <v>1</v>
      </c>
      <c r="J390" s="76" t="str">
        <f t="shared" si="207"/>
        <v>Lactuca</v>
      </c>
      <c r="K390" s="76" t="str">
        <f t="shared" si="207"/>
        <v>inermis</v>
      </c>
      <c r="L390" s="77">
        <f t="shared" si="207"/>
        <v>13</v>
      </c>
      <c r="M390" s="77">
        <f t="shared" si="207"/>
        <v>2</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2019</v>
      </c>
      <c r="B391" s="72" t="str">
        <f t="shared" si="187"/>
        <v>Nov</v>
      </c>
      <c r="C391" s="73">
        <f t="shared" si="205"/>
        <v>23</v>
      </c>
      <c r="D391" s="74">
        <f t="shared" si="188"/>
        <v>16</v>
      </c>
      <c r="E391" s="75">
        <f t="shared" si="189"/>
        <v>48</v>
      </c>
      <c r="F391" s="79"/>
      <c r="G391" s="82"/>
      <c r="H391" s="68" t="str">
        <f t="shared" si="206"/>
        <v>Lacine13_20191123_16_00</v>
      </c>
      <c r="I391" s="69">
        <f t="shared" si="207"/>
        <v>1</v>
      </c>
      <c r="J391" s="76" t="str">
        <f t="shared" si="207"/>
        <v>Lactuca</v>
      </c>
      <c r="K391" s="76" t="str">
        <f t="shared" si="207"/>
        <v>inermis</v>
      </c>
      <c r="L391" s="77">
        <f t="shared" si="207"/>
        <v>13</v>
      </c>
      <c r="M391" s="77">
        <f t="shared" si="207"/>
        <v>2</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2019</v>
      </c>
      <c r="B392" s="72" t="str">
        <f t="shared" si="187"/>
        <v>Nov</v>
      </c>
      <c r="C392" s="73">
        <f t="shared" si="205"/>
        <v>23</v>
      </c>
      <c r="D392" s="74">
        <f t="shared" si="188"/>
        <v>16</v>
      </c>
      <c r="E392" s="75">
        <f t="shared" si="189"/>
        <v>49</v>
      </c>
      <c r="F392" s="79"/>
      <c r="G392" s="82"/>
      <c r="H392" s="68" t="str">
        <f t="shared" si="206"/>
        <v>Lacine13_20191123_16_00</v>
      </c>
      <c r="I392" s="69">
        <f t="shared" si="207"/>
        <v>1</v>
      </c>
      <c r="J392" s="76" t="str">
        <f t="shared" si="207"/>
        <v>Lactuca</v>
      </c>
      <c r="K392" s="76" t="str">
        <f t="shared" si="207"/>
        <v>inermis</v>
      </c>
      <c r="L392" s="77">
        <f t="shared" si="207"/>
        <v>13</v>
      </c>
      <c r="M392" s="77">
        <f t="shared" si="207"/>
        <v>2</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2019</v>
      </c>
      <c r="B393" s="72" t="str">
        <f t="shared" si="187"/>
        <v>Nov</v>
      </c>
      <c r="C393" s="73">
        <f t="shared" si="205"/>
        <v>23</v>
      </c>
      <c r="D393" s="74">
        <f t="shared" si="188"/>
        <v>16</v>
      </c>
      <c r="E393" s="75">
        <f t="shared" si="189"/>
        <v>50</v>
      </c>
      <c r="F393" s="79"/>
      <c r="G393" s="82"/>
      <c r="H393" s="68" t="str">
        <f t="shared" si="206"/>
        <v>Lacine13_20191123_16_00</v>
      </c>
      <c r="I393" s="69">
        <f t="shared" si="207"/>
        <v>1</v>
      </c>
      <c r="J393" s="76" t="str">
        <f t="shared" si="207"/>
        <v>Lactuca</v>
      </c>
      <c r="K393" s="76" t="str">
        <f t="shared" si="207"/>
        <v>inermis</v>
      </c>
      <c r="L393" s="77">
        <f t="shared" si="207"/>
        <v>13</v>
      </c>
      <c r="M393" s="77">
        <f t="shared" si="207"/>
        <v>2</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2019</v>
      </c>
      <c r="B394" s="72" t="str">
        <f t="shared" si="187"/>
        <v>Nov</v>
      </c>
      <c r="C394" s="73">
        <f t="shared" si="205"/>
        <v>23</v>
      </c>
      <c r="D394" s="74">
        <f t="shared" si="188"/>
        <v>16</v>
      </c>
      <c r="E394" s="75">
        <f t="shared" si="189"/>
        <v>51</v>
      </c>
      <c r="F394" s="79"/>
      <c r="G394" s="82"/>
      <c r="H394" s="68" t="str">
        <f t="shared" si="206"/>
        <v>Lacine13_20191123_16_00</v>
      </c>
      <c r="I394" s="69">
        <f t="shared" si="207"/>
        <v>1</v>
      </c>
      <c r="J394" s="76" t="str">
        <f t="shared" si="207"/>
        <v>Lactuca</v>
      </c>
      <c r="K394" s="76" t="str">
        <f t="shared" si="207"/>
        <v>inermis</v>
      </c>
      <c r="L394" s="77">
        <f t="shared" si="207"/>
        <v>13</v>
      </c>
      <c r="M394" s="77">
        <f t="shared" si="207"/>
        <v>2</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2019</v>
      </c>
      <c r="B395" s="72" t="str">
        <f t="shared" si="187"/>
        <v>Nov</v>
      </c>
      <c r="C395" s="73">
        <f t="shared" si="205"/>
        <v>23</v>
      </c>
      <c r="D395" s="74">
        <f t="shared" si="188"/>
        <v>16</v>
      </c>
      <c r="E395" s="75">
        <f t="shared" si="189"/>
        <v>52</v>
      </c>
      <c r="F395" s="79"/>
      <c r="G395" s="82"/>
      <c r="H395" s="68" t="str">
        <f t="shared" si="206"/>
        <v>Lacine13_20191123_16_00</v>
      </c>
      <c r="I395" s="69">
        <f t="shared" si="207"/>
        <v>1</v>
      </c>
      <c r="J395" s="76" t="str">
        <f t="shared" si="207"/>
        <v>Lactuca</v>
      </c>
      <c r="K395" s="76" t="str">
        <f t="shared" si="207"/>
        <v>inermis</v>
      </c>
      <c r="L395" s="77">
        <f t="shared" si="207"/>
        <v>13</v>
      </c>
      <c r="M395" s="77">
        <f t="shared" si="207"/>
        <v>2</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2019</v>
      </c>
      <c r="B396" s="72" t="str">
        <f t="shared" si="187"/>
        <v>Nov</v>
      </c>
      <c r="C396" s="73">
        <f t="shared" si="205"/>
        <v>23</v>
      </c>
      <c r="D396" s="74">
        <f t="shared" si="188"/>
        <v>16</v>
      </c>
      <c r="E396" s="75">
        <f t="shared" si="189"/>
        <v>53</v>
      </c>
      <c r="F396" s="79"/>
      <c r="G396" s="82"/>
      <c r="H396" s="68" t="str">
        <f t="shared" si="206"/>
        <v>Lacine13_20191123_16_00</v>
      </c>
      <c r="I396" s="69">
        <f t="shared" si="207"/>
        <v>1</v>
      </c>
      <c r="J396" s="76" t="str">
        <f t="shared" si="207"/>
        <v>Lactuca</v>
      </c>
      <c r="K396" s="76" t="str">
        <f t="shared" si="207"/>
        <v>inermis</v>
      </c>
      <c r="L396" s="77">
        <f t="shared" si="207"/>
        <v>13</v>
      </c>
      <c r="M396" s="77">
        <f t="shared" si="207"/>
        <v>2</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2019</v>
      </c>
      <c r="B397" s="72" t="str">
        <f t="shared" si="187"/>
        <v>Nov</v>
      </c>
      <c r="C397" s="73">
        <f t="shared" si="205"/>
        <v>23</v>
      </c>
      <c r="D397" s="74">
        <f t="shared" si="188"/>
        <v>16</v>
      </c>
      <c r="E397" s="75">
        <f t="shared" si="189"/>
        <v>54</v>
      </c>
      <c r="F397" s="79"/>
      <c r="G397" s="82"/>
      <c r="H397" s="68" t="str">
        <f t="shared" si="206"/>
        <v>Lacine13_20191123_16_00</v>
      </c>
      <c r="I397" s="69">
        <f t="shared" si="207"/>
        <v>1</v>
      </c>
      <c r="J397" s="76" t="str">
        <f t="shared" si="207"/>
        <v>Lactuca</v>
      </c>
      <c r="K397" s="76" t="str">
        <f t="shared" si="207"/>
        <v>inermis</v>
      </c>
      <c r="L397" s="77">
        <f t="shared" si="207"/>
        <v>13</v>
      </c>
      <c r="M397" s="77">
        <f t="shared" si="207"/>
        <v>2</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2019</v>
      </c>
      <c r="B398" s="72" t="str">
        <f t="shared" si="187"/>
        <v>Nov</v>
      </c>
      <c r="C398" s="73">
        <f t="shared" si="205"/>
        <v>23</v>
      </c>
      <c r="D398" s="74">
        <f t="shared" si="188"/>
        <v>16</v>
      </c>
      <c r="E398" s="75">
        <f t="shared" si="189"/>
        <v>55</v>
      </c>
      <c r="F398" s="79"/>
      <c r="G398" s="82"/>
      <c r="H398" s="68" t="str">
        <f t="shared" si="206"/>
        <v>Lacine13_20191123_16_00</v>
      </c>
      <c r="I398" s="69">
        <f t="shared" si="207"/>
        <v>1</v>
      </c>
      <c r="J398" s="76" t="str">
        <f t="shared" si="207"/>
        <v>Lactuca</v>
      </c>
      <c r="K398" s="76" t="str">
        <f t="shared" si="207"/>
        <v>inermis</v>
      </c>
      <c r="L398" s="77">
        <f t="shared" si="207"/>
        <v>13</v>
      </c>
      <c r="M398" s="77">
        <f t="shared" si="207"/>
        <v>2</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2019</v>
      </c>
      <c r="B399" s="72" t="str">
        <f t="shared" si="187"/>
        <v>Nov</v>
      </c>
      <c r="C399" s="73">
        <f t="shared" si="205"/>
        <v>23</v>
      </c>
      <c r="D399" s="74">
        <f t="shared" si="188"/>
        <v>16</v>
      </c>
      <c r="E399" s="75">
        <f t="shared" si="189"/>
        <v>56</v>
      </c>
      <c r="F399" s="79"/>
      <c r="G399" s="82"/>
      <c r="H399" s="68" t="str">
        <f t="shared" si="206"/>
        <v>Lacine13_20191123_16_00</v>
      </c>
      <c r="I399" s="69">
        <f t="shared" si="207"/>
        <v>1</v>
      </c>
      <c r="J399" s="76" t="str">
        <f t="shared" si="207"/>
        <v>Lactuca</v>
      </c>
      <c r="K399" s="76" t="str">
        <f t="shared" si="207"/>
        <v>inermis</v>
      </c>
      <c r="L399" s="77">
        <f t="shared" si="207"/>
        <v>13</v>
      </c>
      <c r="M399" s="77">
        <f t="shared" si="207"/>
        <v>2</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2019</v>
      </c>
      <c r="B400" s="72" t="str">
        <f t="shared" si="187"/>
        <v>Nov</v>
      </c>
      <c r="C400" s="73">
        <f t="shared" si="205"/>
        <v>23</v>
      </c>
      <c r="D400" s="74">
        <f t="shared" si="188"/>
        <v>16</v>
      </c>
      <c r="E400" s="75">
        <f t="shared" si="189"/>
        <v>57</v>
      </c>
      <c r="F400" s="79"/>
      <c r="G400" s="82"/>
      <c r="H400" s="68" t="str">
        <f t="shared" si="206"/>
        <v>Lacine13_20191123_16_00</v>
      </c>
      <c r="I400" s="69">
        <f t="shared" si="207"/>
        <v>1</v>
      </c>
      <c r="J400" s="76" t="str">
        <f t="shared" si="207"/>
        <v>Lactuca</v>
      </c>
      <c r="K400" s="76" t="str">
        <f t="shared" si="207"/>
        <v>inermis</v>
      </c>
      <c r="L400" s="77">
        <f t="shared" si="207"/>
        <v>13</v>
      </c>
      <c r="M400" s="77">
        <f t="shared" si="207"/>
        <v>2</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2019</v>
      </c>
      <c r="B401" s="72" t="str">
        <f t="shared" si="187"/>
        <v>Nov</v>
      </c>
      <c r="C401" s="73">
        <f t="shared" si="205"/>
        <v>23</v>
      </c>
      <c r="D401" s="74">
        <f t="shared" si="188"/>
        <v>16</v>
      </c>
      <c r="E401" s="75">
        <f t="shared" si="189"/>
        <v>58</v>
      </c>
      <c r="F401" s="79"/>
      <c r="G401" s="82"/>
      <c r="H401" s="68" t="str">
        <f t="shared" si="206"/>
        <v>Lacine13_20191123_16_00</v>
      </c>
      <c r="I401" s="69">
        <f t="shared" si="207"/>
        <v>1</v>
      </c>
      <c r="J401" s="76" t="str">
        <f t="shared" si="207"/>
        <v>Lactuca</v>
      </c>
      <c r="K401" s="76" t="str">
        <f t="shared" si="207"/>
        <v>inermis</v>
      </c>
      <c r="L401" s="77">
        <f t="shared" si="207"/>
        <v>13</v>
      </c>
      <c r="M401" s="77">
        <f t="shared" si="207"/>
        <v>2</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2019</v>
      </c>
      <c r="B402" s="72" t="str">
        <f t="shared" si="187"/>
        <v>Nov</v>
      </c>
      <c r="C402" s="73">
        <f t="shared" si="205"/>
        <v>23</v>
      </c>
      <c r="D402" s="74">
        <f t="shared" si="188"/>
        <v>16</v>
      </c>
      <c r="E402" s="75">
        <f t="shared" si="189"/>
        <v>59</v>
      </c>
      <c r="F402" s="79"/>
      <c r="G402" s="82"/>
      <c r="H402" s="68" t="str">
        <f t="shared" si="206"/>
        <v>Lacine13_20191123_16_00</v>
      </c>
      <c r="I402" s="69">
        <f t="shared" si="207"/>
        <v>1</v>
      </c>
      <c r="J402" s="76" t="str">
        <f t="shared" si="207"/>
        <v>Lactuca</v>
      </c>
      <c r="K402" s="76" t="str">
        <f t="shared" si="207"/>
        <v>inermis</v>
      </c>
      <c r="L402" s="77">
        <f t="shared" si="207"/>
        <v>13</v>
      </c>
      <c r="M402" s="77">
        <f t="shared" si="207"/>
        <v>2</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2019</v>
      </c>
      <c r="B403" s="72" t="str">
        <f t="shared" si="187"/>
        <v>Nov</v>
      </c>
      <c r="C403" s="73">
        <f t="shared" si="205"/>
        <v>23</v>
      </c>
      <c r="D403" s="74">
        <f t="shared" si="188"/>
        <v>17</v>
      </c>
      <c r="E403" s="75">
        <f t="shared" si="189"/>
        <v>0</v>
      </c>
      <c r="F403" s="79"/>
      <c r="G403" s="82"/>
      <c r="H403" s="68" t="str">
        <f t="shared" si="206"/>
        <v>Lacine13_20191123_17_00</v>
      </c>
      <c r="I403" s="69">
        <f t="shared" si="207"/>
        <v>1</v>
      </c>
      <c r="J403" s="76" t="str">
        <f t="shared" si="207"/>
        <v>Lactuca</v>
      </c>
      <c r="K403" s="76" t="str">
        <f t="shared" si="207"/>
        <v>inermis</v>
      </c>
      <c r="L403" s="77">
        <f t="shared" si="207"/>
        <v>13</v>
      </c>
      <c r="M403" s="77">
        <f t="shared" si="207"/>
        <v>2</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2019</v>
      </c>
      <c r="B404" s="72" t="str">
        <f t="shared" si="187"/>
        <v>Nov</v>
      </c>
      <c r="C404" s="73">
        <f t="shared" si="205"/>
        <v>23</v>
      </c>
      <c r="D404" s="74">
        <f t="shared" si="188"/>
        <v>17</v>
      </c>
      <c r="E404" s="75">
        <f t="shared" si="189"/>
        <v>1</v>
      </c>
      <c r="F404" s="79"/>
      <c r="G404" s="82"/>
      <c r="H404" s="68" t="str">
        <f t="shared" si="206"/>
        <v>Lacine13_20191123_17_00</v>
      </c>
      <c r="I404" s="69">
        <f t="shared" si="207"/>
        <v>1</v>
      </c>
      <c r="J404" s="76" t="str">
        <f t="shared" si="207"/>
        <v>Lactuca</v>
      </c>
      <c r="K404" s="76" t="str">
        <f t="shared" si="207"/>
        <v>inermis</v>
      </c>
      <c r="L404" s="77">
        <f t="shared" si="207"/>
        <v>13</v>
      </c>
      <c r="M404" s="77">
        <f t="shared" si="207"/>
        <v>2</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2019</v>
      </c>
      <c r="B405" s="72" t="str">
        <f t="shared" si="187"/>
        <v>Nov</v>
      </c>
      <c r="C405" s="73">
        <f t="shared" si="205"/>
        <v>23</v>
      </c>
      <c r="D405" s="74">
        <f t="shared" si="188"/>
        <v>17</v>
      </c>
      <c r="E405" s="75">
        <f t="shared" si="189"/>
        <v>2</v>
      </c>
      <c r="F405" s="79"/>
      <c r="G405" s="82"/>
      <c r="H405" s="68" t="str">
        <f t="shared" si="206"/>
        <v>Lacine13_20191123_17_00</v>
      </c>
      <c r="I405" s="69">
        <f t="shared" ref="I405:N420" si="208">I404</f>
        <v>1</v>
      </c>
      <c r="J405" s="76" t="str">
        <f t="shared" si="208"/>
        <v>Lactuca</v>
      </c>
      <c r="K405" s="76" t="str">
        <f t="shared" si="208"/>
        <v>inermis</v>
      </c>
      <c r="L405" s="77">
        <f t="shared" si="208"/>
        <v>13</v>
      </c>
      <c r="M405" s="77">
        <f t="shared" si="208"/>
        <v>2</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2019</v>
      </c>
      <c r="B406" s="72" t="str">
        <f t="shared" si="187"/>
        <v>Nov</v>
      </c>
      <c r="C406" s="73">
        <f t="shared" si="205"/>
        <v>23</v>
      </c>
      <c r="D406" s="74">
        <f t="shared" si="188"/>
        <v>17</v>
      </c>
      <c r="E406" s="75">
        <f t="shared" si="189"/>
        <v>3</v>
      </c>
      <c r="F406" s="79"/>
      <c r="G406" s="82"/>
      <c r="H406" s="68" t="str">
        <f t="shared" si="206"/>
        <v>Lacine13_20191123_17_00</v>
      </c>
      <c r="I406" s="69">
        <f t="shared" si="208"/>
        <v>1</v>
      </c>
      <c r="J406" s="76" t="str">
        <f t="shared" si="208"/>
        <v>Lactuca</v>
      </c>
      <c r="K406" s="76" t="str">
        <f t="shared" si="208"/>
        <v>inermis</v>
      </c>
      <c r="L406" s="77">
        <f t="shared" si="208"/>
        <v>13</v>
      </c>
      <c r="M406" s="77">
        <f t="shared" si="208"/>
        <v>2</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2019</v>
      </c>
      <c r="B407" s="72" t="str">
        <f t="shared" si="187"/>
        <v>Nov</v>
      </c>
      <c r="C407" s="73">
        <f t="shared" si="205"/>
        <v>23</v>
      </c>
      <c r="D407" s="74">
        <f t="shared" si="188"/>
        <v>17</v>
      </c>
      <c r="E407" s="75">
        <f t="shared" si="189"/>
        <v>4</v>
      </c>
      <c r="F407" s="79"/>
      <c r="G407" s="82"/>
      <c r="H407" s="68" t="str">
        <f t="shared" si="206"/>
        <v>Lacine13_20191123_17_00</v>
      </c>
      <c r="I407" s="69">
        <f t="shared" si="208"/>
        <v>1</v>
      </c>
      <c r="J407" s="76" t="str">
        <f t="shared" si="208"/>
        <v>Lactuca</v>
      </c>
      <c r="K407" s="76" t="str">
        <f t="shared" si="208"/>
        <v>inermis</v>
      </c>
      <c r="L407" s="77">
        <f t="shared" si="208"/>
        <v>13</v>
      </c>
      <c r="M407" s="77">
        <f t="shared" si="208"/>
        <v>2</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2019</v>
      </c>
      <c r="B408" s="72" t="str">
        <f t="shared" si="187"/>
        <v>Nov</v>
      </c>
      <c r="C408" s="73">
        <f t="shared" si="205"/>
        <v>23</v>
      </c>
      <c r="D408" s="74">
        <f t="shared" si="188"/>
        <v>17</v>
      </c>
      <c r="E408" s="75">
        <f t="shared" si="189"/>
        <v>5</v>
      </c>
      <c r="F408" s="79"/>
      <c r="G408" s="82"/>
      <c r="H408" s="68" t="str">
        <f t="shared" si="206"/>
        <v>Lacine13_20191123_17_00</v>
      </c>
      <c r="I408" s="69">
        <f t="shared" si="208"/>
        <v>1</v>
      </c>
      <c r="J408" s="76" t="str">
        <f t="shared" si="208"/>
        <v>Lactuca</v>
      </c>
      <c r="K408" s="76" t="str">
        <f t="shared" si="208"/>
        <v>inermis</v>
      </c>
      <c r="L408" s="77">
        <f t="shared" si="208"/>
        <v>13</v>
      </c>
      <c r="M408" s="77">
        <f t="shared" si="208"/>
        <v>2</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2019</v>
      </c>
      <c r="B409" s="72" t="str">
        <f t="shared" si="187"/>
        <v>Nov</v>
      </c>
      <c r="C409" s="73">
        <f t="shared" si="205"/>
        <v>23</v>
      </c>
      <c r="D409" s="74">
        <f t="shared" si="188"/>
        <v>17</v>
      </c>
      <c r="E409" s="75">
        <f t="shared" si="189"/>
        <v>6</v>
      </c>
      <c r="F409" s="79"/>
      <c r="G409" s="82"/>
      <c r="H409" s="68" t="str">
        <f t="shared" si="206"/>
        <v>Lacine13_20191123_17_00</v>
      </c>
      <c r="I409" s="69">
        <f t="shared" si="208"/>
        <v>1</v>
      </c>
      <c r="J409" s="76" t="str">
        <f t="shared" si="208"/>
        <v>Lactuca</v>
      </c>
      <c r="K409" s="76" t="str">
        <f t="shared" si="208"/>
        <v>inermis</v>
      </c>
      <c r="L409" s="77">
        <f t="shared" si="208"/>
        <v>13</v>
      </c>
      <c r="M409" s="77">
        <f t="shared" si="208"/>
        <v>2</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2019</v>
      </c>
      <c r="B410" s="72" t="str">
        <f t="shared" si="187"/>
        <v>Nov</v>
      </c>
      <c r="C410" s="73">
        <f t="shared" si="205"/>
        <v>23</v>
      </c>
      <c r="D410" s="74">
        <f t="shared" si="188"/>
        <v>17</v>
      </c>
      <c r="E410" s="75">
        <f t="shared" si="189"/>
        <v>7</v>
      </c>
      <c r="F410" s="79"/>
      <c r="G410" s="82"/>
      <c r="H410" s="68" t="str">
        <f t="shared" si="206"/>
        <v>Lacine13_20191123_17_00</v>
      </c>
      <c r="I410" s="69">
        <f t="shared" si="208"/>
        <v>1</v>
      </c>
      <c r="J410" s="76" t="str">
        <f t="shared" si="208"/>
        <v>Lactuca</v>
      </c>
      <c r="K410" s="76" t="str">
        <f t="shared" si="208"/>
        <v>inermis</v>
      </c>
      <c r="L410" s="77">
        <f t="shared" si="208"/>
        <v>13</v>
      </c>
      <c r="M410" s="77">
        <f t="shared" si="208"/>
        <v>2</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2019</v>
      </c>
      <c r="B411" s="72" t="str">
        <f t="shared" si="187"/>
        <v>Nov</v>
      </c>
      <c r="C411" s="73">
        <f t="shared" si="205"/>
        <v>23</v>
      </c>
      <c r="D411" s="74">
        <f t="shared" si="188"/>
        <v>17</v>
      </c>
      <c r="E411" s="75">
        <f t="shared" si="189"/>
        <v>8</v>
      </c>
      <c r="F411" s="79"/>
      <c r="G411" s="82"/>
      <c r="H411" s="68" t="str">
        <f t="shared" si="206"/>
        <v>Lacine13_20191123_17_00</v>
      </c>
      <c r="I411" s="69">
        <f t="shared" si="208"/>
        <v>1</v>
      </c>
      <c r="J411" s="76" t="str">
        <f t="shared" si="208"/>
        <v>Lactuca</v>
      </c>
      <c r="K411" s="76" t="str">
        <f t="shared" si="208"/>
        <v>inermis</v>
      </c>
      <c r="L411" s="77">
        <f t="shared" si="208"/>
        <v>13</v>
      </c>
      <c r="M411" s="77">
        <f t="shared" si="208"/>
        <v>2</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2019</v>
      </c>
      <c r="B412" s="72" t="str">
        <f t="shared" si="187"/>
        <v>Nov</v>
      </c>
      <c r="C412" s="73">
        <f t="shared" si="205"/>
        <v>23</v>
      </c>
      <c r="D412" s="74">
        <f t="shared" si="188"/>
        <v>17</v>
      </c>
      <c r="E412" s="75">
        <f t="shared" si="189"/>
        <v>9</v>
      </c>
      <c r="F412" s="79"/>
      <c r="G412" s="82"/>
      <c r="H412" s="68" t="str">
        <f t="shared" si="206"/>
        <v>Lacine13_20191123_17_00</v>
      </c>
      <c r="I412" s="69">
        <f t="shared" si="208"/>
        <v>1</v>
      </c>
      <c r="J412" s="76" t="str">
        <f t="shared" si="208"/>
        <v>Lactuca</v>
      </c>
      <c r="K412" s="76" t="str">
        <f t="shared" si="208"/>
        <v>inermis</v>
      </c>
      <c r="L412" s="77">
        <f t="shared" si="208"/>
        <v>13</v>
      </c>
      <c r="M412" s="77">
        <f t="shared" si="208"/>
        <v>2</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2019</v>
      </c>
      <c r="B413" s="72" t="str">
        <f t="shared" si="187"/>
        <v>Nov</v>
      </c>
      <c r="C413" s="73">
        <f t="shared" si="205"/>
        <v>23</v>
      </c>
      <c r="D413" s="74">
        <f t="shared" si="188"/>
        <v>17</v>
      </c>
      <c r="E413" s="75">
        <f t="shared" si="189"/>
        <v>10</v>
      </c>
      <c r="F413" s="79"/>
      <c r="G413" s="82"/>
      <c r="H413" s="68" t="str">
        <f t="shared" si="206"/>
        <v>Lacine13_20191123_17_00</v>
      </c>
      <c r="I413" s="69">
        <f t="shared" si="208"/>
        <v>1</v>
      </c>
      <c r="J413" s="76" t="str">
        <f t="shared" si="208"/>
        <v>Lactuca</v>
      </c>
      <c r="K413" s="76" t="str">
        <f t="shared" si="208"/>
        <v>inermis</v>
      </c>
      <c r="L413" s="77">
        <f t="shared" si="208"/>
        <v>13</v>
      </c>
      <c r="M413" s="77">
        <f t="shared" si="208"/>
        <v>2</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2019</v>
      </c>
      <c r="B414" s="72" t="str">
        <f t="shared" si="187"/>
        <v>Nov</v>
      </c>
      <c r="C414" s="73">
        <f t="shared" si="205"/>
        <v>23</v>
      </c>
      <c r="D414" s="74">
        <f t="shared" si="188"/>
        <v>17</v>
      </c>
      <c r="E414" s="75">
        <f t="shared" si="189"/>
        <v>11</v>
      </c>
      <c r="F414" s="79"/>
      <c r="G414" s="82"/>
      <c r="H414" s="68" t="str">
        <f t="shared" si="206"/>
        <v>Lacine13_20191123_17_00</v>
      </c>
      <c r="I414" s="69">
        <f t="shared" si="208"/>
        <v>1</v>
      </c>
      <c r="J414" s="76" t="str">
        <f t="shared" si="208"/>
        <v>Lactuca</v>
      </c>
      <c r="K414" s="76" t="str">
        <f t="shared" si="208"/>
        <v>inermis</v>
      </c>
      <c r="L414" s="77">
        <f t="shared" si="208"/>
        <v>13</v>
      </c>
      <c r="M414" s="77">
        <f t="shared" si="208"/>
        <v>2</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2019</v>
      </c>
      <c r="B415" s="72" t="str">
        <f t="shared" si="187"/>
        <v>Nov</v>
      </c>
      <c r="C415" s="73">
        <f t="shared" si="205"/>
        <v>23</v>
      </c>
      <c r="D415" s="74">
        <f t="shared" si="188"/>
        <v>17</v>
      </c>
      <c r="E415" s="75">
        <f t="shared" si="189"/>
        <v>12</v>
      </c>
      <c r="F415" s="79"/>
      <c r="G415" s="82"/>
      <c r="H415" s="68" t="str">
        <f t="shared" si="206"/>
        <v>Lacine13_20191123_17_00</v>
      </c>
      <c r="I415" s="69">
        <f t="shared" si="208"/>
        <v>1</v>
      </c>
      <c r="J415" s="76" t="str">
        <f t="shared" si="208"/>
        <v>Lactuca</v>
      </c>
      <c r="K415" s="76" t="str">
        <f t="shared" si="208"/>
        <v>inermis</v>
      </c>
      <c r="L415" s="77">
        <f t="shared" si="208"/>
        <v>13</v>
      </c>
      <c r="M415" s="77">
        <f t="shared" si="208"/>
        <v>2</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2019</v>
      </c>
      <c r="B416" s="72" t="str">
        <f t="shared" si="187"/>
        <v>Nov</v>
      </c>
      <c r="C416" s="73">
        <f t="shared" si="205"/>
        <v>23</v>
      </c>
      <c r="D416" s="74">
        <f t="shared" si="188"/>
        <v>17</v>
      </c>
      <c r="E416" s="75">
        <f t="shared" si="189"/>
        <v>13</v>
      </c>
      <c r="F416" s="79"/>
      <c r="G416" s="82"/>
      <c r="H416" s="68" t="str">
        <f t="shared" si="206"/>
        <v>Lacine13_20191123_17_00</v>
      </c>
      <c r="I416" s="69">
        <f t="shared" si="208"/>
        <v>1</v>
      </c>
      <c r="J416" s="76" t="str">
        <f t="shared" si="208"/>
        <v>Lactuca</v>
      </c>
      <c r="K416" s="76" t="str">
        <f t="shared" si="208"/>
        <v>inermis</v>
      </c>
      <c r="L416" s="77">
        <f t="shared" si="208"/>
        <v>13</v>
      </c>
      <c r="M416" s="77">
        <f t="shared" si="208"/>
        <v>2</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2019</v>
      </c>
      <c r="B417" s="72" t="str">
        <f t="shared" si="187"/>
        <v>Nov</v>
      </c>
      <c r="C417" s="73">
        <f t="shared" si="205"/>
        <v>23</v>
      </c>
      <c r="D417" s="74">
        <f t="shared" si="188"/>
        <v>17</v>
      </c>
      <c r="E417" s="75">
        <f t="shared" si="189"/>
        <v>14</v>
      </c>
      <c r="F417" s="79"/>
      <c r="G417" s="82"/>
      <c r="H417" s="68" t="str">
        <f t="shared" si="206"/>
        <v>Lacine13_20191123_17_00</v>
      </c>
      <c r="I417" s="69">
        <f t="shared" si="208"/>
        <v>1</v>
      </c>
      <c r="J417" s="76" t="str">
        <f t="shared" si="208"/>
        <v>Lactuca</v>
      </c>
      <c r="K417" s="76" t="str">
        <f t="shared" si="208"/>
        <v>inermis</v>
      </c>
      <c r="L417" s="77">
        <f t="shared" si="208"/>
        <v>13</v>
      </c>
      <c r="M417" s="77">
        <f t="shared" si="208"/>
        <v>2</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2019</v>
      </c>
      <c r="B418" s="72" t="str">
        <f t="shared" si="187"/>
        <v>Nov</v>
      </c>
      <c r="C418" s="73">
        <f t="shared" si="205"/>
        <v>23</v>
      </c>
      <c r="D418" s="74">
        <f t="shared" si="188"/>
        <v>17</v>
      </c>
      <c r="E418" s="75">
        <f t="shared" si="189"/>
        <v>15</v>
      </c>
      <c r="F418" s="79"/>
      <c r="G418" s="82"/>
      <c r="H418" s="68" t="str">
        <f t="shared" si="206"/>
        <v>Lacine13_20191123_17_00</v>
      </c>
      <c r="I418" s="69">
        <f t="shared" si="208"/>
        <v>1</v>
      </c>
      <c r="J418" s="76" t="str">
        <f t="shared" si="208"/>
        <v>Lactuca</v>
      </c>
      <c r="K418" s="76" t="str">
        <f t="shared" si="208"/>
        <v>inermis</v>
      </c>
      <c r="L418" s="77">
        <f t="shared" si="208"/>
        <v>13</v>
      </c>
      <c r="M418" s="77">
        <f t="shared" si="208"/>
        <v>2</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2019</v>
      </c>
      <c r="B419" s="72" t="str">
        <f t="shared" si="187"/>
        <v>Nov</v>
      </c>
      <c r="C419" s="73">
        <f t="shared" si="205"/>
        <v>23</v>
      </c>
      <c r="D419" s="74">
        <f t="shared" si="188"/>
        <v>17</v>
      </c>
      <c r="E419" s="75">
        <f t="shared" si="189"/>
        <v>16</v>
      </c>
      <c r="F419" s="79"/>
      <c r="G419" s="82"/>
      <c r="H419" s="68" t="str">
        <f t="shared" si="206"/>
        <v>Lacine13_20191123_17_00</v>
      </c>
      <c r="I419" s="69">
        <f t="shared" si="208"/>
        <v>1</v>
      </c>
      <c r="J419" s="76" t="str">
        <f t="shared" si="208"/>
        <v>Lactuca</v>
      </c>
      <c r="K419" s="76" t="str">
        <f t="shared" si="208"/>
        <v>inermis</v>
      </c>
      <c r="L419" s="77">
        <f t="shared" si="208"/>
        <v>13</v>
      </c>
      <c r="M419" s="77">
        <f t="shared" si="208"/>
        <v>2</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2019</v>
      </c>
      <c r="B420" s="72" t="str">
        <f t="shared" si="187"/>
        <v>Nov</v>
      </c>
      <c r="C420" s="73">
        <f t="shared" si="205"/>
        <v>23</v>
      </c>
      <c r="D420" s="74">
        <f t="shared" si="188"/>
        <v>17</v>
      </c>
      <c r="E420" s="75">
        <f t="shared" si="189"/>
        <v>17</v>
      </c>
      <c r="F420" s="79"/>
      <c r="G420" s="82"/>
      <c r="H420" s="68" t="str">
        <f t="shared" si="206"/>
        <v>Lacine13_20191123_17_00</v>
      </c>
      <c r="I420" s="69">
        <f t="shared" si="208"/>
        <v>1</v>
      </c>
      <c r="J420" s="76" t="str">
        <f t="shared" si="208"/>
        <v>Lactuca</v>
      </c>
      <c r="K420" s="76" t="str">
        <f t="shared" si="208"/>
        <v>inermis</v>
      </c>
      <c r="L420" s="77">
        <f t="shared" si="208"/>
        <v>13</v>
      </c>
      <c r="M420" s="77">
        <f t="shared" si="208"/>
        <v>2</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2019</v>
      </c>
      <c r="B421" s="72" t="str">
        <f t="shared" si="187"/>
        <v>Nov</v>
      </c>
      <c r="C421" s="73">
        <f t="shared" si="205"/>
        <v>23</v>
      </c>
      <c r="D421" s="74">
        <f t="shared" si="188"/>
        <v>17</v>
      </c>
      <c r="E421" s="75">
        <f t="shared" si="189"/>
        <v>18</v>
      </c>
      <c r="F421" s="79"/>
      <c r="G421" s="82"/>
      <c r="H421" s="68" t="str">
        <f t="shared" si="206"/>
        <v>Lacine13_20191123_17_00</v>
      </c>
      <c r="I421" s="69">
        <f t="shared" ref="I421:N436" si="209">I420</f>
        <v>1</v>
      </c>
      <c r="J421" s="76" t="str">
        <f t="shared" si="209"/>
        <v>Lactuca</v>
      </c>
      <c r="K421" s="76" t="str">
        <f t="shared" si="209"/>
        <v>inermis</v>
      </c>
      <c r="L421" s="77">
        <f t="shared" si="209"/>
        <v>13</v>
      </c>
      <c r="M421" s="77">
        <f t="shared" si="209"/>
        <v>2</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2019</v>
      </c>
      <c r="B422" s="72" t="str">
        <f t="shared" si="187"/>
        <v>Nov</v>
      </c>
      <c r="C422" s="73">
        <f t="shared" si="205"/>
        <v>23</v>
      </c>
      <c r="D422" s="74">
        <f t="shared" si="188"/>
        <v>17</v>
      </c>
      <c r="E422" s="75">
        <f t="shared" si="189"/>
        <v>19</v>
      </c>
      <c r="F422" s="79"/>
      <c r="G422" s="82"/>
      <c r="H422" s="68" t="str">
        <f t="shared" si="206"/>
        <v>Lacine13_20191123_17_00</v>
      </c>
      <c r="I422" s="69">
        <f t="shared" si="209"/>
        <v>1</v>
      </c>
      <c r="J422" s="76" t="str">
        <f t="shared" si="209"/>
        <v>Lactuca</v>
      </c>
      <c r="K422" s="76" t="str">
        <f t="shared" si="209"/>
        <v>inermis</v>
      </c>
      <c r="L422" s="77">
        <f t="shared" si="209"/>
        <v>13</v>
      </c>
      <c r="M422" s="77">
        <f t="shared" si="209"/>
        <v>2</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2019</v>
      </c>
      <c r="B423" s="72" t="str">
        <f t="shared" si="187"/>
        <v>Nov</v>
      </c>
      <c r="C423" s="73">
        <f t="shared" si="205"/>
        <v>23</v>
      </c>
      <c r="D423" s="74">
        <f t="shared" si="188"/>
        <v>17</v>
      </c>
      <c r="E423" s="75">
        <f t="shared" si="189"/>
        <v>20</v>
      </c>
      <c r="F423" s="79"/>
      <c r="G423" s="82"/>
      <c r="H423" s="68" t="str">
        <f t="shared" si="206"/>
        <v>Lacine13_20191123_17_00</v>
      </c>
      <c r="I423" s="69">
        <f t="shared" si="209"/>
        <v>1</v>
      </c>
      <c r="J423" s="76" t="str">
        <f t="shared" si="209"/>
        <v>Lactuca</v>
      </c>
      <c r="K423" s="76" t="str">
        <f t="shared" si="209"/>
        <v>inermis</v>
      </c>
      <c r="L423" s="77">
        <f t="shared" si="209"/>
        <v>13</v>
      </c>
      <c r="M423" s="77">
        <f t="shared" si="209"/>
        <v>2</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2019</v>
      </c>
      <c r="B424" s="72" t="str">
        <f t="shared" si="187"/>
        <v>Nov</v>
      </c>
      <c r="C424" s="73">
        <f t="shared" si="205"/>
        <v>23</v>
      </c>
      <c r="D424" s="74">
        <f t="shared" si="188"/>
        <v>17</v>
      </c>
      <c r="E424" s="75">
        <f t="shared" si="189"/>
        <v>21</v>
      </c>
      <c r="F424" s="79"/>
      <c r="G424" s="82"/>
      <c r="H424" s="68" t="str">
        <f t="shared" si="206"/>
        <v>Lacine13_20191123_17_00</v>
      </c>
      <c r="I424" s="69">
        <f t="shared" si="209"/>
        <v>1</v>
      </c>
      <c r="J424" s="76" t="str">
        <f t="shared" si="209"/>
        <v>Lactuca</v>
      </c>
      <c r="K424" s="76" t="str">
        <f t="shared" si="209"/>
        <v>inermis</v>
      </c>
      <c r="L424" s="77">
        <f t="shared" si="209"/>
        <v>13</v>
      </c>
      <c r="M424" s="77">
        <f t="shared" si="209"/>
        <v>2</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2019</v>
      </c>
      <c r="B425" s="72" t="str">
        <f t="shared" si="187"/>
        <v>Nov</v>
      </c>
      <c r="C425" s="73">
        <f t="shared" si="205"/>
        <v>23</v>
      </c>
      <c r="D425" s="74">
        <f t="shared" si="188"/>
        <v>17</v>
      </c>
      <c r="E425" s="75">
        <f t="shared" si="189"/>
        <v>22</v>
      </c>
      <c r="F425" s="79"/>
      <c r="G425" s="82"/>
      <c r="H425" s="68" t="str">
        <f t="shared" si="206"/>
        <v>Lacine13_20191123_17_00</v>
      </c>
      <c r="I425" s="69">
        <f t="shared" si="209"/>
        <v>1</v>
      </c>
      <c r="J425" s="76" t="str">
        <f t="shared" si="209"/>
        <v>Lactuca</v>
      </c>
      <c r="K425" s="76" t="str">
        <f t="shared" si="209"/>
        <v>inermis</v>
      </c>
      <c r="L425" s="77">
        <f t="shared" si="209"/>
        <v>13</v>
      </c>
      <c r="M425" s="77">
        <f t="shared" si="209"/>
        <v>2</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2019</v>
      </c>
      <c r="B426" s="72" t="str">
        <f t="shared" si="187"/>
        <v>Nov</v>
      </c>
      <c r="C426" s="73">
        <f t="shared" si="205"/>
        <v>23</v>
      </c>
      <c r="D426" s="74">
        <f t="shared" si="188"/>
        <v>17</v>
      </c>
      <c r="E426" s="75">
        <f t="shared" si="189"/>
        <v>23</v>
      </c>
      <c r="F426" s="79"/>
      <c r="G426" s="82"/>
      <c r="H426" s="68" t="str">
        <f t="shared" si="206"/>
        <v>Lacine13_20191123_17_00</v>
      </c>
      <c r="I426" s="69">
        <f t="shared" si="209"/>
        <v>1</v>
      </c>
      <c r="J426" s="76" t="str">
        <f t="shared" si="209"/>
        <v>Lactuca</v>
      </c>
      <c r="K426" s="76" t="str">
        <f t="shared" si="209"/>
        <v>inermis</v>
      </c>
      <c r="L426" s="77">
        <f t="shared" si="209"/>
        <v>13</v>
      </c>
      <c r="M426" s="77">
        <f t="shared" si="209"/>
        <v>2</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2019</v>
      </c>
      <c r="B427" s="72" t="str">
        <f t="shared" si="187"/>
        <v>Nov</v>
      </c>
      <c r="C427" s="73">
        <f t="shared" si="205"/>
        <v>23</v>
      </c>
      <c r="D427" s="74">
        <f t="shared" si="188"/>
        <v>17</v>
      </c>
      <c r="E427" s="75">
        <f t="shared" si="189"/>
        <v>24</v>
      </c>
      <c r="F427" s="79"/>
      <c r="G427" s="82"/>
      <c r="H427" s="68" t="str">
        <f t="shared" si="206"/>
        <v>Lacine13_20191123_17_00</v>
      </c>
      <c r="I427" s="69">
        <f t="shared" si="209"/>
        <v>1</v>
      </c>
      <c r="J427" s="76" t="str">
        <f t="shared" si="209"/>
        <v>Lactuca</v>
      </c>
      <c r="K427" s="76" t="str">
        <f t="shared" si="209"/>
        <v>inermis</v>
      </c>
      <c r="L427" s="77">
        <f t="shared" si="209"/>
        <v>13</v>
      </c>
      <c r="M427" s="77">
        <f t="shared" si="209"/>
        <v>2</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2019</v>
      </c>
      <c r="B428" s="72" t="str">
        <f t="shared" si="187"/>
        <v>Nov</v>
      </c>
      <c r="C428" s="73">
        <f t="shared" si="205"/>
        <v>23</v>
      </c>
      <c r="D428" s="74">
        <f t="shared" si="188"/>
        <v>17</v>
      </c>
      <c r="E428" s="75">
        <f t="shared" si="189"/>
        <v>25</v>
      </c>
      <c r="F428" s="79"/>
      <c r="G428" s="82"/>
      <c r="H428" s="68" t="str">
        <f t="shared" si="206"/>
        <v>Lacine13_20191123_17_00</v>
      </c>
      <c r="I428" s="69">
        <f t="shared" si="209"/>
        <v>1</v>
      </c>
      <c r="J428" s="76" t="str">
        <f t="shared" si="209"/>
        <v>Lactuca</v>
      </c>
      <c r="K428" s="76" t="str">
        <f t="shared" si="209"/>
        <v>inermis</v>
      </c>
      <c r="L428" s="77">
        <f t="shared" si="209"/>
        <v>13</v>
      </c>
      <c r="M428" s="77">
        <f t="shared" si="209"/>
        <v>2</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2019</v>
      </c>
      <c r="B429" s="72" t="str">
        <f t="shared" si="187"/>
        <v>Nov</v>
      </c>
      <c r="C429" s="73">
        <f t="shared" si="205"/>
        <v>23</v>
      </c>
      <c r="D429" s="74">
        <f t="shared" si="188"/>
        <v>17</v>
      </c>
      <c r="E429" s="75">
        <f t="shared" si="189"/>
        <v>26</v>
      </c>
      <c r="F429" s="79"/>
      <c r="G429" s="82"/>
      <c r="H429" s="68" t="str">
        <f t="shared" si="206"/>
        <v>Lacine13_20191123_17_00</v>
      </c>
      <c r="I429" s="69">
        <f t="shared" si="209"/>
        <v>1</v>
      </c>
      <c r="J429" s="76" t="str">
        <f t="shared" si="209"/>
        <v>Lactuca</v>
      </c>
      <c r="K429" s="76" t="str">
        <f t="shared" si="209"/>
        <v>inermis</v>
      </c>
      <c r="L429" s="77">
        <f t="shared" si="209"/>
        <v>13</v>
      </c>
      <c r="M429" s="77">
        <f t="shared" si="209"/>
        <v>2</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2019</v>
      </c>
      <c r="B430" s="72" t="str">
        <f t="shared" si="187"/>
        <v>Nov</v>
      </c>
      <c r="C430" s="73">
        <f t="shared" si="205"/>
        <v>23</v>
      </c>
      <c r="D430" s="74">
        <f t="shared" si="188"/>
        <v>17</v>
      </c>
      <c r="E430" s="75">
        <f t="shared" si="189"/>
        <v>27</v>
      </c>
      <c r="F430" s="79"/>
      <c r="G430" s="82"/>
      <c r="H430" s="68" t="str">
        <f t="shared" si="206"/>
        <v>Lacine13_20191123_17_00</v>
      </c>
      <c r="I430" s="69">
        <f t="shared" si="209"/>
        <v>1</v>
      </c>
      <c r="J430" s="76" t="str">
        <f t="shared" si="209"/>
        <v>Lactuca</v>
      </c>
      <c r="K430" s="76" t="str">
        <f t="shared" si="209"/>
        <v>inermis</v>
      </c>
      <c r="L430" s="77">
        <f t="shared" si="209"/>
        <v>13</v>
      </c>
      <c r="M430" s="77">
        <f t="shared" si="209"/>
        <v>2</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2019</v>
      </c>
      <c r="B431" s="72" t="str">
        <f t="shared" si="187"/>
        <v>Nov</v>
      </c>
      <c r="C431" s="73">
        <f t="shared" si="205"/>
        <v>23</v>
      </c>
      <c r="D431" s="74">
        <f t="shared" si="188"/>
        <v>17</v>
      </c>
      <c r="E431" s="75">
        <f t="shared" si="189"/>
        <v>28</v>
      </c>
      <c r="F431" s="79"/>
      <c r="G431" s="82"/>
      <c r="H431" s="68" t="str">
        <f t="shared" si="206"/>
        <v>Lacine13_20191123_17_00</v>
      </c>
      <c r="I431" s="69">
        <f t="shared" si="209"/>
        <v>1</v>
      </c>
      <c r="J431" s="76" t="str">
        <f t="shared" si="209"/>
        <v>Lactuca</v>
      </c>
      <c r="K431" s="76" t="str">
        <f t="shared" si="209"/>
        <v>inermis</v>
      </c>
      <c r="L431" s="77">
        <f t="shared" si="209"/>
        <v>13</v>
      </c>
      <c r="M431" s="77">
        <f t="shared" si="209"/>
        <v>2</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2019</v>
      </c>
      <c r="B432" s="72" t="str">
        <f t="shared" si="187"/>
        <v>Nov</v>
      </c>
      <c r="C432" s="73">
        <f t="shared" si="205"/>
        <v>23</v>
      </c>
      <c r="D432" s="74">
        <f t="shared" si="188"/>
        <v>17</v>
      </c>
      <c r="E432" s="75">
        <f t="shared" si="189"/>
        <v>29</v>
      </c>
      <c r="F432" s="79"/>
      <c r="G432" s="82"/>
      <c r="H432" s="68" t="str">
        <f t="shared" si="206"/>
        <v>Lacine13_20191123_17_00</v>
      </c>
      <c r="I432" s="69">
        <f t="shared" si="209"/>
        <v>1</v>
      </c>
      <c r="J432" s="76" t="str">
        <f t="shared" si="209"/>
        <v>Lactuca</v>
      </c>
      <c r="K432" s="76" t="str">
        <f t="shared" si="209"/>
        <v>inermis</v>
      </c>
      <c r="L432" s="77">
        <f t="shared" si="209"/>
        <v>13</v>
      </c>
      <c r="M432" s="77">
        <f t="shared" si="209"/>
        <v>2</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2019</v>
      </c>
      <c r="B433" s="72" t="str">
        <f t="shared" si="187"/>
        <v>Nov</v>
      </c>
      <c r="C433" s="73">
        <f t="shared" si="205"/>
        <v>23</v>
      </c>
      <c r="D433" s="74">
        <f t="shared" si="188"/>
        <v>17</v>
      </c>
      <c r="E433" s="75">
        <f t="shared" si="189"/>
        <v>30</v>
      </c>
      <c r="F433" s="79"/>
      <c r="G433" s="82"/>
      <c r="H433" s="68" t="str">
        <f t="shared" si="206"/>
        <v>Lacine13_20191123_17_00</v>
      </c>
      <c r="I433" s="69">
        <f t="shared" si="209"/>
        <v>1</v>
      </c>
      <c r="J433" s="76" t="str">
        <f t="shared" si="209"/>
        <v>Lactuca</v>
      </c>
      <c r="K433" s="76" t="str">
        <f t="shared" si="209"/>
        <v>inermis</v>
      </c>
      <c r="L433" s="77">
        <f t="shared" si="209"/>
        <v>13</v>
      </c>
      <c r="M433" s="77">
        <f t="shared" si="209"/>
        <v>2</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2019</v>
      </c>
      <c r="B434" s="72" t="str">
        <f t="shared" si="187"/>
        <v>Nov</v>
      </c>
      <c r="C434" s="73">
        <f t="shared" si="205"/>
        <v>23</v>
      </c>
      <c r="D434" s="74">
        <f t="shared" si="188"/>
        <v>17</v>
      </c>
      <c r="E434" s="75">
        <f t="shared" si="189"/>
        <v>31</v>
      </c>
      <c r="F434" s="79"/>
      <c r="G434" s="82"/>
      <c r="H434" s="68" t="str">
        <f t="shared" si="206"/>
        <v>Lacine13_20191123_17_00</v>
      </c>
      <c r="I434" s="69">
        <f t="shared" si="209"/>
        <v>1</v>
      </c>
      <c r="J434" s="76" t="str">
        <f t="shared" si="209"/>
        <v>Lactuca</v>
      </c>
      <c r="K434" s="76" t="str">
        <f t="shared" si="209"/>
        <v>inermis</v>
      </c>
      <c r="L434" s="77">
        <f t="shared" si="209"/>
        <v>13</v>
      </c>
      <c r="M434" s="77">
        <f t="shared" si="209"/>
        <v>2</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2019</v>
      </c>
      <c r="B435" s="72" t="str">
        <f t="shared" si="187"/>
        <v>Nov</v>
      </c>
      <c r="C435" s="73">
        <f t="shared" si="205"/>
        <v>23</v>
      </c>
      <c r="D435" s="74">
        <f t="shared" si="188"/>
        <v>17</v>
      </c>
      <c r="E435" s="75">
        <f t="shared" si="189"/>
        <v>32</v>
      </c>
      <c r="F435" s="79"/>
      <c r="G435" s="82"/>
      <c r="H435" s="68" t="str">
        <f t="shared" si="206"/>
        <v>Lacine13_20191123_17_00</v>
      </c>
      <c r="I435" s="69">
        <f t="shared" si="209"/>
        <v>1</v>
      </c>
      <c r="J435" s="76" t="str">
        <f t="shared" si="209"/>
        <v>Lactuca</v>
      </c>
      <c r="K435" s="76" t="str">
        <f t="shared" si="209"/>
        <v>inermis</v>
      </c>
      <c r="L435" s="77">
        <f t="shared" si="209"/>
        <v>13</v>
      </c>
      <c r="M435" s="77">
        <f t="shared" si="209"/>
        <v>2</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2019</v>
      </c>
      <c r="B436" s="72" t="str">
        <f t="shared" si="187"/>
        <v>Nov</v>
      </c>
      <c r="C436" s="73">
        <f t="shared" si="205"/>
        <v>23</v>
      </c>
      <c r="D436" s="74">
        <f t="shared" si="188"/>
        <v>17</v>
      </c>
      <c r="E436" s="75">
        <f t="shared" si="189"/>
        <v>33</v>
      </c>
      <c r="F436" s="79"/>
      <c r="G436" s="82"/>
      <c r="H436" s="68" t="str">
        <f t="shared" si="206"/>
        <v>Lacine13_20191123_17_00</v>
      </c>
      <c r="I436" s="69">
        <f t="shared" si="209"/>
        <v>1</v>
      </c>
      <c r="J436" s="76" t="str">
        <f t="shared" si="209"/>
        <v>Lactuca</v>
      </c>
      <c r="K436" s="76" t="str">
        <f t="shared" si="209"/>
        <v>inermis</v>
      </c>
      <c r="L436" s="77">
        <f t="shared" si="209"/>
        <v>13</v>
      </c>
      <c r="M436" s="77">
        <f t="shared" si="209"/>
        <v>2</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2019</v>
      </c>
      <c r="B437" s="72" t="str">
        <f t="shared" si="187"/>
        <v>Nov</v>
      </c>
      <c r="C437" s="73">
        <f t="shared" si="205"/>
        <v>23</v>
      </c>
      <c r="D437" s="74">
        <f t="shared" si="188"/>
        <v>17</v>
      </c>
      <c r="E437" s="75">
        <f t="shared" si="189"/>
        <v>34</v>
      </c>
      <c r="F437" s="79"/>
      <c r="G437" s="82"/>
      <c r="H437" s="68" t="str">
        <f t="shared" si="206"/>
        <v>Lacine13_20191123_17_00</v>
      </c>
      <c r="I437" s="69">
        <f t="shared" ref="I437:N452" si="210">I436</f>
        <v>1</v>
      </c>
      <c r="J437" s="76" t="str">
        <f t="shared" si="210"/>
        <v>Lactuca</v>
      </c>
      <c r="K437" s="76" t="str">
        <f t="shared" si="210"/>
        <v>inermis</v>
      </c>
      <c r="L437" s="77">
        <f t="shared" si="210"/>
        <v>13</v>
      </c>
      <c r="M437" s="77">
        <f t="shared" si="210"/>
        <v>2</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2019</v>
      </c>
      <c r="B438" s="72" t="str">
        <f t="shared" si="187"/>
        <v>Nov</v>
      </c>
      <c r="C438" s="73">
        <f t="shared" si="205"/>
        <v>23</v>
      </c>
      <c r="D438" s="74">
        <f t="shared" si="188"/>
        <v>17</v>
      </c>
      <c r="E438" s="75">
        <f t="shared" si="189"/>
        <v>35</v>
      </c>
      <c r="F438" s="79"/>
      <c r="G438" s="82"/>
      <c r="H438" s="68" t="str">
        <f t="shared" si="206"/>
        <v>Lacine13_20191123_17_00</v>
      </c>
      <c r="I438" s="69">
        <f t="shared" si="210"/>
        <v>1</v>
      </c>
      <c r="J438" s="76" t="str">
        <f t="shared" si="210"/>
        <v>Lactuca</v>
      </c>
      <c r="K438" s="76" t="str">
        <f t="shared" si="210"/>
        <v>inermis</v>
      </c>
      <c r="L438" s="77">
        <f t="shared" si="210"/>
        <v>13</v>
      </c>
      <c r="M438" s="77">
        <f t="shared" si="210"/>
        <v>2</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2019</v>
      </c>
      <c r="B439" s="72" t="str">
        <f t="shared" si="187"/>
        <v>Nov</v>
      </c>
      <c r="C439" s="73">
        <f t="shared" si="205"/>
        <v>23</v>
      </c>
      <c r="D439" s="74">
        <f t="shared" si="188"/>
        <v>17</v>
      </c>
      <c r="E439" s="75">
        <f t="shared" si="189"/>
        <v>36</v>
      </c>
      <c r="F439" s="79"/>
      <c r="G439" s="82"/>
      <c r="H439" s="68" t="str">
        <f t="shared" si="206"/>
        <v>Lacine13_20191123_17_00</v>
      </c>
      <c r="I439" s="69">
        <f t="shared" si="210"/>
        <v>1</v>
      </c>
      <c r="J439" s="76" t="str">
        <f t="shared" si="210"/>
        <v>Lactuca</v>
      </c>
      <c r="K439" s="76" t="str">
        <f t="shared" si="210"/>
        <v>inermis</v>
      </c>
      <c r="L439" s="77">
        <f t="shared" si="210"/>
        <v>13</v>
      </c>
      <c r="M439" s="77">
        <f t="shared" si="210"/>
        <v>2</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2019</v>
      </c>
      <c r="B440" s="72" t="str">
        <f t="shared" si="187"/>
        <v>Nov</v>
      </c>
      <c r="C440" s="73">
        <f t="shared" si="205"/>
        <v>23</v>
      </c>
      <c r="D440" s="74">
        <f t="shared" si="188"/>
        <v>17</v>
      </c>
      <c r="E440" s="75">
        <f t="shared" si="189"/>
        <v>37</v>
      </c>
      <c r="F440" s="79"/>
      <c r="G440" s="82"/>
      <c r="H440" s="68" t="str">
        <f t="shared" si="206"/>
        <v>Lacine13_20191123_17_00</v>
      </c>
      <c r="I440" s="69">
        <f t="shared" si="210"/>
        <v>1</v>
      </c>
      <c r="J440" s="76" t="str">
        <f t="shared" si="210"/>
        <v>Lactuca</v>
      </c>
      <c r="K440" s="76" t="str">
        <f t="shared" si="210"/>
        <v>inermis</v>
      </c>
      <c r="L440" s="77">
        <f t="shared" si="210"/>
        <v>13</v>
      </c>
      <c r="M440" s="77">
        <f t="shared" si="210"/>
        <v>2</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2019</v>
      </c>
      <c r="B441" s="72" t="str">
        <f t="shared" si="187"/>
        <v>Nov</v>
      </c>
      <c r="C441" s="73">
        <f t="shared" si="205"/>
        <v>23</v>
      </c>
      <c r="D441" s="74">
        <f t="shared" si="188"/>
        <v>17</v>
      </c>
      <c r="E441" s="75">
        <f t="shared" si="189"/>
        <v>38</v>
      </c>
      <c r="F441" s="79"/>
      <c r="G441" s="82"/>
      <c r="H441" s="68" t="str">
        <f t="shared" si="206"/>
        <v>Lacine13_20191123_17_00</v>
      </c>
      <c r="I441" s="69">
        <f t="shared" si="210"/>
        <v>1</v>
      </c>
      <c r="J441" s="76" t="str">
        <f t="shared" si="210"/>
        <v>Lactuca</v>
      </c>
      <c r="K441" s="76" t="str">
        <f t="shared" si="210"/>
        <v>inermis</v>
      </c>
      <c r="L441" s="77">
        <f t="shared" si="210"/>
        <v>13</v>
      </c>
      <c r="M441" s="77">
        <f t="shared" si="210"/>
        <v>2</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2019</v>
      </c>
      <c r="B442" s="72" t="str">
        <f t="shared" si="187"/>
        <v>Nov</v>
      </c>
      <c r="C442" s="73">
        <f t="shared" si="205"/>
        <v>23</v>
      </c>
      <c r="D442" s="74">
        <f t="shared" si="188"/>
        <v>17</v>
      </c>
      <c r="E442" s="75">
        <f t="shared" si="189"/>
        <v>39</v>
      </c>
      <c r="F442" s="79"/>
      <c r="G442" s="82"/>
      <c r="H442" s="68" t="str">
        <f t="shared" si="206"/>
        <v>Lacine13_20191123_17_00</v>
      </c>
      <c r="I442" s="69">
        <f t="shared" si="210"/>
        <v>1</v>
      </c>
      <c r="J442" s="76" t="str">
        <f t="shared" si="210"/>
        <v>Lactuca</v>
      </c>
      <c r="K442" s="76" t="str">
        <f t="shared" si="210"/>
        <v>inermis</v>
      </c>
      <c r="L442" s="77">
        <f t="shared" si="210"/>
        <v>13</v>
      </c>
      <c r="M442" s="77">
        <f t="shared" si="210"/>
        <v>2</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2019</v>
      </c>
      <c r="B443" s="72" t="str">
        <f t="shared" si="187"/>
        <v>Nov</v>
      </c>
      <c r="C443" s="73">
        <f t="shared" si="205"/>
        <v>23</v>
      </c>
      <c r="D443" s="74">
        <f t="shared" si="188"/>
        <v>17</v>
      </c>
      <c r="E443" s="75">
        <f t="shared" si="189"/>
        <v>40</v>
      </c>
      <c r="F443" s="79"/>
      <c r="G443" s="82"/>
      <c r="H443" s="68" t="str">
        <f t="shared" si="206"/>
        <v>Lacine13_20191123_17_00</v>
      </c>
      <c r="I443" s="69">
        <f t="shared" si="210"/>
        <v>1</v>
      </c>
      <c r="J443" s="76" t="str">
        <f t="shared" si="210"/>
        <v>Lactuca</v>
      </c>
      <c r="K443" s="76" t="str">
        <f t="shared" si="210"/>
        <v>inermis</v>
      </c>
      <c r="L443" s="77">
        <f t="shared" si="210"/>
        <v>13</v>
      </c>
      <c r="M443" s="77">
        <f t="shared" si="210"/>
        <v>2</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2019</v>
      </c>
      <c r="B444" s="72" t="str">
        <f t="shared" si="187"/>
        <v>Nov</v>
      </c>
      <c r="C444" s="73">
        <f t="shared" si="205"/>
        <v>23</v>
      </c>
      <c r="D444" s="74">
        <f t="shared" si="188"/>
        <v>17</v>
      </c>
      <c r="E444" s="75">
        <f t="shared" si="189"/>
        <v>41</v>
      </c>
      <c r="F444" s="79"/>
      <c r="G444" s="82"/>
      <c r="H444" s="68" t="str">
        <f t="shared" si="206"/>
        <v>Lacine13_20191123_17_00</v>
      </c>
      <c r="I444" s="69">
        <f t="shared" si="210"/>
        <v>1</v>
      </c>
      <c r="J444" s="76" t="str">
        <f t="shared" si="210"/>
        <v>Lactuca</v>
      </c>
      <c r="K444" s="76" t="str">
        <f t="shared" si="210"/>
        <v>inermis</v>
      </c>
      <c r="L444" s="77">
        <f t="shared" si="210"/>
        <v>13</v>
      </c>
      <c r="M444" s="77">
        <f t="shared" si="210"/>
        <v>2</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2019</v>
      </c>
      <c r="B445" s="72" t="str">
        <f t="shared" si="187"/>
        <v>Nov</v>
      </c>
      <c r="C445" s="73">
        <f t="shared" si="205"/>
        <v>23</v>
      </c>
      <c r="D445" s="74">
        <f t="shared" si="188"/>
        <v>17</v>
      </c>
      <c r="E445" s="75">
        <f t="shared" si="189"/>
        <v>42</v>
      </c>
      <c r="F445" s="79"/>
      <c r="G445" s="82"/>
      <c r="H445" s="68" t="str">
        <f t="shared" si="206"/>
        <v>Lacine13_20191123_17_00</v>
      </c>
      <c r="I445" s="69">
        <f t="shared" si="210"/>
        <v>1</v>
      </c>
      <c r="J445" s="76" t="str">
        <f t="shared" si="210"/>
        <v>Lactuca</v>
      </c>
      <c r="K445" s="76" t="str">
        <f t="shared" si="210"/>
        <v>inermis</v>
      </c>
      <c r="L445" s="77">
        <f t="shared" si="210"/>
        <v>13</v>
      </c>
      <c r="M445" s="77">
        <f t="shared" si="210"/>
        <v>2</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2019</v>
      </c>
      <c r="B446" s="72" t="str">
        <f t="shared" si="187"/>
        <v>Nov</v>
      </c>
      <c r="C446" s="73">
        <f t="shared" si="205"/>
        <v>23</v>
      </c>
      <c r="D446" s="74">
        <f t="shared" si="188"/>
        <v>17</v>
      </c>
      <c r="E446" s="75">
        <f t="shared" si="189"/>
        <v>43</v>
      </c>
      <c r="F446" s="79"/>
      <c r="G446" s="82"/>
      <c r="H446" s="68" t="str">
        <f t="shared" si="206"/>
        <v>Lacine13_20191123_17_00</v>
      </c>
      <c r="I446" s="69">
        <f t="shared" si="210"/>
        <v>1</v>
      </c>
      <c r="J446" s="76" t="str">
        <f t="shared" si="210"/>
        <v>Lactuca</v>
      </c>
      <c r="K446" s="76" t="str">
        <f t="shared" si="210"/>
        <v>inermis</v>
      </c>
      <c r="L446" s="77">
        <f t="shared" si="210"/>
        <v>13</v>
      </c>
      <c r="M446" s="77">
        <f t="shared" si="210"/>
        <v>2</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2019</v>
      </c>
      <c r="B447" s="72" t="str">
        <f t="shared" si="187"/>
        <v>Nov</v>
      </c>
      <c r="C447" s="73">
        <f t="shared" si="205"/>
        <v>23</v>
      </c>
      <c r="D447" s="74">
        <f t="shared" si="188"/>
        <v>17</v>
      </c>
      <c r="E447" s="75">
        <f t="shared" si="189"/>
        <v>44</v>
      </c>
      <c r="F447" s="79"/>
      <c r="G447" s="82"/>
      <c r="H447" s="68" t="str">
        <f t="shared" si="206"/>
        <v>Lacine13_20191123_17_00</v>
      </c>
      <c r="I447" s="69">
        <f t="shared" si="210"/>
        <v>1</v>
      </c>
      <c r="J447" s="76" t="str">
        <f t="shared" si="210"/>
        <v>Lactuca</v>
      </c>
      <c r="K447" s="76" t="str">
        <f t="shared" si="210"/>
        <v>inermis</v>
      </c>
      <c r="L447" s="77">
        <f t="shared" si="210"/>
        <v>13</v>
      </c>
      <c r="M447" s="77">
        <f t="shared" si="210"/>
        <v>2</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2019</v>
      </c>
      <c r="B448" s="72" t="str">
        <f t="shared" si="187"/>
        <v>Nov</v>
      </c>
      <c r="C448" s="73">
        <f t="shared" si="205"/>
        <v>23</v>
      </c>
      <c r="D448" s="74">
        <f t="shared" si="188"/>
        <v>17</v>
      </c>
      <c r="E448" s="75">
        <f t="shared" si="189"/>
        <v>45</v>
      </c>
      <c r="F448" s="79"/>
      <c r="G448" s="82"/>
      <c r="H448" s="68" t="str">
        <f t="shared" si="206"/>
        <v>Lacine13_20191123_17_00</v>
      </c>
      <c r="I448" s="69">
        <f t="shared" si="210"/>
        <v>1</v>
      </c>
      <c r="J448" s="76" t="str">
        <f t="shared" si="210"/>
        <v>Lactuca</v>
      </c>
      <c r="K448" s="76" t="str">
        <f t="shared" si="210"/>
        <v>inermis</v>
      </c>
      <c r="L448" s="77">
        <f t="shared" si="210"/>
        <v>13</v>
      </c>
      <c r="M448" s="77">
        <f t="shared" si="210"/>
        <v>2</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2019</v>
      </c>
      <c r="B449" s="72" t="str">
        <f t="shared" si="187"/>
        <v>Nov</v>
      </c>
      <c r="C449" s="73">
        <f t="shared" si="205"/>
        <v>23</v>
      </c>
      <c r="D449" s="74">
        <f t="shared" si="188"/>
        <v>17</v>
      </c>
      <c r="E449" s="75">
        <f t="shared" si="189"/>
        <v>46</v>
      </c>
      <c r="F449" s="79"/>
      <c r="G449" s="82"/>
      <c r="H449" s="68" t="str">
        <f t="shared" si="206"/>
        <v>Lacine13_20191123_17_00</v>
      </c>
      <c r="I449" s="69">
        <f t="shared" si="210"/>
        <v>1</v>
      </c>
      <c r="J449" s="76" t="str">
        <f t="shared" si="210"/>
        <v>Lactuca</v>
      </c>
      <c r="K449" s="76" t="str">
        <f t="shared" si="210"/>
        <v>inermis</v>
      </c>
      <c r="L449" s="77">
        <f t="shared" si="210"/>
        <v>13</v>
      </c>
      <c r="M449" s="77">
        <f t="shared" si="210"/>
        <v>2</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2019</v>
      </c>
      <c r="B450" s="72" t="str">
        <f t="shared" si="187"/>
        <v>Nov</v>
      </c>
      <c r="C450" s="73">
        <f t="shared" si="205"/>
        <v>23</v>
      </c>
      <c r="D450" s="74">
        <f t="shared" si="188"/>
        <v>17</v>
      </c>
      <c r="E450" s="75">
        <f t="shared" si="189"/>
        <v>47</v>
      </c>
      <c r="F450" s="79"/>
      <c r="G450" s="82"/>
      <c r="H450" s="68" t="str">
        <f t="shared" si="206"/>
        <v>Lacine13_20191123_17_00</v>
      </c>
      <c r="I450" s="69">
        <f t="shared" si="210"/>
        <v>1</v>
      </c>
      <c r="J450" s="76" t="str">
        <f t="shared" si="210"/>
        <v>Lactuca</v>
      </c>
      <c r="K450" s="76" t="str">
        <f t="shared" si="210"/>
        <v>inermis</v>
      </c>
      <c r="L450" s="77">
        <f t="shared" si="210"/>
        <v>13</v>
      </c>
      <c r="M450" s="77">
        <f t="shared" si="210"/>
        <v>2</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2019</v>
      </c>
      <c r="B451" s="72" t="str">
        <f t="shared" si="187"/>
        <v>Nov</v>
      </c>
      <c r="C451" s="73">
        <f t="shared" si="205"/>
        <v>23</v>
      </c>
      <c r="D451" s="74">
        <f t="shared" si="188"/>
        <v>17</v>
      </c>
      <c r="E451" s="75">
        <f t="shared" si="189"/>
        <v>48</v>
      </c>
      <c r="F451" s="79"/>
      <c r="G451" s="82"/>
      <c r="H451" s="68" t="str">
        <f t="shared" si="206"/>
        <v>Lacine13_20191123_17_00</v>
      </c>
      <c r="I451" s="69">
        <f t="shared" si="210"/>
        <v>1</v>
      </c>
      <c r="J451" s="76" t="str">
        <f t="shared" si="210"/>
        <v>Lactuca</v>
      </c>
      <c r="K451" s="76" t="str">
        <f t="shared" si="210"/>
        <v>inermis</v>
      </c>
      <c r="L451" s="77">
        <f t="shared" si="210"/>
        <v>13</v>
      </c>
      <c r="M451" s="77">
        <f t="shared" si="210"/>
        <v>2</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2019</v>
      </c>
      <c r="B452" s="72" t="str">
        <f t="shared" ref="B452:B515" si="217">IF(C451-C452&gt;0, TEXT(DATE(2016,(MONTH(DATEVALUE(B451&amp;"1"))+1),1),"mmm"), B451)</f>
        <v>Nov</v>
      </c>
      <c r="C452" s="73">
        <f t="shared" si="205"/>
        <v>23</v>
      </c>
      <c r="D452" s="74">
        <f t="shared" ref="D452:D515" si="218">IF(IF(E451=59,D451+1,D451)=24,0,IF(E451=59,D451+1,D451))</f>
        <v>17</v>
      </c>
      <c r="E452" s="75">
        <f t="shared" ref="E452:E515" si="219">IF(E451&lt;59,E451+1,0)</f>
        <v>49</v>
      </c>
      <c r="F452" s="79"/>
      <c r="G452" s="82"/>
      <c r="H452" s="68" t="str">
        <f t="shared" si="206"/>
        <v>Lacine13_20191123_17_00</v>
      </c>
      <c r="I452" s="69">
        <f t="shared" si="210"/>
        <v>1</v>
      </c>
      <c r="J452" s="76" t="str">
        <f t="shared" si="210"/>
        <v>Lactuca</v>
      </c>
      <c r="K452" s="76" t="str">
        <f t="shared" si="210"/>
        <v>inermis</v>
      </c>
      <c r="L452" s="77">
        <f t="shared" si="210"/>
        <v>13</v>
      </c>
      <c r="M452" s="77">
        <f t="shared" si="210"/>
        <v>2</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2019</v>
      </c>
      <c r="B453" s="72" t="str">
        <f t="shared" si="217"/>
        <v>Nov</v>
      </c>
      <c r="C453" s="73">
        <f t="shared" ref="C453:C516" si="235">IF(AND(D453=0, E453=0), IF(TEXT(C452,"dd")=TEXT(EOMONTH(DATE(A452,MONTH(DATEVALUE(B452&amp;"1")),C452),0), "dd"), 1, C452+1), C452)</f>
        <v>23</v>
      </c>
      <c r="D453" s="74">
        <f t="shared" si="218"/>
        <v>17</v>
      </c>
      <c r="E453" s="75">
        <f t="shared" si="219"/>
        <v>50</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Lacine13_20191123_17_00</v>
      </c>
      <c r="I453" s="69">
        <f t="shared" ref="I453:N468" si="237">I452</f>
        <v>1</v>
      </c>
      <c r="J453" s="76" t="str">
        <f t="shared" si="237"/>
        <v>Lactuca</v>
      </c>
      <c r="K453" s="76" t="str">
        <f t="shared" si="237"/>
        <v>inermis</v>
      </c>
      <c r="L453" s="77">
        <f t="shared" si="237"/>
        <v>13</v>
      </c>
      <c r="M453" s="77">
        <f t="shared" si="237"/>
        <v>2</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2019</v>
      </c>
      <c r="B454" s="72" t="str">
        <f t="shared" si="217"/>
        <v>Nov</v>
      </c>
      <c r="C454" s="73">
        <f t="shared" si="235"/>
        <v>23</v>
      </c>
      <c r="D454" s="74">
        <f t="shared" si="218"/>
        <v>17</v>
      </c>
      <c r="E454" s="75">
        <f t="shared" si="219"/>
        <v>51</v>
      </c>
      <c r="F454" s="79"/>
      <c r="G454" s="82"/>
      <c r="H454" s="68" t="str">
        <f t="shared" si="236"/>
        <v>Lacine13_20191123_17_00</v>
      </c>
      <c r="I454" s="69">
        <f t="shared" si="237"/>
        <v>1</v>
      </c>
      <c r="J454" s="76" t="str">
        <f t="shared" si="237"/>
        <v>Lactuca</v>
      </c>
      <c r="K454" s="76" t="str">
        <f t="shared" si="237"/>
        <v>inermis</v>
      </c>
      <c r="L454" s="77">
        <f t="shared" si="237"/>
        <v>13</v>
      </c>
      <c r="M454" s="77">
        <f t="shared" si="237"/>
        <v>2</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2019</v>
      </c>
      <c r="B455" s="72" t="str">
        <f t="shared" si="217"/>
        <v>Nov</v>
      </c>
      <c r="C455" s="73">
        <f t="shared" si="235"/>
        <v>23</v>
      </c>
      <c r="D455" s="74">
        <f t="shared" si="218"/>
        <v>17</v>
      </c>
      <c r="E455" s="75">
        <f t="shared" si="219"/>
        <v>52</v>
      </c>
      <c r="F455" s="79"/>
      <c r="G455" s="82"/>
      <c r="H455" s="68" t="str">
        <f t="shared" si="236"/>
        <v>Lacine13_20191123_17_00</v>
      </c>
      <c r="I455" s="69">
        <f t="shared" si="237"/>
        <v>1</v>
      </c>
      <c r="J455" s="76" t="str">
        <f t="shared" si="237"/>
        <v>Lactuca</v>
      </c>
      <c r="K455" s="76" t="str">
        <f t="shared" si="237"/>
        <v>inermis</v>
      </c>
      <c r="L455" s="77">
        <f t="shared" si="237"/>
        <v>13</v>
      </c>
      <c r="M455" s="77">
        <f t="shared" si="237"/>
        <v>2</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2019</v>
      </c>
      <c r="B456" s="72" t="str">
        <f t="shared" si="217"/>
        <v>Nov</v>
      </c>
      <c r="C456" s="73">
        <f t="shared" si="235"/>
        <v>23</v>
      </c>
      <c r="D456" s="74">
        <f t="shared" si="218"/>
        <v>17</v>
      </c>
      <c r="E456" s="75">
        <f t="shared" si="219"/>
        <v>53</v>
      </c>
      <c r="F456" s="79"/>
      <c r="G456" s="82"/>
      <c r="H456" s="68" t="str">
        <f t="shared" si="236"/>
        <v>Lacine13_20191123_17_00</v>
      </c>
      <c r="I456" s="69">
        <f t="shared" si="237"/>
        <v>1</v>
      </c>
      <c r="J456" s="76" t="str">
        <f t="shared" si="237"/>
        <v>Lactuca</v>
      </c>
      <c r="K456" s="76" t="str">
        <f t="shared" si="237"/>
        <v>inermis</v>
      </c>
      <c r="L456" s="77">
        <f t="shared" si="237"/>
        <v>13</v>
      </c>
      <c r="M456" s="77">
        <f t="shared" si="237"/>
        <v>2</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2019</v>
      </c>
      <c r="B457" s="72" t="str">
        <f t="shared" si="217"/>
        <v>Nov</v>
      </c>
      <c r="C457" s="73">
        <f t="shared" si="235"/>
        <v>23</v>
      </c>
      <c r="D457" s="74">
        <f t="shared" si="218"/>
        <v>17</v>
      </c>
      <c r="E457" s="75">
        <f t="shared" si="219"/>
        <v>54</v>
      </c>
      <c r="F457" s="79"/>
      <c r="G457" s="82"/>
      <c r="H457" s="68" t="str">
        <f t="shared" si="236"/>
        <v>Lacine13_20191123_17_00</v>
      </c>
      <c r="I457" s="69">
        <f t="shared" si="237"/>
        <v>1</v>
      </c>
      <c r="J457" s="76" t="str">
        <f t="shared" si="237"/>
        <v>Lactuca</v>
      </c>
      <c r="K457" s="76" t="str">
        <f t="shared" si="237"/>
        <v>inermis</v>
      </c>
      <c r="L457" s="77">
        <f t="shared" si="237"/>
        <v>13</v>
      </c>
      <c r="M457" s="77">
        <f t="shared" si="237"/>
        <v>2</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2019</v>
      </c>
      <c r="B458" s="72" t="str">
        <f t="shared" si="217"/>
        <v>Nov</v>
      </c>
      <c r="C458" s="73">
        <f t="shared" si="235"/>
        <v>23</v>
      </c>
      <c r="D458" s="74">
        <f t="shared" si="218"/>
        <v>17</v>
      </c>
      <c r="E458" s="75">
        <f t="shared" si="219"/>
        <v>55</v>
      </c>
      <c r="F458" s="79"/>
      <c r="G458" s="82"/>
      <c r="H458" s="68" t="str">
        <f t="shared" si="236"/>
        <v>Lacine13_20191123_17_00</v>
      </c>
      <c r="I458" s="69">
        <f t="shared" si="237"/>
        <v>1</v>
      </c>
      <c r="J458" s="76" t="str">
        <f t="shared" si="237"/>
        <v>Lactuca</v>
      </c>
      <c r="K458" s="76" t="str">
        <f t="shared" si="237"/>
        <v>inermis</v>
      </c>
      <c r="L458" s="77">
        <f t="shared" si="237"/>
        <v>13</v>
      </c>
      <c r="M458" s="77">
        <f t="shared" si="237"/>
        <v>2</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2019</v>
      </c>
      <c r="B459" s="72" t="str">
        <f t="shared" si="217"/>
        <v>Nov</v>
      </c>
      <c r="C459" s="73">
        <f t="shared" si="235"/>
        <v>23</v>
      </c>
      <c r="D459" s="74">
        <f t="shared" si="218"/>
        <v>17</v>
      </c>
      <c r="E459" s="75">
        <f t="shared" si="219"/>
        <v>56</v>
      </c>
      <c r="F459" s="79"/>
      <c r="G459" s="82"/>
      <c r="H459" s="68" t="str">
        <f t="shared" si="236"/>
        <v>Lacine13_20191123_17_00</v>
      </c>
      <c r="I459" s="69">
        <f t="shared" si="237"/>
        <v>1</v>
      </c>
      <c r="J459" s="76" t="str">
        <f t="shared" si="237"/>
        <v>Lactuca</v>
      </c>
      <c r="K459" s="76" t="str">
        <f t="shared" si="237"/>
        <v>inermis</v>
      </c>
      <c r="L459" s="77">
        <f t="shared" si="237"/>
        <v>13</v>
      </c>
      <c r="M459" s="77">
        <f t="shared" si="237"/>
        <v>2</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2019</v>
      </c>
      <c r="B460" s="72" t="str">
        <f t="shared" si="217"/>
        <v>Nov</v>
      </c>
      <c r="C460" s="73">
        <f t="shared" si="235"/>
        <v>23</v>
      </c>
      <c r="D460" s="74">
        <f t="shared" si="218"/>
        <v>17</v>
      </c>
      <c r="E460" s="75">
        <f t="shared" si="219"/>
        <v>57</v>
      </c>
      <c r="F460" s="79"/>
      <c r="G460" s="82"/>
      <c r="H460" s="68" t="str">
        <f t="shared" si="236"/>
        <v>Lacine13_20191123_17_00</v>
      </c>
      <c r="I460" s="69">
        <f t="shared" si="237"/>
        <v>1</v>
      </c>
      <c r="J460" s="76" t="str">
        <f t="shared" si="237"/>
        <v>Lactuca</v>
      </c>
      <c r="K460" s="76" t="str">
        <f t="shared" si="237"/>
        <v>inermis</v>
      </c>
      <c r="L460" s="77">
        <f t="shared" si="237"/>
        <v>13</v>
      </c>
      <c r="M460" s="77">
        <f t="shared" si="237"/>
        <v>2</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2019</v>
      </c>
      <c r="B461" s="72" t="str">
        <f t="shared" si="217"/>
        <v>Nov</v>
      </c>
      <c r="C461" s="73">
        <f t="shared" si="235"/>
        <v>23</v>
      </c>
      <c r="D461" s="74">
        <f t="shared" si="218"/>
        <v>17</v>
      </c>
      <c r="E461" s="75">
        <f t="shared" si="219"/>
        <v>58</v>
      </c>
      <c r="F461" s="79"/>
      <c r="G461" s="82"/>
      <c r="H461" s="68" t="str">
        <f t="shared" si="236"/>
        <v>Lacine13_20191123_17_00</v>
      </c>
      <c r="I461" s="69">
        <f t="shared" si="237"/>
        <v>1</v>
      </c>
      <c r="J461" s="76" t="str">
        <f t="shared" si="237"/>
        <v>Lactuca</v>
      </c>
      <c r="K461" s="76" t="str">
        <f t="shared" si="237"/>
        <v>inermis</v>
      </c>
      <c r="L461" s="77">
        <f t="shared" si="237"/>
        <v>13</v>
      </c>
      <c r="M461" s="77">
        <f t="shared" si="237"/>
        <v>2</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2019</v>
      </c>
      <c r="B462" s="72" t="str">
        <f t="shared" si="217"/>
        <v>Nov</v>
      </c>
      <c r="C462" s="73">
        <f t="shared" si="235"/>
        <v>23</v>
      </c>
      <c r="D462" s="74">
        <f t="shared" si="218"/>
        <v>17</v>
      </c>
      <c r="E462" s="75">
        <f t="shared" si="219"/>
        <v>59</v>
      </c>
      <c r="F462" s="79"/>
      <c r="G462" s="82"/>
      <c r="H462" s="68" t="str">
        <f t="shared" si="236"/>
        <v>Lacine13_20191123_17_00</v>
      </c>
      <c r="I462" s="69">
        <f t="shared" si="237"/>
        <v>1</v>
      </c>
      <c r="J462" s="76" t="str">
        <f t="shared" si="237"/>
        <v>Lactuca</v>
      </c>
      <c r="K462" s="76" t="str">
        <f t="shared" si="237"/>
        <v>inermis</v>
      </c>
      <c r="L462" s="77">
        <f t="shared" si="237"/>
        <v>13</v>
      </c>
      <c r="M462" s="77">
        <f t="shared" si="237"/>
        <v>2</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2019</v>
      </c>
      <c r="B463" s="72" t="str">
        <f t="shared" si="217"/>
        <v>Nov</v>
      </c>
      <c r="C463" s="73">
        <f t="shared" si="235"/>
        <v>23</v>
      </c>
      <c r="D463" s="74">
        <f t="shared" si="218"/>
        <v>18</v>
      </c>
      <c r="E463" s="75">
        <f t="shared" si="219"/>
        <v>0</v>
      </c>
      <c r="F463" s="79"/>
      <c r="G463" s="82"/>
      <c r="H463" s="68" t="str">
        <f t="shared" si="236"/>
        <v>Lacine13_20191123_18_00</v>
      </c>
      <c r="I463" s="69">
        <f t="shared" si="237"/>
        <v>1</v>
      </c>
      <c r="J463" s="76" t="str">
        <f t="shared" si="237"/>
        <v>Lactuca</v>
      </c>
      <c r="K463" s="76" t="str">
        <f t="shared" si="237"/>
        <v>inermis</v>
      </c>
      <c r="L463" s="77">
        <f t="shared" si="237"/>
        <v>13</v>
      </c>
      <c r="M463" s="77">
        <f t="shared" si="237"/>
        <v>2</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2019</v>
      </c>
      <c r="B464" s="72" t="str">
        <f t="shared" si="217"/>
        <v>Nov</v>
      </c>
      <c r="C464" s="73">
        <f t="shared" si="235"/>
        <v>23</v>
      </c>
      <c r="D464" s="74">
        <f t="shared" si="218"/>
        <v>18</v>
      </c>
      <c r="E464" s="75">
        <f t="shared" si="219"/>
        <v>1</v>
      </c>
      <c r="F464" s="79"/>
      <c r="G464" s="82"/>
      <c r="H464" s="68" t="str">
        <f t="shared" si="236"/>
        <v>Lacine13_20191123_18_00</v>
      </c>
      <c r="I464" s="69">
        <f t="shared" si="237"/>
        <v>1</v>
      </c>
      <c r="J464" s="76" t="str">
        <f t="shared" si="237"/>
        <v>Lactuca</v>
      </c>
      <c r="K464" s="76" t="str">
        <f t="shared" si="237"/>
        <v>inermis</v>
      </c>
      <c r="L464" s="77">
        <f t="shared" si="237"/>
        <v>13</v>
      </c>
      <c r="M464" s="77">
        <f t="shared" si="237"/>
        <v>2</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2019</v>
      </c>
      <c r="B465" s="72" t="str">
        <f t="shared" si="217"/>
        <v>Nov</v>
      </c>
      <c r="C465" s="73">
        <f t="shared" si="235"/>
        <v>23</v>
      </c>
      <c r="D465" s="74">
        <f t="shared" si="218"/>
        <v>18</v>
      </c>
      <c r="E465" s="75">
        <f t="shared" si="219"/>
        <v>2</v>
      </c>
      <c r="F465" s="79"/>
      <c r="G465" s="82"/>
      <c r="H465" s="68" t="str">
        <f t="shared" si="236"/>
        <v>Lacine13_20191123_18_00</v>
      </c>
      <c r="I465" s="69">
        <f t="shared" si="237"/>
        <v>1</v>
      </c>
      <c r="J465" s="76" t="str">
        <f t="shared" si="237"/>
        <v>Lactuca</v>
      </c>
      <c r="K465" s="76" t="str">
        <f t="shared" si="237"/>
        <v>inermis</v>
      </c>
      <c r="L465" s="77">
        <f t="shared" si="237"/>
        <v>13</v>
      </c>
      <c r="M465" s="77">
        <f t="shared" si="237"/>
        <v>2</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2019</v>
      </c>
      <c r="B466" s="72" t="str">
        <f t="shared" si="217"/>
        <v>Nov</v>
      </c>
      <c r="C466" s="73">
        <f t="shared" si="235"/>
        <v>23</v>
      </c>
      <c r="D466" s="74">
        <f t="shared" si="218"/>
        <v>18</v>
      </c>
      <c r="E466" s="75">
        <f t="shared" si="219"/>
        <v>3</v>
      </c>
      <c r="F466" s="79"/>
      <c r="G466" s="82"/>
      <c r="H466" s="68" t="str">
        <f t="shared" si="236"/>
        <v>Lacine13_20191123_18_00</v>
      </c>
      <c r="I466" s="69">
        <f t="shared" si="237"/>
        <v>1</v>
      </c>
      <c r="J466" s="76" t="str">
        <f t="shared" si="237"/>
        <v>Lactuca</v>
      </c>
      <c r="K466" s="76" t="str">
        <f t="shared" si="237"/>
        <v>inermis</v>
      </c>
      <c r="L466" s="77">
        <f t="shared" si="237"/>
        <v>13</v>
      </c>
      <c r="M466" s="77">
        <f t="shared" si="237"/>
        <v>2</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2019</v>
      </c>
      <c r="B467" s="72" t="str">
        <f t="shared" si="217"/>
        <v>Nov</v>
      </c>
      <c r="C467" s="73">
        <f t="shared" si="235"/>
        <v>23</v>
      </c>
      <c r="D467" s="74">
        <f t="shared" si="218"/>
        <v>18</v>
      </c>
      <c r="E467" s="75">
        <f t="shared" si="219"/>
        <v>4</v>
      </c>
      <c r="F467" s="79"/>
      <c r="G467" s="82"/>
      <c r="H467" s="68" t="str">
        <f t="shared" si="236"/>
        <v>Lacine13_20191123_18_00</v>
      </c>
      <c r="I467" s="69">
        <f t="shared" si="237"/>
        <v>1</v>
      </c>
      <c r="J467" s="76" t="str">
        <f t="shared" si="237"/>
        <v>Lactuca</v>
      </c>
      <c r="K467" s="76" t="str">
        <f t="shared" si="237"/>
        <v>inermis</v>
      </c>
      <c r="L467" s="77">
        <f t="shared" si="237"/>
        <v>13</v>
      </c>
      <c r="M467" s="77">
        <f t="shared" si="237"/>
        <v>2</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2019</v>
      </c>
      <c r="B468" s="72" t="str">
        <f t="shared" si="217"/>
        <v>Nov</v>
      </c>
      <c r="C468" s="73">
        <f t="shared" si="235"/>
        <v>23</v>
      </c>
      <c r="D468" s="74">
        <f t="shared" si="218"/>
        <v>18</v>
      </c>
      <c r="E468" s="75">
        <f t="shared" si="219"/>
        <v>5</v>
      </c>
      <c r="F468" s="79"/>
      <c r="G468" s="82"/>
      <c r="H468" s="68" t="str">
        <f t="shared" si="236"/>
        <v>Lacine13_20191123_18_00</v>
      </c>
      <c r="I468" s="69">
        <f t="shared" si="237"/>
        <v>1</v>
      </c>
      <c r="J468" s="76" t="str">
        <f t="shared" si="237"/>
        <v>Lactuca</v>
      </c>
      <c r="K468" s="76" t="str">
        <f t="shared" si="237"/>
        <v>inermis</v>
      </c>
      <c r="L468" s="77">
        <f t="shared" si="237"/>
        <v>13</v>
      </c>
      <c r="M468" s="77">
        <f t="shared" si="237"/>
        <v>2</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2019</v>
      </c>
      <c r="B469" s="72" t="str">
        <f t="shared" si="217"/>
        <v>Nov</v>
      </c>
      <c r="C469" s="73">
        <f t="shared" si="235"/>
        <v>23</v>
      </c>
      <c r="D469" s="74">
        <f t="shared" si="218"/>
        <v>18</v>
      </c>
      <c r="E469" s="75">
        <f t="shared" si="219"/>
        <v>6</v>
      </c>
      <c r="F469" s="79"/>
      <c r="G469" s="82"/>
      <c r="H469" s="68" t="str">
        <f t="shared" si="236"/>
        <v>Lacine13_20191123_18_00</v>
      </c>
      <c r="I469" s="69">
        <f t="shared" ref="I469:N484" si="238">I468</f>
        <v>1</v>
      </c>
      <c r="J469" s="76" t="str">
        <f t="shared" si="238"/>
        <v>Lactuca</v>
      </c>
      <c r="K469" s="76" t="str">
        <f t="shared" si="238"/>
        <v>inermis</v>
      </c>
      <c r="L469" s="77">
        <f t="shared" si="238"/>
        <v>13</v>
      </c>
      <c r="M469" s="77">
        <f t="shared" si="238"/>
        <v>2</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2019</v>
      </c>
      <c r="B470" s="72" t="str">
        <f t="shared" si="217"/>
        <v>Nov</v>
      </c>
      <c r="C470" s="73">
        <f t="shared" si="235"/>
        <v>23</v>
      </c>
      <c r="D470" s="74">
        <f t="shared" si="218"/>
        <v>18</v>
      </c>
      <c r="E470" s="75">
        <f t="shared" si="219"/>
        <v>7</v>
      </c>
      <c r="F470" s="79"/>
      <c r="G470" s="82"/>
      <c r="H470" s="68" t="str">
        <f t="shared" si="236"/>
        <v>Lacine13_20191123_18_00</v>
      </c>
      <c r="I470" s="69">
        <f t="shared" si="238"/>
        <v>1</v>
      </c>
      <c r="J470" s="76" t="str">
        <f t="shared" si="238"/>
        <v>Lactuca</v>
      </c>
      <c r="K470" s="76" t="str">
        <f t="shared" si="238"/>
        <v>inermis</v>
      </c>
      <c r="L470" s="77">
        <f t="shared" si="238"/>
        <v>13</v>
      </c>
      <c r="M470" s="77">
        <f t="shared" si="238"/>
        <v>2</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2019</v>
      </c>
      <c r="B471" s="72" t="str">
        <f t="shared" si="217"/>
        <v>Nov</v>
      </c>
      <c r="C471" s="73">
        <f t="shared" si="235"/>
        <v>23</v>
      </c>
      <c r="D471" s="74">
        <f t="shared" si="218"/>
        <v>18</v>
      </c>
      <c r="E471" s="75">
        <f t="shared" si="219"/>
        <v>8</v>
      </c>
      <c r="F471" s="79"/>
      <c r="G471" s="82"/>
      <c r="H471" s="68" t="str">
        <f t="shared" si="236"/>
        <v>Lacine13_20191123_18_00</v>
      </c>
      <c r="I471" s="69">
        <f t="shared" si="238"/>
        <v>1</v>
      </c>
      <c r="J471" s="76" t="str">
        <f t="shared" si="238"/>
        <v>Lactuca</v>
      </c>
      <c r="K471" s="76" t="str">
        <f t="shared" si="238"/>
        <v>inermis</v>
      </c>
      <c r="L471" s="77">
        <f t="shared" si="238"/>
        <v>13</v>
      </c>
      <c r="M471" s="77">
        <f t="shared" si="238"/>
        <v>2</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2019</v>
      </c>
      <c r="B472" s="72" t="str">
        <f t="shared" si="217"/>
        <v>Nov</v>
      </c>
      <c r="C472" s="73">
        <f t="shared" si="235"/>
        <v>23</v>
      </c>
      <c r="D472" s="74">
        <f t="shared" si="218"/>
        <v>18</v>
      </c>
      <c r="E472" s="75">
        <f t="shared" si="219"/>
        <v>9</v>
      </c>
      <c r="F472" s="79"/>
      <c r="G472" s="82"/>
      <c r="H472" s="68" t="str">
        <f t="shared" si="236"/>
        <v>Lacine13_20191123_18_00</v>
      </c>
      <c r="I472" s="69">
        <f t="shared" si="238"/>
        <v>1</v>
      </c>
      <c r="J472" s="76" t="str">
        <f t="shared" si="238"/>
        <v>Lactuca</v>
      </c>
      <c r="K472" s="76" t="str">
        <f t="shared" si="238"/>
        <v>inermis</v>
      </c>
      <c r="L472" s="77">
        <f t="shared" si="238"/>
        <v>13</v>
      </c>
      <c r="M472" s="77">
        <f t="shared" si="238"/>
        <v>2</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2019</v>
      </c>
      <c r="B473" s="72" t="str">
        <f t="shared" si="217"/>
        <v>Nov</v>
      </c>
      <c r="C473" s="73">
        <f t="shared" si="235"/>
        <v>23</v>
      </c>
      <c r="D473" s="74">
        <f t="shared" si="218"/>
        <v>18</v>
      </c>
      <c r="E473" s="75">
        <f t="shared" si="219"/>
        <v>10</v>
      </c>
      <c r="F473" s="79"/>
      <c r="G473" s="82"/>
      <c r="H473" s="68" t="str">
        <f t="shared" si="236"/>
        <v>Lacine13_20191123_18_00</v>
      </c>
      <c r="I473" s="69">
        <f t="shared" si="238"/>
        <v>1</v>
      </c>
      <c r="J473" s="76" t="str">
        <f t="shared" si="238"/>
        <v>Lactuca</v>
      </c>
      <c r="K473" s="76" t="str">
        <f t="shared" si="238"/>
        <v>inermis</v>
      </c>
      <c r="L473" s="77">
        <f t="shared" si="238"/>
        <v>13</v>
      </c>
      <c r="M473" s="77">
        <f t="shared" si="238"/>
        <v>2</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2019</v>
      </c>
      <c r="B474" s="72" t="str">
        <f t="shared" si="217"/>
        <v>Nov</v>
      </c>
      <c r="C474" s="73">
        <f t="shared" si="235"/>
        <v>23</v>
      </c>
      <c r="D474" s="74">
        <f t="shared" si="218"/>
        <v>18</v>
      </c>
      <c r="E474" s="75">
        <f t="shared" si="219"/>
        <v>11</v>
      </c>
      <c r="F474" s="79"/>
      <c r="G474" s="82"/>
      <c r="H474" s="68" t="str">
        <f t="shared" si="236"/>
        <v>Lacine13_20191123_18_00</v>
      </c>
      <c r="I474" s="69">
        <f t="shared" si="238"/>
        <v>1</v>
      </c>
      <c r="J474" s="76" t="str">
        <f t="shared" si="238"/>
        <v>Lactuca</v>
      </c>
      <c r="K474" s="76" t="str">
        <f t="shared" si="238"/>
        <v>inermis</v>
      </c>
      <c r="L474" s="77">
        <f t="shared" si="238"/>
        <v>13</v>
      </c>
      <c r="M474" s="77">
        <f t="shared" si="238"/>
        <v>2</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2019</v>
      </c>
      <c r="B475" s="72" t="str">
        <f t="shared" si="217"/>
        <v>Nov</v>
      </c>
      <c r="C475" s="73">
        <f t="shared" si="235"/>
        <v>23</v>
      </c>
      <c r="D475" s="74">
        <f t="shared" si="218"/>
        <v>18</v>
      </c>
      <c r="E475" s="75">
        <f t="shared" si="219"/>
        <v>12</v>
      </c>
      <c r="F475" s="79"/>
      <c r="G475" s="82"/>
      <c r="H475" s="68" t="str">
        <f t="shared" si="236"/>
        <v>Lacine13_20191123_18_00</v>
      </c>
      <c r="I475" s="69">
        <f t="shared" si="238"/>
        <v>1</v>
      </c>
      <c r="J475" s="76" t="str">
        <f t="shared" si="238"/>
        <v>Lactuca</v>
      </c>
      <c r="K475" s="76" t="str">
        <f t="shared" si="238"/>
        <v>inermis</v>
      </c>
      <c r="L475" s="77">
        <f t="shared" si="238"/>
        <v>13</v>
      </c>
      <c r="M475" s="77">
        <f t="shared" si="238"/>
        <v>2</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2019</v>
      </c>
      <c r="B476" s="72" t="str">
        <f t="shared" si="217"/>
        <v>Nov</v>
      </c>
      <c r="C476" s="73">
        <f t="shared" si="235"/>
        <v>23</v>
      </c>
      <c r="D476" s="74">
        <f t="shared" si="218"/>
        <v>18</v>
      </c>
      <c r="E476" s="75">
        <f t="shared" si="219"/>
        <v>13</v>
      </c>
      <c r="F476" s="79"/>
      <c r="G476" s="82"/>
      <c r="H476" s="68" t="str">
        <f t="shared" si="236"/>
        <v>Lacine13_20191123_18_00</v>
      </c>
      <c r="I476" s="69">
        <f t="shared" si="238"/>
        <v>1</v>
      </c>
      <c r="J476" s="76" t="str">
        <f t="shared" si="238"/>
        <v>Lactuca</v>
      </c>
      <c r="K476" s="76" t="str">
        <f t="shared" si="238"/>
        <v>inermis</v>
      </c>
      <c r="L476" s="77">
        <f t="shared" si="238"/>
        <v>13</v>
      </c>
      <c r="M476" s="77">
        <f t="shared" si="238"/>
        <v>2</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2019</v>
      </c>
      <c r="B477" s="72" t="str">
        <f t="shared" si="217"/>
        <v>Nov</v>
      </c>
      <c r="C477" s="73">
        <f t="shared" si="235"/>
        <v>23</v>
      </c>
      <c r="D477" s="74">
        <f t="shared" si="218"/>
        <v>18</v>
      </c>
      <c r="E477" s="75">
        <f t="shared" si="219"/>
        <v>14</v>
      </c>
      <c r="F477" s="79"/>
      <c r="G477" s="82"/>
      <c r="H477" s="68" t="str">
        <f t="shared" si="236"/>
        <v>Lacine13_20191123_18_00</v>
      </c>
      <c r="I477" s="69">
        <f t="shared" si="238"/>
        <v>1</v>
      </c>
      <c r="J477" s="76" t="str">
        <f t="shared" si="238"/>
        <v>Lactuca</v>
      </c>
      <c r="K477" s="76" t="str">
        <f t="shared" si="238"/>
        <v>inermis</v>
      </c>
      <c r="L477" s="77">
        <f t="shared" si="238"/>
        <v>13</v>
      </c>
      <c r="M477" s="77">
        <f t="shared" si="238"/>
        <v>2</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2019</v>
      </c>
      <c r="B478" s="72" t="str">
        <f t="shared" si="217"/>
        <v>Nov</v>
      </c>
      <c r="C478" s="73">
        <f t="shared" si="235"/>
        <v>23</v>
      </c>
      <c r="D478" s="74">
        <f t="shared" si="218"/>
        <v>18</v>
      </c>
      <c r="E478" s="75">
        <f t="shared" si="219"/>
        <v>15</v>
      </c>
      <c r="F478" s="79"/>
      <c r="G478" s="82"/>
      <c r="H478" s="68" t="str">
        <f t="shared" si="236"/>
        <v>Lacine13_20191123_18_00</v>
      </c>
      <c r="I478" s="69">
        <f t="shared" si="238"/>
        <v>1</v>
      </c>
      <c r="J478" s="76" t="str">
        <f t="shared" si="238"/>
        <v>Lactuca</v>
      </c>
      <c r="K478" s="76" t="str">
        <f t="shared" si="238"/>
        <v>inermis</v>
      </c>
      <c r="L478" s="77">
        <f t="shared" si="238"/>
        <v>13</v>
      </c>
      <c r="M478" s="77">
        <f t="shared" si="238"/>
        <v>2</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2019</v>
      </c>
      <c r="B479" s="72" t="str">
        <f t="shared" si="217"/>
        <v>Nov</v>
      </c>
      <c r="C479" s="73">
        <f t="shared" si="235"/>
        <v>23</v>
      </c>
      <c r="D479" s="74">
        <f t="shared" si="218"/>
        <v>18</v>
      </c>
      <c r="E479" s="75">
        <f t="shared" si="219"/>
        <v>16</v>
      </c>
      <c r="F479" s="79"/>
      <c r="G479" s="82"/>
      <c r="H479" s="68" t="str">
        <f t="shared" si="236"/>
        <v>Lacine13_20191123_18_00</v>
      </c>
      <c r="I479" s="69">
        <f t="shared" si="238"/>
        <v>1</v>
      </c>
      <c r="J479" s="76" t="str">
        <f t="shared" si="238"/>
        <v>Lactuca</v>
      </c>
      <c r="K479" s="76" t="str">
        <f t="shared" si="238"/>
        <v>inermis</v>
      </c>
      <c r="L479" s="77">
        <f t="shared" si="238"/>
        <v>13</v>
      </c>
      <c r="M479" s="77">
        <f t="shared" si="238"/>
        <v>2</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2019</v>
      </c>
      <c r="B480" s="72" t="str">
        <f t="shared" si="217"/>
        <v>Nov</v>
      </c>
      <c r="C480" s="73">
        <f t="shared" si="235"/>
        <v>23</v>
      </c>
      <c r="D480" s="74">
        <f t="shared" si="218"/>
        <v>18</v>
      </c>
      <c r="E480" s="75">
        <f t="shared" si="219"/>
        <v>17</v>
      </c>
      <c r="F480" s="79"/>
      <c r="G480" s="82"/>
      <c r="H480" s="68" t="str">
        <f t="shared" si="236"/>
        <v>Lacine13_20191123_18_00</v>
      </c>
      <c r="I480" s="69">
        <f t="shared" si="238"/>
        <v>1</v>
      </c>
      <c r="J480" s="76" t="str">
        <f t="shared" si="238"/>
        <v>Lactuca</v>
      </c>
      <c r="K480" s="76" t="str">
        <f t="shared" si="238"/>
        <v>inermis</v>
      </c>
      <c r="L480" s="77">
        <f t="shared" si="238"/>
        <v>13</v>
      </c>
      <c r="M480" s="77">
        <f t="shared" si="238"/>
        <v>2</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2019</v>
      </c>
      <c r="B481" s="72" t="str">
        <f t="shared" si="217"/>
        <v>Nov</v>
      </c>
      <c r="C481" s="73">
        <f t="shared" si="235"/>
        <v>23</v>
      </c>
      <c r="D481" s="74">
        <f t="shared" si="218"/>
        <v>18</v>
      </c>
      <c r="E481" s="75">
        <f t="shared" si="219"/>
        <v>18</v>
      </c>
      <c r="F481" s="79"/>
      <c r="G481" s="82"/>
      <c r="H481" s="68" t="str">
        <f t="shared" si="236"/>
        <v>Lacine13_20191123_18_00</v>
      </c>
      <c r="I481" s="69">
        <f t="shared" si="238"/>
        <v>1</v>
      </c>
      <c r="J481" s="76" t="str">
        <f t="shared" si="238"/>
        <v>Lactuca</v>
      </c>
      <c r="K481" s="76" t="str">
        <f t="shared" si="238"/>
        <v>inermis</v>
      </c>
      <c r="L481" s="77">
        <f t="shared" si="238"/>
        <v>13</v>
      </c>
      <c r="M481" s="77">
        <f t="shared" si="238"/>
        <v>2</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2019</v>
      </c>
      <c r="B482" s="72" t="str">
        <f t="shared" si="217"/>
        <v>Nov</v>
      </c>
      <c r="C482" s="73">
        <f t="shared" si="235"/>
        <v>23</v>
      </c>
      <c r="D482" s="74">
        <f t="shared" si="218"/>
        <v>18</v>
      </c>
      <c r="E482" s="75">
        <f t="shared" si="219"/>
        <v>19</v>
      </c>
      <c r="F482" s="79"/>
      <c r="G482" s="82"/>
      <c r="H482" s="68" t="str">
        <f t="shared" si="236"/>
        <v>Lacine13_20191123_18_00</v>
      </c>
      <c r="I482" s="69">
        <f t="shared" si="238"/>
        <v>1</v>
      </c>
      <c r="J482" s="76" t="str">
        <f t="shared" si="238"/>
        <v>Lactuca</v>
      </c>
      <c r="K482" s="76" t="str">
        <f t="shared" si="238"/>
        <v>inermis</v>
      </c>
      <c r="L482" s="77">
        <f t="shared" si="238"/>
        <v>13</v>
      </c>
      <c r="M482" s="77">
        <f t="shared" si="238"/>
        <v>2</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2019</v>
      </c>
      <c r="B483" s="72" t="str">
        <f t="shared" si="217"/>
        <v>Nov</v>
      </c>
      <c r="C483" s="73">
        <f t="shared" si="235"/>
        <v>23</v>
      </c>
      <c r="D483" s="74">
        <f t="shared" si="218"/>
        <v>18</v>
      </c>
      <c r="E483" s="75">
        <f t="shared" si="219"/>
        <v>20</v>
      </c>
      <c r="F483" s="79"/>
      <c r="G483" s="82"/>
      <c r="H483" s="68" t="str">
        <f t="shared" si="236"/>
        <v>Lacine13_20191123_18_00</v>
      </c>
      <c r="I483" s="69">
        <f t="shared" si="238"/>
        <v>1</v>
      </c>
      <c r="J483" s="76" t="str">
        <f t="shared" si="238"/>
        <v>Lactuca</v>
      </c>
      <c r="K483" s="76" t="str">
        <f t="shared" si="238"/>
        <v>inermis</v>
      </c>
      <c r="L483" s="77">
        <f t="shared" si="238"/>
        <v>13</v>
      </c>
      <c r="M483" s="77">
        <f t="shared" si="238"/>
        <v>2</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t="s">
        <v>74</v>
      </c>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2019</v>
      </c>
      <c r="B484" s="72" t="str">
        <f t="shared" si="217"/>
        <v>Nov</v>
      </c>
      <c r="C484" s="73">
        <f t="shared" si="235"/>
        <v>23</v>
      </c>
      <c r="D484" s="74">
        <f t="shared" si="218"/>
        <v>18</v>
      </c>
      <c r="E484" s="75">
        <f t="shared" si="219"/>
        <v>21</v>
      </c>
      <c r="F484" s="79"/>
      <c r="G484" s="82"/>
      <c r="H484" s="68" t="str">
        <f t="shared" si="236"/>
        <v>Lacine13_20191123_18_00</v>
      </c>
      <c r="I484" s="69">
        <f t="shared" si="238"/>
        <v>1</v>
      </c>
      <c r="J484" s="76" t="str">
        <f t="shared" si="238"/>
        <v>Lactuca</v>
      </c>
      <c r="K484" s="76" t="str">
        <f t="shared" si="238"/>
        <v>inermis</v>
      </c>
      <c r="L484" s="77">
        <f t="shared" si="238"/>
        <v>13</v>
      </c>
      <c r="M484" s="77">
        <f t="shared" si="238"/>
        <v>2</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2019</v>
      </c>
      <c r="B485" s="72" t="str">
        <f t="shared" si="217"/>
        <v>Nov</v>
      </c>
      <c r="C485" s="73">
        <f t="shared" si="235"/>
        <v>23</v>
      </c>
      <c r="D485" s="74">
        <f t="shared" si="218"/>
        <v>18</v>
      </c>
      <c r="E485" s="75">
        <f t="shared" si="219"/>
        <v>22</v>
      </c>
      <c r="F485" s="79"/>
      <c r="G485" s="82"/>
      <c r="H485" s="68" t="str">
        <f t="shared" si="236"/>
        <v>Lacine13_20191123_18_00</v>
      </c>
      <c r="I485" s="69">
        <f t="shared" ref="I485:N500" si="239">I484</f>
        <v>1</v>
      </c>
      <c r="J485" s="76" t="str">
        <f t="shared" si="239"/>
        <v>Lactuca</v>
      </c>
      <c r="K485" s="76" t="str">
        <f t="shared" si="239"/>
        <v>inermis</v>
      </c>
      <c r="L485" s="77">
        <f t="shared" si="239"/>
        <v>13</v>
      </c>
      <c r="M485" s="77">
        <f t="shared" si="239"/>
        <v>2</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2019</v>
      </c>
      <c r="B486" s="72" t="str">
        <f t="shared" si="217"/>
        <v>Nov</v>
      </c>
      <c r="C486" s="73">
        <f t="shared" si="235"/>
        <v>23</v>
      </c>
      <c r="D486" s="74">
        <f t="shared" si="218"/>
        <v>18</v>
      </c>
      <c r="E486" s="75">
        <f t="shared" si="219"/>
        <v>23</v>
      </c>
      <c r="F486" s="79"/>
      <c r="G486" s="82"/>
      <c r="H486" s="68" t="str">
        <f t="shared" si="236"/>
        <v>Lacine13_20191123_18_00</v>
      </c>
      <c r="I486" s="69">
        <f t="shared" si="239"/>
        <v>1</v>
      </c>
      <c r="J486" s="76" t="str">
        <f t="shared" si="239"/>
        <v>Lactuca</v>
      </c>
      <c r="K486" s="76" t="str">
        <f t="shared" si="239"/>
        <v>inermis</v>
      </c>
      <c r="L486" s="77">
        <f t="shared" si="239"/>
        <v>13</v>
      </c>
      <c r="M486" s="77">
        <f t="shared" si="239"/>
        <v>2</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2019</v>
      </c>
      <c r="B487" s="72" t="str">
        <f t="shared" si="217"/>
        <v>Nov</v>
      </c>
      <c r="C487" s="73">
        <f t="shared" si="235"/>
        <v>23</v>
      </c>
      <c r="D487" s="74">
        <f t="shared" si="218"/>
        <v>18</v>
      </c>
      <c r="E487" s="75">
        <f t="shared" si="219"/>
        <v>24</v>
      </c>
      <c r="F487" s="79"/>
      <c r="G487" s="82"/>
      <c r="H487" s="68" t="str">
        <f t="shared" si="236"/>
        <v>Lacine13_20191123_18_00</v>
      </c>
      <c r="I487" s="69">
        <f t="shared" si="239"/>
        <v>1</v>
      </c>
      <c r="J487" s="76" t="str">
        <f t="shared" si="239"/>
        <v>Lactuca</v>
      </c>
      <c r="K487" s="76" t="str">
        <f t="shared" si="239"/>
        <v>inermis</v>
      </c>
      <c r="L487" s="77">
        <f t="shared" si="239"/>
        <v>13</v>
      </c>
      <c r="M487" s="77">
        <f t="shared" si="239"/>
        <v>2</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2019</v>
      </c>
      <c r="B488" s="72" t="str">
        <f t="shared" si="217"/>
        <v>Nov</v>
      </c>
      <c r="C488" s="73">
        <f t="shared" si="235"/>
        <v>23</v>
      </c>
      <c r="D488" s="74">
        <f t="shared" si="218"/>
        <v>18</v>
      </c>
      <c r="E488" s="75">
        <f t="shared" si="219"/>
        <v>25</v>
      </c>
      <c r="F488" s="79"/>
      <c r="G488" s="82"/>
      <c r="H488" s="68" t="str">
        <f t="shared" si="236"/>
        <v>Lacine13_20191123_18_00</v>
      </c>
      <c r="I488" s="69">
        <f t="shared" si="239"/>
        <v>1</v>
      </c>
      <c r="J488" s="76" t="str">
        <f t="shared" si="239"/>
        <v>Lactuca</v>
      </c>
      <c r="K488" s="76" t="str">
        <f t="shared" si="239"/>
        <v>inermis</v>
      </c>
      <c r="L488" s="77">
        <f t="shared" si="239"/>
        <v>13</v>
      </c>
      <c r="M488" s="77">
        <f t="shared" si="239"/>
        <v>2</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2019</v>
      </c>
      <c r="B489" s="72" t="str">
        <f t="shared" si="217"/>
        <v>Nov</v>
      </c>
      <c r="C489" s="73">
        <f t="shared" si="235"/>
        <v>23</v>
      </c>
      <c r="D489" s="74">
        <f t="shared" si="218"/>
        <v>18</v>
      </c>
      <c r="E489" s="75">
        <f t="shared" si="219"/>
        <v>26</v>
      </c>
      <c r="F489" s="79"/>
      <c r="G489" s="82"/>
      <c r="H489" s="68" t="str">
        <f t="shared" si="236"/>
        <v>Lacine13_20191123_18_00</v>
      </c>
      <c r="I489" s="69">
        <f t="shared" si="239"/>
        <v>1</v>
      </c>
      <c r="J489" s="76" t="str">
        <f t="shared" si="239"/>
        <v>Lactuca</v>
      </c>
      <c r="K489" s="76" t="str">
        <f t="shared" si="239"/>
        <v>inermis</v>
      </c>
      <c r="L489" s="77">
        <f t="shared" si="239"/>
        <v>13</v>
      </c>
      <c r="M489" s="77">
        <f t="shared" si="239"/>
        <v>2</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2019</v>
      </c>
      <c r="B490" s="72" t="str">
        <f t="shared" si="217"/>
        <v>Nov</v>
      </c>
      <c r="C490" s="73">
        <f t="shared" si="235"/>
        <v>23</v>
      </c>
      <c r="D490" s="74">
        <f t="shared" si="218"/>
        <v>18</v>
      </c>
      <c r="E490" s="75">
        <f t="shared" si="219"/>
        <v>27</v>
      </c>
      <c r="F490" s="79"/>
      <c r="G490" s="82"/>
      <c r="H490" s="68" t="str">
        <f t="shared" si="236"/>
        <v>Lacine13_20191123_18_00</v>
      </c>
      <c r="I490" s="69">
        <f t="shared" si="239"/>
        <v>1</v>
      </c>
      <c r="J490" s="76" t="str">
        <f t="shared" si="239"/>
        <v>Lactuca</v>
      </c>
      <c r="K490" s="76" t="str">
        <f t="shared" si="239"/>
        <v>inermis</v>
      </c>
      <c r="L490" s="77">
        <f t="shared" si="239"/>
        <v>13</v>
      </c>
      <c r="M490" s="77">
        <f t="shared" si="239"/>
        <v>2</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2019</v>
      </c>
      <c r="B491" s="72" t="str">
        <f t="shared" si="217"/>
        <v>Nov</v>
      </c>
      <c r="C491" s="73">
        <f t="shared" si="235"/>
        <v>23</v>
      </c>
      <c r="D491" s="74">
        <f t="shared" si="218"/>
        <v>18</v>
      </c>
      <c r="E491" s="75">
        <f t="shared" si="219"/>
        <v>28</v>
      </c>
      <c r="F491" s="79"/>
      <c r="G491" s="82"/>
      <c r="H491" s="68" t="str">
        <f t="shared" si="236"/>
        <v>Lacine13_20191123_18_00</v>
      </c>
      <c r="I491" s="69">
        <f t="shared" si="239"/>
        <v>1</v>
      </c>
      <c r="J491" s="76" t="str">
        <f t="shared" si="239"/>
        <v>Lactuca</v>
      </c>
      <c r="K491" s="76" t="str">
        <f t="shared" si="239"/>
        <v>inermis</v>
      </c>
      <c r="L491" s="77">
        <f t="shared" si="239"/>
        <v>13</v>
      </c>
      <c r="M491" s="77">
        <f t="shared" si="239"/>
        <v>2</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2019</v>
      </c>
      <c r="B492" s="72" t="str">
        <f t="shared" si="217"/>
        <v>Nov</v>
      </c>
      <c r="C492" s="73">
        <f t="shared" si="235"/>
        <v>23</v>
      </c>
      <c r="D492" s="74">
        <f t="shared" si="218"/>
        <v>18</v>
      </c>
      <c r="E492" s="75">
        <f t="shared" si="219"/>
        <v>29</v>
      </c>
      <c r="F492" s="79"/>
      <c r="G492" s="82"/>
      <c r="H492" s="68" t="str">
        <f t="shared" si="236"/>
        <v>Lacine13_20191123_18_00</v>
      </c>
      <c r="I492" s="69">
        <f t="shared" si="239"/>
        <v>1</v>
      </c>
      <c r="J492" s="76" t="str">
        <f t="shared" si="239"/>
        <v>Lactuca</v>
      </c>
      <c r="K492" s="76" t="str">
        <f t="shared" si="239"/>
        <v>inermis</v>
      </c>
      <c r="L492" s="77">
        <f t="shared" si="239"/>
        <v>13</v>
      </c>
      <c r="M492" s="77">
        <f t="shared" si="239"/>
        <v>2</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2019</v>
      </c>
      <c r="B493" s="72" t="str">
        <f t="shared" si="217"/>
        <v>Nov</v>
      </c>
      <c r="C493" s="73">
        <f t="shared" si="235"/>
        <v>23</v>
      </c>
      <c r="D493" s="74">
        <f t="shared" si="218"/>
        <v>18</v>
      </c>
      <c r="E493" s="75">
        <f t="shared" si="219"/>
        <v>30</v>
      </c>
      <c r="F493" s="79"/>
      <c r="G493" s="82"/>
      <c r="H493" s="68" t="str">
        <f t="shared" si="236"/>
        <v>Lacine13_20191123_18_00</v>
      </c>
      <c r="I493" s="69">
        <f t="shared" si="239"/>
        <v>1</v>
      </c>
      <c r="J493" s="76" t="str">
        <f t="shared" si="239"/>
        <v>Lactuca</v>
      </c>
      <c r="K493" s="76" t="str">
        <f t="shared" si="239"/>
        <v>inermis</v>
      </c>
      <c r="L493" s="77">
        <f t="shared" si="239"/>
        <v>13</v>
      </c>
      <c r="M493" s="77">
        <f t="shared" si="239"/>
        <v>2</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2019</v>
      </c>
      <c r="B494" s="72" t="str">
        <f t="shared" si="217"/>
        <v>Nov</v>
      </c>
      <c r="C494" s="73">
        <f t="shared" si="235"/>
        <v>23</v>
      </c>
      <c r="D494" s="74">
        <f t="shared" si="218"/>
        <v>18</v>
      </c>
      <c r="E494" s="75">
        <f t="shared" si="219"/>
        <v>31</v>
      </c>
      <c r="F494" s="79"/>
      <c r="G494" s="82"/>
      <c r="H494" s="68" t="str">
        <f t="shared" si="236"/>
        <v>Lacine13_20191123_18_00</v>
      </c>
      <c r="I494" s="69">
        <f t="shared" si="239"/>
        <v>1</v>
      </c>
      <c r="J494" s="76" t="str">
        <f t="shared" si="239"/>
        <v>Lactuca</v>
      </c>
      <c r="K494" s="76" t="str">
        <f t="shared" si="239"/>
        <v>inermis</v>
      </c>
      <c r="L494" s="77">
        <f t="shared" si="239"/>
        <v>13</v>
      </c>
      <c r="M494" s="77">
        <f t="shared" si="239"/>
        <v>2</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2019</v>
      </c>
      <c r="B495" s="72" t="str">
        <f t="shared" si="217"/>
        <v>Nov</v>
      </c>
      <c r="C495" s="73">
        <f t="shared" si="235"/>
        <v>23</v>
      </c>
      <c r="D495" s="74">
        <f t="shared" si="218"/>
        <v>18</v>
      </c>
      <c r="E495" s="75">
        <f t="shared" si="219"/>
        <v>32</v>
      </c>
      <c r="F495" s="79"/>
      <c r="G495" s="82"/>
      <c r="H495" s="68" t="str">
        <f t="shared" si="236"/>
        <v>Lacine13_20191123_18_00</v>
      </c>
      <c r="I495" s="69">
        <f t="shared" si="239"/>
        <v>1</v>
      </c>
      <c r="J495" s="76" t="str">
        <f t="shared" si="239"/>
        <v>Lactuca</v>
      </c>
      <c r="K495" s="76" t="str">
        <f t="shared" si="239"/>
        <v>inermis</v>
      </c>
      <c r="L495" s="77">
        <f t="shared" si="239"/>
        <v>13</v>
      </c>
      <c r="M495" s="77">
        <f t="shared" si="239"/>
        <v>2</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2019</v>
      </c>
      <c r="B496" s="72" t="str">
        <f t="shared" si="217"/>
        <v>Nov</v>
      </c>
      <c r="C496" s="73">
        <f t="shared" si="235"/>
        <v>23</v>
      </c>
      <c r="D496" s="74">
        <f t="shared" si="218"/>
        <v>18</v>
      </c>
      <c r="E496" s="75">
        <f t="shared" si="219"/>
        <v>33</v>
      </c>
      <c r="F496" s="79"/>
      <c r="G496" s="82"/>
      <c r="H496" s="68" t="str">
        <f t="shared" si="236"/>
        <v>Lacine13_20191123_18_00</v>
      </c>
      <c r="I496" s="69">
        <f t="shared" si="239"/>
        <v>1</v>
      </c>
      <c r="J496" s="76" t="str">
        <f t="shared" si="239"/>
        <v>Lactuca</v>
      </c>
      <c r="K496" s="76" t="str">
        <f t="shared" si="239"/>
        <v>inermis</v>
      </c>
      <c r="L496" s="77">
        <f t="shared" si="239"/>
        <v>13</v>
      </c>
      <c r="M496" s="77">
        <f t="shared" si="239"/>
        <v>2</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2019</v>
      </c>
      <c r="B497" s="72" t="str">
        <f t="shared" si="217"/>
        <v>Nov</v>
      </c>
      <c r="C497" s="73">
        <f t="shared" si="235"/>
        <v>23</v>
      </c>
      <c r="D497" s="74">
        <f t="shared" si="218"/>
        <v>18</v>
      </c>
      <c r="E497" s="75">
        <f t="shared" si="219"/>
        <v>34</v>
      </c>
      <c r="F497" s="79"/>
      <c r="G497" s="82"/>
      <c r="H497" s="68" t="str">
        <f t="shared" si="236"/>
        <v>Lacine13_20191123_18_00</v>
      </c>
      <c r="I497" s="69">
        <f t="shared" si="239"/>
        <v>1</v>
      </c>
      <c r="J497" s="76" t="str">
        <f t="shared" si="239"/>
        <v>Lactuca</v>
      </c>
      <c r="K497" s="76" t="str">
        <f t="shared" si="239"/>
        <v>inermis</v>
      </c>
      <c r="L497" s="77">
        <f t="shared" si="239"/>
        <v>13</v>
      </c>
      <c r="M497" s="77">
        <f t="shared" si="239"/>
        <v>2</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2019</v>
      </c>
      <c r="B498" s="72" t="str">
        <f t="shared" si="217"/>
        <v>Nov</v>
      </c>
      <c r="C498" s="73">
        <f t="shared" si="235"/>
        <v>23</v>
      </c>
      <c r="D498" s="74">
        <f t="shared" si="218"/>
        <v>18</v>
      </c>
      <c r="E498" s="75">
        <f t="shared" si="219"/>
        <v>35</v>
      </c>
      <c r="F498" s="79"/>
      <c r="G498" s="82"/>
      <c r="H498" s="68" t="str">
        <f t="shared" si="236"/>
        <v>Lacine13_20191123_18_00</v>
      </c>
      <c r="I498" s="69">
        <f t="shared" si="239"/>
        <v>1</v>
      </c>
      <c r="J498" s="76" t="str">
        <f t="shared" si="239"/>
        <v>Lactuca</v>
      </c>
      <c r="K498" s="76" t="str">
        <f t="shared" si="239"/>
        <v>inermis</v>
      </c>
      <c r="L498" s="77">
        <f t="shared" si="239"/>
        <v>13</v>
      </c>
      <c r="M498" s="77">
        <f t="shared" si="239"/>
        <v>2</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2019</v>
      </c>
      <c r="B499" s="72" t="str">
        <f t="shared" si="217"/>
        <v>Nov</v>
      </c>
      <c r="C499" s="73">
        <f t="shared" si="235"/>
        <v>23</v>
      </c>
      <c r="D499" s="74">
        <f t="shared" si="218"/>
        <v>18</v>
      </c>
      <c r="E499" s="75">
        <f t="shared" si="219"/>
        <v>36</v>
      </c>
      <c r="F499" s="79"/>
      <c r="G499" s="82"/>
      <c r="H499" s="68" t="str">
        <f t="shared" si="236"/>
        <v>Lacine13_20191123_18_00</v>
      </c>
      <c r="I499" s="69">
        <f t="shared" si="239"/>
        <v>1</v>
      </c>
      <c r="J499" s="76" t="str">
        <f t="shared" si="239"/>
        <v>Lactuca</v>
      </c>
      <c r="K499" s="76" t="str">
        <f t="shared" si="239"/>
        <v>inermis</v>
      </c>
      <c r="L499" s="77">
        <f t="shared" si="239"/>
        <v>13</v>
      </c>
      <c r="M499" s="77">
        <f t="shared" si="239"/>
        <v>2</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2019</v>
      </c>
      <c r="B500" s="72" t="str">
        <f t="shared" si="217"/>
        <v>Nov</v>
      </c>
      <c r="C500" s="73">
        <f t="shared" si="235"/>
        <v>23</v>
      </c>
      <c r="D500" s="74">
        <f t="shared" si="218"/>
        <v>18</v>
      </c>
      <c r="E500" s="75">
        <f t="shared" si="219"/>
        <v>37</v>
      </c>
      <c r="F500" s="79"/>
      <c r="G500" s="82"/>
      <c r="H500" s="68" t="str">
        <f t="shared" si="236"/>
        <v>Lacine13_20191123_18_00</v>
      </c>
      <c r="I500" s="69">
        <f t="shared" si="239"/>
        <v>1</v>
      </c>
      <c r="J500" s="76" t="str">
        <f t="shared" si="239"/>
        <v>Lactuca</v>
      </c>
      <c r="K500" s="76" t="str">
        <f t="shared" si="239"/>
        <v>inermis</v>
      </c>
      <c r="L500" s="77">
        <f t="shared" si="239"/>
        <v>13</v>
      </c>
      <c r="M500" s="77">
        <f t="shared" si="239"/>
        <v>2</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2019</v>
      </c>
      <c r="B501" s="72" t="str">
        <f t="shared" si="217"/>
        <v>Nov</v>
      </c>
      <c r="C501" s="73">
        <f t="shared" si="235"/>
        <v>23</v>
      </c>
      <c r="D501" s="74">
        <f t="shared" si="218"/>
        <v>18</v>
      </c>
      <c r="E501" s="75">
        <f t="shared" si="219"/>
        <v>38</v>
      </c>
      <c r="F501" s="79"/>
      <c r="G501" s="82"/>
      <c r="H501" s="68" t="str">
        <f t="shared" si="236"/>
        <v>Lacine13_20191123_18_00</v>
      </c>
      <c r="I501" s="69">
        <f t="shared" ref="I501:N516" si="240">I500</f>
        <v>1</v>
      </c>
      <c r="J501" s="76" t="str">
        <f t="shared" si="240"/>
        <v>Lactuca</v>
      </c>
      <c r="K501" s="76" t="str">
        <f t="shared" si="240"/>
        <v>inermis</v>
      </c>
      <c r="L501" s="77">
        <f t="shared" si="240"/>
        <v>13</v>
      </c>
      <c r="M501" s="77">
        <f t="shared" si="240"/>
        <v>2</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2019</v>
      </c>
      <c r="B502" s="72" t="str">
        <f t="shared" si="217"/>
        <v>Nov</v>
      </c>
      <c r="C502" s="73">
        <f t="shared" si="235"/>
        <v>23</v>
      </c>
      <c r="D502" s="74">
        <f t="shared" si="218"/>
        <v>18</v>
      </c>
      <c r="E502" s="75">
        <f t="shared" si="219"/>
        <v>39</v>
      </c>
      <c r="F502" s="79"/>
      <c r="G502" s="82"/>
      <c r="H502" s="68" t="str">
        <f t="shared" si="236"/>
        <v>Lacine13_20191123_18_00</v>
      </c>
      <c r="I502" s="69">
        <f t="shared" si="240"/>
        <v>1</v>
      </c>
      <c r="J502" s="76" t="str">
        <f t="shared" si="240"/>
        <v>Lactuca</v>
      </c>
      <c r="K502" s="76" t="str">
        <f t="shared" si="240"/>
        <v>inermis</v>
      </c>
      <c r="L502" s="77">
        <f t="shared" si="240"/>
        <v>13</v>
      </c>
      <c r="M502" s="77">
        <f t="shared" si="240"/>
        <v>2</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2019</v>
      </c>
      <c r="B503" s="72" t="str">
        <f t="shared" si="217"/>
        <v>Nov</v>
      </c>
      <c r="C503" s="73">
        <f t="shared" si="235"/>
        <v>23</v>
      </c>
      <c r="D503" s="74">
        <f t="shared" si="218"/>
        <v>18</v>
      </c>
      <c r="E503" s="75">
        <f t="shared" si="219"/>
        <v>40</v>
      </c>
      <c r="F503" s="79"/>
      <c r="G503" s="82"/>
      <c r="H503" s="68" t="str">
        <f t="shared" si="236"/>
        <v>Lacine13_20191123_18_00</v>
      </c>
      <c r="I503" s="69">
        <f t="shared" si="240"/>
        <v>1</v>
      </c>
      <c r="J503" s="76" t="str">
        <f t="shared" si="240"/>
        <v>Lactuca</v>
      </c>
      <c r="K503" s="76" t="str">
        <f t="shared" si="240"/>
        <v>inermis</v>
      </c>
      <c r="L503" s="77">
        <f t="shared" si="240"/>
        <v>13</v>
      </c>
      <c r="M503" s="77">
        <f t="shared" si="240"/>
        <v>2</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2019</v>
      </c>
      <c r="B504" s="72" t="str">
        <f t="shared" si="217"/>
        <v>Nov</v>
      </c>
      <c r="C504" s="73">
        <f t="shared" si="235"/>
        <v>23</v>
      </c>
      <c r="D504" s="74">
        <f t="shared" si="218"/>
        <v>18</v>
      </c>
      <c r="E504" s="75">
        <f t="shared" si="219"/>
        <v>41</v>
      </c>
      <c r="F504" s="79"/>
      <c r="G504" s="82"/>
      <c r="H504" s="68" t="str">
        <f t="shared" si="236"/>
        <v>Lacine13_20191123_18_00</v>
      </c>
      <c r="I504" s="69">
        <f t="shared" si="240"/>
        <v>1</v>
      </c>
      <c r="J504" s="76" t="str">
        <f t="shared" si="240"/>
        <v>Lactuca</v>
      </c>
      <c r="K504" s="76" t="str">
        <f t="shared" si="240"/>
        <v>inermis</v>
      </c>
      <c r="L504" s="77">
        <f t="shared" si="240"/>
        <v>13</v>
      </c>
      <c r="M504" s="77">
        <f t="shared" si="240"/>
        <v>2</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2019</v>
      </c>
      <c r="B505" s="72" t="str">
        <f t="shared" si="217"/>
        <v>Nov</v>
      </c>
      <c r="C505" s="73">
        <f t="shared" si="235"/>
        <v>23</v>
      </c>
      <c r="D505" s="74">
        <f t="shared" si="218"/>
        <v>18</v>
      </c>
      <c r="E505" s="75">
        <f t="shared" si="219"/>
        <v>42</v>
      </c>
      <c r="F505" s="79"/>
      <c r="G505" s="82"/>
      <c r="H505" s="68" t="str">
        <f t="shared" si="236"/>
        <v>Lacine13_20191123_18_00</v>
      </c>
      <c r="I505" s="69">
        <f t="shared" si="240"/>
        <v>1</v>
      </c>
      <c r="J505" s="76" t="str">
        <f t="shared" si="240"/>
        <v>Lactuca</v>
      </c>
      <c r="K505" s="76" t="str">
        <f t="shared" si="240"/>
        <v>inermis</v>
      </c>
      <c r="L505" s="77">
        <f t="shared" si="240"/>
        <v>13</v>
      </c>
      <c r="M505" s="77">
        <f t="shared" si="240"/>
        <v>2</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2019</v>
      </c>
      <c r="B506" s="72" t="str">
        <f t="shared" si="217"/>
        <v>Nov</v>
      </c>
      <c r="C506" s="73">
        <f t="shared" si="235"/>
        <v>23</v>
      </c>
      <c r="D506" s="74">
        <f t="shared" si="218"/>
        <v>18</v>
      </c>
      <c r="E506" s="75">
        <f t="shared" si="219"/>
        <v>43</v>
      </c>
      <c r="F506" s="79"/>
      <c r="G506" s="82"/>
      <c r="H506" s="68" t="str">
        <f t="shared" si="236"/>
        <v>Lacine13_20191123_18_00</v>
      </c>
      <c r="I506" s="69">
        <f t="shared" si="240"/>
        <v>1</v>
      </c>
      <c r="J506" s="76" t="str">
        <f t="shared" si="240"/>
        <v>Lactuca</v>
      </c>
      <c r="K506" s="76" t="str">
        <f t="shared" si="240"/>
        <v>inermis</v>
      </c>
      <c r="L506" s="77">
        <f t="shared" si="240"/>
        <v>13</v>
      </c>
      <c r="M506" s="77">
        <f t="shared" si="240"/>
        <v>2</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2019</v>
      </c>
      <c r="B507" s="72" t="str">
        <f t="shared" si="217"/>
        <v>Nov</v>
      </c>
      <c r="C507" s="73">
        <f t="shared" si="235"/>
        <v>23</v>
      </c>
      <c r="D507" s="74">
        <f t="shared" si="218"/>
        <v>18</v>
      </c>
      <c r="E507" s="75">
        <f t="shared" si="219"/>
        <v>44</v>
      </c>
      <c r="F507" s="79"/>
      <c r="G507" s="82"/>
      <c r="H507" s="68" t="str">
        <f t="shared" si="236"/>
        <v>Lacine13_20191123_18_00</v>
      </c>
      <c r="I507" s="69">
        <f t="shared" si="240"/>
        <v>1</v>
      </c>
      <c r="J507" s="76" t="str">
        <f t="shared" si="240"/>
        <v>Lactuca</v>
      </c>
      <c r="K507" s="76" t="str">
        <f t="shared" si="240"/>
        <v>inermis</v>
      </c>
      <c r="L507" s="77">
        <f t="shared" si="240"/>
        <v>13</v>
      </c>
      <c r="M507" s="77">
        <f t="shared" si="240"/>
        <v>2</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2019</v>
      </c>
      <c r="B508" s="72" t="str">
        <f t="shared" si="217"/>
        <v>Nov</v>
      </c>
      <c r="C508" s="73">
        <f t="shared" si="235"/>
        <v>23</v>
      </c>
      <c r="D508" s="74">
        <f t="shared" si="218"/>
        <v>18</v>
      </c>
      <c r="E508" s="75">
        <f t="shared" si="219"/>
        <v>45</v>
      </c>
      <c r="F508" s="79"/>
      <c r="G508" s="82"/>
      <c r="H508" s="68" t="str">
        <f t="shared" si="236"/>
        <v>Lacine13_20191123_18_00</v>
      </c>
      <c r="I508" s="69">
        <f t="shared" si="240"/>
        <v>1</v>
      </c>
      <c r="J508" s="76" t="str">
        <f t="shared" si="240"/>
        <v>Lactuca</v>
      </c>
      <c r="K508" s="76" t="str">
        <f t="shared" si="240"/>
        <v>inermis</v>
      </c>
      <c r="L508" s="77">
        <f t="shared" si="240"/>
        <v>13</v>
      </c>
      <c r="M508" s="77">
        <f t="shared" si="240"/>
        <v>2</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2019</v>
      </c>
      <c r="B509" s="72" t="str">
        <f t="shared" si="217"/>
        <v>Nov</v>
      </c>
      <c r="C509" s="73">
        <f t="shared" si="235"/>
        <v>23</v>
      </c>
      <c r="D509" s="74">
        <f t="shared" si="218"/>
        <v>18</v>
      </c>
      <c r="E509" s="75">
        <f t="shared" si="219"/>
        <v>46</v>
      </c>
      <c r="F509" s="79"/>
      <c r="G509" s="82"/>
      <c r="H509" s="68" t="str">
        <f t="shared" si="236"/>
        <v>Lacine13_20191123_18_00</v>
      </c>
      <c r="I509" s="69">
        <f t="shared" si="240"/>
        <v>1</v>
      </c>
      <c r="J509" s="76" t="str">
        <f t="shared" si="240"/>
        <v>Lactuca</v>
      </c>
      <c r="K509" s="76" t="str">
        <f t="shared" si="240"/>
        <v>inermis</v>
      </c>
      <c r="L509" s="77">
        <f t="shared" si="240"/>
        <v>13</v>
      </c>
      <c r="M509" s="77">
        <f t="shared" si="240"/>
        <v>2</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2019</v>
      </c>
      <c r="B510" s="72" t="str">
        <f t="shared" si="217"/>
        <v>Nov</v>
      </c>
      <c r="C510" s="73">
        <f t="shared" si="235"/>
        <v>23</v>
      </c>
      <c r="D510" s="74">
        <f t="shared" si="218"/>
        <v>18</v>
      </c>
      <c r="E510" s="75">
        <f t="shared" si="219"/>
        <v>47</v>
      </c>
      <c r="F510" s="79"/>
      <c r="G510" s="82"/>
      <c r="H510" s="68" t="str">
        <f t="shared" si="236"/>
        <v>Lacine13_20191123_18_00</v>
      </c>
      <c r="I510" s="69">
        <f t="shared" si="240"/>
        <v>1</v>
      </c>
      <c r="J510" s="76" t="str">
        <f t="shared" si="240"/>
        <v>Lactuca</v>
      </c>
      <c r="K510" s="76" t="str">
        <f t="shared" si="240"/>
        <v>inermis</v>
      </c>
      <c r="L510" s="77">
        <f t="shared" si="240"/>
        <v>13</v>
      </c>
      <c r="M510" s="77">
        <f t="shared" si="240"/>
        <v>2</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2019</v>
      </c>
      <c r="B511" s="72" t="str">
        <f t="shared" si="217"/>
        <v>Nov</v>
      </c>
      <c r="C511" s="73">
        <f t="shared" si="235"/>
        <v>23</v>
      </c>
      <c r="D511" s="74">
        <f t="shared" si="218"/>
        <v>18</v>
      </c>
      <c r="E511" s="75">
        <f t="shared" si="219"/>
        <v>48</v>
      </c>
      <c r="F511" s="79"/>
      <c r="G511" s="82"/>
      <c r="H511" s="68" t="str">
        <f t="shared" si="236"/>
        <v>Lacine13_20191123_18_00</v>
      </c>
      <c r="I511" s="69">
        <f t="shared" si="240"/>
        <v>1</v>
      </c>
      <c r="J511" s="76" t="str">
        <f t="shared" si="240"/>
        <v>Lactuca</v>
      </c>
      <c r="K511" s="76" t="str">
        <f t="shared" si="240"/>
        <v>inermis</v>
      </c>
      <c r="L511" s="77">
        <f t="shared" si="240"/>
        <v>13</v>
      </c>
      <c r="M511" s="77">
        <f t="shared" si="240"/>
        <v>2</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2019</v>
      </c>
      <c r="B512" s="72" t="str">
        <f t="shared" si="217"/>
        <v>Nov</v>
      </c>
      <c r="C512" s="73">
        <f t="shared" si="235"/>
        <v>23</v>
      </c>
      <c r="D512" s="74">
        <f t="shared" si="218"/>
        <v>18</v>
      </c>
      <c r="E512" s="75">
        <f t="shared" si="219"/>
        <v>49</v>
      </c>
      <c r="F512" s="79"/>
      <c r="G512" s="82"/>
      <c r="H512" s="68" t="str">
        <f t="shared" si="236"/>
        <v>Lacine13_20191123_18_00</v>
      </c>
      <c r="I512" s="69">
        <f t="shared" si="240"/>
        <v>1</v>
      </c>
      <c r="J512" s="76" t="str">
        <f t="shared" si="240"/>
        <v>Lactuca</v>
      </c>
      <c r="K512" s="76" t="str">
        <f t="shared" si="240"/>
        <v>inermis</v>
      </c>
      <c r="L512" s="77">
        <f t="shared" si="240"/>
        <v>13</v>
      </c>
      <c r="M512" s="77">
        <f t="shared" si="240"/>
        <v>2</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2019</v>
      </c>
      <c r="B513" s="72" t="str">
        <f t="shared" si="217"/>
        <v>Nov</v>
      </c>
      <c r="C513" s="73">
        <f t="shared" si="235"/>
        <v>23</v>
      </c>
      <c r="D513" s="74">
        <f t="shared" si="218"/>
        <v>18</v>
      </c>
      <c r="E513" s="75">
        <f t="shared" si="219"/>
        <v>50</v>
      </c>
      <c r="F513" s="79"/>
      <c r="G513" s="82"/>
      <c r="H513" s="68" t="str">
        <f t="shared" si="236"/>
        <v>Lacine13_20191123_18_00</v>
      </c>
      <c r="I513" s="69">
        <f t="shared" si="240"/>
        <v>1</v>
      </c>
      <c r="J513" s="76" t="str">
        <f t="shared" si="240"/>
        <v>Lactuca</v>
      </c>
      <c r="K513" s="76" t="str">
        <f t="shared" si="240"/>
        <v>inermis</v>
      </c>
      <c r="L513" s="77">
        <f t="shared" si="240"/>
        <v>13</v>
      </c>
      <c r="M513" s="77">
        <f t="shared" si="240"/>
        <v>2</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2019</v>
      </c>
      <c r="B514" s="72" t="str">
        <f t="shared" si="217"/>
        <v>Nov</v>
      </c>
      <c r="C514" s="73">
        <f t="shared" si="235"/>
        <v>23</v>
      </c>
      <c r="D514" s="74">
        <f t="shared" si="218"/>
        <v>18</v>
      </c>
      <c r="E514" s="75">
        <f t="shared" si="219"/>
        <v>51</v>
      </c>
      <c r="F514" s="79"/>
      <c r="G514" s="82"/>
      <c r="H514" s="68" t="str">
        <f t="shared" si="236"/>
        <v>Lacine13_20191123_18_00</v>
      </c>
      <c r="I514" s="69">
        <f t="shared" si="240"/>
        <v>1</v>
      </c>
      <c r="J514" s="76" t="str">
        <f t="shared" si="240"/>
        <v>Lactuca</v>
      </c>
      <c r="K514" s="76" t="str">
        <f t="shared" si="240"/>
        <v>inermis</v>
      </c>
      <c r="L514" s="77">
        <f t="shared" si="240"/>
        <v>13</v>
      </c>
      <c r="M514" s="77">
        <f t="shared" si="240"/>
        <v>2</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2019</v>
      </c>
      <c r="B515" s="72" t="str">
        <f t="shared" si="217"/>
        <v>Nov</v>
      </c>
      <c r="C515" s="73">
        <f t="shared" si="235"/>
        <v>23</v>
      </c>
      <c r="D515" s="74">
        <f t="shared" si="218"/>
        <v>18</v>
      </c>
      <c r="E515" s="75">
        <f t="shared" si="219"/>
        <v>52</v>
      </c>
      <c r="F515" s="79"/>
      <c r="G515" s="82"/>
      <c r="H515" s="68" t="str">
        <f t="shared" si="236"/>
        <v>Lacine13_20191123_18_00</v>
      </c>
      <c r="I515" s="69">
        <f t="shared" si="240"/>
        <v>1</v>
      </c>
      <c r="J515" s="76" t="str">
        <f t="shared" si="240"/>
        <v>Lactuca</v>
      </c>
      <c r="K515" s="76" t="str">
        <f t="shared" si="240"/>
        <v>inermis</v>
      </c>
      <c r="L515" s="77">
        <f t="shared" si="240"/>
        <v>13</v>
      </c>
      <c r="M515" s="77">
        <f t="shared" si="240"/>
        <v>2</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2019</v>
      </c>
      <c r="B516" s="72" t="str">
        <f t="shared" ref="B516:B579" si="247">IF(C515-C516&gt;0, TEXT(DATE(2016,(MONTH(DATEVALUE(B515&amp;"1"))+1),1),"mmm"), B515)</f>
        <v>Nov</v>
      </c>
      <c r="C516" s="73">
        <f t="shared" si="235"/>
        <v>23</v>
      </c>
      <c r="D516" s="74">
        <f t="shared" ref="D516:D579" si="248">IF(IF(E515=59,D515+1,D515)=24,0,IF(E515=59,D515+1,D515))</f>
        <v>18</v>
      </c>
      <c r="E516" s="75">
        <f t="shared" ref="E516:E579" si="249">IF(E515&lt;59,E515+1,0)</f>
        <v>53</v>
      </c>
      <c r="F516" s="79"/>
      <c r="G516" s="82"/>
      <c r="H516" s="68" t="str">
        <f t="shared" si="236"/>
        <v>Lacine13_20191123_18_00</v>
      </c>
      <c r="I516" s="69">
        <f t="shared" si="240"/>
        <v>1</v>
      </c>
      <c r="J516" s="76" t="str">
        <f t="shared" si="240"/>
        <v>Lactuca</v>
      </c>
      <c r="K516" s="76" t="str">
        <f t="shared" si="240"/>
        <v>inermis</v>
      </c>
      <c r="L516" s="77">
        <f t="shared" si="240"/>
        <v>13</v>
      </c>
      <c r="M516" s="77">
        <f t="shared" si="240"/>
        <v>2</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2019</v>
      </c>
      <c r="B517" s="72" t="str">
        <f t="shared" si="247"/>
        <v>Nov</v>
      </c>
      <c r="C517" s="73">
        <f t="shared" ref="C517:C580" si="265">IF(AND(D517=0, E517=0), IF(TEXT(C516,"dd")=TEXT(EOMONTH(DATE(A516,MONTH(DATEVALUE(B516&amp;"1")),C516),0), "dd"), 1, C516+1), C516)</f>
        <v>23</v>
      </c>
      <c r="D517" s="74">
        <f t="shared" si="248"/>
        <v>18</v>
      </c>
      <c r="E517" s="75">
        <f t="shared" si="249"/>
        <v>54</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Lacine13_20191123_18_00</v>
      </c>
      <c r="I517" s="69">
        <f t="shared" ref="I517:N532" si="267">I516</f>
        <v>1</v>
      </c>
      <c r="J517" s="76" t="str">
        <f t="shared" si="267"/>
        <v>Lactuca</v>
      </c>
      <c r="K517" s="76" t="str">
        <f t="shared" si="267"/>
        <v>inermis</v>
      </c>
      <c r="L517" s="77">
        <f t="shared" si="267"/>
        <v>13</v>
      </c>
      <c r="M517" s="77">
        <f t="shared" si="267"/>
        <v>2</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2019</v>
      </c>
      <c r="B518" s="72" t="str">
        <f t="shared" si="247"/>
        <v>Nov</v>
      </c>
      <c r="C518" s="73">
        <f t="shared" si="265"/>
        <v>23</v>
      </c>
      <c r="D518" s="74">
        <f t="shared" si="248"/>
        <v>18</v>
      </c>
      <c r="E518" s="75">
        <f t="shared" si="249"/>
        <v>55</v>
      </c>
      <c r="F518" s="79"/>
      <c r="G518" s="82"/>
      <c r="H518" s="68" t="str">
        <f t="shared" si="266"/>
        <v>Lacine13_20191123_18_00</v>
      </c>
      <c r="I518" s="69">
        <f t="shared" si="267"/>
        <v>1</v>
      </c>
      <c r="J518" s="76" t="str">
        <f t="shared" si="267"/>
        <v>Lactuca</v>
      </c>
      <c r="K518" s="76" t="str">
        <f t="shared" si="267"/>
        <v>inermis</v>
      </c>
      <c r="L518" s="77">
        <f t="shared" si="267"/>
        <v>13</v>
      </c>
      <c r="M518" s="77">
        <f t="shared" si="267"/>
        <v>2</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2019</v>
      </c>
      <c r="B519" s="72" t="str">
        <f t="shared" si="247"/>
        <v>Nov</v>
      </c>
      <c r="C519" s="73">
        <f t="shared" si="265"/>
        <v>23</v>
      </c>
      <c r="D519" s="74">
        <f t="shared" si="248"/>
        <v>18</v>
      </c>
      <c r="E519" s="75">
        <f t="shared" si="249"/>
        <v>56</v>
      </c>
      <c r="F519" s="79"/>
      <c r="G519" s="82"/>
      <c r="H519" s="68" t="str">
        <f t="shared" si="266"/>
        <v>Lacine13_20191123_18_00</v>
      </c>
      <c r="I519" s="69">
        <f t="shared" si="267"/>
        <v>1</v>
      </c>
      <c r="J519" s="76" t="str">
        <f t="shared" si="267"/>
        <v>Lactuca</v>
      </c>
      <c r="K519" s="76" t="str">
        <f t="shared" si="267"/>
        <v>inermis</v>
      </c>
      <c r="L519" s="77">
        <f t="shared" si="267"/>
        <v>13</v>
      </c>
      <c r="M519" s="77">
        <f t="shared" si="267"/>
        <v>2</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2019</v>
      </c>
      <c r="B520" s="72" t="str">
        <f t="shared" si="247"/>
        <v>Nov</v>
      </c>
      <c r="C520" s="73">
        <f t="shared" si="265"/>
        <v>23</v>
      </c>
      <c r="D520" s="74">
        <f t="shared" si="248"/>
        <v>18</v>
      </c>
      <c r="E520" s="75">
        <f t="shared" si="249"/>
        <v>57</v>
      </c>
      <c r="F520" s="79"/>
      <c r="G520" s="82"/>
      <c r="H520" s="68" t="str">
        <f t="shared" si="266"/>
        <v>Lacine13_20191123_18_00</v>
      </c>
      <c r="I520" s="69">
        <f t="shared" si="267"/>
        <v>1</v>
      </c>
      <c r="J520" s="76" t="str">
        <f t="shared" si="267"/>
        <v>Lactuca</v>
      </c>
      <c r="K520" s="76" t="str">
        <f t="shared" si="267"/>
        <v>inermis</v>
      </c>
      <c r="L520" s="77">
        <f t="shared" si="267"/>
        <v>13</v>
      </c>
      <c r="M520" s="77">
        <f t="shared" si="267"/>
        <v>2</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2019</v>
      </c>
      <c r="B521" s="72" t="str">
        <f t="shared" si="247"/>
        <v>Nov</v>
      </c>
      <c r="C521" s="73">
        <f t="shared" si="265"/>
        <v>23</v>
      </c>
      <c r="D521" s="74">
        <f t="shared" si="248"/>
        <v>18</v>
      </c>
      <c r="E521" s="75">
        <f t="shared" si="249"/>
        <v>58</v>
      </c>
      <c r="F521" s="79"/>
      <c r="G521" s="82"/>
      <c r="H521" s="68" t="str">
        <f t="shared" si="266"/>
        <v>Lacine13_20191123_18_00</v>
      </c>
      <c r="I521" s="69">
        <f t="shared" si="267"/>
        <v>1</v>
      </c>
      <c r="J521" s="76" t="str">
        <f t="shared" si="267"/>
        <v>Lactuca</v>
      </c>
      <c r="K521" s="76" t="str">
        <f t="shared" si="267"/>
        <v>inermis</v>
      </c>
      <c r="L521" s="77">
        <f t="shared" si="267"/>
        <v>13</v>
      </c>
      <c r="M521" s="77">
        <f t="shared" si="267"/>
        <v>2</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2019</v>
      </c>
      <c r="B522" s="72" t="str">
        <f t="shared" si="247"/>
        <v>Nov</v>
      </c>
      <c r="C522" s="73">
        <f t="shared" si="265"/>
        <v>23</v>
      </c>
      <c r="D522" s="74">
        <f t="shared" si="248"/>
        <v>18</v>
      </c>
      <c r="E522" s="75">
        <f t="shared" si="249"/>
        <v>59</v>
      </c>
      <c r="F522" s="79"/>
      <c r="G522" s="82"/>
      <c r="H522" s="68" t="str">
        <f t="shared" si="266"/>
        <v>Lacine13_20191123_18_00</v>
      </c>
      <c r="I522" s="69">
        <f t="shared" si="267"/>
        <v>1</v>
      </c>
      <c r="J522" s="76" t="str">
        <f t="shared" si="267"/>
        <v>Lactuca</v>
      </c>
      <c r="K522" s="76" t="str">
        <f t="shared" si="267"/>
        <v>inermis</v>
      </c>
      <c r="L522" s="77">
        <f t="shared" si="267"/>
        <v>13</v>
      </c>
      <c r="M522" s="77">
        <f t="shared" si="267"/>
        <v>2</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2019</v>
      </c>
      <c r="B523" s="72" t="str">
        <f t="shared" si="247"/>
        <v>Nov</v>
      </c>
      <c r="C523" s="73">
        <f t="shared" si="265"/>
        <v>23</v>
      </c>
      <c r="D523" s="74">
        <f t="shared" si="248"/>
        <v>19</v>
      </c>
      <c r="E523" s="75">
        <f t="shared" si="249"/>
        <v>0</v>
      </c>
      <c r="F523" s="79"/>
      <c r="G523" s="82"/>
      <c r="H523" s="68" t="str">
        <f t="shared" si="266"/>
        <v>Lacine13_20191123_19_00</v>
      </c>
      <c r="I523" s="69">
        <f t="shared" si="267"/>
        <v>1</v>
      </c>
      <c r="J523" s="76" t="str">
        <f t="shared" si="267"/>
        <v>Lactuca</v>
      </c>
      <c r="K523" s="76" t="str">
        <f t="shared" si="267"/>
        <v>inermis</v>
      </c>
      <c r="L523" s="77">
        <f t="shared" si="267"/>
        <v>13</v>
      </c>
      <c r="M523" s="77">
        <f t="shared" si="267"/>
        <v>2</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2019</v>
      </c>
      <c r="B524" s="72" t="str">
        <f t="shared" si="247"/>
        <v>Nov</v>
      </c>
      <c r="C524" s="73">
        <f t="shared" si="265"/>
        <v>23</v>
      </c>
      <c r="D524" s="74">
        <f t="shared" si="248"/>
        <v>19</v>
      </c>
      <c r="E524" s="75">
        <f t="shared" si="249"/>
        <v>1</v>
      </c>
      <c r="F524" s="79"/>
      <c r="G524" s="82"/>
      <c r="H524" s="68" t="str">
        <f t="shared" si="266"/>
        <v>Lacine13_20191123_19_00</v>
      </c>
      <c r="I524" s="69">
        <f t="shared" si="267"/>
        <v>1</v>
      </c>
      <c r="J524" s="76" t="str">
        <f t="shared" si="267"/>
        <v>Lactuca</v>
      </c>
      <c r="K524" s="76" t="str">
        <f t="shared" si="267"/>
        <v>inermis</v>
      </c>
      <c r="L524" s="77">
        <f t="shared" si="267"/>
        <v>13</v>
      </c>
      <c r="M524" s="77">
        <f t="shared" si="267"/>
        <v>2</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2019</v>
      </c>
      <c r="B525" s="72" t="str">
        <f t="shared" si="247"/>
        <v>Nov</v>
      </c>
      <c r="C525" s="73">
        <f t="shared" si="265"/>
        <v>23</v>
      </c>
      <c r="D525" s="74">
        <f t="shared" si="248"/>
        <v>19</v>
      </c>
      <c r="E525" s="75">
        <f t="shared" si="249"/>
        <v>2</v>
      </c>
      <c r="F525" s="79"/>
      <c r="G525" s="82"/>
      <c r="H525" s="68" t="str">
        <f t="shared" si="266"/>
        <v>Lacine13_20191123_19_00</v>
      </c>
      <c r="I525" s="69">
        <f t="shared" si="267"/>
        <v>1</v>
      </c>
      <c r="J525" s="76" t="str">
        <f t="shared" si="267"/>
        <v>Lactuca</v>
      </c>
      <c r="K525" s="76" t="str">
        <f t="shared" si="267"/>
        <v>inermis</v>
      </c>
      <c r="L525" s="77">
        <f t="shared" si="267"/>
        <v>13</v>
      </c>
      <c r="M525" s="77">
        <f t="shared" si="267"/>
        <v>2</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2019</v>
      </c>
      <c r="B526" s="72" t="str">
        <f t="shared" si="247"/>
        <v>Nov</v>
      </c>
      <c r="C526" s="73">
        <f t="shared" si="265"/>
        <v>23</v>
      </c>
      <c r="D526" s="74">
        <f t="shared" si="248"/>
        <v>19</v>
      </c>
      <c r="E526" s="75">
        <f t="shared" si="249"/>
        <v>3</v>
      </c>
      <c r="F526" s="79"/>
      <c r="G526" s="82"/>
      <c r="H526" s="68" t="str">
        <f t="shared" si="266"/>
        <v>Lacine13_20191123_19_00</v>
      </c>
      <c r="I526" s="69">
        <f t="shared" si="267"/>
        <v>1</v>
      </c>
      <c r="J526" s="76" t="str">
        <f t="shared" si="267"/>
        <v>Lactuca</v>
      </c>
      <c r="K526" s="76" t="str">
        <f t="shared" si="267"/>
        <v>inermis</v>
      </c>
      <c r="L526" s="77">
        <f t="shared" si="267"/>
        <v>13</v>
      </c>
      <c r="M526" s="77">
        <f t="shared" si="267"/>
        <v>2</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2019</v>
      </c>
      <c r="B527" s="72" t="str">
        <f t="shared" si="247"/>
        <v>Nov</v>
      </c>
      <c r="C527" s="73">
        <f t="shared" si="265"/>
        <v>23</v>
      </c>
      <c r="D527" s="74">
        <f t="shared" si="248"/>
        <v>19</v>
      </c>
      <c r="E527" s="75">
        <f t="shared" si="249"/>
        <v>4</v>
      </c>
      <c r="F527" s="79"/>
      <c r="G527" s="82"/>
      <c r="H527" s="68" t="str">
        <f t="shared" si="266"/>
        <v>Lacine13_20191123_19_00</v>
      </c>
      <c r="I527" s="69">
        <f t="shared" si="267"/>
        <v>1</v>
      </c>
      <c r="J527" s="76" t="str">
        <f t="shared" si="267"/>
        <v>Lactuca</v>
      </c>
      <c r="K527" s="76" t="str">
        <f t="shared" si="267"/>
        <v>inermis</v>
      </c>
      <c r="L527" s="77">
        <f t="shared" si="267"/>
        <v>13</v>
      </c>
      <c r="M527" s="77">
        <f t="shared" si="267"/>
        <v>2</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2019</v>
      </c>
      <c r="B528" s="72" t="str">
        <f t="shared" si="247"/>
        <v>Nov</v>
      </c>
      <c r="C528" s="73">
        <f t="shared" si="265"/>
        <v>23</v>
      </c>
      <c r="D528" s="74">
        <f t="shared" si="248"/>
        <v>19</v>
      </c>
      <c r="E528" s="75">
        <f t="shared" si="249"/>
        <v>5</v>
      </c>
      <c r="F528" s="79"/>
      <c r="G528" s="82"/>
      <c r="H528" s="68" t="str">
        <f t="shared" si="266"/>
        <v>Lacine13_20191123_19_00</v>
      </c>
      <c r="I528" s="69">
        <f t="shared" si="267"/>
        <v>1</v>
      </c>
      <c r="J528" s="76" t="str">
        <f t="shared" si="267"/>
        <v>Lactuca</v>
      </c>
      <c r="K528" s="76" t="str">
        <f t="shared" si="267"/>
        <v>inermis</v>
      </c>
      <c r="L528" s="77">
        <f t="shared" si="267"/>
        <v>13</v>
      </c>
      <c r="M528" s="77">
        <f t="shared" si="267"/>
        <v>2</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2019</v>
      </c>
      <c r="B529" s="72" t="str">
        <f t="shared" si="247"/>
        <v>Nov</v>
      </c>
      <c r="C529" s="73">
        <f t="shared" si="265"/>
        <v>23</v>
      </c>
      <c r="D529" s="74">
        <f t="shared" si="248"/>
        <v>19</v>
      </c>
      <c r="E529" s="75">
        <f t="shared" si="249"/>
        <v>6</v>
      </c>
      <c r="F529" s="79"/>
      <c r="G529" s="82"/>
      <c r="H529" s="68" t="str">
        <f t="shared" si="266"/>
        <v>Lacine13_20191123_19_00</v>
      </c>
      <c r="I529" s="69">
        <f t="shared" si="267"/>
        <v>1</v>
      </c>
      <c r="J529" s="76" t="str">
        <f t="shared" si="267"/>
        <v>Lactuca</v>
      </c>
      <c r="K529" s="76" t="str">
        <f t="shared" si="267"/>
        <v>inermis</v>
      </c>
      <c r="L529" s="77">
        <f t="shared" si="267"/>
        <v>13</v>
      </c>
      <c r="M529" s="77">
        <f t="shared" si="267"/>
        <v>2</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2019</v>
      </c>
      <c r="B530" s="72" t="str">
        <f t="shared" si="247"/>
        <v>Nov</v>
      </c>
      <c r="C530" s="73">
        <f t="shared" si="265"/>
        <v>23</v>
      </c>
      <c r="D530" s="74">
        <f t="shared" si="248"/>
        <v>19</v>
      </c>
      <c r="E530" s="75">
        <f t="shared" si="249"/>
        <v>7</v>
      </c>
      <c r="F530" s="79"/>
      <c r="G530" s="82"/>
      <c r="H530" s="68" t="str">
        <f t="shared" si="266"/>
        <v>Lacine13_20191123_19_00</v>
      </c>
      <c r="I530" s="69">
        <f t="shared" si="267"/>
        <v>1</v>
      </c>
      <c r="J530" s="76" t="str">
        <f t="shared" si="267"/>
        <v>Lactuca</v>
      </c>
      <c r="K530" s="76" t="str">
        <f t="shared" si="267"/>
        <v>inermis</v>
      </c>
      <c r="L530" s="77">
        <f t="shared" si="267"/>
        <v>13</v>
      </c>
      <c r="M530" s="77">
        <f t="shared" si="267"/>
        <v>2</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2019</v>
      </c>
      <c r="B531" s="72" t="str">
        <f t="shared" si="247"/>
        <v>Nov</v>
      </c>
      <c r="C531" s="73">
        <f t="shared" si="265"/>
        <v>23</v>
      </c>
      <c r="D531" s="74">
        <f t="shared" si="248"/>
        <v>19</v>
      </c>
      <c r="E531" s="75">
        <f t="shared" si="249"/>
        <v>8</v>
      </c>
      <c r="F531" s="79"/>
      <c r="G531" s="82"/>
      <c r="H531" s="68" t="str">
        <f t="shared" si="266"/>
        <v>Lacine13_20191123_19_00</v>
      </c>
      <c r="I531" s="69">
        <f t="shared" si="267"/>
        <v>1</v>
      </c>
      <c r="J531" s="76" t="str">
        <f t="shared" si="267"/>
        <v>Lactuca</v>
      </c>
      <c r="K531" s="76" t="str">
        <f t="shared" si="267"/>
        <v>inermis</v>
      </c>
      <c r="L531" s="77">
        <f t="shared" si="267"/>
        <v>13</v>
      </c>
      <c r="M531" s="77">
        <f t="shared" si="267"/>
        <v>2</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2019</v>
      </c>
      <c r="B532" s="72" t="str">
        <f t="shared" si="247"/>
        <v>Nov</v>
      </c>
      <c r="C532" s="73">
        <f t="shared" si="265"/>
        <v>23</v>
      </c>
      <c r="D532" s="74">
        <f t="shared" si="248"/>
        <v>19</v>
      </c>
      <c r="E532" s="75">
        <f t="shared" si="249"/>
        <v>9</v>
      </c>
      <c r="F532" s="79"/>
      <c r="G532" s="82"/>
      <c r="H532" s="68" t="str">
        <f t="shared" si="266"/>
        <v>Lacine13_20191123_19_00</v>
      </c>
      <c r="I532" s="69">
        <f t="shared" si="267"/>
        <v>1</v>
      </c>
      <c r="J532" s="76" t="str">
        <f t="shared" si="267"/>
        <v>Lactuca</v>
      </c>
      <c r="K532" s="76" t="str">
        <f t="shared" si="267"/>
        <v>inermis</v>
      </c>
      <c r="L532" s="77">
        <f t="shared" si="267"/>
        <v>13</v>
      </c>
      <c r="M532" s="77">
        <f t="shared" si="267"/>
        <v>2</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2019</v>
      </c>
      <c r="B533" s="72" t="str">
        <f t="shared" si="247"/>
        <v>Nov</v>
      </c>
      <c r="C533" s="73">
        <f t="shared" si="265"/>
        <v>23</v>
      </c>
      <c r="D533" s="74">
        <f t="shared" si="248"/>
        <v>19</v>
      </c>
      <c r="E533" s="75">
        <f t="shared" si="249"/>
        <v>10</v>
      </c>
      <c r="F533" s="79"/>
      <c r="G533" s="82"/>
      <c r="H533" s="68" t="str">
        <f t="shared" si="266"/>
        <v>Lacine13_20191123_19_00</v>
      </c>
      <c r="I533" s="69">
        <f t="shared" ref="I533:N548" si="268">I532</f>
        <v>1</v>
      </c>
      <c r="J533" s="76" t="str">
        <f t="shared" si="268"/>
        <v>Lactuca</v>
      </c>
      <c r="K533" s="76" t="str">
        <f t="shared" si="268"/>
        <v>inermis</v>
      </c>
      <c r="L533" s="77">
        <f t="shared" si="268"/>
        <v>13</v>
      </c>
      <c r="M533" s="77">
        <f t="shared" si="268"/>
        <v>2</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2019</v>
      </c>
      <c r="B534" s="72" t="str">
        <f t="shared" si="247"/>
        <v>Nov</v>
      </c>
      <c r="C534" s="73">
        <f t="shared" si="265"/>
        <v>23</v>
      </c>
      <c r="D534" s="74">
        <f t="shared" si="248"/>
        <v>19</v>
      </c>
      <c r="E534" s="75">
        <f t="shared" si="249"/>
        <v>11</v>
      </c>
      <c r="F534" s="79"/>
      <c r="G534" s="82"/>
      <c r="H534" s="68" t="str">
        <f t="shared" si="266"/>
        <v>Lacine13_20191123_19_00</v>
      </c>
      <c r="I534" s="69">
        <f t="shared" si="268"/>
        <v>1</v>
      </c>
      <c r="J534" s="76" t="str">
        <f t="shared" si="268"/>
        <v>Lactuca</v>
      </c>
      <c r="K534" s="76" t="str">
        <f t="shared" si="268"/>
        <v>inermis</v>
      </c>
      <c r="L534" s="77">
        <f t="shared" si="268"/>
        <v>13</v>
      </c>
      <c r="M534" s="77">
        <f t="shared" si="268"/>
        <v>2</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2019</v>
      </c>
      <c r="B535" s="72" t="str">
        <f t="shared" si="247"/>
        <v>Nov</v>
      </c>
      <c r="C535" s="73">
        <f t="shared" si="265"/>
        <v>23</v>
      </c>
      <c r="D535" s="74">
        <f t="shared" si="248"/>
        <v>19</v>
      </c>
      <c r="E535" s="75">
        <f t="shared" si="249"/>
        <v>12</v>
      </c>
      <c r="F535" s="79"/>
      <c r="G535" s="82"/>
      <c r="H535" s="68" t="str">
        <f t="shared" si="266"/>
        <v>Lacine13_20191123_19_00</v>
      </c>
      <c r="I535" s="69">
        <f t="shared" si="268"/>
        <v>1</v>
      </c>
      <c r="J535" s="76" t="str">
        <f t="shared" si="268"/>
        <v>Lactuca</v>
      </c>
      <c r="K535" s="76" t="str">
        <f t="shared" si="268"/>
        <v>inermis</v>
      </c>
      <c r="L535" s="77">
        <f t="shared" si="268"/>
        <v>13</v>
      </c>
      <c r="M535" s="77">
        <f t="shared" si="268"/>
        <v>2</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2019</v>
      </c>
      <c r="B536" s="72" t="str">
        <f t="shared" si="247"/>
        <v>Nov</v>
      </c>
      <c r="C536" s="73">
        <f t="shared" si="265"/>
        <v>23</v>
      </c>
      <c r="D536" s="74">
        <f t="shared" si="248"/>
        <v>19</v>
      </c>
      <c r="E536" s="75">
        <f t="shared" si="249"/>
        <v>13</v>
      </c>
      <c r="F536" s="79"/>
      <c r="G536" s="82"/>
      <c r="H536" s="68" t="str">
        <f t="shared" si="266"/>
        <v>Lacine13_20191123_19_00</v>
      </c>
      <c r="I536" s="69">
        <f t="shared" si="268"/>
        <v>1</v>
      </c>
      <c r="J536" s="76" t="str">
        <f t="shared" si="268"/>
        <v>Lactuca</v>
      </c>
      <c r="K536" s="76" t="str">
        <f t="shared" si="268"/>
        <v>inermis</v>
      </c>
      <c r="L536" s="77">
        <f t="shared" si="268"/>
        <v>13</v>
      </c>
      <c r="M536" s="77">
        <f t="shared" si="268"/>
        <v>2</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2019</v>
      </c>
      <c r="B537" s="72" t="str">
        <f t="shared" si="247"/>
        <v>Nov</v>
      </c>
      <c r="C537" s="73">
        <f t="shared" si="265"/>
        <v>23</v>
      </c>
      <c r="D537" s="74">
        <f t="shared" si="248"/>
        <v>19</v>
      </c>
      <c r="E537" s="75">
        <f t="shared" si="249"/>
        <v>14</v>
      </c>
      <c r="F537" s="79"/>
      <c r="G537" s="82"/>
      <c r="H537" s="68" t="str">
        <f t="shared" si="266"/>
        <v>Lacine13_20191123_19_00</v>
      </c>
      <c r="I537" s="69">
        <f t="shared" si="268"/>
        <v>1</v>
      </c>
      <c r="J537" s="76" t="str">
        <f t="shared" si="268"/>
        <v>Lactuca</v>
      </c>
      <c r="K537" s="76" t="str">
        <f t="shared" si="268"/>
        <v>inermis</v>
      </c>
      <c r="L537" s="77">
        <f t="shared" si="268"/>
        <v>13</v>
      </c>
      <c r="M537" s="77">
        <f t="shared" si="268"/>
        <v>2</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2019</v>
      </c>
      <c r="B538" s="72" t="str">
        <f t="shared" si="247"/>
        <v>Nov</v>
      </c>
      <c r="C538" s="73">
        <f t="shared" si="265"/>
        <v>23</v>
      </c>
      <c r="D538" s="74">
        <f t="shared" si="248"/>
        <v>19</v>
      </c>
      <c r="E538" s="75">
        <f t="shared" si="249"/>
        <v>15</v>
      </c>
      <c r="F538" s="79"/>
      <c r="G538" s="82"/>
      <c r="H538" s="68" t="str">
        <f t="shared" si="266"/>
        <v>Lacine13_20191123_19_00</v>
      </c>
      <c r="I538" s="69">
        <f t="shared" si="268"/>
        <v>1</v>
      </c>
      <c r="J538" s="76" t="str">
        <f t="shared" si="268"/>
        <v>Lactuca</v>
      </c>
      <c r="K538" s="76" t="str">
        <f t="shared" si="268"/>
        <v>inermis</v>
      </c>
      <c r="L538" s="77">
        <f t="shared" si="268"/>
        <v>13</v>
      </c>
      <c r="M538" s="77">
        <f t="shared" si="268"/>
        <v>2</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2019</v>
      </c>
      <c r="B539" s="72" t="str">
        <f t="shared" si="247"/>
        <v>Nov</v>
      </c>
      <c r="C539" s="73">
        <f t="shared" si="265"/>
        <v>23</v>
      </c>
      <c r="D539" s="74">
        <f t="shared" si="248"/>
        <v>19</v>
      </c>
      <c r="E539" s="75">
        <f t="shared" si="249"/>
        <v>16</v>
      </c>
      <c r="F539" s="79"/>
      <c r="G539" s="82"/>
      <c r="H539" s="68" t="str">
        <f t="shared" si="266"/>
        <v>Lacine13_20191123_19_00</v>
      </c>
      <c r="I539" s="69">
        <f t="shared" si="268"/>
        <v>1</v>
      </c>
      <c r="J539" s="76" t="str">
        <f t="shared" si="268"/>
        <v>Lactuca</v>
      </c>
      <c r="K539" s="76" t="str">
        <f t="shared" si="268"/>
        <v>inermis</v>
      </c>
      <c r="L539" s="77">
        <f t="shared" si="268"/>
        <v>13</v>
      </c>
      <c r="M539" s="77">
        <f t="shared" si="268"/>
        <v>2</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2019</v>
      </c>
      <c r="B540" s="72" t="str">
        <f t="shared" si="247"/>
        <v>Nov</v>
      </c>
      <c r="C540" s="73">
        <f t="shared" si="265"/>
        <v>23</v>
      </c>
      <c r="D540" s="74">
        <f t="shared" si="248"/>
        <v>19</v>
      </c>
      <c r="E540" s="75">
        <f t="shared" si="249"/>
        <v>17</v>
      </c>
      <c r="F540" s="79"/>
      <c r="G540" s="82"/>
      <c r="H540" s="68" t="str">
        <f t="shared" si="266"/>
        <v>Lacine13_20191123_19_00</v>
      </c>
      <c r="I540" s="69">
        <f t="shared" si="268"/>
        <v>1</v>
      </c>
      <c r="J540" s="76" t="str">
        <f t="shared" si="268"/>
        <v>Lactuca</v>
      </c>
      <c r="K540" s="76" t="str">
        <f t="shared" si="268"/>
        <v>inermis</v>
      </c>
      <c r="L540" s="77">
        <f t="shared" si="268"/>
        <v>13</v>
      </c>
      <c r="M540" s="77">
        <f t="shared" si="268"/>
        <v>2</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2019</v>
      </c>
      <c r="B541" s="72" t="str">
        <f t="shared" si="247"/>
        <v>Nov</v>
      </c>
      <c r="C541" s="73">
        <f t="shared" si="265"/>
        <v>23</v>
      </c>
      <c r="D541" s="74">
        <f t="shared" si="248"/>
        <v>19</v>
      </c>
      <c r="E541" s="75">
        <f t="shared" si="249"/>
        <v>18</v>
      </c>
      <c r="F541" s="79"/>
      <c r="G541" s="82"/>
      <c r="H541" s="68" t="str">
        <f t="shared" si="266"/>
        <v>Lacine13_20191123_19_00</v>
      </c>
      <c r="I541" s="69">
        <f t="shared" si="268"/>
        <v>1</v>
      </c>
      <c r="J541" s="76" t="str">
        <f t="shared" si="268"/>
        <v>Lactuca</v>
      </c>
      <c r="K541" s="76" t="str">
        <f t="shared" si="268"/>
        <v>inermis</v>
      </c>
      <c r="L541" s="77">
        <f t="shared" si="268"/>
        <v>13</v>
      </c>
      <c r="M541" s="77">
        <f t="shared" si="268"/>
        <v>2</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2019</v>
      </c>
      <c r="B542" s="72" t="str">
        <f t="shared" si="247"/>
        <v>Nov</v>
      </c>
      <c r="C542" s="73">
        <f t="shared" si="265"/>
        <v>23</v>
      </c>
      <c r="D542" s="74">
        <f t="shared" si="248"/>
        <v>19</v>
      </c>
      <c r="E542" s="75">
        <f t="shared" si="249"/>
        <v>19</v>
      </c>
      <c r="F542" s="79"/>
      <c r="G542" s="82"/>
      <c r="H542" s="68" t="str">
        <f t="shared" si="266"/>
        <v>Lacine13_20191123_19_00</v>
      </c>
      <c r="I542" s="69">
        <f t="shared" si="268"/>
        <v>1</v>
      </c>
      <c r="J542" s="76" t="str">
        <f t="shared" si="268"/>
        <v>Lactuca</v>
      </c>
      <c r="K542" s="76" t="str">
        <f t="shared" si="268"/>
        <v>inermis</v>
      </c>
      <c r="L542" s="77">
        <f t="shared" si="268"/>
        <v>13</v>
      </c>
      <c r="M542" s="77">
        <f t="shared" si="268"/>
        <v>2</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2019</v>
      </c>
      <c r="B543" s="72" t="str">
        <f t="shared" si="247"/>
        <v>Nov</v>
      </c>
      <c r="C543" s="73">
        <f t="shared" si="265"/>
        <v>23</v>
      </c>
      <c r="D543" s="74">
        <f t="shared" si="248"/>
        <v>19</v>
      </c>
      <c r="E543" s="75">
        <f t="shared" si="249"/>
        <v>20</v>
      </c>
      <c r="F543" s="79"/>
      <c r="G543" s="82"/>
      <c r="H543" s="68" t="str">
        <f t="shared" si="266"/>
        <v>Lacine13_20191123_19_00</v>
      </c>
      <c r="I543" s="69">
        <f t="shared" si="268"/>
        <v>1</v>
      </c>
      <c r="J543" s="76" t="str">
        <f t="shared" si="268"/>
        <v>Lactuca</v>
      </c>
      <c r="K543" s="76" t="str">
        <f t="shared" si="268"/>
        <v>inermis</v>
      </c>
      <c r="L543" s="77">
        <f t="shared" si="268"/>
        <v>13</v>
      </c>
      <c r="M543" s="77">
        <f t="shared" si="268"/>
        <v>2</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2019</v>
      </c>
      <c r="B544" s="72" t="str">
        <f t="shared" si="247"/>
        <v>Nov</v>
      </c>
      <c r="C544" s="73">
        <f t="shared" si="265"/>
        <v>23</v>
      </c>
      <c r="D544" s="74">
        <f t="shared" si="248"/>
        <v>19</v>
      </c>
      <c r="E544" s="75">
        <f t="shared" si="249"/>
        <v>21</v>
      </c>
      <c r="F544" s="79"/>
      <c r="G544" s="82"/>
      <c r="H544" s="68" t="str">
        <f t="shared" si="266"/>
        <v>Lacine13_20191123_19_00</v>
      </c>
      <c r="I544" s="69">
        <f t="shared" si="268"/>
        <v>1</v>
      </c>
      <c r="J544" s="76" t="str">
        <f t="shared" si="268"/>
        <v>Lactuca</v>
      </c>
      <c r="K544" s="76" t="str">
        <f t="shared" si="268"/>
        <v>inermis</v>
      </c>
      <c r="L544" s="77">
        <f t="shared" si="268"/>
        <v>13</v>
      </c>
      <c r="M544" s="77">
        <f t="shared" si="268"/>
        <v>2</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2019</v>
      </c>
      <c r="B545" s="72" t="str">
        <f t="shared" si="247"/>
        <v>Nov</v>
      </c>
      <c r="C545" s="73">
        <f t="shared" si="265"/>
        <v>23</v>
      </c>
      <c r="D545" s="74">
        <f t="shared" si="248"/>
        <v>19</v>
      </c>
      <c r="E545" s="75">
        <f t="shared" si="249"/>
        <v>22</v>
      </c>
      <c r="F545" s="79"/>
      <c r="G545" s="82"/>
      <c r="H545" s="68" t="str">
        <f t="shared" si="266"/>
        <v>Lacine13_20191123_19_00</v>
      </c>
      <c r="I545" s="69">
        <f t="shared" si="268"/>
        <v>1</v>
      </c>
      <c r="J545" s="76" t="str">
        <f t="shared" si="268"/>
        <v>Lactuca</v>
      </c>
      <c r="K545" s="76" t="str">
        <f t="shared" si="268"/>
        <v>inermis</v>
      </c>
      <c r="L545" s="77">
        <f t="shared" si="268"/>
        <v>13</v>
      </c>
      <c r="M545" s="77">
        <f t="shared" si="268"/>
        <v>2</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2019</v>
      </c>
      <c r="B546" s="72" t="str">
        <f t="shared" si="247"/>
        <v>Nov</v>
      </c>
      <c r="C546" s="73">
        <f t="shared" si="265"/>
        <v>23</v>
      </c>
      <c r="D546" s="74">
        <f t="shared" si="248"/>
        <v>19</v>
      </c>
      <c r="E546" s="75">
        <f t="shared" si="249"/>
        <v>23</v>
      </c>
      <c r="F546" s="79"/>
      <c r="G546" s="82"/>
      <c r="H546" s="68" t="str">
        <f t="shared" si="266"/>
        <v>Lacine13_20191123_19_00</v>
      </c>
      <c r="I546" s="69">
        <f t="shared" si="268"/>
        <v>1</v>
      </c>
      <c r="J546" s="76" t="str">
        <f t="shared" si="268"/>
        <v>Lactuca</v>
      </c>
      <c r="K546" s="76" t="str">
        <f t="shared" si="268"/>
        <v>inermis</v>
      </c>
      <c r="L546" s="77">
        <f t="shared" si="268"/>
        <v>13</v>
      </c>
      <c r="M546" s="77">
        <f t="shared" si="268"/>
        <v>2</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2019</v>
      </c>
      <c r="B547" s="72" t="str">
        <f t="shared" si="247"/>
        <v>Nov</v>
      </c>
      <c r="C547" s="73">
        <f t="shared" si="265"/>
        <v>23</v>
      </c>
      <c r="D547" s="74">
        <f t="shared" si="248"/>
        <v>19</v>
      </c>
      <c r="E547" s="75">
        <f t="shared" si="249"/>
        <v>24</v>
      </c>
      <c r="F547" s="79"/>
      <c r="G547" s="82"/>
      <c r="H547" s="68" t="str">
        <f t="shared" si="266"/>
        <v>Lacine13_20191123_19_00</v>
      </c>
      <c r="I547" s="69">
        <f t="shared" si="268"/>
        <v>1</v>
      </c>
      <c r="J547" s="76" t="str">
        <f t="shared" si="268"/>
        <v>Lactuca</v>
      </c>
      <c r="K547" s="76" t="str">
        <f t="shared" si="268"/>
        <v>inermis</v>
      </c>
      <c r="L547" s="77">
        <f t="shared" si="268"/>
        <v>13</v>
      </c>
      <c r="M547" s="77">
        <f t="shared" si="268"/>
        <v>2</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2019</v>
      </c>
      <c r="B548" s="72" t="str">
        <f t="shared" si="247"/>
        <v>Nov</v>
      </c>
      <c r="C548" s="73">
        <f t="shared" si="265"/>
        <v>23</v>
      </c>
      <c r="D548" s="74">
        <f t="shared" si="248"/>
        <v>19</v>
      </c>
      <c r="E548" s="75">
        <f t="shared" si="249"/>
        <v>25</v>
      </c>
      <c r="F548" s="79"/>
      <c r="G548" s="82"/>
      <c r="H548" s="68" t="str">
        <f t="shared" si="266"/>
        <v>Lacine13_20191123_19_00</v>
      </c>
      <c r="I548" s="69">
        <f t="shared" si="268"/>
        <v>1</v>
      </c>
      <c r="J548" s="76" t="str">
        <f t="shared" si="268"/>
        <v>Lactuca</v>
      </c>
      <c r="K548" s="76" t="str">
        <f t="shared" si="268"/>
        <v>inermis</v>
      </c>
      <c r="L548" s="77">
        <f t="shared" si="268"/>
        <v>13</v>
      </c>
      <c r="M548" s="77">
        <f t="shared" si="268"/>
        <v>2</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2019</v>
      </c>
      <c r="B549" s="72" t="str">
        <f t="shared" si="247"/>
        <v>Nov</v>
      </c>
      <c r="C549" s="73">
        <f t="shared" si="265"/>
        <v>23</v>
      </c>
      <c r="D549" s="74">
        <f t="shared" si="248"/>
        <v>19</v>
      </c>
      <c r="E549" s="75">
        <f t="shared" si="249"/>
        <v>26</v>
      </c>
      <c r="F549" s="79"/>
      <c r="G549" s="82"/>
      <c r="H549" s="68" t="str">
        <f t="shared" si="266"/>
        <v>Lacine13_20191123_19_00</v>
      </c>
      <c r="I549" s="69">
        <f t="shared" ref="I549:N564" si="269">I548</f>
        <v>1</v>
      </c>
      <c r="J549" s="76" t="str">
        <f t="shared" si="269"/>
        <v>Lactuca</v>
      </c>
      <c r="K549" s="76" t="str">
        <f t="shared" si="269"/>
        <v>inermis</v>
      </c>
      <c r="L549" s="77">
        <f t="shared" si="269"/>
        <v>13</v>
      </c>
      <c r="M549" s="77">
        <f t="shared" si="269"/>
        <v>2</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2019</v>
      </c>
      <c r="B550" s="72" t="str">
        <f t="shared" si="247"/>
        <v>Nov</v>
      </c>
      <c r="C550" s="73">
        <f t="shared" si="265"/>
        <v>23</v>
      </c>
      <c r="D550" s="74">
        <f t="shared" si="248"/>
        <v>19</v>
      </c>
      <c r="E550" s="75">
        <f t="shared" si="249"/>
        <v>27</v>
      </c>
      <c r="F550" s="79"/>
      <c r="G550" s="82"/>
      <c r="H550" s="68" t="str">
        <f t="shared" si="266"/>
        <v>Lacine13_20191123_19_00</v>
      </c>
      <c r="I550" s="69">
        <f t="shared" si="269"/>
        <v>1</v>
      </c>
      <c r="J550" s="76" t="str">
        <f t="shared" si="269"/>
        <v>Lactuca</v>
      </c>
      <c r="K550" s="76" t="str">
        <f t="shared" si="269"/>
        <v>inermis</v>
      </c>
      <c r="L550" s="77">
        <f t="shared" si="269"/>
        <v>13</v>
      </c>
      <c r="M550" s="77">
        <f t="shared" si="269"/>
        <v>2</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2019</v>
      </c>
      <c r="B551" s="72" t="str">
        <f t="shared" si="247"/>
        <v>Nov</v>
      </c>
      <c r="C551" s="73">
        <f t="shared" si="265"/>
        <v>23</v>
      </c>
      <c r="D551" s="74">
        <f t="shared" si="248"/>
        <v>19</v>
      </c>
      <c r="E551" s="75">
        <f t="shared" si="249"/>
        <v>28</v>
      </c>
      <c r="F551" s="79"/>
      <c r="G551" s="82"/>
      <c r="H551" s="68" t="str">
        <f t="shared" si="266"/>
        <v>Lacine13_20191123_19_00</v>
      </c>
      <c r="I551" s="69">
        <f t="shared" si="269"/>
        <v>1</v>
      </c>
      <c r="J551" s="76" t="str">
        <f t="shared" si="269"/>
        <v>Lactuca</v>
      </c>
      <c r="K551" s="76" t="str">
        <f t="shared" si="269"/>
        <v>inermis</v>
      </c>
      <c r="L551" s="77">
        <f t="shared" si="269"/>
        <v>13</v>
      </c>
      <c r="M551" s="77">
        <f t="shared" si="269"/>
        <v>2</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2019</v>
      </c>
      <c r="B552" s="72" t="str">
        <f t="shared" si="247"/>
        <v>Nov</v>
      </c>
      <c r="C552" s="73">
        <f t="shared" si="265"/>
        <v>23</v>
      </c>
      <c r="D552" s="74">
        <f t="shared" si="248"/>
        <v>19</v>
      </c>
      <c r="E552" s="75">
        <f t="shared" si="249"/>
        <v>29</v>
      </c>
      <c r="F552" s="79"/>
      <c r="G552" s="82"/>
      <c r="H552" s="68" t="str">
        <f t="shared" si="266"/>
        <v>Lacine13_20191123_19_00</v>
      </c>
      <c r="I552" s="69">
        <f t="shared" si="269"/>
        <v>1</v>
      </c>
      <c r="J552" s="76" t="str">
        <f t="shared" si="269"/>
        <v>Lactuca</v>
      </c>
      <c r="K552" s="76" t="str">
        <f t="shared" si="269"/>
        <v>inermis</v>
      </c>
      <c r="L552" s="77">
        <f t="shared" si="269"/>
        <v>13</v>
      </c>
      <c r="M552" s="77">
        <f t="shared" si="269"/>
        <v>2</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2019</v>
      </c>
      <c r="B553" s="72" t="str">
        <f t="shared" si="247"/>
        <v>Nov</v>
      </c>
      <c r="C553" s="73">
        <f t="shared" si="265"/>
        <v>23</v>
      </c>
      <c r="D553" s="74">
        <f t="shared" si="248"/>
        <v>19</v>
      </c>
      <c r="E553" s="75">
        <f t="shared" si="249"/>
        <v>30</v>
      </c>
      <c r="F553" s="79"/>
      <c r="G553" s="82"/>
      <c r="H553" s="68" t="str">
        <f t="shared" si="266"/>
        <v>Lacine13_20191123_19_00</v>
      </c>
      <c r="I553" s="69">
        <f t="shared" si="269"/>
        <v>1</v>
      </c>
      <c r="J553" s="76" t="str">
        <f t="shared" si="269"/>
        <v>Lactuca</v>
      </c>
      <c r="K553" s="76" t="str">
        <f t="shared" si="269"/>
        <v>inermis</v>
      </c>
      <c r="L553" s="77">
        <f t="shared" si="269"/>
        <v>13</v>
      </c>
      <c r="M553" s="77">
        <f t="shared" si="269"/>
        <v>2</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2019</v>
      </c>
      <c r="B554" s="72" t="str">
        <f t="shared" si="247"/>
        <v>Nov</v>
      </c>
      <c r="C554" s="73">
        <f t="shared" si="265"/>
        <v>23</v>
      </c>
      <c r="D554" s="74">
        <f t="shared" si="248"/>
        <v>19</v>
      </c>
      <c r="E554" s="75">
        <f t="shared" si="249"/>
        <v>31</v>
      </c>
      <c r="F554" s="79"/>
      <c r="G554" s="82"/>
      <c r="H554" s="68" t="str">
        <f t="shared" si="266"/>
        <v>Lacine13_20191123_19_00</v>
      </c>
      <c r="I554" s="69">
        <f t="shared" si="269"/>
        <v>1</v>
      </c>
      <c r="J554" s="76" t="str">
        <f t="shared" si="269"/>
        <v>Lactuca</v>
      </c>
      <c r="K554" s="76" t="str">
        <f t="shared" si="269"/>
        <v>inermis</v>
      </c>
      <c r="L554" s="77">
        <f t="shared" si="269"/>
        <v>13</v>
      </c>
      <c r="M554" s="77">
        <f t="shared" si="269"/>
        <v>2</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2019</v>
      </c>
      <c r="B555" s="72" t="str">
        <f t="shared" si="247"/>
        <v>Nov</v>
      </c>
      <c r="C555" s="73">
        <f t="shared" si="265"/>
        <v>23</v>
      </c>
      <c r="D555" s="74">
        <f t="shared" si="248"/>
        <v>19</v>
      </c>
      <c r="E555" s="75">
        <f t="shared" si="249"/>
        <v>32</v>
      </c>
      <c r="F555" s="79"/>
      <c r="G555" s="82"/>
      <c r="H555" s="68" t="str">
        <f t="shared" si="266"/>
        <v>Lacine13_20191123_19_00</v>
      </c>
      <c r="I555" s="69">
        <f t="shared" si="269"/>
        <v>1</v>
      </c>
      <c r="J555" s="76" t="str">
        <f t="shared" si="269"/>
        <v>Lactuca</v>
      </c>
      <c r="K555" s="76" t="str">
        <f t="shared" si="269"/>
        <v>inermis</v>
      </c>
      <c r="L555" s="77">
        <f t="shared" si="269"/>
        <v>13</v>
      </c>
      <c r="M555" s="77">
        <f t="shared" si="269"/>
        <v>2</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2019</v>
      </c>
      <c r="B556" s="72" t="str">
        <f t="shared" si="247"/>
        <v>Nov</v>
      </c>
      <c r="C556" s="73">
        <f t="shared" si="265"/>
        <v>23</v>
      </c>
      <c r="D556" s="74">
        <f t="shared" si="248"/>
        <v>19</v>
      </c>
      <c r="E556" s="75">
        <f t="shared" si="249"/>
        <v>33</v>
      </c>
      <c r="F556" s="79"/>
      <c r="G556" s="82"/>
      <c r="H556" s="68" t="str">
        <f t="shared" si="266"/>
        <v>Lacine13_20191123_19_00</v>
      </c>
      <c r="I556" s="69">
        <f t="shared" si="269"/>
        <v>1</v>
      </c>
      <c r="J556" s="76" t="str">
        <f t="shared" si="269"/>
        <v>Lactuca</v>
      </c>
      <c r="K556" s="76" t="str">
        <f t="shared" si="269"/>
        <v>inermis</v>
      </c>
      <c r="L556" s="77">
        <f t="shared" si="269"/>
        <v>13</v>
      </c>
      <c r="M556" s="77">
        <f t="shared" si="269"/>
        <v>2</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2019</v>
      </c>
      <c r="B557" s="72" t="str">
        <f t="shared" si="247"/>
        <v>Nov</v>
      </c>
      <c r="C557" s="73">
        <f t="shared" si="265"/>
        <v>23</v>
      </c>
      <c r="D557" s="74">
        <f t="shared" si="248"/>
        <v>19</v>
      </c>
      <c r="E557" s="75">
        <f t="shared" si="249"/>
        <v>34</v>
      </c>
      <c r="F557" s="79"/>
      <c r="G557" s="82"/>
      <c r="H557" s="68" t="str">
        <f t="shared" si="266"/>
        <v>Lacine13_20191123_19_00</v>
      </c>
      <c r="I557" s="69">
        <f t="shared" si="269"/>
        <v>1</v>
      </c>
      <c r="J557" s="76" t="str">
        <f t="shared" si="269"/>
        <v>Lactuca</v>
      </c>
      <c r="K557" s="76" t="str">
        <f t="shared" si="269"/>
        <v>inermis</v>
      </c>
      <c r="L557" s="77">
        <f t="shared" si="269"/>
        <v>13</v>
      </c>
      <c r="M557" s="77">
        <f t="shared" si="269"/>
        <v>2</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2019</v>
      </c>
      <c r="B558" s="72" t="str">
        <f t="shared" si="247"/>
        <v>Nov</v>
      </c>
      <c r="C558" s="73">
        <f t="shared" si="265"/>
        <v>23</v>
      </c>
      <c r="D558" s="74">
        <f t="shared" si="248"/>
        <v>19</v>
      </c>
      <c r="E558" s="75">
        <f t="shared" si="249"/>
        <v>35</v>
      </c>
      <c r="F558" s="79"/>
      <c r="G558" s="82"/>
      <c r="H558" s="68" t="str">
        <f t="shared" si="266"/>
        <v>Lacine13_20191123_19_00</v>
      </c>
      <c r="I558" s="69">
        <f t="shared" si="269"/>
        <v>1</v>
      </c>
      <c r="J558" s="76" t="str">
        <f t="shared" si="269"/>
        <v>Lactuca</v>
      </c>
      <c r="K558" s="76" t="str">
        <f t="shared" si="269"/>
        <v>inermis</v>
      </c>
      <c r="L558" s="77">
        <f t="shared" si="269"/>
        <v>13</v>
      </c>
      <c r="M558" s="77">
        <f t="shared" si="269"/>
        <v>2</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2019</v>
      </c>
      <c r="B559" s="72" t="str">
        <f t="shared" si="247"/>
        <v>Nov</v>
      </c>
      <c r="C559" s="73">
        <f t="shared" si="265"/>
        <v>23</v>
      </c>
      <c r="D559" s="74">
        <f t="shared" si="248"/>
        <v>19</v>
      </c>
      <c r="E559" s="75">
        <f t="shared" si="249"/>
        <v>36</v>
      </c>
      <c r="F559" s="79"/>
      <c r="G559" s="82"/>
      <c r="H559" s="68" t="str">
        <f t="shared" si="266"/>
        <v>Lacine13_20191123_19_00</v>
      </c>
      <c r="I559" s="69">
        <f t="shared" si="269"/>
        <v>1</v>
      </c>
      <c r="J559" s="76" t="str">
        <f t="shared" si="269"/>
        <v>Lactuca</v>
      </c>
      <c r="K559" s="76" t="str">
        <f t="shared" si="269"/>
        <v>inermis</v>
      </c>
      <c r="L559" s="77">
        <f t="shared" si="269"/>
        <v>13</v>
      </c>
      <c r="M559" s="77">
        <f t="shared" si="269"/>
        <v>2</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2019</v>
      </c>
      <c r="B560" s="72" t="str">
        <f t="shared" si="247"/>
        <v>Nov</v>
      </c>
      <c r="C560" s="73">
        <f t="shared" si="265"/>
        <v>23</v>
      </c>
      <c r="D560" s="74">
        <f t="shared" si="248"/>
        <v>19</v>
      </c>
      <c r="E560" s="75">
        <f t="shared" si="249"/>
        <v>37</v>
      </c>
      <c r="F560" s="79"/>
      <c r="G560" s="82"/>
      <c r="H560" s="68" t="str">
        <f t="shared" si="266"/>
        <v>Lacine13_20191123_19_00</v>
      </c>
      <c r="I560" s="69">
        <f t="shared" si="269"/>
        <v>1</v>
      </c>
      <c r="J560" s="76" t="str">
        <f t="shared" si="269"/>
        <v>Lactuca</v>
      </c>
      <c r="K560" s="76" t="str">
        <f t="shared" si="269"/>
        <v>inermis</v>
      </c>
      <c r="L560" s="77">
        <f t="shared" si="269"/>
        <v>13</v>
      </c>
      <c r="M560" s="77">
        <f t="shared" si="269"/>
        <v>2</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2019</v>
      </c>
      <c r="B561" s="72" t="str">
        <f t="shared" si="247"/>
        <v>Nov</v>
      </c>
      <c r="C561" s="73">
        <f t="shared" si="265"/>
        <v>23</v>
      </c>
      <c r="D561" s="74">
        <f t="shared" si="248"/>
        <v>19</v>
      </c>
      <c r="E561" s="75">
        <f t="shared" si="249"/>
        <v>38</v>
      </c>
      <c r="F561" s="79"/>
      <c r="G561" s="82"/>
      <c r="H561" s="68" t="str">
        <f t="shared" si="266"/>
        <v>Lacine13_20191123_19_00</v>
      </c>
      <c r="I561" s="69">
        <f t="shared" si="269"/>
        <v>1</v>
      </c>
      <c r="J561" s="76" t="str">
        <f t="shared" si="269"/>
        <v>Lactuca</v>
      </c>
      <c r="K561" s="76" t="str">
        <f t="shared" si="269"/>
        <v>inermis</v>
      </c>
      <c r="L561" s="77">
        <f t="shared" si="269"/>
        <v>13</v>
      </c>
      <c r="M561" s="77">
        <f t="shared" si="269"/>
        <v>2</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2019</v>
      </c>
      <c r="B562" s="72" t="str">
        <f t="shared" si="247"/>
        <v>Nov</v>
      </c>
      <c r="C562" s="73">
        <f t="shared" si="265"/>
        <v>23</v>
      </c>
      <c r="D562" s="74">
        <f t="shared" si="248"/>
        <v>19</v>
      </c>
      <c r="E562" s="75">
        <f t="shared" si="249"/>
        <v>39</v>
      </c>
      <c r="F562" s="79"/>
      <c r="G562" s="82"/>
      <c r="H562" s="68" t="str">
        <f t="shared" si="266"/>
        <v>Lacine13_20191123_19_00</v>
      </c>
      <c r="I562" s="69">
        <f t="shared" si="269"/>
        <v>1</v>
      </c>
      <c r="J562" s="76" t="str">
        <f t="shared" si="269"/>
        <v>Lactuca</v>
      </c>
      <c r="K562" s="76" t="str">
        <f t="shared" si="269"/>
        <v>inermis</v>
      </c>
      <c r="L562" s="77">
        <f t="shared" si="269"/>
        <v>13</v>
      </c>
      <c r="M562" s="77">
        <f t="shared" si="269"/>
        <v>2</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2019</v>
      </c>
      <c r="B563" s="72" t="str">
        <f t="shared" si="247"/>
        <v>Nov</v>
      </c>
      <c r="C563" s="73">
        <f t="shared" si="265"/>
        <v>23</v>
      </c>
      <c r="D563" s="74">
        <f t="shared" si="248"/>
        <v>19</v>
      </c>
      <c r="E563" s="75">
        <f t="shared" si="249"/>
        <v>40</v>
      </c>
      <c r="F563" s="79"/>
      <c r="G563" s="82"/>
      <c r="H563" s="68" t="str">
        <f t="shared" si="266"/>
        <v>Lacine13_20191123_19_00</v>
      </c>
      <c r="I563" s="69">
        <f t="shared" si="269"/>
        <v>1</v>
      </c>
      <c r="J563" s="76" t="str">
        <f t="shared" si="269"/>
        <v>Lactuca</v>
      </c>
      <c r="K563" s="76" t="str">
        <f t="shared" si="269"/>
        <v>inermis</v>
      </c>
      <c r="L563" s="77">
        <f t="shared" si="269"/>
        <v>13</v>
      </c>
      <c r="M563" s="77">
        <f t="shared" si="269"/>
        <v>2</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2019</v>
      </c>
      <c r="B564" s="72" t="str">
        <f t="shared" si="247"/>
        <v>Nov</v>
      </c>
      <c r="C564" s="73">
        <f t="shared" si="265"/>
        <v>23</v>
      </c>
      <c r="D564" s="74">
        <f t="shared" si="248"/>
        <v>19</v>
      </c>
      <c r="E564" s="75">
        <f t="shared" si="249"/>
        <v>41</v>
      </c>
      <c r="F564" s="79"/>
      <c r="G564" s="82"/>
      <c r="H564" s="68" t="str">
        <f t="shared" si="266"/>
        <v>Lacine13_20191123_19_00</v>
      </c>
      <c r="I564" s="69">
        <f t="shared" si="269"/>
        <v>1</v>
      </c>
      <c r="J564" s="76" t="str">
        <f t="shared" si="269"/>
        <v>Lactuca</v>
      </c>
      <c r="K564" s="76" t="str">
        <f t="shared" si="269"/>
        <v>inermis</v>
      </c>
      <c r="L564" s="77">
        <f t="shared" si="269"/>
        <v>13</v>
      </c>
      <c r="M564" s="77">
        <f t="shared" si="269"/>
        <v>2</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2019</v>
      </c>
      <c r="B565" s="72" t="str">
        <f t="shared" si="247"/>
        <v>Nov</v>
      </c>
      <c r="C565" s="73">
        <f t="shared" si="265"/>
        <v>23</v>
      </c>
      <c r="D565" s="74">
        <f t="shared" si="248"/>
        <v>19</v>
      </c>
      <c r="E565" s="75">
        <f t="shared" si="249"/>
        <v>42</v>
      </c>
      <c r="F565" s="79"/>
      <c r="G565" s="82"/>
      <c r="H565" s="68" t="str">
        <f t="shared" si="266"/>
        <v>Lacine13_20191123_19_00</v>
      </c>
      <c r="I565" s="69">
        <f t="shared" ref="I565:N580" si="270">I564</f>
        <v>1</v>
      </c>
      <c r="J565" s="76" t="str">
        <f t="shared" si="270"/>
        <v>Lactuca</v>
      </c>
      <c r="K565" s="76" t="str">
        <f t="shared" si="270"/>
        <v>inermis</v>
      </c>
      <c r="L565" s="77">
        <f t="shared" si="270"/>
        <v>13</v>
      </c>
      <c r="M565" s="77">
        <f t="shared" si="270"/>
        <v>2</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2019</v>
      </c>
      <c r="B566" s="72" t="str">
        <f t="shared" si="247"/>
        <v>Nov</v>
      </c>
      <c r="C566" s="73">
        <f t="shared" si="265"/>
        <v>23</v>
      </c>
      <c r="D566" s="74">
        <f t="shared" si="248"/>
        <v>19</v>
      </c>
      <c r="E566" s="75">
        <f t="shared" si="249"/>
        <v>43</v>
      </c>
      <c r="F566" s="79"/>
      <c r="G566" s="82"/>
      <c r="H566" s="68" t="str">
        <f t="shared" si="266"/>
        <v>Lacine13_20191123_19_00</v>
      </c>
      <c r="I566" s="69">
        <f t="shared" si="270"/>
        <v>1</v>
      </c>
      <c r="J566" s="76" t="str">
        <f t="shared" si="270"/>
        <v>Lactuca</v>
      </c>
      <c r="K566" s="76" t="str">
        <f t="shared" si="270"/>
        <v>inermis</v>
      </c>
      <c r="L566" s="77">
        <f t="shared" si="270"/>
        <v>13</v>
      </c>
      <c r="M566" s="77">
        <f t="shared" si="270"/>
        <v>2</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2019</v>
      </c>
      <c r="B567" s="72" t="str">
        <f t="shared" si="247"/>
        <v>Nov</v>
      </c>
      <c r="C567" s="73">
        <f t="shared" si="265"/>
        <v>23</v>
      </c>
      <c r="D567" s="74">
        <f t="shared" si="248"/>
        <v>19</v>
      </c>
      <c r="E567" s="75">
        <f t="shared" si="249"/>
        <v>44</v>
      </c>
      <c r="F567" s="79"/>
      <c r="G567" s="82"/>
      <c r="H567" s="68" t="str">
        <f t="shared" si="266"/>
        <v>Lacine13_20191123_19_00</v>
      </c>
      <c r="I567" s="69">
        <f t="shared" si="270"/>
        <v>1</v>
      </c>
      <c r="J567" s="76" t="str">
        <f t="shared" si="270"/>
        <v>Lactuca</v>
      </c>
      <c r="K567" s="76" t="str">
        <f t="shared" si="270"/>
        <v>inermis</v>
      </c>
      <c r="L567" s="77">
        <f t="shared" si="270"/>
        <v>13</v>
      </c>
      <c r="M567" s="77">
        <f t="shared" si="270"/>
        <v>2</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2019</v>
      </c>
      <c r="B568" s="72" t="str">
        <f t="shared" si="247"/>
        <v>Nov</v>
      </c>
      <c r="C568" s="73">
        <f t="shared" si="265"/>
        <v>23</v>
      </c>
      <c r="D568" s="74">
        <f t="shared" si="248"/>
        <v>19</v>
      </c>
      <c r="E568" s="75">
        <f t="shared" si="249"/>
        <v>45</v>
      </c>
      <c r="F568" s="79"/>
      <c r="G568" s="82"/>
      <c r="H568" s="68" t="str">
        <f t="shared" si="266"/>
        <v>Lacine13_20191123_19_00</v>
      </c>
      <c r="I568" s="69">
        <f t="shared" si="270"/>
        <v>1</v>
      </c>
      <c r="J568" s="76" t="str">
        <f t="shared" si="270"/>
        <v>Lactuca</v>
      </c>
      <c r="K568" s="76" t="str">
        <f t="shared" si="270"/>
        <v>inermis</v>
      </c>
      <c r="L568" s="77">
        <f t="shared" si="270"/>
        <v>13</v>
      </c>
      <c r="M568" s="77">
        <f t="shared" si="270"/>
        <v>2</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2019</v>
      </c>
      <c r="B569" s="72" t="str">
        <f t="shared" si="247"/>
        <v>Nov</v>
      </c>
      <c r="C569" s="73">
        <f t="shared" si="265"/>
        <v>23</v>
      </c>
      <c r="D569" s="74">
        <f t="shared" si="248"/>
        <v>19</v>
      </c>
      <c r="E569" s="75">
        <f t="shared" si="249"/>
        <v>46</v>
      </c>
      <c r="F569" s="79"/>
      <c r="G569" s="82"/>
      <c r="H569" s="68" t="str">
        <f t="shared" si="266"/>
        <v>Lacine13_20191123_19_00</v>
      </c>
      <c r="I569" s="69">
        <f t="shared" si="270"/>
        <v>1</v>
      </c>
      <c r="J569" s="76" t="str">
        <f t="shared" si="270"/>
        <v>Lactuca</v>
      </c>
      <c r="K569" s="76" t="str">
        <f t="shared" si="270"/>
        <v>inermis</v>
      </c>
      <c r="L569" s="77">
        <f t="shared" si="270"/>
        <v>13</v>
      </c>
      <c r="M569" s="77">
        <f t="shared" si="270"/>
        <v>2</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2019</v>
      </c>
      <c r="B570" s="72" t="str">
        <f t="shared" si="247"/>
        <v>Nov</v>
      </c>
      <c r="C570" s="73">
        <f t="shared" si="265"/>
        <v>23</v>
      </c>
      <c r="D570" s="74">
        <f t="shared" si="248"/>
        <v>19</v>
      </c>
      <c r="E570" s="75">
        <f t="shared" si="249"/>
        <v>47</v>
      </c>
      <c r="F570" s="79"/>
      <c r="G570" s="82"/>
      <c r="H570" s="68" t="str">
        <f t="shared" si="266"/>
        <v>Lacine13_20191123_19_00</v>
      </c>
      <c r="I570" s="69">
        <f t="shared" si="270"/>
        <v>1</v>
      </c>
      <c r="J570" s="76" t="str">
        <f t="shared" si="270"/>
        <v>Lactuca</v>
      </c>
      <c r="K570" s="76" t="str">
        <f t="shared" si="270"/>
        <v>inermis</v>
      </c>
      <c r="L570" s="77">
        <f t="shared" si="270"/>
        <v>13</v>
      </c>
      <c r="M570" s="77">
        <f t="shared" si="270"/>
        <v>2</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2019</v>
      </c>
      <c r="B571" s="72" t="str">
        <f t="shared" si="247"/>
        <v>Nov</v>
      </c>
      <c r="C571" s="73">
        <f t="shared" si="265"/>
        <v>23</v>
      </c>
      <c r="D571" s="74">
        <f t="shared" si="248"/>
        <v>19</v>
      </c>
      <c r="E571" s="75">
        <f t="shared" si="249"/>
        <v>48</v>
      </c>
      <c r="F571" s="79"/>
      <c r="G571" s="82"/>
      <c r="H571" s="68" t="str">
        <f t="shared" si="266"/>
        <v>Lacine13_20191123_19_00</v>
      </c>
      <c r="I571" s="69">
        <f t="shared" si="270"/>
        <v>1</v>
      </c>
      <c r="J571" s="76" t="str">
        <f t="shared" si="270"/>
        <v>Lactuca</v>
      </c>
      <c r="K571" s="76" t="str">
        <f t="shared" si="270"/>
        <v>inermis</v>
      </c>
      <c r="L571" s="77">
        <f t="shared" si="270"/>
        <v>13</v>
      </c>
      <c r="M571" s="77">
        <f t="shared" si="270"/>
        <v>2</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2019</v>
      </c>
      <c r="B572" s="72" t="str">
        <f t="shared" si="247"/>
        <v>Nov</v>
      </c>
      <c r="C572" s="73">
        <f t="shared" si="265"/>
        <v>23</v>
      </c>
      <c r="D572" s="74">
        <f t="shared" si="248"/>
        <v>19</v>
      </c>
      <c r="E572" s="75">
        <f t="shared" si="249"/>
        <v>49</v>
      </c>
      <c r="F572" s="79"/>
      <c r="G572" s="82"/>
      <c r="H572" s="68" t="str">
        <f t="shared" si="266"/>
        <v>Lacine13_20191123_19_00</v>
      </c>
      <c r="I572" s="69">
        <f t="shared" si="270"/>
        <v>1</v>
      </c>
      <c r="J572" s="76" t="str">
        <f t="shared" si="270"/>
        <v>Lactuca</v>
      </c>
      <c r="K572" s="76" t="str">
        <f t="shared" si="270"/>
        <v>inermis</v>
      </c>
      <c r="L572" s="77">
        <f t="shared" si="270"/>
        <v>13</v>
      </c>
      <c r="M572" s="77">
        <f t="shared" si="270"/>
        <v>2</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2019</v>
      </c>
      <c r="B573" s="72" t="str">
        <f t="shared" si="247"/>
        <v>Nov</v>
      </c>
      <c r="C573" s="73">
        <f t="shared" si="265"/>
        <v>23</v>
      </c>
      <c r="D573" s="74">
        <f t="shared" si="248"/>
        <v>19</v>
      </c>
      <c r="E573" s="75">
        <f t="shared" si="249"/>
        <v>50</v>
      </c>
      <c r="F573" s="79"/>
      <c r="G573" s="82"/>
      <c r="H573" s="68" t="str">
        <f t="shared" si="266"/>
        <v>Lacine13_20191123_19_00</v>
      </c>
      <c r="I573" s="69">
        <f t="shared" si="270"/>
        <v>1</v>
      </c>
      <c r="J573" s="76" t="str">
        <f t="shared" si="270"/>
        <v>Lactuca</v>
      </c>
      <c r="K573" s="76" t="str">
        <f t="shared" si="270"/>
        <v>inermis</v>
      </c>
      <c r="L573" s="77">
        <f t="shared" si="270"/>
        <v>13</v>
      </c>
      <c r="M573" s="77">
        <f t="shared" si="270"/>
        <v>2</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2019</v>
      </c>
      <c r="B574" s="72" t="str">
        <f t="shared" si="247"/>
        <v>Nov</v>
      </c>
      <c r="C574" s="73">
        <f t="shared" si="265"/>
        <v>23</v>
      </c>
      <c r="D574" s="74">
        <f t="shared" si="248"/>
        <v>19</v>
      </c>
      <c r="E574" s="75">
        <f t="shared" si="249"/>
        <v>51</v>
      </c>
      <c r="F574" s="79"/>
      <c r="G574" s="82"/>
      <c r="H574" s="68" t="str">
        <f t="shared" si="266"/>
        <v>Lacine13_20191123_19_00</v>
      </c>
      <c r="I574" s="69">
        <f t="shared" si="270"/>
        <v>1</v>
      </c>
      <c r="J574" s="76" t="str">
        <f t="shared" si="270"/>
        <v>Lactuca</v>
      </c>
      <c r="K574" s="76" t="str">
        <f t="shared" si="270"/>
        <v>inermis</v>
      </c>
      <c r="L574" s="77">
        <f t="shared" si="270"/>
        <v>13</v>
      </c>
      <c r="M574" s="77">
        <f t="shared" si="270"/>
        <v>2</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2019</v>
      </c>
      <c r="B575" s="72" t="str">
        <f t="shared" si="247"/>
        <v>Nov</v>
      </c>
      <c r="C575" s="73">
        <f t="shared" si="265"/>
        <v>23</v>
      </c>
      <c r="D575" s="74">
        <f t="shared" si="248"/>
        <v>19</v>
      </c>
      <c r="E575" s="75">
        <f t="shared" si="249"/>
        <v>52</v>
      </c>
      <c r="F575" s="79"/>
      <c r="G575" s="82"/>
      <c r="H575" s="68" t="str">
        <f t="shared" si="266"/>
        <v>Lacine13_20191123_19_00</v>
      </c>
      <c r="I575" s="69">
        <f t="shared" si="270"/>
        <v>1</v>
      </c>
      <c r="J575" s="76" t="str">
        <f t="shared" si="270"/>
        <v>Lactuca</v>
      </c>
      <c r="K575" s="76" t="str">
        <f t="shared" si="270"/>
        <v>inermis</v>
      </c>
      <c r="L575" s="77">
        <f t="shared" si="270"/>
        <v>13</v>
      </c>
      <c r="M575" s="77">
        <f t="shared" si="270"/>
        <v>2</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2019</v>
      </c>
      <c r="B576" s="72" t="str">
        <f t="shared" si="247"/>
        <v>Nov</v>
      </c>
      <c r="C576" s="73">
        <f t="shared" si="265"/>
        <v>23</v>
      </c>
      <c r="D576" s="74">
        <f t="shared" si="248"/>
        <v>19</v>
      </c>
      <c r="E576" s="75">
        <f t="shared" si="249"/>
        <v>53</v>
      </c>
      <c r="F576" s="79"/>
      <c r="G576" s="82"/>
      <c r="H576" s="68" t="str">
        <f t="shared" si="266"/>
        <v>Lacine13_20191123_19_00</v>
      </c>
      <c r="I576" s="69">
        <f t="shared" si="270"/>
        <v>1</v>
      </c>
      <c r="J576" s="76" t="str">
        <f t="shared" si="270"/>
        <v>Lactuca</v>
      </c>
      <c r="K576" s="76" t="str">
        <f t="shared" si="270"/>
        <v>inermis</v>
      </c>
      <c r="L576" s="77">
        <f t="shared" si="270"/>
        <v>13</v>
      </c>
      <c r="M576" s="77">
        <f t="shared" si="270"/>
        <v>2</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2019</v>
      </c>
      <c r="B577" s="72" t="str">
        <f t="shared" si="247"/>
        <v>Nov</v>
      </c>
      <c r="C577" s="73">
        <f t="shared" si="265"/>
        <v>23</v>
      </c>
      <c r="D577" s="74">
        <f t="shared" si="248"/>
        <v>19</v>
      </c>
      <c r="E577" s="75">
        <f t="shared" si="249"/>
        <v>54</v>
      </c>
      <c r="F577" s="79"/>
      <c r="G577" s="82"/>
      <c r="H577" s="68" t="str">
        <f t="shared" si="266"/>
        <v>Lacine13_20191123_19_00</v>
      </c>
      <c r="I577" s="69">
        <f t="shared" si="270"/>
        <v>1</v>
      </c>
      <c r="J577" s="76" t="str">
        <f t="shared" si="270"/>
        <v>Lactuca</v>
      </c>
      <c r="K577" s="76" t="str">
        <f t="shared" si="270"/>
        <v>inermis</v>
      </c>
      <c r="L577" s="77">
        <f t="shared" si="270"/>
        <v>13</v>
      </c>
      <c r="M577" s="77">
        <f t="shared" si="270"/>
        <v>2</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2019</v>
      </c>
      <c r="B578" s="72" t="str">
        <f t="shared" si="247"/>
        <v>Nov</v>
      </c>
      <c r="C578" s="73">
        <f t="shared" si="265"/>
        <v>23</v>
      </c>
      <c r="D578" s="74">
        <f t="shared" si="248"/>
        <v>19</v>
      </c>
      <c r="E578" s="75">
        <f t="shared" si="249"/>
        <v>55</v>
      </c>
      <c r="F578" s="79"/>
      <c r="G578" s="82"/>
      <c r="H578" s="68" t="str">
        <f t="shared" si="266"/>
        <v>Lacine13_20191123_19_00</v>
      </c>
      <c r="I578" s="69">
        <f t="shared" si="270"/>
        <v>1</v>
      </c>
      <c r="J578" s="76" t="str">
        <f t="shared" si="270"/>
        <v>Lactuca</v>
      </c>
      <c r="K578" s="76" t="str">
        <f t="shared" si="270"/>
        <v>inermis</v>
      </c>
      <c r="L578" s="77">
        <f t="shared" si="270"/>
        <v>13</v>
      </c>
      <c r="M578" s="77">
        <f t="shared" si="270"/>
        <v>2</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2019</v>
      </c>
      <c r="B579" s="72" t="str">
        <f t="shared" si="247"/>
        <v>Nov</v>
      </c>
      <c r="C579" s="73">
        <f t="shared" si="265"/>
        <v>23</v>
      </c>
      <c r="D579" s="74">
        <f t="shared" si="248"/>
        <v>19</v>
      </c>
      <c r="E579" s="75">
        <f t="shared" si="249"/>
        <v>56</v>
      </c>
      <c r="F579" s="79"/>
      <c r="G579" s="82"/>
      <c r="H579" s="68" t="str">
        <f t="shared" si="266"/>
        <v>Lacine13_20191123_19_00</v>
      </c>
      <c r="I579" s="69">
        <f t="shared" si="270"/>
        <v>1</v>
      </c>
      <c r="J579" s="76" t="str">
        <f t="shared" si="270"/>
        <v>Lactuca</v>
      </c>
      <c r="K579" s="76" t="str">
        <f t="shared" si="270"/>
        <v>inermis</v>
      </c>
      <c r="L579" s="77">
        <f t="shared" si="270"/>
        <v>13</v>
      </c>
      <c r="M579" s="77">
        <f t="shared" si="270"/>
        <v>2</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2019</v>
      </c>
      <c r="B580" s="72" t="str">
        <f t="shared" ref="B580:B643" si="277">IF(C579-C580&gt;0, TEXT(DATE(2016,(MONTH(DATEVALUE(B579&amp;"1"))+1),1),"mmm"), B579)</f>
        <v>Nov</v>
      </c>
      <c r="C580" s="73">
        <f t="shared" si="265"/>
        <v>23</v>
      </c>
      <c r="D580" s="74">
        <f t="shared" ref="D580:D643" si="278">IF(IF(E579=59,D579+1,D579)=24,0,IF(E579=59,D579+1,D579))</f>
        <v>19</v>
      </c>
      <c r="E580" s="75">
        <f t="shared" ref="E580:E643" si="279">IF(E579&lt;59,E579+1,0)</f>
        <v>57</v>
      </c>
      <c r="F580" s="79"/>
      <c r="G580" s="82"/>
      <c r="H580" s="68" t="str">
        <f t="shared" si="266"/>
        <v>Lacine13_20191123_19_00</v>
      </c>
      <c r="I580" s="69">
        <f t="shared" si="270"/>
        <v>1</v>
      </c>
      <c r="J580" s="76" t="str">
        <f t="shared" si="270"/>
        <v>Lactuca</v>
      </c>
      <c r="K580" s="76" t="str">
        <f t="shared" si="270"/>
        <v>inermis</v>
      </c>
      <c r="L580" s="77">
        <f t="shared" si="270"/>
        <v>13</v>
      </c>
      <c r="M580" s="77">
        <f t="shared" si="270"/>
        <v>2</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2019</v>
      </c>
      <c r="B581" s="72" t="str">
        <f t="shared" si="277"/>
        <v>Nov</v>
      </c>
      <c r="C581" s="73">
        <f t="shared" ref="C581:C644" si="295">IF(AND(D581=0, E581=0), IF(TEXT(C580,"dd")=TEXT(EOMONTH(DATE(A580,MONTH(DATEVALUE(B580&amp;"1")),C580),0), "dd"), 1, C580+1), C580)</f>
        <v>23</v>
      </c>
      <c r="D581" s="74">
        <f t="shared" si="278"/>
        <v>19</v>
      </c>
      <c r="E581" s="75">
        <f t="shared" si="279"/>
        <v>58</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Lacine13_20191123_19_00</v>
      </c>
      <c r="I581" s="69">
        <f t="shared" ref="I581:N596" si="297">I580</f>
        <v>1</v>
      </c>
      <c r="J581" s="76" t="str">
        <f t="shared" si="297"/>
        <v>Lactuca</v>
      </c>
      <c r="K581" s="76" t="str">
        <f t="shared" si="297"/>
        <v>inermis</v>
      </c>
      <c r="L581" s="77">
        <f t="shared" si="297"/>
        <v>13</v>
      </c>
      <c r="M581" s="77">
        <f t="shared" si="297"/>
        <v>2</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2019</v>
      </c>
      <c r="B582" s="72" t="str">
        <f t="shared" si="277"/>
        <v>Nov</v>
      </c>
      <c r="C582" s="73">
        <f t="shared" si="295"/>
        <v>23</v>
      </c>
      <c r="D582" s="74">
        <f t="shared" si="278"/>
        <v>19</v>
      </c>
      <c r="E582" s="75">
        <f t="shared" si="279"/>
        <v>59</v>
      </c>
      <c r="F582" s="79"/>
      <c r="G582" s="82"/>
      <c r="H582" s="68" t="str">
        <f t="shared" si="296"/>
        <v>Lacine13_20191123_19_00</v>
      </c>
      <c r="I582" s="69">
        <f t="shared" si="297"/>
        <v>1</v>
      </c>
      <c r="J582" s="76" t="str">
        <f t="shared" si="297"/>
        <v>Lactuca</v>
      </c>
      <c r="K582" s="76" t="str">
        <f t="shared" si="297"/>
        <v>inermis</v>
      </c>
      <c r="L582" s="77">
        <f t="shared" si="297"/>
        <v>13</v>
      </c>
      <c r="M582" s="77">
        <f t="shared" si="297"/>
        <v>2</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2019</v>
      </c>
      <c r="B583" s="72" t="str">
        <f t="shared" si="277"/>
        <v>Nov</v>
      </c>
      <c r="C583" s="73">
        <f t="shared" si="295"/>
        <v>23</v>
      </c>
      <c r="D583" s="74">
        <f t="shared" si="278"/>
        <v>20</v>
      </c>
      <c r="E583" s="75">
        <f t="shared" si="279"/>
        <v>0</v>
      </c>
      <c r="F583" s="79"/>
      <c r="G583" s="82"/>
      <c r="H583" s="68" t="str">
        <f t="shared" si="296"/>
        <v>Lacine13_20191123_20_00</v>
      </c>
      <c r="I583" s="69">
        <f t="shared" si="297"/>
        <v>1</v>
      </c>
      <c r="J583" s="76" t="str">
        <f t="shared" si="297"/>
        <v>Lactuca</v>
      </c>
      <c r="K583" s="76" t="str">
        <f t="shared" si="297"/>
        <v>inermis</v>
      </c>
      <c r="L583" s="77">
        <f t="shared" si="297"/>
        <v>13</v>
      </c>
      <c r="M583" s="77">
        <f t="shared" si="297"/>
        <v>2</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2019</v>
      </c>
      <c r="B584" s="72" t="str">
        <f t="shared" si="277"/>
        <v>Nov</v>
      </c>
      <c r="C584" s="73">
        <f t="shared" si="295"/>
        <v>23</v>
      </c>
      <c r="D584" s="74">
        <f t="shared" si="278"/>
        <v>20</v>
      </c>
      <c r="E584" s="75">
        <f t="shared" si="279"/>
        <v>1</v>
      </c>
      <c r="F584" s="79"/>
      <c r="G584" s="82"/>
      <c r="H584" s="68" t="str">
        <f t="shared" si="296"/>
        <v>Lacine13_20191123_20_00</v>
      </c>
      <c r="I584" s="69">
        <f t="shared" si="297"/>
        <v>1</v>
      </c>
      <c r="J584" s="76" t="str">
        <f t="shared" si="297"/>
        <v>Lactuca</v>
      </c>
      <c r="K584" s="76" t="str">
        <f t="shared" si="297"/>
        <v>inermis</v>
      </c>
      <c r="L584" s="77">
        <f t="shared" si="297"/>
        <v>13</v>
      </c>
      <c r="M584" s="77">
        <f t="shared" si="297"/>
        <v>2</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2019</v>
      </c>
      <c r="B585" s="72" t="str">
        <f t="shared" si="277"/>
        <v>Nov</v>
      </c>
      <c r="C585" s="73">
        <f t="shared" si="295"/>
        <v>23</v>
      </c>
      <c r="D585" s="74">
        <f t="shared" si="278"/>
        <v>20</v>
      </c>
      <c r="E585" s="75">
        <f t="shared" si="279"/>
        <v>2</v>
      </c>
      <c r="F585" s="79"/>
      <c r="G585" s="82"/>
      <c r="H585" s="68" t="str">
        <f t="shared" si="296"/>
        <v>Lacine13_20191123_20_00</v>
      </c>
      <c r="I585" s="69">
        <f t="shared" si="297"/>
        <v>1</v>
      </c>
      <c r="J585" s="76" t="str">
        <f t="shared" si="297"/>
        <v>Lactuca</v>
      </c>
      <c r="K585" s="76" t="str">
        <f t="shared" si="297"/>
        <v>inermis</v>
      </c>
      <c r="L585" s="77">
        <f t="shared" si="297"/>
        <v>13</v>
      </c>
      <c r="M585" s="77">
        <f t="shared" si="297"/>
        <v>2</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2019</v>
      </c>
      <c r="B586" s="72" t="str">
        <f t="shared" si="277"/>
        <v>Nov</v>
      </c>
      <c r="C586" s="73">
        <f t="shared" si="295"/>
        <v>23</v>
      </c>
      <c r="D586" s="74">
        <f t="shared" si="278"/>
        <v>20</v>
      </c>
      <c r="E586" s="75">
        <f t="shared" si="279"/>
        <v>3</v>
      </c>
      <c r="F586" s="79"/>
      <c r="G586" s="82"/>
      <c r="H586" s="68" t="str">
        <f t="shared" si="296"/>
        <v>Lacine13_20191123_20_00</v>
      </c>
      <c r="I586" s="69">
        <f t="shared" si="297"/>
        <v>1</v>
      </c>
      <c r="J586" s="76" t="str">
        <f t="shared" si="297"/>
        <v>Lactuca</v>
      </c>
      <c r="K586" s="76" t="str">
        <f t="shared" si="297"/>
        <v>inermis</v>
      </c>
      <c r="L586" s="77">
        <f t="shared" si="297"/>
        <v>13</v>
      </c>
      <c r="M586" s="77">
        <f t="shared" si="297"/>
        <v>2</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2019</v>
      </c>
      <c r="B587" s="72" t="str">
        <f t="shared" si="277"/>
        <v>Nov</v>
      </c>
      <c r="C587" s="73">
        <f t="shared" si="295"/>
        <v>23</v>
      </c>
      <c r="D587" s="74">
        <f t="shared" si="278"/>
        <v>20</v>
      </c>
      <c r="E587" s="75">
        <f t="shared" si="279"/>
        <v>4</v>
      </c>
      <c r="F587" s="79"/>
      <c r="G587" s="82"/>
      <c r="H587" s="68" t="str">
        <f t="shared" si="296"/>
        <v>Lacine13_20191123_20_00</v>
      </c>
      <c r="I587" s="69">
        <f t="shared" si="297"/>
        <v>1</v>
      </c>
      <c r="J587" s="76" t="str">
        <f t="shared" si="297"/>
        <v>Lactuca</v>
      </c>
      <c r="K587" s="76" t="str">
        <f t="shared" si="297"/>
        <v>inermis</v>
      </c>
      <c r="L587" s="77">
        <f t="shared" si="297"/>
        <v>13</v>
      </c>
      <c r="M587" s="77">
        <f t="shared" si="297"/>
        <v>2</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2019</v>
      </c>
      <c r="B588" s="72" t="str">
        <f t="shared" si="277"/>
        <v>Nov</v>
      </c>
      <c r="C588" s="73">
        <f t="shared" si="295"/>
        <v>23</v>
      </c>
      <c r="D588" s="74">
        <f t="shared" si="278"/>
        <v>20</v>
      </c>
      <c r="E588" s="75">
        <f t="shared" si="279"/>
        <v>5</v>
      </c>
      <c r="F588" s="79"/>
      <c r="G588" s="82"/>
      <c r="H588" s="68" t="str">
        <f t="shared" si="296"/>
        <v>Lacine13_20191123_20_00</v>
      </c>
      <c r="I588" s="69">
        <f t="shared" si="297"/>
        <v>1</v>
      </c>
      <c r="J588" s="76" t="str">
        <f t="shared" si="297"/>
        <v>Lactuca</v>
      </c>
      <c r="K588" s="76" t="str">
        <f t="shared" si="297"/>
        <v>inermis</v>
      </c>
      <c r="L588" s="77">
        <f t="shared" si="297"/>
        <v>13</v>
      </c>
      <c r="M588" s="77">
        <f t="shared" si="297"/>
        <v>2</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2019</v>
      </c>
      <c r="B589" s="72" t="str">
        <f t="shared" si="277"/>
        <v>Nov</v>
      </c>
      <c r="C589" s="73">
        <f t="shared" si="295"/>
        <v>23</v>
      </c>
      <c r="D589" s="74">
        <f t="shared" si="278"/>
        <v>20</v>
      </c>
      <c r="E589" s="75">
        <f t="shared" si="279"/>
        <v>6</v>
      </c>
      <c r="F589" s="79"/>
      <c r="G589" s="82"/>
      <c r="H589" s="68" t="str">
        <f t="shared" si="296"/>
        <v>Lacine13_20191123_20_00</v>
      </c>
      <c r="I589" s="69">
        <f t="shared" si="297"/>
        <v>1</v>
      </c>
      <c r="J589" s="76" t="str">
        <f t="shared" si="297"/>
        <v>Lactuca</v>
      </c>
      <c r="K589" s="76" t="str">
        <f t="shared" si="297"/>
        <v>inermis</v>
      </c>
      <c r="L589" s="77">
        <f t="shared" si="297"/>
        <v>13</v>
      </c>
      <c r="M589" s="77">
        <f t="shared" si="297"/>
        <v>2</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2019</v>
      </c>
      <c r="B590" s="72" t="str">
        <f t="shared" si="277"/>
        <v>Nov</v>
      </c>
      <c r="C590" s="73">
        <f t="shared" si="295"/>
        <v>23</v>
      </c>
      <c r="D590" s="74">
        <f t="shared" si="278"/>
        <v>20</v>
      </c>
      <c r="E590" s="75">
        <f t="shared" si="279"/>
        <v>7</v>
      </c>
      <c r="F590" s="79"/>
      <c r="G590" s="82"/>
      <c r="H590" s="68" t="str">
        <f t="shared" si="296"/>
        <v>Lacine13_20191123_20_00</v>
      </c>
      <c r="I590" s="69">
        <f t="shared" si="297"/>
        <v>1</v>
      </c>
      <c r="J590" s="76" t="str">
        <f t="shared" si="297"/>
        <v>Lactuca</v>
      </c>
      <c r="K590" s="76" t="str">
        <f t="shared" si="297"/>
        <v>inermis</v>
      </c>
      <c r="L590" s="77">
        <f t="shared" si="297"/>
        <v>13</v>
      </c>
      <c r="M590" s="77">
        <f t="shared" si="297"/>
        <v>2</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2019</v>
      </c>
      <c r="B591" s="72" t="str">
        <f t="shared" si="277"/>
        <v>Nov</v>
      </c>
      <c r="C591" s="73">
        <f t="shared" si="295"/>
        <v>23</v>
      </c>
      <c r="D591" s="74">
        <f t="shared" si="278"/>
        <v>20</v>
      </c>
      <c r="E591" s="75">
        <f t="shared" si="279"/>
        <v>8</v>
      </c>
      <c r="F591" s="79"/>
      <c r="G591" s="82"/>
      <c r="H591" s="68" t="str">
        <f t="shared" si="296"/>
        <v>Lacine13_20191123_20_00</v>
      </c>
      <c r="I591" s="69">
        <f t="shared" si="297"/>
        <v>1</v>
      </c>
      <c r="J591" s="76" t="str">
        <f t="shared" si="297"/>
        <v>Lactuca</v>
      </c>
      <c r="K591" s="76" t="str">
        <f t="shared" si="297"/>
        <v>inermis</v>
      </c>
      <c r="L591" s="77">
        <f t="shared" si="297"/>
        <v>13</v>
      </c>
      <c r="M591" s="77">
        <f t="shared" si="297"/>
        <v>2</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2019</v>
      </c>
      <c r="B592" s="72" t="str">
        <f t="shared" si="277"/>
        <v>Nov</v>
      </c>
      <c r="C592" s="73">
        <f t="shared" si="295"/>
        <v>23</v>
      </c>
      <c r="D592" s="74">
        <f t="shared" si="278"/>
        <v>20</v>
      </c>
      <c r="E592" s="75">
        <f t="shared" si="279"/>
        <v>9</v>
      </c>
      <c r="F592" s="79"/>
      <c r="G592" s="82"/>
      <c r="H592" s="68" t="str">
        <f t="shared" si="296"/>
        <v>Lacine13_20191123_20_00</v>
      </c>
      <c r="I592" s="69">
        <f t="shared" si="297"/>
        <v>1</v>
      </c>
      <c r="J592" s="76" t="str">
        <f t="shared" si="297"/>
        <v>Lactuca</v>
      </c>
      <c r="K592" s="76" t="str">
        <f t="shared" si="297"/>
        <v>inermis</v>
      </c>
      <c r="L592" s="77">
        <f t="shared" si="297"/>
        <v>13</v>
      </c>
      <c r="M592" s="77">
        <f t="shared" si="297"/>
        <v>2</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2019</v>
      </c>
      <c r="B593" s="72" t="str">
        <f t="shared" si="277"/>
        <v>Nov</v>
      </c>
      <c r="C593" s="73">
        <f t="shared" si="295"/>
        <v>23</v>
      </c>
      <c r="D593" s="74">
        <f t="shared" si="278"/>
        <v>20</v>
      </c>
      <c r="E593" s="75">
        <f t="shared" si="279"/>
        <v>10</v>
      </c>
      <c r="F593" s="79"/>
      <c r="G593" s="82"/>
      <c r="H593" s="68" t="str">
        <f t="shared" si="296"/>
        <v>Lacine13_20191123_20_00</v>
      </c>
      <c r="I593" s="69">
        <f t="shared" si="297"/>
        <v>1</v>
      </c>
      <c r="J593" s="76" t="str">
        <f t="shared" si="297"/>
        <v>Lactuca</v>
      </c>
      <c r="K593" s="76" t="str">
        <f t="shared" si="297"/>
        <v>inermis</v>
      </c>
      <c r="L593" s="77">
        <f t="shared" si="297"/>
        <v>13</v>
      </c>
      <c r="M593" s="77">
        <f t="shared" si="297"/>
        <v>2</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2019</v>
      </c>
      <c r="B594" s="72" t="str">
        <f t="shared" si="277"/>
        <v>Nov</v>
      </c>
      <c r="C594" s="73">
        <f t="shared" si="295"/>
        <v>23</v>
      </c>
      <c r="D594" s="74">
        <f t="shared" si="278"/>
        <v>20</v>
      </c>
      <c r="E594" s="75">
        <f t="shared" si="279"/>
        <v>11</v>
      </c>
      <c r="F594" s="79"/>
      <c r="G594" s="82"/>
      <c r="H594" s="68" t="str">
        <f t="shared" si="296"/>
        <v>Lacine13_20191123_20_00</v>
      </c>
      <c r="I594" s="69">
        <f t="shared" si="297"/>
        <v>1</v>
      </c>
      <c r="J594" s="76" t="str">
        <f t="shared" si="297"/>
        <v>Lactuca</v>
      </c>
      <c r="K594" s="76" t="str">
        <f t="shared" si="297"/>
        <v>inermis</v>
      </c>
      <c r="L594" s="77">
        <f t="shared" si="297"/>
        <v>13</v>
      </c>
      <c r="M594" s="77">
        <f t="shared" si="297"/>
        <v>2</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2019</v>
      </c>
      <c r="B595" s="72" t="str">
        <f t="shared" si="277"/>
        <v>Nov</v>
      </c>
      <c r="C595" s="73">
        <f t="shared" si="295"/>
        <v>23</v>
      </c>
      <c r="D595" s="74">
        <f t="shared" si="278"/>
        <v>20</v>
      </c>
      <c r="E595" s="75">
        <f t="shared" si="279"/>
        <v>12</v>
      </c>
      <c r="F595" s="79"/>
      <c r="G595" s="82"/>
      <c r="H595" s="68" t="str">
        <f t="shared" si="296"/>
        <v>Lacine13_20191123_20_00</v>
      </c>
      <c r="I595" s="69">
        <f t="shared" si="297"/>
        <v>1</v>
      </c>
      <c r="J595" s="76" t="str">
        <f t="shared" si="297"/>
        <v>Lactuca</v>
      </c>
      <c r="K595" s="76" t="str">
        <f t="shared" si="297"/>
        <v>inermis</v>
      </c>
      <c r="L595" s="77">
        <f t="shared" si="297"/>
        <v>13</v>
      </c>
      <c r="M595" s="77">
        <f t="shared" si="297"/>
        <v>2</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2019</v>
      </c>
      <c r="B596" s="72" t="str">
        <f t="shared" si="277"/>
        <v>Nov</v>
      </c>
      <c r="C596" s="73">
        <f t="shared" si="295"/>
        <v>23</v>
      </c>
      <c r="D596" s="74">
        <f t="shared" si="278"/>
        <v>20</v>
      </c>
      <c r="E596" s="75">
        <f t="shared" si="279"/>
        <v>13</v>
      </c>
      <c r="F596" s="79"/>
      <c r="G596" s="82"/>
      <c r="H596" s="68" t="str">
        <f t="shared" si="296"/>
        <v>Lacine13_20191123_20_00</v>
      </c>
      <c r="I596" s="69">
        <f t="shared" si="297"/>
        <v>1</v>
      </c>
      <c r="J596" s="76" t="str">
        <f t="shared" si="297"/>
        <v>Lactuca</v>
      </c>
      <c r="K596" s="76" t="str">
        <f t="shared" si="297"/>
        <v>inermis</v>
      </c>
      <c r="L596" s="77">
        <f t="shared" si="297"/>
        <v>13</v>
      </c>
      <c r="M596" s="77">
        <f t="shared" si="297"/>
        <v>2</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2019</v>
      </c>
      <c r="B597" s="72" t="str">
        <f t="shared" si="277"/>
        <v>Nov</v>
      </c>
      <c r="C597" s="73">
        <f t="shared" si="295"/>
        <v>23</v>
      </c>
      <c r="D597" s="74">
        <f t="shared" si="278"/>
        <v>20</v>
      </c>
      <c r="E597" s="75">
        <f t="shared" si="279"/>
        <v>14</v>
      </c>
      <c r="F597" s="79"/>
      <c r="G597" s="82"/>
      <c r="H597" s="68" t="str">
        <f t="shared" si="296"/>
        <v>Lacine13_20191123_20_00</v>
      </c>
      <c r="I597" s="69">
        <f t="shared" ref="I597:N612" si="298">I596</f>
        <v>1</v>
      </c>
      <c r="J597" s="76" t="str">
        <f t="shared" si="298"/>
        <v>Lactuca</v>
      </c>
      <c r="K597" s="76" t="str">
        <f t="shared" si="298"/>
        <v>inermis</v>
      </c>
      <c r="L597" s="77">
        <f t="shared" si="298"/>
        <v>13</v>
      </c>
      <c r="M597" s="77">
        <f t="shared" si="298"/>
        <v>2</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2019</v>
      </c>
      <c r="B598" s="72" t="str">
        <f t="shared" si="277"/>
        <v>Nov</v>
      </c>
      <c r="C598" s="73">
        <f t="shared" si="295"/>
        <v>23</v>
      </c>
      <c r="D598" s="74">
        <f t="shared" si="278"/>
        <v>20</v>
      </c>
      <c r="E598" s="75">
        <f t="shared" si="279"/>
        <v>15</v>
      </c>
      <c r="F598" s="79"/>
      <c r="G598" s="82"/>
      <c r="H598" s="68" t="str">
        <f t="shared" si="296"/>
        <v>Lacine13_20191123_20_00</v>
      </c>
      <c r="I598" s="69">
        <f t="shared" si="298"/>
        <v>1</v>
      </c>
      <c r="J598" s="76" t="str">
        <f t="shared" si="298"/>
        <v>Lactuca</v>
      </c>
      <c r="K598" s="76" t="str">
        <f t="shared" si="298"/>
        <v>inermis</v>
      </c>
      <c r="L598" s="77">
        <f t="shared" si="298"/>
        <v>13</v>
      </c>
      <c r="M598" s="77">
        <f t="shared" si="298"/>
        <v>2</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2019</v>
      </c>
      <c r="B599" s="72" t="str">
        <f t="shared" si="277"/>
        <v>Nov</v>
      </c>
      <c r="C599" s="73">
        <f t="shared" si="295"/>
        <v>23</v>
      </c>
      <c r="D599" s="74">
        <f t="shared" si="278"/>
        <v>20</v>
      </c>
      <c r="E599" s="75">
        <f t="shared" si="279"/>
        <v>16</v>
      </c>
      <c r="F599" s="79"/>
      <c r="G599" s="82"/>
      <c r="H599" s="68" t="str">
        <f t="shared" si="296"/>
        <v>Lacine13_20191123_20_00</v>
      </c>
      <c r="I599" s="69">
        <f t="shared" si="298"/>
        <v>1</v>
      </c>
      <c r="J599" s="76" t="str">
        <f t="shared" si="298"/>
        <v>Lactuca</v>
      </c>
      <c r="K599" s="76" t="str">
        <f t="shared" si="298"/>
        <v>inermis</v>
      </c>
      <c r="L599" s="77">
        <f t="shared" si="298"/>
        <v>13</v>
      </c>
      <c r="M599" s="77">
        <f t="shared" si="298"/>
        <v>2</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2019</v>
      </c>
      <c r="B600" s="72" t="str">
        <f t="shared" si="277"/>
        <v>Nov</v>
      </c>
      <c r="C600" s="73">
        <f t="shared" si="295"/>
        <v>23</v>
      </c>
      <c r="D600" s="74">
        <f t="shared" si="278"/>
        <v>20</v>
      </c>
      <c r="E600" s="75">
        <f t="shared" si="279"/>
        <v>17</v>
      </c>
      <c r="F600" s="79"/>
      <c r="G600" s="82"/>
      <c r="H600" s="68" t="str">
        <f t="shared" si="296"/>
        <v>Lacine13_20191123_20_00</v>
      </c>
      <c r="I600" s="69">
        <f t="shared" si="298"/>
        <v>1</v>
      </c>
      <c r="J600" s="76" t="str">
        <f t="shared" si="298"/>
        <v>Lactuca</v>
      </c>
      <c r="K600" s="76" t="str">
        <f t="shared" si="298"/>
        <v>inermis</v>
      </c>
      <c r="L600" s="77">
        <f t="shared" si="298"/>
        <v>13</v>
      </c>
      <c r="M600" s="77">
        <f t="shared" si="298"/>
        <v>2</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2019</v>
      </c>
      <c r="B601" s="72" t="str">
        <f t="shared" si="277"/>
        <v>Nov</v>
      </c>
      <c r="C601" s="73">
        <f t="shared" si="295"/>
        <v>23</v>
      </c>
      <c r="D601" s="74">
        <f t="shared" si="278"/>
        <v>20</v>
      </c>
      <c r="E601" s="75">
        <f t="shared" si="279"/>
        <v>18</v>
      </c>
      <c r="F601" s="79"/>
      <c r="G601" s="82"/>
      <c r="H601" s="68" t="str">
        <f t="shared" si="296"/>
        <v>Lacine13_20191123_20_00</v>
      </c>
      <c r="I601" s="69">
        <f t="shared" si="298"/>
        <v>1</v>
      </c>
      <c r="J601" s="76" t="str">
        <f t="shared" si="298"/>
        <v>Lactuca</v>
      </c>
      <c r="K601" s="76" t="str">
        <f t="shared" si="298"/>
        <v>inermis</v>
      </c>
      <c r="L601" s="77">
        <f t="shared" si="298"/>
        <v>13</v>
      </c>
      <c r="M601" s="77">
        <f t="shared" si="298"/>
        <v>2</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2019</v>
      </c>
      <c r="B602" s="72" t="str">
        <f t="shared" si="277"/>
        <v>Nov</v>
      </c>
      <c r="C602" s="73">
        <f t="shared" si="295"/>
        <v>23</v>
      </c>
      <c r="D602" s="74">
        <f t="shared" si="278"/>
        <v>20</v>
      </c>
      <c r="E602" s="75">
        <f t="shared" si="279"/>
        <v>19</v>
      </c>
      <c r="F602" s="79"/>
      <c r="G602" s="82"/>
      <c r="H602" s="68" t="str">
        <f t="shared" si="296"/>
        <v>Lacine13_20191123_20_00</v>
      </c>
      <c r="I602" s="69">
        <f t="shared" si="298"/>
        <v>1</v>
      </c>
      <c r="J602" s="76" t="str">
        <f t="shared" si="298"/>
        <v>Lactuca</v>
      </c>
      <c r="K602" s="76" t="str">
        <f t="shared" si="298"/>
        <v>inermis</v>
      </c>
      <c r="L602" s="77">
        <f t="shared" si="298"/>
        <v>13</v>
      </c>
      <c r="M602" s="77">
        <f t="shared" si="298"/>
        <v>2</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2019</v>
      </c>
      <c r="B603" s="72" t="str">
        <f t="shared" si="277"/>
        <v>Nov</v>
      </c>
      <c r="C603" s="73">
        <f t="shared" si="295"/>
        <v>23</v>
      </c>
      <c r="D603" s="74">
        <f t="shared" si="278"/>
        <v>20</v>
      </c>
      <c r="E603" s="75">
        <f t="shared" si="279"/>
        <v>20</v>
      </c>
      <c r="F603" s="79"/>
      <c r="G603" s="82"/>
      <c r="H603" s="68" t="str">
        <f t="shared" si="296"/>
        <v>Lacine13_20191123_20_00</v>
      </c>
      <c r="I603" s="69">
        <f t="shared" si="298"/>
        <v>1</v>
      </c>
      <c r="J603" s="76" t="str">
        <f t="shared" si="298"/>
        <v>Lactuca</v>
      </c>
      <c r="K603" s="76" t="str">
        <f t="shared" si="298"/>
        <v>inermis</v>
      </c>
      <c r="L603" s="77">
        <f t="shared" si="298"/>
        <v>13</v>
      </c>
      <c r="M603" s="77">
        <f t="shared" si="298"/>
        <v>2</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2019</v>
      </c>
      <c r="B604" s="72" t="str">
        <f t="shared" si="277"/>
        <v>Nov</v>
      </c>
      <c r="C604" s="73">
        <f t="shared" si="295"/>
        <v>23</v>
      </c>
      <c r="D604" s="74">
        <f t="shared" si="278"/>
        <v>20</v>
      </c>
      <c r="E604" s="75">
        <f t="shared" si="279"/>
        <v>21</v>
      </c>
      <c r="F604" s="79"/>
      <c r="G604" s="82"/>
      <c r="H604" s="68" t="str">
        <f t="shared" si="296"/>
        <v>Lacine13_20191123_20_00</v>
      </c>
      <c r="I604" s="69">
        <f t="shared" si="298"/>
        <v>1</v>
      </c>
      <c r="J604" s="76" t="str">
        <f t="shared" si="298"/>
        <v>Lactuca</v>
      </c>
      <c r="K604" s="76" t="str">
        <f t="shared" si="298"/>
        <v>inermis</v>
      </c>
      <c r="L604" s="77">
        <f t="shared" si="298"/>
        <v>13</v>
      </c>
      <c r="M604" s="77">
        <f t="shared" si="298"/>
        <v>2</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2019</v>
      </c>
      <c r="B605" s="72" t="str">
        <f t="shared" si="277"/>
        <v>Nov</v>
      </c>
      <c r="C605" s="73">
        <f t="shared" si="295"/>
        <v>23</v>
      </c>
      <c r="D605" s="74">
        <f t="shared" si="278"/>
        <v>20</v>
      </c>
      <c r="E605" s="75">
        <f t="shared" si="279"/>
        <v>22</v>
      </c>
      <c r="F605" s="79"/>
      <c r="G605" s="82"/>
      <c r="H605" s="68" t="str">
        <f t="shared" si="296"/>
        <v>Lacine13_20191123_20_00</v>
      </c>
      <c r="I605" s="69">
        <f t="shared" si="298"/>
        <v>1</v>
      </c>
      <c r="J605" s="76" t="str">
        <f t="shared" si="298"/>
        <v>Lactuca</v>
      </c>
      <c r="K605" s="76" t="str">
        <f t="shared" si="298"/>
        <v>inermis</v>
      </c>
      <c r="L605" s="77">
        <f t="shared" si="298"/>
        <v>13</v>
      </c>
      <c r="M605" s="77">
        <f t="shared" si="298"/>
        <v>2</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2019</v>
      </c>
      <c r="B606" s="72" t="str">
        <f t="shared" si="277"/>
        <v>Nov</v>
      </c>
      <c r="C606" s="73">
        <f t="shared" si="295"/>
        <v>23</v>
      </c>
      <c r="D606" s="74">
        <f t="shared" si="278"/>
        <v>20</v>
      </c>
      <c r="E606" s="75">
        <f t="shared" si="279"/>
        <v>23</v>
      </c>
      <c r="F606" s="79"/>
      <c r="G606" s="82"/>
      <c r="H606" s="68" t="str">
        <f t="shared" si="296"/>
        <v>Lacine13_20191123_20_00</v>
      </c>
      <c r="I606" s="69">
        <f t="shared" si="298"/>
        <v>1</v>
      </c>
      <c r="J606" s="76" t="str">
        <f t="shared" si="298"/>
        <v>Lactuca</v>
      </c>
      <c r="K606" s="76" t="str">
        <f t="shared" si="298"/>
        <v>inermis</v>
      </c>
      <c r="L606" s="77">
        <f t="shared" si="298"/>
        <v>13</v>
      </c>
      <c r="M606" s="77">
        <f t="shared" si="298"/>
        <v>2</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2019</v>
      </c>
      <c r="B607" s="72" t="str">
        <f t="shared" si="277"/>
        <v>Nov</v>
      </c>
      <c r="C607" s="73">
        <f t="shared" si="295"/>
        <v>23</v>
      </c>
      <c r="D607" s="74">
        <f t="shared" si="278"/>
        <v>20</v>
      </c>
      <c r="E607" s="75">
        <f t="shared" si="279"/>
        <v>24</v>
      </c>
      <c r="F607" s="79"/>
      <c r="G607" s="82"/>
      <c r="H607" s="68" t="str">
        <f t="shared" si="296"/>
        <v>Lacine13_20191123_20_00</v>
      </c>
      <c r="I607" s="69">
        <f t="shared" si="298"/>
        <v>1</v>
      </c>
      <c r="J607" s="76" t="str">
        <f t="shared" si="298"/>
        <v>Lactuca</v>
      </c>
      <c r="K607" s="76" t="str">
        <f t="shared" si="298"/>
        <v>inermis</v>
      </c>
      <c r="L607" s="77">
        <f t="shared" si="298"/>
        <v>13</v>
      </c>
      <c r="M607" s="77">
        <f t="shared" si="298"/>
        <v>2</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2019</v>
      </c>
      <c r="B608" s="72" t="str">
        <f t="shared" si="277"/>
        <v>Nov</v>
      </c>
      <c r="C608" s="73">
        <f t="shared" si="295"/>
        <v>23</v>
      </c>
      <c r="D608" s="74">
        <f t="shared" si="278"/>
        <v>20</v>
      </c>
      <c r="E608" s="75">
        <f t="shared" si="279"/>
        <v>25</v>
      </c>
      <c r="F608" s="79"/>
      <c r="G608" s="82"/>
      <c r="H608" s="68" t="str">
        <f t="shared" si="296"/>
        <v>Lacine13_20191123_20_00</v>
      </c>
      <c r="I608" s="69">
        <f t="shared" si="298"/>
        <v>1</v>
      </c>
      <c r="J608" s="76" t="str">
        <f t="shared" si="298"/>
        <v>Lactuca</v>
      </c>
      <c r="K608" s="76" t="str">
        <f t="shared" si="298"/>
        <v>inermis</v>
      </c>
      <c r="L608" s="77">
        <f t="shared" si="298"/>
        <v>13</v>
      </c>
      <c r="M608" s="77">
        <f t="shared" si="298"/>
        <v>2</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2019</v>
      </c>
      <c r="B609" s="72" t="str">
        <f t="shared" si="277"/>
        <v>Nov</v>
      </c>
      <c r="C609" s="73">
        <f t="shared" si="295"/>
        <v>23</v>
      </c>
      <c r="D609" s="74">
        <f t="shared" si="278"/>
        <v>20</v>
      </c>
      <c r="E609" s="75">
        <f t="shared" si="279"/>
        <v>26</v>
      </c>
      <c r="F609" s="79"/>
      <c r="G609" s="82"/>
      <c r="H609" s="68" t="str">
        <f t="shared" si="296"/>
        <v>Lacine13_20191123_20_00</v>
      </c>
      <c r="I609" s="69">
        <f t="shared" si="298"/>
        <v>1</v>
      </c>
      <c r="J609" s="76" t="str">
        <f t="shared" si="298"/>
        <v>Lactuca</v>
      </c>
      <c r="K609" s="76" t="str">
        <f t="shared" si="298"/>
        <v>inermis</v>
      </c>
      <c r="L609" s="77">
        <f t="shared" si="298"/>
        <v>13</v>
      </c>
      <c r="M609" s="77">
        <f t="shared" si="298"/>
        <v>2</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2019</v>
      </c>
      <c r="B610" s="72" t="str">
        <f t="shared" si="277"/>
        <v>Nov</v>
      </c>
      <c r="C610" s="73">
        <f t="shared" si="295"/>
        <v>23</v>
      </c>
      <c r="D610" s="74">
        <f t="shared" si="278"/>
        <v>20</v>
      </c>
      <c r="E610" s="75">
        <f t="shared" si="279"/>
        <v>27</v>
      </c>
      <c r="F610" s="79"/>
      <c r="G610" s="82"/>
      <c r="H610" s="68" t="str">
        <f t="shared" si="296"/>
        <v>Lacine13_20191123_20_00</v>
      </c>
      <c r="I610" s="69">
        <f t="shared" si="298"/>
        <v>1</v>
      </c>
      <c r="J610" s="76" t="str">
        <f t="shared" si="298"/>
        <v>Lactuca</v>
      </c>
      <c r="K610" s="76" t="str">
        <f t="shared" si="298"/>
        <v>inermis</v>
      </c>
      <c r="L610" s="77">
        <f t="shared" si="298"/>
        <v>13</v>
      </c>
      <c r="M610" s="77">
        <f t="shared" si="298"/>
        <v>2</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2019</v>
      </c>
      <c r="B611" s="72" t="str">
        <f t="shared" si="277"/>
        <v>Nov</v>
      </c>
      <c r="C611" s="73">
        <f t="shared" si="295"/>
        <v>23</v>
      </c>
      <c r="D611" s="74">
        <f t="shared" si="278"/>
        <v>20</v>
      </c>
      <c r="E611" s="75">
        <f t="shared" si="279"/>
        <v>28</v>
      </c>
      <c r="F611" s="79"/>
      <c r="G611" s="82"/>
      <c r="H611" s="68" t="str">
        <f t="shared" si="296"/>
        <v>Lacine13_20191123_20_00</v>
      </c>
      <c r="I611" s="69">
        <f t="shared" si="298"/>
        <v>1</v>
      </c>
      <c r="J611" s="76" t="str">
        <f t="shared" si="298"/>
        <v>Lactuca</v>
      </c>
      <c r="K611" s="76" t="str">
        <f t="shared" si="298"/>
        <v>inermis</v>
      </c>
      <c r="L611" s="77">
        <f t="shared" si="298"/>
        <v>13</v>
      </c>
      <c r="M611" s="77">
        <f t="shared" si="298"/>
        <v>2</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2019</v>
      </c>
      <c r="B612" s="72" t="str">
        <f t="shared" si="277"/>
        <v>Nov</v>
      </c>
      <c r="C612" s="73">
        <f t="shared" si="295"/>
        <v>23</v>
      </c>
      <c r="D612" s="74">
        <f t="shared" si="278"/>
        <v>20</v>
      </c>
      <c r="E612" s="75">
        <f t="shared" si="279"/>
        <v>29</v>
      </c>
      <c r="F612" s="79"/>
      <c r="G612" s="82"/>
      <c r="H612" s="68" t="str">
        <f t="shared" si="296"/>
        <v>Lacine13_20191123_20_00</v>
      </c>
      <c r="I612" s="69">
        <f t="shared" si="298"/>
        <v>1</v>
      </c>
      <c r="J612" s="76" t="str">
        <f t="shared" si="298"/>
        <v>Lactuca</v>
      </c>
      <c r="K612" s="76" t="str">
        <f t="shared" si="298"/>
        <v>inermis</v>
      </c>
      <c r="L612" s="77">
        <f t="shared" si="298"/>
        <v>13</v>
      </c>
      <c r="M612" s="77">
        <f t="shared" si="298"/>
        <v>2</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2019</v>
      </c>
      <c r="B613" s="72" t="str">
        <f t="shared" si="277"/>
        <v>Nov</v>
      </c>
      <c r="C613" s="73">
        <f t="shared" si="295"/>
        <v>23</v>
      </c>
      <c r="D613" s="74">
        <f t="shared" si="278"/>
        <v>20</v>
      </c>
      <c r="E613" s="75">
        <f t="shared" si="279"/>
        <v>30</v>
      </c>
      <c r="F613" s="79"/>
      <c r="G613" s="82"/>
      <c r="H613" s="68" t="str">
        <f t="shared" si="296"/>
        <v>Lacine13_20191123_20_00</v>
      </c>
      <c r="I613" s="69">
        <f t="shared" ref="I613:N628" si="299">I612</f>
        <v>1</v>
      </c>
      <c r="J613" s="76" t="str">
        <f t="shared" si="299"/>
        <v>Lactuca</v>
      </c>
      <c r="K613" s="76" t="str">
        <f t="shared" si="299"/>
        <v>inermis</v>
      </c>
      <c r="L613" s="77">
        <f t="shared" si="299"/>
        <v>13</v>
      </c>
      <c r="M613" s="77">
        <f t="shared" si="299"/>
        <v>2</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2019</v>
      </c>
      <c r="B614" s="72" t="str">
        <f t="shared" si="277"/>
        <v>Nov</v>
      </c>
      <c r="C614" s="73">
        <f t="shared" si="295"/>
        <v>23</v>
      </c>
      <c r="D614" s="74">
        <f t="shared" si="278"/>
        <v>20</v>
      </c>
      <c r="E614" s="75">
        <f t="shared" si="279"/>
        <v>31</v>
      </c>
      <c r="F614" s="79"/>
      <c r="G614" s="82"/>
      <c r="H614" s="68" t="str">
        <f t="shared" si="296"/>
        <v>Lacine13_20191123_20_00</v>
      </c>
      <c r="I614" s="69">
        <f t="shared" si="299"/>
        <v>1</v>
      </c>
      <c r="J614" s="76" t="str">
        <f t="shared" si="299"/>
        <v>Lactuca</v>
      </c>
      <c r="K614" s="76" t="str">
        <f t="shared" si="299"/>
        <v>inermis</v>
      </c>
      <c r="L614" s="77">
        <f t="shared" si="299"/>
        <v>13</v>
      </c>
      <c r="M614" s="77">
        <f t="shared" si="299"/>
        <v>2</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2019</v>
      </c>
      <c r="B615" s="72" t="str">
        <f t="shared" si="277"/>
        <v>Nov</v>
      </c>
      <c r="C615" s="73">
        <f t="shared" si="295"/>
        <v>23</v>
      </c>
      <c r="D615" s="74">
        <f t="shared" si="278"/>
        <v>20</v>
      </c>
      <c r="E615" s="75">
        <f t="shared" si="279"/>
        <v>32</v>
      </c>
      <c r="F615" s="79"/>
      <c r="G615" s="82"/>
      <c r="H615" s="68" t="str">
        <f t="shared" si="296"/>
        <v>Lacine13_20191123_20_00</v>
      </c>
      <c r="I615" s="69">
        <f t="shared" si="299"/>
        <v>1</v>
      </c>
      <c r="J615" s="76" t="str">
        <f t="shared" si="299"/>
        <v>Lactuca</v>
      </c>
      <c r="K615" s="76" t="str">
        <f t="shared" si="299"/>
        <v>inermis</v>
      </c>
      <c r="L615" s="77">
        <f t="shared" si="299"/>
        <v>13</v>
      </c>
      <c r="M615" s="77">
        <f t="shared" si="299"/>
        <v>2</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2019</v>
      </c>
      <c r="B616" s="72" t="str">
        <f t="shared" si="277"/>
        <v>Nov</v>
      </c>
      <c r="C616" s="73">
        <f t="shared" si="295"/>
        <v>23</v>
      </c>
      <c r="D616" s="74">
        <f t="shared" si="278"/>
        <v>20</v>
      </c>
      <c r="E616" s="75">
        <f t="shared" si="279"/>
        <v>33</v>
      </c>
      <c r="F616" s="79"/>
      <c r="G616" s="82"/>
      <c r="H616" s="68" t="str">
        <f t="shared" si="296"/>
        <v>Lacine13_20191123_20_00</v>
      </c>
      <c r="I616" s="69">
        <f t="shared" si="299"/>
        <v>1</v>
      </c>
      <c r="J616" s="76" t="str">
        <f t="shared" si="299"/>
        <v>Lactuca</v>
      </c>
      <c r="K616" s="76" t="str">
        <f t="shared" si="299"/>
        <v>inermis</v>
      </c>
      <c r="L616" s="77">
        <f t="shared" si="299"/>
        <v>13</v>
      </c>
      <c r="M616" s="77">
        <f t="shared" si="299"/>
        <v>2</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2019</v>
      </c>
      <c r="B617" s="72" t="str">
        <f t="shared" si="277"/>
        <v>Nov</v>
      </c>
      <c r="C617" s="73">
        <f t="shared" si="295"/>
        <v>23</v>
      </c>
      <c r="D617" s="74">
        <f t="shared" si="278"/>
        <v>20</v>
      </c>
      <c r="E617" s="75">
        <f t="shared" si="279"/>
        <v>34</v>
      </c>
      <c r="F617" s="79"/>
      <c r="G617" s="82"/>
      <c r="H617" s="68" t="str">
        <f t="shared" si="296"/>
        <v>Lacine13_20191123_20_00</v>
      </c>
      <c r="I617" s="69">
        <f t="shared" si="299"/>
        <v>1</v>
      </c>
      <c r="J617" s="76" t="str">
        <f t="shared" si="299"/>
        <v>Lactuca</v>
      </c>
      <c r="K617" s="76" t="str">
        <f t="shared" si="299"/>
        <v>inermis</v>
      </c>
      <c r="L617" s="77">
        <f t="shared" si="299"/>
        <v>13</v>
      </c>
      <c r="M617" s="77">
        <f t="shared" si="299"/>
        <v>2</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2019</v>
      </c>
      <c r="B618" s="72" t="str">
        <f t="shared" si="277"/>
        <v>Nov</v>
      </c>
      <c r="C618" s="73">
        <f t="shared" si="295"/>
        <v>23</v>
      </c>
      <c r="D618" s="74">
        <f t="shared" si="278"/>
        <v>20</v>
      </c>
      <c r="E618" s="75">
        <f t="shared" si="279"/>
        <v>35</v>
      </c>
      <c r="F618" s="79"/>
      <c r="G618" s="82"/>
      <c r="H618" s="68" t="str">
        <f t="shared" si="296"/>
        <v>Lacine13_20191123_20_00</v>
      </c>
      <c r="I618" s="69">
        <f t="shared" si="299"/>
        <v>1</v>
      </c>
      <c r="J618" s="76" t="str">
        <f t="shared" si="299"/>
        <v>Lactuca</v>
      </c>
      <c r="K618" s="76" t="str">
        <f t="shared" si="299"/>
        <v>inermis</v>
      </c>
      <c r="L618" s="77">
        <f t="shared" si="299"/>
        <v>13</v>
      </c>
      <c r="M618" s="77">
        <f t="shared" si="299"/>
        <v>2</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2019</v>
      </c>
      <c r="B619" s="72" t="str">
        <f t="shared" si="277"/>
        <v>Nov</v>
      </c>
      <c r="C619" s="73">
        <f t="shared" si="295"/>
        <v>23</v>
      </c>
      <c r="D619" s="74">
        <f t="shared" si="278"/>
        <v>20</v>
      </c>
      <c r="E619" s="75">
        <f t="shared" si="279"/>
        <v>36</v>
      </c>
      <c r="F619" s="79"/>
      <c r="G619" s="82"/>
      <c r="H619" s="68" t="str">
        <f t="shared" si="296"/>
        <v>Lacine13_20191123_20_00</v>
      </c>
      <c r="I619" s="69">
        <f t="shared" si="299"/>
        <v>1</v>
      </c>
      <c r="J619" s="76" t="str">
        <f t="shared" si="299"/>
        <v>Lactuca</v>
      </c>
      <c r="K619" s="76" t="str">
        <f t="shared" si="299"/>
        <v>inermis</v>
      </c>
      <c r="L619" s="77">
        <f t="shared" si="299"/>
        <v>13</v>
      </c>
      <c r="M619" s="77">
        <f t="shared" si="299"/>
        <v>2</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2019</v>
      </c>
      <c r="B620" s="72" t="str">
        <f t="shared" si="277"/>
        <v>Nov</v>
      </c>
      <c r="C620" s="73">
        <f t="shared" si="295"/>
        <v>23</v>
      </c>
      <c r="D620" s="74">
        <f t="shared" si="278"/>
        <v>20</v>
      </c>
      <c r="E620" s="75">
        <f t="shared" si="279"/>
        <v>37</v>
      </c>
      <c r="F620" s="79"/>
      <c r="G620" s="82"/>
      <c r="H620" s="68" t="str">
        <f t="shared" si="296"/>
        <v>Lacine13_20191123_20_00</v>
      </c>
      <c r="I620" s="69">
        <f t="shared" si="299"/>
        <v>1</v>
      </c>
      <c r="J620" s="76" t="str">
        <f t="shared" si="299"/>
        <v>Lactuca</v>
      </c>
      <c r="K620" s="76" t="str">
        <f t="shared" si="299"/>
        <v>inermis</v>
      </c>
      <c r="L620" s="77">
        <f t="shared" si="299"/>
        <v>13</v>
      </c>
      <c r="M620" s="77">
        <f t="shared" si="299"/>
        <v>2</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2019</v>
      </c>
      <c r="B621" s="72" t="str">
        <f t="shared" si="277"/>
        <v>Nov</v>
      </c>
      <c r="C621" s="73">
        <f t="shared" si="295"/>
        <v>23</v>
      </c>
      <c r="D621" s="74">
        <f t="shared" si="278"/>
        <v>20</v>
      </c>
      <c r="E621" s="75">
        <f t="shared" si="279"/>
        <v>38</v>
      </c>
      <c r="F621" s="79"/>
      <c r="G621" s="82"/>
      <c r="H621" s="68" t="str">
        <f t="shared" si="296"/>
        <v>Lacine13_20191123_20_00</v>
      </c>
      <c r="I621" s="69">
        <f t="shared" si="299"/>
        <v>1</v>
      </c>
      <c r="J621" s="76" t="str">
        <f t="shared" si="299"/>
        <v>Lactuca</v>
      </c>
      <c r="K621" s="76" t="str">
        <f t="shared" si="299"/>
        <v>inermis</v>
      </c>
      <c r="L621" s="77">
        <f t="shared" si="299"/>
        <v>13</v>
      </c>
      <c r="M621" s="77">
        <f t="shared" si="299"/>
        <v>2</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2019</v>
      </c>
      <c r="B622" s="72" t="str">
        <f t="shared" si="277"/>
        <v>Nov</v>
      </c>
      <c r="C622" s="73">
        <f t="shared" si="295"/>
        <v>23</v>
      </c>
      <c r="D622" s="74">
        <f t="shared" si="278"/>
        <v>20</v>
      </c>
      <c r="E622" s="75">
        <f t="shared" si="279"/>
        <v>39</v>
      </c>
      <c r="F622" s="79"/>
      <c r="G622" s="82"/>
      <c r="H622" s="68" t="str">
        <f t="shared" si="296"/>
        <v>Lacine13_20191123_20_00</v>
      </c>
      <c r="I622" s="69">
        <f t="shared" si="299"/>
        <v>1</v>
      </c>
      <c r="J622" s="76" t="str">
        <f t="shared" si="299"/>
        <v>Lactuca</v>
      </c>
      <c r="K622" s="76" t="str">
        <f t="shared" si="299"/>
        <v>inermis</v>
      </c>
      <c r="L622" s="77">
        <f t="shared" si="299"/>
        <v>13</v>
      </c>
      <c r="M622" s="77">
        <f t="shared" si="299"/>
        <v>2</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2019</v>
      </c>
      <c r="B623" s="72" t="str">
        <f t="shared" si="277"/>
        <v>Nov</v>
      </c>
      <c r="C623" s="73">
        <f t="shared" si="295"/>
        <v>23</v>
      </c>
      <c r="D623" s="74">
        <f t="shared" si="278"/>
        <v>20</v>
      </c>
      <c r="E623" s="75">
        <f t="shared" si="279"/>
        <v>40</v>
      </c>
      <c r="F623" s="79"/>
      <c r="G623" s="82"/>
      <c r="H623" s="68" t="str">
        <f t="shared" si="296"/>
        <v>Lacine13_20191123_20_00</v>
      </c>
      <c r="I623" s="69">
        <f t="shared" si="299"/>
        <v>1</v>
      </c>
      <c r="J623" s="76" t="str">
        <f t="shared" si="299"/>
        <v>Lactuca</v>
      </c>
      <c r="K623" s="76" t="str">
        <f t="shared" si="299"/>
        <v>inermis</v>
      </c>
      <c r="L623" s="77">
        <f t="shared" si="299"/>
        <v>13</v>
      </c>
      <c r="M623" s="77">
        <f t="shared" si="299"/>
        <v>2</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2019</v>
      </c>
      <c r="B624" s="72" t="str">
        <f t="shared" si="277"/>
        <v>Nov</v>
      </c>
      <c r="C624" s="73">
        <f t="shared" si="295"/>
        <v>23</v>
      </c>
      <c r="D624" s="74">
        <f t="shared" si="278"/>
        <v>20</v>
      </c>
      <c r="E624" s="75">
        <f t="shared" si="279"/>
        <v>41</v>
      </c>
      <c r="F624" s="79"/>
      <c r="G624" s="82"/>
      <c r="H624" s="68" t="str">
        <f t="shared" si="296"/>
        <v>Lacine13_20191123_20_00</v>
      </c>
      <c r="I624" s="69">
        <f t="shared" si="299"/>
        <v>1</v>
      </c>
      <c r="J624" s="76" t="str">
        <f t="shared" si="299"/>
        <v>Lactuca</v>
      </c>
      <c r="K624" s="76" t="str">
        <f t="shared" si="299"/>
        <v>inermis</v>
      </c>
      <c r="L624" s="77">
        <f t="shared" si="299"/>
        <v>13</v>
      </c>
      <c r="M624" s="77">
        <f t="shared" si="299"/>
        <v>2</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2019</v>
      </c>
      <c r="B625" s="72" t="str">
        <f t="shared" si="277"/>
        <v>Nov</v>
      </c>
      <c r="C625" s="73">
        <f t="shared" si="295"/>
        <v>23</v>
      </c>
      <c r="D625" s="74">
        <f t="shared" si="278"/>
        <v>20</v>
      </c>
      <c r="E625" s="75">
        <f t="shared" si="279"/>
        <v>42</v>
      </c>
      <c r="F625" s="79"/>
      <c r="G625" s="82"/>
      <c r="H625" s="68" t="str">
        <f t="shared" si="296"/>
        <v>Lacine13_20191123_20_00</v>
      </c>
      <c r="I625" s="69">
        <f t="shared" si="299"/>
        <v>1</v>
      </c>
      <c r="J625" s="76" t="str">
        <f t="shared" si="299"/>
        <v>Lactuca</v>
      </c>
      <c r="K625" s="76" t="str">
        <f t="shared" si="299"/>
        <v>inermis</v>
      </c>
      <c r="L625" s="77">
        <f t="shared" si="299"/>
        <v>13</v>
      </c>
      <c r="M625" s="77">
        <f t="shared" si="299"/>
        <v>2</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2019</v>
      </c>
      <c r="B626" s="72" t="str">
        <f t="shared" si="277"/>
        <v>Nov</v>
      </c>
      <c r="C626" s="73">
        <f t="shared" si="295"/>
        <v>23</v>
      </c>
      <c r="D626" s="74">
        <f t="shared" si="278"/>
        <v>20</v>
      </c>
      <c r="E626" s="75">
        <f t="shared" si="279"/>
        <v>43</v>
      </c>
      <c r="F626" s="79"/>
      <c r="G626" s="82"/>
      <c r="H626" s="68" t="str">
        <f t="shared" si="296"/>
        <v>Lacine13_20191123_20_00</v>
      </c>
      <c r="I626" s="69">
        <f t="shared" si="299"/>
        <v>1</v>
      </c>
      <c r="J626" s="76" t="str">
        <f t="shared" si="299"/>
        <v>Lactuca</v>
      </c>
      <c r="K626" s="76" t="str">
        <f t="shared" si="299"/>
        <v>inermis</v>
      </c>
      <c r="L626" s="77">
        <f t="shared" si="299"/>
        <v>13</v>
      </c>
      <c r="M626" s="77">
        <f t="shared" si="299"/>
        <v>2</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2019</v>
      </c>
      <c r="B627" s="72" t="str">
        <f t="shared" si="277"/>
        <v>Nov</v>
      </c>
      <c r="C627" s="73">
        <f t="shared" si="295"/>
        <v>23</v>
      </c>
      <c r="D627" s="74">
        <f t="shared" si="278"/>
        <v>20</v>
      </c>
      <c r="E627" s="75">
        <f t="shared" si="279"/>
        <v>44</v>
      </c>
      <c r="F627" s="79"/>
      <c r="G627" s="82"/>
      <c r="H627" s="68" t="str">
        <f t="shared" si="296"/>
        <v>Lacine13_20191123_20_00</v>
      </c>
      <c r="I627" s="69">
        <f t="shared" si="299"/>
        <v>1</v>
      </c>
      <c r="J627" s="76" t="str">
        <f t="shared" si="299"/>
        <v>Lactuca</v>
      </c>
      <c r="K627" s="76" t="str">
        <f t="shared" si="299"/>
        <v>inermis</v>
      </c>
      <c r="L627" s="77">
        <f t="shared" si="299"/>
        <v>13</v>
      </c>
      <c r="M627" s="77">
        <f t="shared" si="299"/>
        <v>2</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2019</v>
      </c>
      <c r="B628" s="72" t="str">
        <f t="shared" si="277"/>
        <v>Nov</v>
      </c>
      <c r="C628" s="73">
        <f t="shared" si="295"/>
        <v>23</v>
      </c>
      <c r="D628" s="74">
        <f t="shared" si="278"/>
        <v>20</v>
      </c>
      <c r="E628" s="75">
        <f t="shared" si="279"/>
        <v>45</v>
      </c>
      <c r="F628" s="79"/>
      <c r="G628" s="82"/>
      <c r="H628" s="68" t="str">
        <f t="shared" si="296"/>
        <v>Lacine13_20191123_20_00</v>
      </c>
      <c r="I628" s="69">
        <f t="shared" si="299"/>
        <v>1</v>
      </c>
      <c r="J628" s="76" t="str">
        <f t="shared" si="299"/>
        <v>Lactuca</v>
      </c>
      <c r="K628" s="76" t="str">
        <f t="shared" si="299"/>
        <v>inermis</v>
      </c>
      <c r="L628" s="77">
        <f t="shared" si="299"/>
        <v>13</v>
      </c>
      <c r="M628" s="77">
        <f t="shared" si="299"/>
        <v>2</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2019</v>
      </c>
      <c r="B629" s="72" t="str">
        <f t="shared" si="277"/>
        <v>Nov</v>
      </c>
      <c r="C629" s="73">
        <f t="shared" si="295"/>
        <v>23</v>
      </c>
      <c r="D629" s="74">
        <f t="shared" si="278"/>
        <v>20</v>
      </c>
      <c r="E629" s="75">
        <f t="shared" si="279"/>
        <v>46</v>
      </c>
      <c r="F629" s="79"/>
      <c r="G629" s="82"/>
      <c r="H629" s="68" t="str">
        <f t="shared" si="296"/>
        <v>Lacine13_20191123_20_00</v>
      </c>
      <c r="I629" s="69">
        <f t="shared" ref="I629:N644" si="300">I628</f>
        <v>1</v>
      </c>
      <c r="J629" s="76" t="str">
        <f t="shared" si="300"/>
        <v>Lactuca</v>
      </c>
      <c r="K629" s="76" t="str">
        <f t="shared" si="300"/>
        <v>inermis</v>
      </c>
      <c r="L629" s="77">
        <f t="shared" si="300"/>
        <v>13</v>
      </c>
      <c r="M629" s="77">
        <f t="shared" si="300"/>
        <v>2</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2019</v>
      </c>
      <c r="B630" s="72" t="str">
        <f t="shared" si="277"/>
        <v>Nov</v>
      </c>
      <c r="C630" s="73">
        <f t="shared" si="295"/>
        <v>23</v>
      </c>
      <c r="D630" s="74">
        <f t="shared" si="278"/>
        <v>20</v>
      </c>
      <c r="E630" s="75">
        <f t="shared" si="279"/>
        <v>47</v>
      </c>
      <c r="F630" s="79"/>
      <c r="G630" s="82"/>
      <c r="H630" s="68" t="str">
        <f t="shared" si="296"/>
        <v>Lacine13_20191123_20_00</v>
      </c>
      <c r="I630" s="69">
        <f t="shared" si="300"/>
        <v>1</v>
      </c>
      <c r="J630" s="76" t="str">
        <f t="shared" si="300"/>
        <v>Lactuca</v>
      </c>
      <c r="K630" s="76" t="str">
        <f t="shared" si="300"/>
        <v>inermis</v>
      </c>
      <c r="L630" s="77">
        <f t="shared" si="300"/>
        <v>13</v>
      </c>
      <c r="M630" s="77">
        <f t="shared" si="300"/>
        <v>2</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2019</v>
      </c>
      <c r="B631" s="72" t="str">
        <f t="shared" si="277"/>
        <v>Nov</v>
      </c>
      <c r="C631" s="73">
        <f t="shared" si="295"/>
        <v>23</v>
      </c>
      <c r="D631" s="74">
        <f t="shared" si="278"/>
        <v>20</v>
      </c>
      <c r="E631" s="75">
        <f t="shared" si="279"/>
        <v>48</v>
      </c>
      <c r="F631" s="79"/>
      <c r="G631" s="82"/>
      <c r="H631" s="68" t="str">
        <f t="shared" si="296"/>
        <v>Lacine13_20191123_20_00</v>
      </c>
      <c r="I631" s="69">
        <f t="shared" si="300"/>
        <v>1</v>
      </c>
      <c r="J631" s="76" t="str">
        <f t="shared" si="300"/>
        <v>Lactuca</v>
      </c>
      <c r="K631" s="76" t="str">
        <f t="shared" si="300"/>
        <v>inermis</v>
      </c>
      <c r="L631" s="77">
        <f t="shared" si="300"/>
        <v>13</v>
      </c>
      <c r="M631" s="77">
        <f t="shared" si="300"/>
        <v>2</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2019</v>
      </c>
      <c r="B632" s="72" t="str">
        <f t="shared" si="277"/>
        <v>Nov</v>
      </c>
      <c r="C632" s="73">
        <f t="shared" si="295"/>
        <v>23</v>
      </c>
      <c r="D632" s="74">
        <f t="shared" si="278"/>
        <v>20</v>
      </c>
      <c r="E632" s="75">
        <f t="shared" si="279"/>
        <v>49</v>
      </c>
      <c r="F632" s="79"/>
      <c r="G632" s="82"/>
      <c r="H632" s="68" t="str">
        <f t="shared" si="296"/>
        <v>Lacine13_20191123_20_00</v>
      </c>
      <c r="I632" s="69">
        <f t="shared" si="300"/>
        <v>1</v>
      </c>
      <c r="J632" s="76" t="str">
        <f t="shared" si="300"/>
        <v>Lactuca</v>
      </c>
      <c r="K632" s="76" t="str">
        <f t="shared" si="300"/>
        <v>inermis</v>
      </c>
      <c r="L632" s="77">
        <f t="shared" si="300"/>
        <v>13</v>
      </c>
      <c r="M632" s="77">
        <f t="shared" si="300"/>
        <v>2</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2019</v>
      </c>
      <c r="B633" s="72" t="str">
        <f t="shared" si="277"/>
        <v>Nov</v>
      </c>
      <c r="C633" s="73">
        <f t="shared" si="295"/>
        <v>23</v>
      </c>
      <c r="D633" s="74">
        <f t="shared" si="278"/>
        <v>20</v>
      </c>
      <c r="E633" s="75">
        <f t="shared" si="279"/>
        <v>50</v>
      </c>
      <c r="F633" s="79"/>
      <c r="G633" s="82"/>
      <c r="H633" s="68" t="str">
        <f t="shared" si="296"/>
        <v>Lacine13_20191123_20_00</v>
      </c>
      <c r="I633" s="69">
        <f t="shared" si="300"/>
        <v>1</v>
      </c>
      <c r="J633" s="76" t="str">
        <f t="shared" si="300"/>
        <v>Lactuca</v>
      </c>
      <c r="K633" s="76" t="str">
        <f t="shared" si="300"/>
        <v>inermis</v>
      </c>
      <c r="L633" s="77">
        <f t="shared" si="300"/>
        <v>13</v>
      </c>
      <c r="M633" s="77">
        <f t="shared" si="300"/>
        <v>2</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2019</v>
      </c>
      <c r="B634" s="72" t="str">
        <f t="shared" si="277"/>
        <v>Nov</v>
      </c>
      <c r="C634" s="73">
        <f t="shared" si="295"/>
        <v>23</v>
      </c>
      <c r="D634" s="74">
        <f t="shared" si="278"/>
        <v>20</v>
      </c>
      <c r="E634" s="75">
        <f t="shared" si="279"/>
        <v>51</v>
      </c>
      <c r="F634" s="79"/>
      <c r="G634" s="82"/>
      <c r="H634" s="68" t="str">
        <f t="shared" si="296"/>
        <v>Lacine13_20191123_20_00</v>
      </c>
      <c r="I634" s="69">
        <f t="shared" si="300"/>
        <v>1</v>
      </c>
      <c r="J634" s="76" t="str">
        <f t="shared" si="300"/>
        <v>Lactuca</v>
      </c>
      <c r="K634" s="76" t="str">
        <f t="shared" si="300"/>
        <v>inermis</v>
      </c>
      <c r="L634" s="77">
        <f t="shared" si="300"/>
        <v>13</v>
      </c>
      <c r="M634" s="77">
        <f t="shared" si="300"/>
        <v>2</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2019</v>
      </c>
      <c r="B635" s="72" t="str">
        <f t="shared" si="277"/>
        <v>Nov</v>
      </c>
      <c r="C635" s="73">
        <f t="shared" si="295"/>
        <v>23</v>
      </c>
      <c r="D635" s="74">
        <f t="shared" si="278"/>
        <v>20</v>
      </c>
      <c r="E635" s="75">
        <f t="shared" si="279"/>
        <v>52</v>
      </c>
      <c r="F635" s="79"/>
      <c r="G635" s="82"/>
      <c r="H635" s="68" t="str">
        <f t="shared" si="296"/>
        <v>Lacine13_20191123_20_00</v>
      </c>
      <c r="I635" s="69">
        <f t="shared" si="300"/>
        <v>1</v>
      </c>
      <c r="J635" s="76" t="str">
        <f t="shared" si="300"/>
        <v>Lactuca</v>
      </c>
      <c r="K635" s="76" t="str">
        <f t="shared" si="300"/>
        <v>inermis</v>
      </c>
      <c r="L635" s="77">
        <f t="shared" si="300"/>
        <v>13</v>
      </c>
      <c r="M635" s="77">
        <f t="shared" si="300"/>
        <v>2</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2019</v>
      </c>
      <c r="B636" s="72" t="str">
        <f t="shared" si="277"/>
        <v>Nov</v>
      </c>
      <c r="C636" s="73">
        <f t="shared" si="295"/>
        <v>23</v>
      </c>
      <c r="D636" s="74">
        <f t="shared" si="278"/>
        <v>20</v>
      </c>
      <c r="E636" s="75">
        <f t="shared" si="279"/>
        <v>53</v>
      </c>
      <c r="F636" s="79"/>
      <c r="G636" s="82"/>
      <c r="H636" s="68" t="str">
        <f t="shared" si="296"/>
        <v>Lacine13_20191123_20_00</v>
      </c>
      <c r="I636" s="69">
        <f t="shared" si="300"/>
        <v>1</v>
      </c>
      <c r="J636" s="76" t="str">
        <f t="shared" si="300"/>
        <v>Lactuca</v>
      </c>
      <c r="K636" s="76" t="str">
        <f t="shared" si="300"/>
        <v>inermis</v>
      </c>
      <c r="L636" s="77">
        <f t="shared" si="300"/>
        <v>13</v>
      </c>
      <c r="M636" s="77">
        <f t="shared" si="300"/>
        <v>2</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2019</v>
      </c>
      <c r="B637" s="72" t="str">
        <f t="shared" si="277"/>
        <v>Nov</v>
      </c>
      <c r="C637" s="73">
        <f t="shared" si="295"/>
        <v>23</v>
      </c>
      <c r="D637" s="74">
        <f t="shared" si="278"/>
        <v>20</v>
      </c>
      <c r="E637" s="75">
        <f t="shared" si="279"/>
        <v>54</v>
      </c>
      <c r="F637" s="79"/>
      <c r="G637" s="82"/>
      <c r="H637" s="68" t="str">
        <f t="shared" si="296"/>
        <v>Lacine13_20191123_20_00</v>
      </c>
      <c r="I637" s="69">
        <f t="shared" si="300"/>
        <v>1</v>
      </c>
      <c r="J637" s="76" t="str">
        <f t="shared" si="300"/>
        <v>Lactuca</v>
      </c>
      <c r="K637" s="76" t="str">
        <f t="shared" si="300"/>
        <v>inermis</v>
      </c>
      <c r="L637" s="77">
        <f t="shared" si="300"/>
        <v>13</v>
      </c>
      <c r="M637" s="77">
        <f t="shared" si="300"/>
        <v>2</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2019</v>
      </c>
      <c r="B638" s="72" t="str">
        <f t="shared" si="277"/>
        <v>Nov</v>
      </c>
      <c r="C638" s="73">
        <f t="shared" si="295"/>
        <v>23</v>
      </c>
      <c r="D638" s="74">
        <f t="shared" si="278"/>
        <v>20</v>
      </c>
      <c r="E638" s="75">
        <f t="shared" si="279"/>
        <v>55</v>
      </c>
      <c r="F638" s="79"/>
      <c r="G638" s="82"/>
      <c r="H638" s="68" t="str">
        <f t="shared" si="296"/>
        <v>Lacine13_20191123_20_00</v>
      </c>
      <c r="I638" s="69">
        <f t="shared" si="300"/>
        <v>1</v>
      </c>
      <c r="J638" s="76" t="str">
        <f t="shared" si="300"/>
        <v>Lactuca</v>
      </c>
      <c r="K638" s="76" t="str">
        <f t="shared" si="300"/>
        <v>inermis</v>
      </c>
      <c r="L638" s="77">
        <f t="shared" si="300"/>
        <v>13</v>
      </c>
      <c r="M638" s="77">
        <f t="shared" si="300"/>
        <v>2</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2019</v>
      </c>
      <c r="B639" s="72" t="str">
        <f t="shared" si="277"/>
        <v>Nov</v>
      </c>
      <c r="C639" s="73">
        <f t="shared" si="295"/>
        <v>23</v>
      </c>
      <c r="D639" s="74">
        <f t="shared" si="278"/>
        <v>20</v>
      </c>
      <c r="E639" s="75">
        <f t="shared" si="279"/>
        <v>56</v>
      </c>
      <c r="F639" s="79"/>
      <c r="G639" s="82"/>
      <c r="H639" s="68" t="str">
        <f t="shared" si="296"/>
        <v>Lacine13_20191123_20_00</v>
      </c>
      <c r="I639" s="69">
        <f t="shared" si="300"/>
        <v>1</v>
      </c>
      <c r="J639" s="76" t="str">
        <f t="shared" si="300"/>
        <v>Lactuca</v>
      </c>
      <c r="K639" s="76" t="str">
        <f t="shared" si="300"/>
        <v>inermis</v>
      </c>
      <c r="L639" s="77">
        <f t="shared" si="300"/>
        <v>13</v>
      </c>
      <c r="M639" s="77">
        <f t="shared" si="300"/>
        <v>2</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2019</v>
      </c>
      <c r="B640" s="72" t="str">
        <f t="shared" si="277"/>
        <v>Nov</v>
      </c>
      <c r="C640" s="73">
        <f t="shared" si="295"/>
        <v>23</v>
      </c>
      <c r="D640" s="74">
        <f t="shared" si="278"/>
        <v>20</v>
      </c>
      <c r="E640" s="75">
        <f t="shared" si="279"/>
        <v>57</v>
      </c>
      <c r="F640" s="79"/>
      <c r="G640" s="82"/>
      <c r="H640" s="68" t="str">
        <f t="shared" si="296"/>
        <v>Lacine13_20191123_20_00</v>
      </c>
      <c r="I640" s="69">
        <f t="shared" si="300"/>
        <v>1</v>
      </c>
      <c r="J640" s="76" t="str">
        <f t="shared" si="300"/>
        <v>Lactuca</v>
      </c>
      <c r="K640" s="76" t="str">
        <f t="shared" si="300"/>
        <v>inermis</v>
      </c>
      <c r="L640" s="77">
        <f t="shared" si="300"/>
        <v>13</v>
      </c>
      <c r="M640" s="77">
        <f t="shared" si="300"/>
        <v>2</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2019</v>
      </c>
      <c r="B641" s="72" t="str">
        <f t="shared" si="277"/>
        <v>Nov</v>
      </c>
      <c r="C641" s="73">
        <f t="shared" si="295"/>
        <v>23</v>
      </c>
      <c r="D641" s="74">
        <f t="shared" si="278"/>
        <v>20</v>
      </c>
      <c r="E641" s="75">
        <f t="shared" si="279"/>
        <v>58</v>
      </c>
      <c r="F641" s="79"/>
      <c r="G641" s="82"/>
      <c r="H641" s="68" t="str">
        <f t="shared" si="296"/>
        <v>Lacine13_20191123_20_00</v>
      </c>
      <c r="I641" s="69">
        <f t="shared" si="300"/>
        <v>1</v>
      </c>
      <c r="J641" s="76" t="str">
        <f t="shared" si="300"/>
        <v>Lactuca</v>
      </c>
      <c r="K641" s="76" t="str">
        <f t="shared" si="300"/>
        <v>inermis</v>
      </c>
      <c r="L641" s="77">
        <f t="shared" si="300"/>
        <v>13</v>
      </c>
      <c r="M641" s="77">
        <f t="shared" si="300"/>
        <v>2</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2019</v>
      </c>
      <c r="B642" s="72" t="str">
        <f t="shared" si="277"/>
        <v>Nov</v>
      </c>
      <c r="C642" s="73">
        <f t="shared" si="295"/>
        <v>23</v>
      </c>
      <c r="D642" s="74">
        <f t="shared" si="278"/>
        <v>20</v>
      </c>
      <c r="E642" s="75">
        <f t="shared" si="279"/>
        <v>59</v>
      </c>
      <c r="F642" s="79"/>
      <c r="G642" s="82"/>
      <c r="H642" s="68" t="str">
        <f t="shared" si="296"/>
        <v>Lacine13_20191123_20_00</v>
      </c>
      <c r="I642" s="69">
        <f t="shared" si="300"/>
        <v>1</v>
      </c>
      <c r="J642" s="76" t="str">
        <f t="shared" si="300"/>
        <v>Lactuca</v>
      </c>
      <c r="K642" s="76" t="str">
        <f t="shared" si="300"/>
        <v>inermis</v>
      </c>
      <c r="L642" s="77">
        <f t="shared" si="300"/>
        <v>13</v>
      </c>
      <c r="M642" s="77">
        <f t="shared" si="300"/>
        <v>2</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2019</v>
      </c>
      <c r="B643" s="72" t="str">
        <f t="shared" si="277"/>
        <v>Nov</v>
      </c>
      <c r="C643" s="73">
        <f t="shared" si="295"/>
        <v>23</v>
      </c>
      <c r="D643" s="74">
        <f t="shared" si="278"/>
        <v>21</v>
      </c>
      <c r="E643" s="75">
        <f t="shared" si="279"/>
        <v>0</v>
      </c>
      <c r="F643" s="79"/>
      <c r="G643" s="82"/>
      <c r="H643" s="68" t="str">
        <f t="shared" si="296"/>
        <v>Lacine13_20191123_21_00</v>
      </c>
      <c r="I643" s="69">
        <f t="shared" si="300"/>
        <v>1</v>
      </c>
      <c r="J643" s="76" t="str">
        <f t="shared" si="300"/>
        <v>Lactuca</v>
      </c>
      <c r="K643" s="76" t="str">
        <f t="shared" si="300"/>
        <v>inermis</v>
      </c>
      <c r="L643" s="77">
        <f t="shared" si="300"/>
        <v>13</v>
      </c>
      <c r="M643" s="77">
        <f t="shared" si="300"/>
        <v>2</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2019</v>
      </c>
      <c r="B644" s="72" t="str">
        <f t="shared" ref="B644:B707" si="307">IF(C643-C644&gt;0, TEXT(DATE(2016,(MONTH(DATEVALUE(B643&amp;"1"))+1),1),"mmm"), B643)</f>
        <v>Nov</v>
      </c>
      <c r="C644" s="73">
        <f t="shared" si="295"/>
        <v>23</v>
      </c>
      <c r="D644" s="74">
        <f t="shared" ref="D644:D707" si="308">IF(IF(E643=59,D643+1,D643)=24,0,IF(E643=59,D643+1,D643))</f>
        <v>21</v>
      </c>
      <c r="E644" s="75">
        <f t="shared" ref="E644:E707" si="309">IF(E643&lt;59,E643+1,0)</f>
        <v>1</v>
      </c>
      <c r="F644" s="79"/>
      <c r="G644" s="82"/>
      <c r="H644" s="68" t="str">
        <f t="shared" si="296"/>
        <v>Lacine13_20191123_21_00</v>
      </c>
      <c r="I644" s="69">
        <f t="shared" si="300"/>
        <v>1</v>
      </c>
      <c r="J644" s="76" t="str">
        <f t="shared" si="300"/>
        <v>Lactuca</v>
      </c>
      <c r="K644" s="76" t="str">
        <f t="shared" si="300"/>
        <v>inermis</v>
      </c>
      <c r="L644" s="77">
        <f t="shared" si="300"/>
        <v>13</v>
      </c>
      <c r="M644" s="77">
        <f t="shared" si="300"/>
        <v>2</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2019</v>
      </c>
      <c r="B645" s="72" t="str">
        <f t="shared" si="307"/>
        <v>Nov</v>
      </c>
      <c r="C645" s="73">
        <f t="shared" ref="C645:C708" si="325">IF(AND(D645=0, E645=0), IF(TEXT(C644,"dd")=TEXT(EOMONTH(DATE(A644,MONTH(DATEVALUE(B644&amp;"1")),C644),0), "dd"), 1, C644+1), C644)</f>
        <v>23</v>
      </c>
      <c r="D645" s="74">
        <f t="shared" si="308"/>
        <v>21</v>
      </c>
      <c r="E645" s="75">
        <f t="shared" si="309"/>
        <v>2</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Lacine13_20191123_21_00</v>
      </c>
      <c r="I645" s="69">
        <f t="shared" ref="I645:N660" si="327">I644</f>
        <v>1</v>
      </c>
      <c r="J645" s="76" t="str">
        <f t="shared" si="327"/>
        <v>Lactuca</v>
      </c>
      <c r="K645" s="76" t="str">
        <f t="shared" si="327"/>
        <v>inermis</v>
      </c>
      <c r="L645" s="77">
        <f t="shared" si="327"/>
        <v>13</v>
      </c>
      <c r="M645" s="77">
        <f t="shared" si="327"/>
        <v>2</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2019</v>
      </c>
      <c r="B646" s="72" t="str">
        <f t="shared" si="307"/>
        <v>Nov</v>
      </c>
      <c r="C646" s="73">
        <f t="shared" si="325"/>
        <v>23</v>
      </c>
      <c r="D646" s="74">
        <f t="shared" si="308"/>
        <v>21</v>
      </c>
      <c r="E646" s="75">
        <f t="shared" si="309"/>
        <v>3</v>
      </c>
      <c r="F646" s="79"/>
      <c r="G646" s="82"/>
      <c r="H646" s="68" t="str">
        <f t="shared" si="326"/>
        <v>Lacine13_20191123_21_00</v>
      </c>
      <c r="I646" s="69">
        <f t="shared" si="327"/>
        <v>1</v>
      </c>
      <c r="J646" s="76" t="str">
        <f t="shared" si="327"/>
        <v>Lactuca</v>
      </c>
      <c r="K646" s="76" t="str">
        <f t="shared" si="327"/>
        <v>inermis</v>
      </c>
      <c r="L646" s="77">
        <f t="shared" si="327"/>
        <v>13</v>
      </c>
      <c r="M646" s="77">
        <f t="shared" si="327"/>
        <v>2</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2019</v>
      </c>
      <c r="B647" s="72" t="str">
        <f t="shared" si="307"/>
        <v>Nov</v>
      </c>
      <c r="C647" s="73">
        <f t="shared" si="325"/>
        <v>23</v>
      </c>
      <c r="D647" s="74">
        <f t="shared" si="308"/>
        <v>21</v>
      </c>
      <c r="E647" s="75">
        <f t="shared" si="309"/>
        <v>4</v>
      </c>
      <c r="F647" s="79"/>
      <c r="G647" s="82"/>
      <c r="H647" s="68" t="str">
        <f t="shared" si="326"/>
        <v>Lacine13_20191123_21_00</v>
      </c>
      <c r="I647" s="69">
        <f t="shared" si="327"/>
        <v>1</v>
      </c>
      <c r="J647" s="76" t="str">
        <f t="shared" si="327"/>
        <v>Lactuca</v>
      </c>
      <c r="K647" s="76" t="str">
        <f t="shared" si="327"/>
        <v>inermis</v>
      </c>
      <c r="L647" s="77">
        <f t="shared" si="327"/>
        <v>13</v>
      </c>
      <c r="M647" s="77">
        <f t="shared" si="327"/>
        <v>2</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2019</v>
      </c>
      <c r="B648" s="72" t="str">
        <f t="shared" si="307"/>
        <v>Nov</v>
      </c>
      <c r="C648" s="73">
        <f t="shared" si="325"/>
        <v>23</v>
      </c>
      <c r="D648" s="74">
        <f t="shared" si="308"/>
        <v>21</v>
      </c>
      <c r="E648" s="75">
        <f t="shared" si="309"/>
        <v>5</v>
      </c>
      <c r="F648" s="79"/>
      <c r="G648" s="82"/>
      <c r="H648" s="68" t="str">
        <f t="shared" si="326"/>
        <v>Lacine13_20191123_21_00</v>
      </c>
      <c r="I648" s="69">
        <f t="shared" si="327"/>
        <v>1</v>
      </c>
      <c r="J648" s="76" t="str">
        <f t="shared" si="327"/>
        <v>Lactuca</v>
      </c>
      <c r="K648" s="76" t="str">
        <f t="shared" si="327"/>
        <v>inermis</v>
      </c>
      <c r="L648" s="77">
        <f t="shared" si="327"/>
        <v>13</v>
      </c>
      <c r="M648" s="77">
        <f t="shared" si="327"/>
        <v>2</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2019</v>
      </c>
      <c r="B649" s="72" t="str">
        <f t="shared" si="307"/>
        <v>Nov</v>
      </c>
      <c r="C649" s="73">
        <f t="shared" si="325"/>
        <v>23</v>
      </c>
      <c r="D649" s="74">
        <f t="shared" si="308"/>
        <v>21</v>
      </c>
      <c r="E649" s="75">
        <f t="shared" si="309"/>
        <v>6</v>
      </c>
      <c r="F649" s="79"/>
      <c r="G649" s="82"/>
      <c r="H649" s="68" t="str">
        <f t="shared" si="326"/>
        <v>Lacine13_20191123_21_00</v>
      </c>
      <c r="I649" s="69">
        <f t="shared" si="327"/>
        <v>1</v>
      </c>
      <c r="J649" s="76" t="str">
        <f t="shared" si="327"/>
        <v>Lactuca</v>
      </c>
      <c r="K649" s="76" t="str">
        <f t="shared" si="327"/>
        <v>inermis</v>
      </c>
      <c r="L649" s="77">
        <f t="shared" si="327"/>
        <v>13</v>
      </c>
      <c r="M649" s="77">
        <f t="shared" si="327"/>
        <v>2</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2019</v>
      </c>
      <c r="B650" s="72" t="str">
        <f t="shared" si="307"/>
        <v>Nov</v>
      </c>
      <c r="C650" s="73">
        <f t="shared" si="325"/>
        <v>23</v>
      </c>
      <c r="D650" s="74">
        <f t="shared" si="308"/>
        <v>21</v>
      </c>
      <c r="E650" s="75">
        <f t="shared" si="309"/>
        <v>7</v>
      </c>
      <c r="F650" s="79"/>
      <c r="G650" s="82"/>
      <c r="H650" s="68" t="str">
        <f t="shared" si="326"/>
        <v>Lacine13_20191123_21_00</v>
      </c>
      <c r="I650" s="69">
        <f t="shared" si="327"/>
        <v>1</v>
      </c>
      <c r="J650" s="76" t="str">
        <f t="shared" si="327"/>
        <v>Lactuca</v>
      </c>
      <c r="K650" s="76" t="str">
        <f t="shared" si="327"/>
        <v>inermis</v>
      </c>
      <c r="L650" s="77">
        <f t="shared" si="327"/>
        <v>13</v>
      </c>
      <c r="M650" s="77">
        <f t="shared" si="327"/>
        <v>2</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2019</v>
      </c>
      <c r="B651" s="72" t="str">
        <f t="shared" si="307"/>
        <v>Nov</v>
      </c>
      <c r="C651" s="73">
        <f t="shared" si="325"/>
        <v>23</v>
      </c>
      <c r="D651" s="74">
        <f t="shared" si="308"/>
        <v>21</v>
      </c>
      <c r="E651" s="75">
        <f t="shared" si="309"/>
        <v>8</v>
      </c>
      <c r="F651" s="79"/>
      <c r="G651" s="82"/>
      <c r="H651" s="68" t="str">
        <f t="shared" si="326"/>
        <v>Lacine13_20191123_21_00</v>
      </c>
      <c r="I651" s="69">
        <f t="shared" si="327"/>
        <v>1</v>
      </c>
      <c r="J651" s="76" t="str">
        <f t="shared" si="327"/>
        <v>Lactuca</v>
      </c>
      <c r="K651" s="76" t="str">
        <f t="shared" si="327"/>
        <v>inermis</v>
      </c>
      <c r="L651" s="77">
        <f t="shared" si="327"/>
        <v>13</v>
      </c>
      <c r="M651" s="77">
        <f t="shared" si="327"/>
        <v>2</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2019</v>
      </c>
      <c r="B652" s="72" t="str">
        <f t="shared" si="307"/>
        <v>Nov</v>
      </c>
      <c r="C652" s="73">
        <f t="shared" si="325"/>
        <v>23</v>
      </c>
      <c r="D652" s="74">
        <f t="shared" si="308"/>
        <v>21</v>
      </c>
      <c r="E652" s="75">
        <f t="shared" si="309"/>
        <v>9</v>
      </c>
      <c r="F652" s="79"/>
      <c r="G652" s="82"/>
      <c r="H652" s="68" t="str">
        <f t="shared" si="326"/>
        <v>Lacine13_20191123_21_00</v>
      </c>
      <c r="I652" s="69">
        <f t="shared" si="327"/>
        <v>1</v>
      </c>
      <c r="J652" s="76" t="str">
        <f t="shared" si="327"/>
        <v>Lactuca</v>
      </c>
      <c r="K652" s="76" t="str">
        <f t="shared" si="327"/>
        <v>inermis</v>
      </c>
      <c r="L652" s="77">
        <f t="shared" si="327"/>
        <v>13</v>
      </c>
      <c r="M652" s="77">
        <f t="shared" si="327"/>
        <v>2</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2019</v>
      </c>
      <c r="B653" s="72" t="str">
        <f t="shared" si="307"/>
        <v>Nov</v>
      </c>
      <c r="C653" s="73">
        <f t="shared" si="325"/>
        <v>23</v>
      </c>
      <c r="D653" s="74">
        <f t="shared" si="308"/>
        <v>21</v>
      </c>
      <c r="E653" s="75">
        <f t="shared" si="309"/>
        <v>10</v>
      </c>
      <c r="F653" s="79"/>
      <c r="G653" s="82"/>
      <c r="H653" s="68" t="str">
        <f t="shared" si="326"/>
        <v>Lacine13_20191123_21_00</v>
      </c>
      <c r="I653" s="69">
        <f t="shared" si="327"/>
        <v>1</v>
      </c>
      <c r="J653" s="76" t="str">
        <f t="shared" si="327"/>
        <v>Lactuca</v>
      </c>
      <c r="K653" s="76" t="str">
        <f t="shared" si="327"/>
        <v>inermis</v>
      </c>
      <c r="L653" s="77">
        <f t="shared" si="327"/>
        <v>13</v>
      </c>
      <c r="M653" s="77">
        <f t="shared" si="327"/>
        <v>2</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2019</v>
      </c>
      <c r="B654" s="72" t="str">
        <f t="shared" si="307"/>
        <v>Nov</v>
      </c>
      <c r="C654" s="73">
        <f t="shared" si="325"/>
        <v>23</v>
      </c>
      <c r="D654" s="74">
        <f t="shared" si="308"/>
        <v>21</v>
      </c>
      <c r="E654" s="75">
        <f t="shared" si="309"/>
        <v>11</v>
      </c>
      <c r="F654" s="79"/>
      <c r="G654" s="82"/>
      <c r="H654" s="68" t="str">
        <f t="shared" si="326"/>
        <v>Lacine13_20191123_21_00</v>
      </c>
      <c r="I654" s="69">
        <f t="shared" si="327"/>
        <v>1</v>
      </c>
      <c r="J654" s="76" t="str">
        <f t="shared" si="327"/>
        <v>Lactuca</v>
      </c>
      <c r="K654" s="76" t="str">
        <f t="shared" si="327"/>
        <v>inermis</v>
      </c>
      <c r="L654" s="77">
        <f t="shared" si="327"/>
        <v>13</v>
      </c>
      <c r="M654" s="77">
        <f t="shared" si="327"/>
        <v>2</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2019</v>
      </c>
      <c r="B655" s="72" t="str">
        <f t="shared" si="307"/>
        <v>Nov</v>
      </c>
      <c r="C655" s="73">
        <f t="shared" si="325"/>
        <v>23</v>
      </c>
      <c r="D655" s="74">
        <f t="shared" si="308"/>
        <v>21</v>
      </c>
      <c r="E655" s="75">
        <f t="shared" si="309"/>
        <v>12</v>
      </c>
      <c r="F655" s="79"/>
      <c r="G655" s="82"/>
      <c r="H655" s="68" t="str">
        <f t="shared" si="326"/>
        <v>Lacine13_20191123_21_00</v>
      </c>
      <c r="I655" s="69">
        <f t="shared" si="327"/>
        <v>1</v>
      </c>
      <c r="J655" s="76" t="str">
        <f t="shared" si="327"/>
        <v>Lactuca</v>
      </c>
      <c r="K655" s="76" t="str">
        <f t="shared" si="327"/>
        <v>inermis</v>
      </c>
      <c r="L655" s="77">
        <f t="shared" si="327"/>
        <v>13</v>
      </c>
      <c r="M655" s="77">
        <f t="shared" si="327"/>
        <v>2</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2019</v>
      </c>
      <c r="B656" s="72" t="str">
        <f t="shared" si="307"/>
        <v>Nov</v>
      </c>
      <c r="C656" s="73">
        <f t="shared" si="325"/>
        <v>23</v>
      </c>
      <c r="D656" s="74">
        <f t="shared" si="308"/>
        <v>21</v>
      </c>
      <c r="E656" s="75">
        <f t="shared" si="309"/>
        <v>13</v>
      </c>
      <c r="F656" s="79"/>
      <c r="G656" s="82"/>
      <c r="H656" s="68" t="str">
        <f t="shared" si="326"/>
        <v>Lacine13_20191123_21_00</v>
      </c>
      <c r="I656" s="69">
        <f t="shared" si="327"/>
        <v>1</v>
      </c>
      <c r="J656" s="76" t="str">
        <f t="shared" si="327"/>
        <v>Lactuca</v>
      </c>
      <c r="K656" s="76" t="str">
        <f t="shared" si="327"/>
        <v>inermis</v>
      </c>
      <c r="L656" s="77">
        <f t="shared" si="327"/>
        <v>13</v>
      </c>
      <c r="M656" s="77">
        <f t="shared" si="327"/>
        <v>2</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2019</v>
      </c>
      <c r="B657" s="72" t="str">
        <f t="shared" si="307"/>
        <v>Nov</v>
      </c>
      <c r="C657" s="73">
        <f t="shared" si="325"/>
        <v>23</v>
      </c>
      <c r="D657" s="74">
        <f t="shared" si="308"/>
        <v>21</v>
      </c>
      <c r="E657" s="75">
        <f t="shared" si="309"/>
        <v>14</v>
      </c>
      <c r="F657" s="79"/>
      <c r="G657" s="82"/>
      <c r="H657" s="68" t="str">
        <f t="shared" si="326"/>
        <v>Lacine13_20191123_21_00</v>
      </c>
      <c r="I657" s="69">
        <f t="shared" si="327"/>
        <v>1</v>
      </c>
      <c r="J657" s="76" t="str">
        <f t="shared" si="327"/>
        <v>Lactuca</v>
      </c>
      <c r="K657" s="76" t="str">
        <f t="shared" si="327"/>
        <v>inermis</v>
      </c>
      <c r="L657" s="77">
        <f t="shared" si="327"/>
        <v>13</v>
      </c>
      <c r="M657" s="77">
        <f t="shared" si="327"/>
        <v>2</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2019</v>
      </c>
      <c r="B658" s="72" t="str">
        <f t="shared" si="307"/>
        <v>Nov</v>
      </c>
      <c r="C658" s="73">
        <f t="shared" si="325"/>
        <v>23</v>
      </c>
      <c r="D658" s="74">
        <f t="shared" si="308"/>
        <v>21</v>
      </c>
      <c r="E658" s="75">
        <f t="shared" si="309"/>
        <v>15</v>
      </c>
      <c r="F658" s="79"/>
      <c r="G658" s="82"/>
      <c r="H658" s="68" t="str">
        <f t="shared" si="326"/>
        <v>Lacine13_20191123_21_00</v>
      </c>
      <c r="I658" s="69">
        <f t="shared" si="327"/>
        <v>1</v>
      </c>
      <c r="J658" s="76" t="str">
        <f t="shared" si="327"/>
        <v>Lactuca</v>
      </c>
      <c r="K658" s="76" t="str">
        <f t="shared" si="327"/>
        <v>inermis</v>
      </c>
      <c r="L658" s="77">
        <f t="shared" si="327"/>
        <v>13</v>
      </c>
      <c r="M658" s="77">
        <f t="shared" si="327"/>
        <v>2</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2019</v>
      </c>
      <c r="B659" s="72" t="str">
        <f t="shared" si="307"/>
        <v>Nov</v>
      </c>
      <c r="C659" s="73">
        <f t="shared" si="325"/>
        <v>23</v>
      </c>
      <c r="D659" s="74">
        <f t="shared" si="308"/>
        <v>21</v>
      </c>
      <c r="E659" s="75">
        <f t="shared" si="309"/>
        <v>16</v>
      </c>
      <c r="F659" s="79"/>
      <c r="G659" s="82"/>
      <c r="H659" s="68" t="str">
        <f t="shared" si="326"/>
        <v>Lacine13_20191123_21_00</v>
      </c>
      <c r="I659" s="69">
        <f t="shared" si="327"/>
        <v>1</v>
      </c>
      <c r="J659" s="76" t="str">
        <f t="shared" si="327"/>
        <v>Lactuca</v>
      </c>
      <c r="K659" s="76" t="str">
        <f t="shared" si="327"/>
        <v>inermis</v>
      </c>
      <c r="L659" s="77">
        <f t="shared" si="327"/>
        <v>13</v>
      </c>
      <c r="M659" s="77">
        <f t="shared" si="327"/>
        <v>2</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2019</v>
      </c>
      <c r="B660" s="72" t="str">
        <f t="shared" si="307"/>
        <v>Nov</v>
      </c>
      <c r="C660" s="73">
        <f t="shared" si="325"/>
        <v>23</v>
      </c>
      <c r="D660" s="74">
        <f t="shared" si="308"/>
        <v>21</v>
      </c>
      <c r="E660" s="75">
        <f t="shared" si="309"/>
        <v>17</v>
      </c>
      <c r="F660" s="79"/>
      <c r="G660" s="82"/>
      <c r="H660" s="68" t="str">
        <f t="shared" si="326"/>
        <v>Lacine13_20191123_21_00</v>
      </c>
      <c r="I660" s="69">
        <f t="shared" si="327"/>
        <v>1</v>
      </c>
      <c r="J660" s="76" t="str">
        <f t="shared" si="327"/>
        <v>Lactuca</v>
      </c>
      <c r="K660" s="76" t="str">
        <f t="shared" si="327"/>
        <v>inermis</v>
      </c>
      <c r="L660" s="77">
        <f t="shared" si="327"/>
        <v>13</v>
      </c>
      <c r="M660" s="77">
        <f t="shared" si="327"/>
        <v>2</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2019</v>
      </c>
      <c r="B661" s="72" t="str">
        <f t="shared" si="307"/>
        <v>Nov</v>
      </c>
      <c r="C661" s="73">
        <f t="shared" si="325"/>
        <v>23</v>
      </c>
      <c r="D661" s="74">
        <f t="shared" si="308"/>
        <v>21</v>
      </c>
      <c r="E661" s="75">
        <f t="shared" si="309"/>
        <v>18</v>
      </c>
      <c r="F661" s="79"/>
      <c r="G661" s="82"/>
      <c r="H661" s="68" t="str">
        <f t="shared" si="326"/>
        <v>Lacine13_20191123_21_00</v>
      </c>
      <c r="I661" s="69">
        <f t="shared" ref="I661:N676" si="328">I660</f>
        <v>1</v>
      </c>
      <c r="J661" s="76" t="str">
        <f t="shared" si="328"/>
        <v>Lactuca</v>
      </c>
      <c r="K661" s="76" t="str">
        <f t="shared" si="328"/>
        <v>inermis</v>
      </c>
      <c r="L661" s="77">
        <f t="shared" si="328"/>
        <v>13</v>
      </c>
      <c r="M661" s="77">
        <f t="shared" si="328"/>
        <v>2</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2019</v>
      </c>
      <c r="B662" s="72" t="str">
        <f t="shared" si="307"/>
        <v>Nov</v>
      </c>
      <c r="C662" s="73">
        <f t="shared" si="325"/>
        <v>23</v>
      </c>
      <c r="D662" s="74">
        <f t="shared" si="308"/>
        <v>21</v>
      </c>
      <c r="E662" s="75">
        <f t="shared" si="309"/>
        <v>19</v>
      </c>
      <c r="F662" s="79"/>
      <c r="G662" s="82"/>
      <c r="H662" s="68" t="str">
        <f t="shared" si="326"/>
        <v>Lacine13_20191123_21_00</v>
      </c>
      <c r="I662" s="69">
        <f t="shared" si="328"/>
        <v>1</v>
      </c>
      <c r="J662" s="76" t="str">
        <f t="shared" si="328"/>
        <v>Lactuca</v>
      </c>
      <c r="K662" s="76" t="str">
        <f t="shared" si="328"/>
        <v>inermis</v>
      </c>
      <c r="L662" s="77">
        <f t="shared" si="328"/>
        <v>13</v>
      </c>
      <c r="M662" s="77">
        <f t="shared" si="328"/>
        <v>2</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2019</v>
      </c>
      <c r="B663" s="72" t="str">
        <f t="shared" si="307"/>
        <v>Nov</v>
      </c>
      <c r="C663" s="73">
        <f t="shared" si="325"/>
        <v>23</v>
      </c>
      <c r="D663" s="74">
        <f t="shared" si="308"/>
        <v>21</v>
      </c>
      <c r="E663" s="75">
        <f t="shared" si="309"/>
        <v>20</v>
      </c>
      <c r="F663" s="79"/>
      <c r="G663" s="82"/>
      <c r="H663" s="68" t="str">
        <f t="shared" si="326"/>
        <v>Lacine13_20191123_21_00</v>
      </c>
      <c r="I663" s="69">
        <f t="shared" si="328"/>
        <v>1</v>
      </c>
      <c r="J663" s="76" t="str">
        <f t="shared" si="328"/>
        <v>Lactuca</v>
      </c>
      <c r="K663" s="76" t="str">
        <f t="shared" si="328"/>
        <v>inermis</v>
      </c>
      <c r="L663" s="77">
        <f t="shared" si="328"/>
        <v>13</v>
      </c>
      <c r="M663" s="77">
        <f t="shared" si="328"/>
        <v>2</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2019</v>
      </c>
      <c r="B664" s="72" t="str">
        <f t="shared" si="307"/>
        <v>Nov</v>
      </c>
      <c r="C664" s="73">
        <f t="shared" si="325"/>
        <v>23</v>
      </c>
      <c r="D664" s="74">
        <f t="shared" si="308"/>
        <v>21</v>
      </c>
      <c r="E664" s="75">
        <f t="shared" si="309"/>
        <v>21</v>
      </c>
      <c r="F664" s="79"/>
      <c r="G664" s="82"/>
      <c r="H664" s="68" t="str">
        <f t="shared" si="326"/>
        <v>Lacine13_20191123_21_00</v>
      </c>
      <c r="I664" s="69">
        <f t="shared" si="328"/>
        <v>1</v>
      </c>
      <c r="J664" s="76" t="str">
        <f t="shared" si="328"/>
        <v>Lactuca</v>
      </c>
      <c r="K664" s="76" t="str">
        <f t="shared" si="328"/>
        <v>inermis</v>
      </c>
      <c r="L664" s="77">
        <f t="shared" si="328"/>
        <v>13</v>
      </c>
      <c r="M664" s="77">
        <f t="shared" si="328"/>
        <v>2</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2019</v>
      </c>
      <c r="B665" s="72" t="str">
        <f t="shared" si="307"/>
        <v>Nov</v>
      </c>
      <c r="C665" s="73">
        <f t="shared" si="325"/>
        <v>23</v>
      </c>
      <c r="D665" s="74">
        <f t="shared" si="308"/>
        <v>21</v>
      </c>
      <c r="E665" s="75">
        <f t="shared" si="309"/>
        <v>22</v>
      </c>
      <c r="F665" s="79"/>
      <c r="G665" s="82"/>
      <c r="H665" s="68" t="str">
        <f t="shared" si="326"/>
        <v>Lacine13_20191123_21_00</v>
      </c>
      <c r="I665" s="69">
        <f t="shared" si="328"/>
        <v>1</v>
      </c>
      <c r="J665" s="76" t="str">
        <f t="shared" si="328"/>
        <v>Lactuca</v>
      </c>
      <c r="K665" s="76" t="str">
        <f t="shared" si="328"/>
        <v>inermis</v>
      </c>
      <c r="L665" s="77">
        <f t="shared" si="328"/>
        <v>13</v>
      </c>
      <c r="M665" s="77">
        <f t="shared" si="328"/>
        <v>2</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2019</v>
      </c>
      <c r="B666" s="72" t="str">
        <f t="shared" si="307"/>
        <v>Nov</v>
      </c>
      <c r="C666" s="73">
        <f t="shared" si="325"/>
        <v>23</v>
      </c>
      <c r="D666" s="74">
        <f t="shared" si="308"/>
        <v>21</v>
      </c>
      <c r="E666" s="75">
        <f t="shared" si="309"/>
        <v>23</v>
      </c>
      <c r="F666" s="79"/>
      <c r="G666" s="82"/>
      <c r="H666" s="68" t="str">
        <f t="shared" si="326"/>
        <v>Lacine13_20191123_21_00</v>
      </c>
      <c r="I666" s="69">
        <f t="shared" si="328"/>
        <v>1</v>
      </c>
      <c r="J666" s="76" t="str">
        <f t="shared" si="328"/>
        <v>Lactuca</v>
      </c>
      <c r="K666" s="76" t="str">
        <f t="shared" si="328"/>
        <v>inermis</v>
      </c>
      <c r="L666" s="77">
        <f t="shared" si="328"/>
        <v>13</v>
      </c>
      <c r="M666" s="77">
        <f t="shared" si="328"/>
        <v>2</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2019</v>
      </c>
      <c r="B667" s="72" t="str">
        <f t="shared" si="307"/>
        <v>Nov</v>
      </c>
      <c r="C667" s="73">
        <f t="shared" si="325"/>
        <v>23</v>
      </c>
      <c r="D667" s="74">
        <f t="shared" si="308"/>
        <v>21</v>
      </c>
      <c r="E667" s="75">
        <f t="shared" si="309"/>
        <v>24</v>
      </c>
      <c r="F667" s="79"/>
      <c r="G667" s="82"/>
      <c r="H667" s="68" t="str">
        <f t="shared" si="326"/>
        <v>Lacine13_20191123_21_00</v>
      </c>
      <c r="I667" s="69">
        <f t="shared" si="328"/>
        <v>1</v>
      </c>
      <c r="J667" s="76" t="str">
        <f t="shared" si="328"/>
        <v>Lactuca</v>
      </c>
      <c r="K667" s="76" t="str">
        <f t="shared" si="328"/>
        <v>inermis</v>
      </c>
      <c r="L667" s="77">
        <f t="shared" si="328"/>
        <v>13</v>
      </c>
      <c r="M667" s="77">
        <f t="shared" si="328"/>
        <v>2</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2019</v>
      </c>
      <c r="B668" s="72" t="str">
        <f t="shared" si="307"/>
        <v>Nov</v>
      </c>
      <c r="C668" s="73">
        <f t="shared" si="325"/>
        <v>23</v>
      </c>
      <c r="D668" s="74">
        <f t="shared" si="308"/>
        <v>21</v>
      </c>
      <c r="E668" s="75">
        <f t="shared" si="309"/>
        <v>25</v>
      </c>
      <c r="F668" s="79"/>
      <c r="G668" s="82"/>
      <c r="H668" s="68" t="str">
        <f t="shared" si="326"/>
        <v>Lacine13_20191123_21_00</v>
      </c>
      <c r="I668" s="69">
        <f t="shared" si="328"/>
        <v>1</v>
      </c>
      <c r="J668" s="76" t="str">
        <f t="shared" si="328"/>
        <v>Lactuca</v>
      </c>
      <c r="K668" s="76" t="str">
        <f t="shared" si="328"/>
        <v>inermis</v>
      </c>
      <c r="L668" s="77">
        <f t="shared" si="328"/>
        <v>13</v>
      </c>
      <c r="M668" s="77">
        <f t="shared" si="328"/>
        <v>2</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2019</v>
      </c>
      <c r="B669" s="72" t="str">
        <f t="shared" si="307"/>
        <v>Nov</v>
      </c>
      <c r="C669" s="73">
        <f t="shared" si="325"/>
        <v>23</v>
      </c>
      <c r="D669" s="74">
        <f t="shared" si="308"/>
        <v>21</v>
      </c>
      <c r="E669" s="75">
        <f t="shared" si="309"/>
        <v>26</v>
      </c>
      <c r="F669" s="79"/>
      <c r="G669" s="82"/>
      <c r="H669" s="68" t="str">
        <f t="shared" si="326"/>
        <v>Lacine13_20191123_21_00</v>
      </c>
      <c r="I669" s="69">
        <f t="shared" si="328"/>
        <v>1</v>
      </c>
      <c r="J669" s="76" t="str">
        <f t="shared" si="328"/>
        <v>Lactuca</v>
      </c>
      <c r="K669" s="76" t="str">
        <f t="shared" si="328"/>
        <v>inermis</v>
      </c>
      <c r="L669" s="77">
        <f t="shared" si="328"/>
        <v>13</v>
      </c>
      <c r="M669" s="77">
        <f t="shared" si="328"/>
        <v>2</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2019</v>
      </c>
      <c r="B670" s="72" t="str">
        <f t="shared" si="307"/>
        <v>Nov</v>
      </c>
      <c r="C670" s="73">
        <f t="shared" si="325"/>
        <v>23</v>
      </c>
      <c r="D670" s="74">
        <f t="shared" si="308"/>
        <v>21</v>
      </c>
      <c r="E670" s="75">
        <f t="shared" si="309"/>
        <v>27</v>
      </c>
      <c r="F670" s="79"/>
      <c r="G670" s="82"/>
      <c r="H670" s="68" t="str">
        <f t="shared" si="326"/>
        <v>Lacine13_20191123_21_00</v>
      </c>
      <c r="I670" s="69">
        <f t="shared" si="328"/>
        <v>1</v>
      </c>
      <c r="J670" s="76" t="str">
        <f t="shared" si="328"/>
        <v>Lactuca</v>
      </c>
      <c r="K670" s="76" t="str">
        <f t="shared" si="328"/>
        <v>inermis</v>
      </c>
      <c r="L670" s="77">
        <f t="shared" si="328"/>
        <v>13</v>
      </c>
      <c r="M670" s="77">
        <f t="shared" si="328"/>
        <v>2</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2019</v>
      </c>
      <c r="B671" s="72" t="str">
        <f t="shared" si="307"/>
        <v>Nov</v>
      </c>
      <c r="C671" s="73">
        <f t="shared" si="325"/>
        <v>23</v>
      </c>
      <c r="D671" s="74">
        <f t="shared" si="308"/>
        <v>21</v>
      </c>
      <c r="E671" s="75">
        <f t="shared" si="309"/>
        <v>28</v>
      </c>
      <c r="F671" s="79"/>
      <c r="G671" s="82"/>
      <c r="H671" s="68" t="str">
        <f t="shared" si="326"/>
        <v>Lacine13_20191123_21_00</v>
      </c>
      <c r="I671" s="69">
        <f t="shared" si="328"/>
        <v>1</v>
      </c>
      <c r="J671" s="76" t="str">
        <f t="shared" si="328"/>
        <v>Lactuca</v>
      </c>
      <c r="K671" s="76" t="str">
        <f t="shared" si="328"/>
        <v>inermis</v>
      </c>
      <c r="L671" s="77">
        <f t="shared" si="328"/>
        <v>13</v>
      </c>
      <c r="M671" s="77">
        <f t="shared" si="328"/>
        <v>2</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2019</v>
      </c>
      <c r="B672" s="72" t="str">
        <f t="shared" si="307"/>
        <v>Nov</v>
      </c>
      <c r="C672" s="73">
        <f t="shared" si="325"/>
        <v>23</v>
      </c>
      <c r="D672" s="74">
        <f t="shared" si="308"/>
        <v>21</v>
      </c>
      <c r="E672" s="75">
        <f t="shared" si="309"/>
        <v>29</v>
      </c>
      <c r="F672" s="79"/>
      <c r="G672" s="82"/>
      <c r="H672" s="68" t="str">
        <f t="shared" si="326"/>
        <v>Lacine13_20191123_21_00</v>
      </c>
      <c r="I672" s="69">
        <f t="shared" si="328"/>
        <v>1</v>
      </c>
      <c r="J672" s="76" t="str">
        <f t="shared" si="328"/>
        <v>Lactuca</v>
      </c>
      <c r="K672" s="76" t="str">
        <f t="shared" si="328"/>
        <v>inermis</v>
      </c>
      <c r="L672" s="77">
        <f t="shared" si="328"/>
        <v>13</v>
      </c>
      <c r="M672" s="77">
        <f t="shared" si="328"/>
        <v>2</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2019</v>
      </c>
      <c r="B673" s="72" t="str">
        <f t="shared" si="307"/>
        <v>Nov</v>
      </c>
      <c r="C673" s="73">
        <f t="shared" si="325"/>
        <v>23</v>
      </c>
      <c r="D673" s="74">
        <f t="shared" si="308"/>
        <v>21</v>
      </c>
      <c r="E673" s="75">
        <f t="shared" si="309"/>
        <v>30</v>
      </c>
      <c r="F673" s="79"/>
      <c r="G673" s="82"/>
      <c r="H673" s="68" t="str">
        <f t="shared" si="326"/>
        <v>Lacine13_20191123_21_00</v>
      </c>
      <c r="I673" s="69">
        <f t="shared" si="328"/>
        <v>1</v>
      </c>
      <c r="J673" s="76" t="str">
        <f t="shared" si="328"/>
        <v>Lactuca</v>
      </c>
      <c r="K673" s="76" t="str">
        <f t="shared" si="328"/>
        <v>inermis</v>
      </c>
      <c r="L673" s="77">
        <f t="shared" si="328"/>
        <v>13</v>
      </c>
      <c r="M673" s="77">
        <f t="shared" si="328"/>
        <v>2</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2019</v>
      </c>
      <c r="B674" s="72" t="str">
        <f t="shared" si="307"/>
        <v>Nov</v>
      </c>
      <c r="C674" s="73">
        <f t="shared" si="325"/>
        <v>23</v>
      </c>
      <c r="D674" s="74">
        <f t="shared" si="308"/>
        <v>21</v>
      </c>
      <c r="E674" s="75">
        <f t="shared" si="309"/>
        <v>31</v>
      </c>
      <c r="F674" s="79"/>
      <c r="G674" s="82"/>
      <c r="H674" s="68" t="str">
        <f t="shared" si="326"/>
        <v>Lacine13_20191123_21_00</v>
      </c>
      <c r="I674" s="69">
        <f t="shared" si="328"/>
        <v>1</v>
      </c>
      <c r="J674" s="76" t="str">
        <f t="shared" si="328"/>
        <v>Lactuca</v>
      </c>
      <c r="K674" s="76" t="str">
        <f t="shared" si="328"/>
        <v>inermis</v>
      </c>
      <c r="L674" s="77">
        <f t="shared" si="328"/>
        <v>13</v>
      </c>
      <c r="M674" s="77">
        <f t="shared" si="328"/>
        <v>2</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2019</v>
      </c>
      <c r="B675" s="72" t="str">
        <f t="shared" si="307"/>
        <v>Nov</v>
      </c>
      <c r="C675" s="73">
        <f t="shared" si="325"/>
        <v>23</v>
      </c>
      <c r="D675" s="74">
        <f t="shared" si="308"/>
        <v>21</v>
      </c>
      <c r="E675" s="75">
        <f t="shared" si="309"/>
        <v>32</v>
      </c>
      <c r="F675" s="79"/>
      <c r="G675" s="82"/>
      <c r="H675" s="68" t="str">
        <f t="shared" si="326"/>
        <v>Lacine13_20191123_21_00</v>
      </c>
      <c r="I675" s="69">
        <f t="shared" si="328"/>
        <v>1</v>
      </c>
      <c r="J675" s="76" t="str">
        <f t="shared" si="328"/>
        <v>Lactuca</v>
      </c>
      <c r="K675" s="76" t="str">
        <f t="shared" si="328"/>
        <v>inermis</v>
      </c>
      <c r="L675" s="77">
        <f t="shared" si="328"/>
        <v>13</v>
      </c>
      <c r="M675" s="77">
        <f t="shared" si="328"/>
        <v>2</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2019</v>
      </c>
      <c r="B676" s="72" t="str">
        <f t="shared" si="307"/>
        <v>Nov</v>
      </c>
      <c r="C676" s="73">
        <f t="shared" si="325"/>
        <v>23</v>
      </c>
      <c r="D676" s="74">
        <f t="shared" si="308"/>
        <v>21</v>
      </c>
      <c r="E676" s="75">
        <f t="shared" si="309"/>
        <v>33</v>
      </c>
      <c r="F676" s="79"/>
      <c r="G676" s="82"/>
      <c r="H676" s="68" t="str">
        <f t="shared" si="326"/>
        <v>Lacine13_20191123_21_00</v>
      </c>
      <c r="I676" s="69">
        <f t="shared" si="328"/>
        <v>1</v>
      </c>
      <c r="J676" s="76" t="str">
        <f t="shared" si="328"/>
        <v>Lactuca</v>
      </c>
      <c r="K676" s="76" t="str">
        <f t="shared" si="328"/>
        <v>inermis</v>
      </c>
      <c r="L676" s="77">
        <f t="shared" si="328"/>
        <v>13</v>
      </c>
      <c r="M676" s="77">
        <f t="shared" si="328"/>
        <v>2</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2019</v>
      </c>
      <c r="B677" s="72" t="str">
        <f t="shared" si="307"/>
        <v>Nov</v>
      </c>
      <c r="C677" s="73">
        <f t="shared" si="325"/>
        <v>23</v>
      </c>
      <c r="D677" s="74">
        <f t="shared" si="308"/>
        <v>21</v>
      </c>
      <c r="E677" s="75">
        <f t="shared" si="309"/>
        <v>34</v>
      </c>
      <c r="F677" s="79"/>
      <c r="G677" s="82"/>
      <c r="H677" s="68" t="str">
        <f t="shared" si="326"/>
        <v>Lacine13_20191123_21_00</v>
      </c>
      <c r="I677" s="69">
        <f t="shared" ref="I677:N692" si="329">I676</f>
        <v>1</v>
      </c>
      <c r="J677" s="76" t="str">
        <f t="shared" si="329"/>
        <v>Lactuca</v>
      </c>
      <c r="K677" s="76" t="str">
        <f t="shared" si="329"/>
        <v>inermis</v>
      </c>
      <c r="L677" s="77">
        <f t="shared" si="329"/>
        <v>13</v>
      </c>
      <c r="M677" s="77">
        <f t="shared" si="329"/>
        <v>2</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2019</v>
      </c>
      <c r="B678" s="72" t="str">
        <f t="shared" si="307"/>
        <v>Nov</v>
      </c>
      <c r="C678" s="73">
        <f t="shared" si="325"/>
        <v>23</v>
      </c>
      <c r="D678" s="74">
        <f t="shared" si="308"/>
        <v>21</v>
      </c>
      <c r="E678" s="75">
        <f t="shared" si="309"/>
        <v>35</v>
      </c>
      <c r="F678" s="79"/>
      <c r="G678" s="82"/>
      <c r="H678" s="68" t="str">
        <f t="shared" si="326"/>
        <v>Lacine13_20191123_21_00</v>
      </c>
      <c r="I678" s="69">
        <f t="shared" si="329"/>
        <v>1</v>
      </c>
      <c r="J678" s="76" t="str">
        <f t="shared" si="329"/>
        <v>Lactuca</v>
      </c>
      <c r="K678" s="76" t="str">
        <f t="shared" si="329"/>
        <v>inermis</v>
      </c>
      <c r="L678" s="77">
        <f t="shared" si="329"/>
        <v>13</v>
      </c>
      <c r="M678" s="77">
        <f t="shared" si="329"/>
        <v>2</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2019</v>
      </c>
      <c r="B679" s="72" t="str">
        <f t="shared" si="307"/>
        <v>Nov</v>
      </c>
      <c r="C679" s="73">
        <f t="shared" si="325"/>
        <v>23</v>
      </c>
      <c r="D679" s="74">
        <f t="shared" si="308"/>
        <v>21</v>
      </c>
      <c r="E679" s="75">
        <f t="shared" si="309"/>
        <v>36</v>
      </c>
      <c r="F679" s="79"/>
      <c r="G679" s="82"/>
      <c r="H679" s="68" t="str">
        <f t="shared" si="326"/>
        <v>Lacine13_20191123_21_00</v>
      </c>
      <c r="I679" s="69">
        <f t="shared" si="329"/>
        <v>1</v>
      </c>
      <c r="J679" s="76" t="str">
        <f t="shared" si="329"/>
        <v>Lactuca</v>
      </c>
      <c r="K679" s="76" t="str">
        <f t="shared" si="329"/>
        <v>inermis</v>
      </c>
      <c r="L679" s="77">
        <f t="shared" si="329"/>
        <v>13</v>
      </c>
      <c r="M679" s="77">
        <f t="shared" si="329"/>
        <v>2</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2019</v>
      </c>
      <c r="B680" s="72" t="str">
        <f t="shared" si="307"/>
        <v>Nov</v>
      </c>
      <c r="C680" s="73">
        <f t="shared" si="325"/>
        <v>23</v>
      </c>
      <c r="D680" s="74">
        <f t="shared" si="308"/>
        <v>21</v>
      </c>
      <c r="E680" s="75">
        <f t="shared" si="309"/>
        <v>37</v>
      </c>
      <c r="F680" s="79"/>
      <c r="G680" s="82"/>
      <c r="H680" s="68" t="str">
        <f t="shared" si="326"/>
        <v>Lacine13_20191123_21_00</v>
      </c>
      <c r="I680" s="69">
        <f t="shared" si="329"/>
        <v>1</v>
      </c>
      <c r="J680" s="76" t="str">
        <f t="shared" si="329"/>
        <v>Lactuca</v>
      </c>
      <c r="K680" s="76" t="str">
        <f t="shared" si="329"/>
        <v>inermis</v>
      </c>
      <c r="L680" s="77">
        <f t="shared" si="329"/>
        <v>13</v>
      </c>
      <c r="M680" s="77">
        <f t="shared" si="329"/>
        <v>2</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2019</v>
      </c>
      <c r="B681" s="72" t="str">
        <f t="shared" si="307"/>
        <v>Nov</v>
      </c>
      <c r="C681" s="73">
        <f t="shared" si="325"/>
        <v>23</v>
      </c>
      <c r="D681" s="74">
        <f t="shared" si="308"/>
        <v>21</v>
      </c>
      <c r="E681" s="75">
        <f t="shared" si="309"/>
        <v>38</v>
      </c>
      <c r="F681" s="79"/>
      <c r="G681" s="82"/>
      <c r="H681" s="68" t="str">
        <f t="shared" si="326"/>
        <v>Lacine13_20191123_21_00</v>
      </c>
      <c r="I681" s="69">
        <f t="shared" si="329"/>
        <v>1</v>
      </c>
      <c r="J681" s="76" t="str">
        <f t="shared" si="329"/>
        <v>Lactuca</v>
      </c>
      <c r="K681" s="76" t="str">
        <f t="shared" si="329"/>
        <v>inermis</v>
      </c>
      <c r="L681" s="77">
        <f t="shared" si="329"/>
        <v>13</v>
      </c>
      <c r="M681" s="77">
        <f t="shared" si="329"/>
        <v>2</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2019</v>
      </c>
      <c r="B682" s="72" t="str">
        <f t="shared" si="307"/>
        <v>Nov</v>
      </c>
      <c r="C682" s="73">
        <f t="shared" si="325"/>
        <v>23</v>
      </c>
      <c r="D682" s="74">
        <f t="shared" si="308"/>
        <v>21</v>
      </c>
      <c r="E682" s="75">
        <f t="shared" si="309"/>
        <v>39</v>
      </c>
      <c r="F682" s="79"/>
      <c r="G682" s="82"/>
      <c r="H682" s="68" t="str">
        <f t="shared" si="326"/>
        <v>Lacine13_20191123_21_00</v>
      </c>
      <c r="I682" s="69">
        <f t="shared" si="329"/>
        <v>1</v>
      </c>
      <c r="J682" s="76" t="str">
        <f t="shared" si="329"/>
        <v>Lactuca</v>
      </c>
      <c r="K682" s="76" t="str">
        <f t="shared" si="329"/>
        <v>inermis</v>
      </c>
      <c r="L682" s="77">
        <f t="shared" si="329"/>
        <v>13</v>
      </c>
      <c r="M682" s="77">
        <f t="shared" si="329"/>
        <v>2</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2019</v>
      </c>
      <c r="B683" s="72" t="str">
        <f t="shared" si="307"/>
        <v>Nov</v>
      </c>
      <c r="C683" s="73">
        <f t="shared" si="325"/>
        <v>23</v>
      </c>
      <c r="D683" s="74">
        <f t="shared" si="308"/>
        <v>21</v>
      </c>
      <c r="E683" s="75">
        <f t="shared" si="309"/>
        <v>40</v>
      </c>
      <c r="F683" s="79"/>
      <c r="G683" s="82"/>
      <c r="H683" s="68" t="str">
        <f t="shared" si="326"/>
        <v>Lacine13_20191123_21_00</v>
      </c>
      <c r="I683" s="69">
        <f t="shared" si="329"/>
        <v>1</v>
      </c>
      <c r="J683" s="76" t="str">
        <f t="shared" si="329"/>
        <v>Lactuca</v>
      </c>
      <c r="K683" s="76" t="str">
        <f t="shared" si="329"/>
        <v>inermis</v>
      </c>
      <c r="L683" s="77">
        <f t="shared" si="329"/>
        <v>13</v>
      </c>
      <c r="M683" s="77">
        <f t="shared" si="329"/>
        <v>2</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2019</v>
      </c>
      <c r="B684" s="72" t="str">
        <f t="shared" si="307"/>
        <v>Nov</v>
      </c>
      <c r="C684" s="73">
        <f t="shared" si="325"/>
        <v>23</v>
      </c>
      <c r="D684" s="74">
        <f t="shared" si="308"/>
        <v>21</v>
      </c>
      <c r="E684" s="75">
        <f t="shared" si="309"/>
        <v>41</v>
      </c>
      <c r="F684" s="79"/>
      <c r="G684" s="82"/>
      <c r="H684" s="68" t="str">
        <f t="shared" si="326"/>
        <v>Lacine13_20191123_21_00</v>
      </c>
      <c r="I684" s="69">
        <f t="shared" si="329"/>
        <v>1</v>
      </c>
      <c r="J684" s="76" t="str">
        <f t="shared" si="329"/>
        <v>Lactuca</v>
      </c>
      <c r="K684" s="76" t="str">
        <f t="shared" si="329"/>
        <v>inermis</v>
      </c>
      <c r="L684" s="77">
        <f t="shared" si="329"/>
        <v>13</v>
      </c>
      <c r="M684" s="77">
        <f t="shared" si="329"/>
        <v>2</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2019</v>
      </c>
      <c r="B685" s="72" t="str">
        <f t="shared" si="307"/>
        <v>Nov</v>
      </c>
      <c r="C685" s="73">
        <f t="shared" si="325"/>
        <v>23</v>
      </c>
      <c r="D685" s="74">
        <f t="shared" si="308"/>
        <v>21</v>
      </c>
      <c r="E685" s="75">
        <f t="shared" si="309"/>
        <v>42</v>
      </c>
      <c r="F685" s="79"/>
      <c r="G685" s="82"/>
      <c r="H685" s="68" t="str">
        <f t="shared" si="326"/>
        <v>Lacine13_20191123_21_00</v>
      </c>
      <c r="I685" s="69">
        <f t="shared" si="329"/>
        <v>1</v>
      </c>
      <c r="J685" s="76" t="str">
        <f t="shared" si="329"/>
        <v>Lactuca</v>
      </c>
      <c r="K685" s="76" t="str">
        <f t="shared" si="329"/>
        <v>inermis</v>
      </c>
      <c r="L685" s="77">
        <f t="shared" si="329"/>
        <v>13</v>
      </c>
      <c r="M685" s="77">
        <f t="shared" si="329"/>
        <v>2</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2019</v>
      </c>
      <c r="B686" s="72" t="str">
        <f t="shared" si="307"/>
        <v>Nov</v>
      </c>
      <c r="C686" s="73">
        <f t="shared" si="325"/>
        <v>23</v>
      </c>
      <c r="D686" s="74">
        <f t="shared" si="308"/>
        <v>21</v>
      </c>
      <c r="E686" s="75">
        <f t="shared" si="309"/>
        <v>43</v>
      </c>
      <c r="F686" s="79"/>
      <c r="G686" s="82"/>
      <c r="H686" s="68" t="str">
        <f t="shared" si="326"/>
        <v>Lacine13_20191123_21_00</v>
      </c>
      <c r="I686" s="69">
        <f t="shared" si="329"/>
        <v>1</v>
      </c>
      <c r="J686" s="76" t="str">
        <f t="shared" si="329"/>
        <v>Lactuca</v>
      </c>
      <c r="K686" s="76" t="str">
        <f t="shared" si="329"/>
        <v>inermis</v>
      </c>
      <c r="L686" s="77">
        <f t="shared" si="329"/>
        <v>13</v>
      </c>
      <c r="M686" s="77">
        <f t="shared" si="329"/>
        <v>2</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2019</v>
      </c>
      <c r="B687" s="72" t="str">
        <f t="shared" si="307"/>
        <v>Nov</v>
      </c>
      <c r="C687" s="73">
        <f t="shared" si="325"/>
        <v>23</v>
      </c>
      <c r="D687" s="74">
        <f t="shared" si="308"/>
        <v>21</v>
      </c>
      <c r="E687" s="75">
        <f t="shared" si="309"/>
        <v>44</v>
      </c>
      <c r="F687" s="79"/>
      <c r="G687" s="82"/>
      <c r="H687" s="68" t="str">
        <f t="shared" si="326"/>
        <v>Lacine13_20191123_21_00</v>
      </c>
      <c r="I687" s="69">
        <f t="shared" si="329"/>
        <v>1</v>
      </c>
      <c r="J687" s="76" t="str">
        <f t="shared" si="329"/>
        <v>Lactuca</v>
      </c>
      <c r="K687" s="76" t="str">
        <f t="shared" si="329"/>
        <v>inermis</v>
      </c>
      <c r="L687" s="77">
        <f t="shared" si="329"/>
        <v>13</v>
      </c>
      <c r="M687" s="77">
        <f t="shared" si="329"/>
        <v>2</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2019</v>
      </c>
      <c r="B688" s="72" t="str">
        <f t="shared" si="307"/>
        <v>Nov</v>
      </c>
      <c r="C688" s="73">
        <f t="shared" si="325"/>
        <v>23</v>
      </c>
      <c r="D688" s="74">
        <f t="shared" si="308"/>
        <v>21</v>
      </c>
      <c r="E688" s="75">
        <f t="shared" si="309"/>
        <v>45</v>
      </c>
      <c r="F688" s="79"/>
      <c r="G688" s="82"/>
      <c r="H688" s="68" t="str">
        <f t="shared" si="326"/>
        <v>Lacine13_20191123_21_00</v>
      </c>
      <c r="I688" s="69">
        <f t="shared" si="329"/>
        <v>1</v>
      </c>
      <c r="J688" s="76" t="str">
        <f t="shared" si="329"/>
        <v>Lactuca</v>
      </c>
      <c r="K688" s="76" t="str">
        <f t="shared" si="329"/>
        <v>inermis</v>
      </c>
      <c r="L688" s="77">
        <f t="shared" si="329"/>
        <v>13</v>
      </c>
      <c r="M688" s="77">
        <f t="shared" si="329"/>
        <v>2</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2019</v>
      </c>
      <c r="B689" s="72" t="str">
        <f t="shared" si="307"/>
        <v>Nov</v>
      </c>
      <c r="C689" s="73">
        <f t="shared" si="325"/>
        <v>23</v>
      </c>
      <c r="D689" s="74">
        <f t="shared" si="308"/>
        <v>21</v>
      </c>
      <c r="E689" s="75">
        <f t="shared" si="309"/>
        <v>46</v>
      </c>
      <c r="F689" s="79"/>
      <c r="G689" s="82"/>
      <c r="H689" s="68" t="str">
        <f t="shared" si="326"/>
        <v>Lacine13_20191123_21_00</v>
      </c>
      <c r="I689" s="69">
        <f t="shared" si="329"/>
        <v>1</v>
      </c>
      <c r="J689" s="76" t="str">
        <f t="shared" si="329"/>
        <v>Lactuca</v>
      </c>
      <c r="K689" s="76" t="str">
        <f t="shared" si="329"/>
        <v>inermis</v>
      </c>
      <c r="L689" s="77">
        <f t="shared" si="329"/>
        <v>13</v>
      </c>
      <c r="M689" s="77">
        <f t="shared" si="329"/>
        <v>2</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2019</v>
      </c>
      <c r="B690" s="72" t="str">
        <f t="shared" si="307"/>
        <v>Nov</v>
      </c>
      <c r="C690" s="73">
        <f t="shared" si="325"/>
        <v>23</v>
      </c>
      <c r="D690" s="74">
        <f t="shared" si="308"/>
        <v>21</v>
      </c>
      <c r="E690" s="75">
        <f t="shared" si="309"/>
        <v>47</v>
      </c>
      <c r="F690" s="79"/>
      <c r="G690" s="82"/>
      <c r="H690" s="68" t="str">
        <f t="shared" si="326"/>
        <v>Lacine13_20191123_21_00</v>
      </c>
      <c r="I690" s="69">
        <f t="shared" si="329"/>
        <v>1</v>
      </c>
      <c r="J690" s="76" t="str">
        <f t="shared" si="329"/>
        <v>Lactuca</v>
      </c>
      <c r="K690" s="76" t="str">
        <f t="shared" si="329"/>
        <v>inermis</v>
      </c>
      <c r="L690" s="77">
        <f t="shared" si="329"/>
        <v>13</v>
      </c>
      <c r="M690" s="77">
        <f t="shared" si="329"/>
        <v>2</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2019</v>
      </c>
      <c r="B691" s="72" t="str">
        <f t="shared" si="307"/>
        <v>Nov</v>
      </c>
      <c r="C691" s="73">
        <f t="shared" si="325"/>
        <v>23</v>
      </c>
      <c r="D691" s="74">
        <f t="shared" si="308"/>
        <v>21</v>
      </c>
      <c r="E691" s="75">
        <f t="shared" si="309"/>
        <v>48</v>
      </c>
      <c r="F691" s="79"/>
      <c r="G691" s="82"/>
      <c r="H691" s="68" t="str">
        <f t="shared" si="326"/>
        <v>Lacine13_20191123_21_00</v>
      </c>
      <c r="I691" s="69">
        <f t="shared" si="329"/>
        <v>1</v>
      </c>
      <c r="J691" s="76" t="str">
        <f t="shared" si="329"/>
        <v>Lactuca</v>
      </c>
      <c r="K691" s="76" t="str">
        <f t="shared" si="329"/>
        <v>inermis</v>
      </c>
      <c r="L691" s="77">
        <f t="shared" si="329"/>
        <v>13</v>
      </c>
      <c r="M691" s="77">
        <f t="shared" si="329"/>
        <v>2</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2019</v>
      </c>
      <c r="B692" s="72" t="str">
        <f t="shared" si="307"/>
        <v>Nov</v>
      </c>
      <c r="C692" s="73">
        <f t="shared" si="325"/>
        <v>23</v>
      </c>
      <c r="D692" s="74">
        <f t="shared" si="308"/>
        <v>21</v>
      </c>
      <c r="E692" s="75">
        <f t="shared" si="309"/>
        <v>49</v>
      </c>
      <c r="F692" s="79"/>
      <c r="G692" s="82"/>
      <c r="H692" s="68" t="str">
        <f t="shared" si="326"/>
        <v>Lacine13_20191123_21_00</v>
      </c>
      <c r="I692" s="69">
        <f t="shared" si="329"/>
        <v>1</v>
      </c>
      <c r="J692" s="76" t="str">
        <f t="shared" si="329"/>
        <v>Lactuca</v>
      </c>
      <c r="K692" s="76" t="str">
        <f t="shared" si="329"/>
        <v>inermis</v>
      </c>
      <c r="L692" s="77">
        <f t="shared" si="329"/>
        <v>13</v>
      </c>
      <c r="M692" s="77">
        <f t="shared" si="329"/>
        <v>2</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2019</v>
      </c>
      <c r="B693" s="72" t="str">
        <f t="shared" si="307"/>
        <v>Nov</v>
      </c>
      <c r="C693" s="73">
        <f t="shared" si="325"/>
        <v>23</v>
      </c>
      <c r="D693" s="74">
        <f t="shared" si="308"/>
        <v>21</v>
      </c>
      <c r="E693" s="75">
        <f t="shared" si="309"/>
        <v>50</v>
      </c>
      <c r="F693" s="79"/>
      <c r="G693" s="82"/>
      <c r="H693" s="68" t="str">
        <f t="shared" si="326"/>
        <v>Lacine13_20191123_21_00</v>
      </c>
      <c r="I693" s="69">
        <f t="shared" ref="I693:N708" si="330">I692</f>
        <v>1</v>
      </c>
      <c r="J693" s="76" t="str">
        <f t="shared" si="330"/>
        <v>Lactuca</v>
      </c>
      <c r="K693" s="76" t="str">
        <f t="shared" si="330"/>
        <v>inermis</v>
      </c>
      <c r="L693" s="77">
        <f t="shared" si="330"/>
        <v>13</v>
      </c>
      <c r="M693" s="77">
        <f t="shared" si="330"/>
        <v>2</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2019</v>
      </c>
      <c r="B694" s="72" t="str">
        <f t="shared" si="307"/>
        <v>Nov</v>
      </c>
      <c r="C694" s="73">
        <f t="shared" si="325"/>
        <v>23</v>
      </c>
      <c r="D694" s="74">
        <f t="shared" si="308"/>
        <v>21</v>
      </c>
      <c r="E694" s="75">
        <f t="shared" si="309"/>
        <v>51</v>
      </c>
      <c r="F694" s="79"/>
      <c r="G694" s="82"/>
      <c r="H694" s="68" t="str">
        <f t="shared" si="326"/>
        <v>Lacine13_20191123_21_00</v>
      </c>
      <c r="I694" s="69">
        <f t="shared" si="330"/>
        <v>1</v>
      </c>
      <c r="J694" s="76" t="str">
        <f t="shared" si="330"/>
        <v>Lactuca</v>
      </c>
      <c r="K694" s="76" t="str">
        <f t="shared" si="330"/>
        <v>inermis</v>
      </c>
      <c r="L694" s="77">
        <f t="shared" si="330"/>
        <v>13</v>
      </c>
      <c r="M694" s="77">
        <f t="shared" si="330"/>
        <v>2</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2019</v>
      </c>
      <c r="B695" s="72" t="str">
        <f t="shared" si="307"/>
        <v>Nov</v>
      </c>
      <c r="C695" s="73">
        <f t="shared" si="325"/>
        <v>23</v>
      </c>
      <c r="D695" s="74">
        <f t="shared" si="308"/>
        <v>21</v>
      </c>
      <c r="E695" s="75">
        <f t="shared" si="309"/>
        <v>52</v>
      </c>
      <c r="F695" s="79"/>
      <c r="G695" s="82"/>
      <c r="H695" s="68" t="str">
        <f t="shared" si="326"/>
        <v>Lacine13_20191123_21_00</v>
      </c>
      <c r="I695" s="69">
        <f t="shared" si="330"/>
        <v>1</v>
      </c>
      <c r="J695" s="76" t="str">
        <f t="shared" si="330"/>
        <v>Lactuca</v>
      </c>
      <c r="K695" s="76" t="str">
        <f t="shared" si="330"/>
        <v>inermis</v>
      </c>
      <c r="L695" s="77">
        <f t="shared" si="330"/>
        <v>13</v>
      </c>
      <c r="M695" s="77">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2019</v>
      </c>
      <c r="B696" s="72" t="str">
        <f t="shared" si="307"/>
        <v>Nov</v>
      </c>
      <c r="C696" s="73">
        <f t="shared" si="325"/>
        <v>23</v>
      </c>
      <c r="D696" s="74">
        <f t="shared" si="308"/>
        <v>21</v>
      </c>
      <c r="E696" s="75">
        <f t="shared" si="309"/>
        <v>53</v>
      </c>
      <c r="F696" s="79"/>
      <c r="G696" s="82"/>
      <c r="H696" s="68" t="str">
        <f t="shared" si="326"/>
        <v>Lacine13_20191123_21_00</v>
      </c>
      <c r="I696" s="69">
        <f t="shared" si="330"/>
        <v>1</v>
      </c>
      <c r="J696" s="76" t="str">
        <f t="shared" si="330"/>
        <v>Lactuca</v>
      </c>
      <c r="K696" s="76" t="str">
        <f t="shared" si="330"/>
        <v>inermis</v>
      </c>
      <c r="L696" s="77">
        <f t="shared" si="330"/>
        <v>13</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2019</v>
      </c>
      <c r="B697" s="72" t="str">
        <f t="shared" si="307"/>
        <v>Nov</v>
      </c>
      <c r="C697" s="73">
        <f t="shared" si="325"/>
        <v>23</v>
      </c>
      <c r="D697" s="74">
        <f t="shared" si="308"/>
        <v>21</v>
      </c>
      <c r="E697" s="75">
        <f t="shared" si="309"/>
        <v>54</v>
      </c>
      <c r="F697" s="79"/>
      <c r="G697" s="82"/>
      <c r="H697" s="68" t="str">
        <f t="shared" si="326"/>
        <v>Lacine13_20191123_21_00</v>
      </c>
      <c r="I697" s="69">
        <f t="shared" si="330"/>
        <v>1</v>
      </c>
      <c r="J697" s="76" t="str">
        <f t="shared" si="330"/>
        <v>Lactuca</v>
      </c>
      <c r="K697" s="76" t="str">
        <f t="shared" si="330"/>
        <v>inermis</v>
      </c>
      <c r="L697" s="77">
        <f t="shared" si="330"/>
        <v>13</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2019</v>
      </c>
      <c r="B698" s="72" t="str">
        <f t="shared" si="307"/>
        <v>Nov</v>
      </c>
      <c r="C698" s="73">
        <f t="shared" si="325"/>
        <v>23</v>
      </c>
      <c r="D698" s="74">
        <f t="shared" si="308"/>
        <v>21</v>
      </c>
      <c r="E698" s="75">
        <f t="shared" si="309"/>
        <v>55</v>
      </c>
      <c r="F698" s="79"/>
      <c r="G698" s="82"/>
      <c r="H698" s="68" t="str">
        <f t="shared" si="326"/>
        <v>Lacine13_20191123_21_00</v>
      </c>
      <c r="I698" s="69">
        <f t="shared" si="330"/>
        <v>1</v>
      </c>
      <c r="J698" s="76" t="str">
        <f t="shared" si="330"/>
        <v>Lactuca</v>
      </c>
      <c r="K698" s="76" t="str">
        <f t="shared" si="330"/>
        <v>inermis</v>
      </c>
      <c r="L698" s="77">
        <f t="shared" si="330"/>
        <v>13</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2019</v>
      </c>
      <c r="B699" s="72" t="str">
        <f t="shared" si="307"/>
        <v>Nov</v>
      </c>
      <c r="C699" s="73">
        <f t="shared" si="325"/>
        <v>23</v>
      </c>
      <c r="D699" s="74">
        <f t="shared" si="308"/>
        <v>21</v>
      </c>
      <c r="E699" s="75">
        <f t="shared" si="309"/>
        <v>56</v>
      </c>
      <c r="F699" s="79"/>
      <c r="G699" s="82"/>
      <c r="H699" s="68" t="str">
        <f t="shared" si="326"/>
        <v>Lacine13_20191123_21_00</v>
      </c>
      <c r="I699" s="69">
        <f t="shared" si="330"/>
        <v>1</v>
      </c>
      <c r="J699" s="76" t="str">
        <f t="shared" si="330"/>
        <v>Lactuca</v>
      </c>
      <c r="K699" s="76" t="str">
        <f t="shared" si="330"/>
        <v>inermis</v>
      </c>
      <c r="L699" s="77">
        <f t="shared" si="330"/>
        <v>13</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2019</v>
      </c>
      <c r="B700" s="72" t="str">
        <f t="shared" si="307"/>
        <v>Nov</v>
      </c>
      <c r="C700" s="73">
        <f t="shared" si="325"/>
        <v>23</v>
      </c>
      <c r="D700" s="74">
        <f t="shared" si="308"/>
        <v>21</v>
      </c>
      <c r="E700" s="75">
        <f t="shared" si="309"/>
        <v>57</v>
      </c>
      <c r="F700" s="79"/>
      <c r="G700" s="82"/>
      <c r="H700" s="68" t="str">
        <f t="shared" si="326"/>
        <v>Lacine13_20191123_21_00</v>
      </c>
      <c r="I700" s="69">
        <f t="shared" si="330"/>
        <v>1</v>
      </c>
      <c r="J700" s="76" t="str">
        <f t="shared" si="330"/>
        <v>Lactuca</v>
      </c>
      <c r="K700" s="76" t="str">
        <f t="shared" si="330"/>
        <v>inermis</v>
      </c>
      <c r="L700" s="77">
        <f t="shared" si="330"/>
        <v>13</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2019</v>
      </c>
      <c r="B701" s="72" t="str">
        <f t="shared" si="307"/>
        <v>Nov</v>
      </c>
      <c r="C701" s="73">
        <f t="shared" si="325"/>
        <v>23</v>
      </c>
      <c r="D701" s="74">
        <f t="shared" si="308"/>
        <v>21</v>
      </c>
      <c r="E701" s="75">
        <f t="shared" si="309"/>
        <v>58</v>
      </c>
      <c r="F701" s="79"/>
      <c r="G701" s="82"/>
      <c r="H701" s="68" t="str">
        <f t="shared" si="326"/>
        <v>Lacine13_20191123_21_00</v>
      </c>
      <c r="I701" s="69">
        <f t="shared" si="330"/>
        <v>1</v>
      </c>
      <c r="J701" s="76" t="str">
        <f t="shared" si="330"/>
        <v>Lactuca</v>
      </c>
      <c r="K701" s="76" t="str">
        <f t="shared" si="330"/>
        <v>inermis</v>
      </c>
      <c r="L701" s="77">
        <f t="shared" si="330"/>
        <v>13</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2019</v>
      </c>
      <c r="B702" s="72" t="str">
        <f t="shared" si="307"/>
        <v>Nov</v>
      </c>
      <c r="C702" s="73">
        <f t="shared" si="325"/>
        <v>23</v>
      </c>
      <c r="D702" s="74">
        <f t="shared" si="308"/>
        <v>21</v>
      </c>
      <c r="E702" s="75">
        <f t="shared" si="309"/>
        <v>59</v>
      </c>
      <c r="F702" s="79"/>
      <c r="G702" s="82"/>
      <c r="H702" s="68" t="str">
        <f t="shared" si="326"/>
        <v>Lacine13_20191123_21_00</v>
      </c>
      <c r="I702" s="69">
        <f t="shared" si="330"/>
        <v>1</v>
      </c>
      <c r="J702" s="76" t="str">
        <f t="shared" si="330"/>
        <v>Lactuca</v>
      </c>
      <c r="K702" s="76" t="str">
        <f t="shared" si="330"/>
        <v>inermis</v>
      </c>
      <c r="L702" s="77">
        <f t="shared" si="330"/>
        <v>13</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2019</v>
      </c>
      <c r="B703" s="72" t="str">
        <f t="shared" si="307"/>
        <v>Nov</v>
      </c>
      <c r="C703" s="73">
        <f t="shared" si="325"/>
        <v>23</v>
      </c>
      <c r="D703" s="74">
        <f t="shared" si="308"/>
        <v>22</v>
      </c>
      <c r="E703" s="75">
        <f t="shared" si="309"/>
        <v>0</v>
      </c>
      <c r="F703" s="79"/>
      <c r="G703" s="82"/>
      <c r="H703" s="68" t="str">
        <f t="shared" si="326"/>
        <v>Lacine13_20191123_22_00</v>
      </c>
      <c r="I703" s="69">
        <f t="shared" si="330"/>
        <v>1</v>
      </c>
      <c r="J703" s="76" t="str">
        <f t="shared" si="330"/>
        <v>Lactuca</v>
      </c>
      <c r="K703" s="76" t="str">
        <f t="shared" si="330"/>
        <v>inermis</v>
      </c>
      <c r="L703" s="77">
        <f t="shared" si="330"/>
        <v>13</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2019</v>
      </c>
      <c r="B704" s="72" t="str">
        <f t="shared" si="307"/>
        <v>Nov</v>
      </c>
      <c r="C704" s="73">
        <f t="shared" si="325"/>
        <v>23</v>
      </c>
      <c r="D704" s="74">
        <f t="shared" si="308"/>
        <v>22</v>
      </c>
      <c r="E704" s="75">
        <f t="shared" si="309"/>
        <v>1</v>
      </c>
      <c r="F704" s="79"/>
      <c r="G704" s="82"/>
      <c r="H704" s="68" t="str">
        <f t="shared" si="326"/>
        <v>Lacine13_20191123_22_00</v>
      </c>
      <c r="I704" s="69">
        <f t="shared" si="330"/>
        <v>1</v>
      </c>
      <c r="J704" s="76" t="str">
        <f t="shared" si="330"/>
        <v>Lactuca</v>
      </c>
      <c r="K704" s="76" t="str">
        <f t="shared" si="330"/>
        <v>inermis</v>
      </c>
      <c r="L704" s="77">
        <f t="shared" si="330"/>
        <v>13</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2019</v>
      </c>
      <c r="B705" s="72" t="str">
        <f t="shared" si="307"/>
        <v>Nov</v>
      </c>
      <c r="C705" s="73">
        <f t="shared" si="325"/>
        <v>23</v>
      </c>
      <c r="D705" s="74">
        <f t="shared" si="308"/>
        <v>22</v>
      </c>
      <c r="E705" s="75">
        <f t="shared" si="309"/>
        <v>2</v>
      </c>
      <c r="F705" s="79"/>
      <c r="G705" s="82"/>
      <c r="H705" s="68" t="str">
        <f t="shared" si="326"/>
        <v>Lacine13_20191123_22_00</v>
      </c>
      <c r="I705" s="69">
        <f t="shared" si="330"/>
        <v>1</v>
      </c>
      <c r="J705" s="76" t="str">
        <f t="shared" si="330"/>
        <v>Lactuca</v>
      </c>
      <c r="K705" s="76" t="str">
        <f t="shared" si="330"/>
        <v>inermis</v>
      </c>
      <c r="L705" s="77">
        <f t="shared" si="330"/>
        <v>13</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2019</v>
      </c>
      <c r="B706" s="72" t="str">
        <f t="shared" si="307"/>
        <v>Nov</v>
      </c>
      <c r="C706" s="73">
        <f t="shared" si="325"/>
        <v>23</v>
      </c>
      <c r="D706" s="74">
        <f t="shared" si="308"/>
        <v>22</v>
      </c>
      <c r="E706" s="75">
        <f t="shared" si="309"/>
        <v>3</v>
      </c>
      <c r="F706" s="79"/>
      <c r="G706" s="82"/>
      <c r="H706" s="68" t="str">
        <f t="shared" si="326"/>
        <v>Lacine13_20191123_22_00</v>
      </c>
      <c r="I706" s="69">
        <f t="shared" si="330"/>
        <v>1</v>
      </c>
      <c r="J706" s="76" t="str">
        <f t="shared" si="330"/>
        <v>Lactuca</v>
      </c>
      <c r="K706" s="76" t="str">
        <f t="shared" si="330"/>
        <v>inermis</v>
      </c>
      <c r="L706" s="77">
        <f t="shared" si="330"/>
        <v>13</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2019</v>
      </c>
      <c r="B707" s="72" t="str">
        <f t="shared" si="307"/>
        <v>Nov</v>
      </c>
      <c r="C707" s="73">
        <f t="shared" si="325"/>
        <v>23</v>
      </c>
      <c r="D707" s="74">
        <f t="shared" si="308"/>
        <v>22</v>
      </c>
      <c r="E707" s="75">
        <f t="shared" si="309"/>
        <v>4</v>
      </c>
      <c r="F707" s="79"/>
      <c r="G707" s="82"/>
      <c r="H707" s="68" t="str">
        <f t="shared" si="326"/>
        <v>Lacine13_20191123_22_00</v>
      </c>
      <c r="I707" s="69">
        <f t="shared" si="330"/>
        <v>1</v>
      </c>
      <c r="J707" s="76" t="str">
        <f t="shared" si="330"/>
        <v>Lactuca</v>
      </c>
      <c r="K707" s="76" t="str">
        <f t="shared" si="330"/>
        <v>inermis</v>
      </c>
      <c r="L707" s="77">
        <f t="shared" si="330"/>
        <v>13</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2019</v>
      </c>
      <c r="B708" s="72" t="str">
        <f t="shared" ref="B708:B771" si="337">IF(C707-C708&gt;0, TEXT(DATE(2016,(MONTH(DATEVALUE(B707&amp;"1"))+1),1),"mmm"), B707)</f>
        <v>Nov</v>
      </c>
      <c r="C708" s="73">
        <f t="shared" si="325"/>
        <v>23</v>
      </c>
      <c r="D708" s="74">
        <f t="shared" ref="D708:D771" si="338">IF(IF(E707=59,D707+1,D707)=24,0,IF(E707=59,D707+1,D707))</f>
        <v>22</v>
      </c>
      <c r="E708" s="75">
        <f t="shared" ref="E708:E771" si="339">IF(E707&lt;59,E707+1,0)</f>
        <v>5</v>
      </c>
      <c r="F708" s="79"/>
      <c r="G708" s="82"/>
      <c r="H708" s="68" t="str">
        <f t="shared" si="326"/>
        <v>Lacine13_20191123_22_00</v>
      </c>
      <c r="I708" s="69">
        <f t="shared" si="330"/>
        <v>1</v>
      </c>
      <c r="J708" s="76" t="str">
        <f t="shared" si="330"/>
        <v>Lactuca</v>
      </c>
      <c r="K708" s="76" t="str">
        <f t="shared" si="330"/>
        <v>inermis</v>
      </c>
      <c r="L708" s="77">
        <f t="shared" si="330"/>
        <v>13</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2019</v>
      </c>
      <c r="B709" s="72" t="str">
        <f t="shared" si="337"/>
        <v>Nov</v>
      </c>
      <c r="C709" s="73">
        <f t="shared" ref="C709:C772" si="355">IF(AND(D709=0, E709=0), IF(TEXT(C708,"dd")=TEXT(EOMONTH(DATE(A708,MONTH(DATEVALUE(B708&amp;"1")),C708),0), "dd"), 1, C708+1), C708)</f>
        <v>23</v>
      </c>
      <c r="D709" s="74">
        <f t="shared" si="338"/>
        <v>22</v>
      </c>
      <c r="E709" s="75">
        <f t="shared" si="339"/>
        <v>6</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Lacine13_20191123_22_00</v>
      </c>
      <c r="I709" s="69">
        <f t="shared" ref="I709:N724" si="357">I708</f>
        <v>1</v>
      </c>
      <c r="J709" s="76" t="str">
        <f t="shared" si="357"/>
        <v>Lactuca</v>
      </c>
      <c r="K709" s="76" t="str">
        <f t="shared" si="357"/>
        <v>inermis</v>
      </c>
      <c r="L709" s="77">
        <f t="shared" si="357"/>
        <v>13</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2019</v>
      </c>
      <c r="B710" s="72" t="str">
        <f t="shared" si="337"/>
        <v>Nov</v>
      </c>
      <c r="C710" s="73">
        <f t="shared" si="355"/>
        <v>23</v>
      </c>
      <c r="D710" s="74">
        <f t="shared" si="338"/>
        <v>22</v>
      </c>
      <c r="E710" s="75">
        <f t="shared" si="339"/>
        <v>7</v>
      </c>
      <c r="F710" s="79"/>
      <c r="G710" s="82"/>
      <c r="H710" s="68" t="str">
        <f t="shared" si="356"/>
        <v>Lacine13_20191123_22_00</v>
      </c>
      <c r="I710" s="69">
        <f t="shared" si="357"/>
        <v>1</v>
      </c>
      <c r="J710" s="76" t="str">
        <f t="shared" si="357"/>
        <v>Lactuca</v>
      </c>
      <c r="K710" s="76" t="str">
        <f t="shared" si="357"/>
        <v>inermis</v>
      </c>
      <c r="L710" s="77">
        <f t="shared" si="357"/>
        <v>13</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2019</v>
      </c>
      <c r="B711" s="72" t="str">
        <f t="shared" si="337"/>
        <v>Nov</v>
      </c>
      <c r="C711" s="73">
        <f t="shared" si="355"/>
        <v>23</v>
      </c>
      <c r="D711" s="74">
        <f t="shared" si="338"/>
        <v>22</v>
      </c>
      <c r="E711" s="75">
        <f t="shared" si="339"/>
        <v>8</v>
      </c>
      <c r="F711" s="79"/>
      <c r="G711" s="82"/>
      <c r="H711" s="68" t="str">
        <f t="shared" si="356"/>
        <v>Lacine13_20191123_22_00</v>
      </c>
      <c r="I711" s="69">
        <f t="shared" si="357"/>
        <v>1</v>
      </c>
      <c r="J711" s="76" t="str">
        <f t="shared" si="357"/>
        <v>Lactuca</v>
      </c>
      <c r="K711" s="76" t="str">
        <f t="shared" si="357"/>
        <v>inermis</v>
      </c>
      <c r="L711" s="77">
        <f t="shared" si="357"/>
        <v>13</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2019</v>
      </c>
      <c r="B712" s="72" t="str">
        <f t="shared" si="337"/>
        <v>Nov</v>
      </c>
      <c r="C712" s="73">
        <f t="shared" si="355"/>
        <v>23</v>
      </c>
      <c r="D712" s="74">
        <f t="shared" si="338"/>
        <v>22</v>
      </c>
      <c r="E712" s="75">
        <f t="shared" si="339"/>
        <v>9</v>
      </c>
      <c r="F712" s="79"/>
      <c r="G712" s="82"/>
      <c r="H712" s="68" t="str">
        <f t="shared" si="356"/>
        <v>Lacine13_20191123_22_00</v>
      </c>
      <c r="I712" s="69">
        <f t="shared" si="357"/>
        <v>1</v>
      </c>
      <c r="J712" s="76" t="str">
        <f t="shared" si="357"/>
        <v>Lactuca</v>
      </c>
      <c r="K712" s="76" t="str">
        <f t="shared" si="357"/>
        <v>inermis</v>
      </c>
      <c r="L712" s="77">
        <f t="shared" si="357"/>
        <v>13</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2019</v>
      </c>
      <c r="B713" s="72" t="str">
        <f t="shared" si="337"/>
        <v>Nov</v>
      </c>
      <c r="C713" s="73">
        <f t="shared" si="355"/>
        <v>23</v>
      </c>
      <c r="D713" s="74">
        <f t="shared" si="338"/>
        <v>22</v>
      </c>
      <c r="E713" s="75">
        <f t="shared" si="339"/>
        <v>10</v>
      </c>
      <c r="F713" s="79"/>
      <c r="G713" s="82"/>
      <c r="H713" s="68" t="str">
        <f t="shared" si="356"/>
        <v>Lacine13_20191123_22_00</v>
      </c>
      <c r="I713" s="69">
        <f t="shared" si="357"/>
        <v>1</v>
      </c>
      <c r="J713" s="76" t="str">
        <f t="shared" si="357"/>
        <v>Lactuca</v>
      </c>
      <c r="K713" s="76" t="str">
        <f t="shared" si="357"/>
        <v>inermis</v>
      </c>
      <c r="L713" s="77">
        <f t="shared" si="357"/>
        <v>13</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2019</v>
      </c>
      <c r="B714" s="72" t="str">
        <f t="shared" si="337"/>
        <v>Nov</v>
      </c>
      <c r="C714" s="73">
        <f t="shared" si="355"/>
        <v>23</v>
      </c>
      <c r="D714" s="74">
        <f t="shared" si="338"/>
        <v>22</v>
      </c>
      <c r="E714" s="75">
        <f t="shared" si="339"/>
        <v>11</v>
      </c>
      <c r="F714" s="79"/>
      <c r="G714" s="82"/>
      <c r="H714" s="68" t="str">
        <f t="shared" si="356"/>
        <v>Lacine13_20191123_22_00</v>
      </c>
      <c r="I714" s="69">
        <f t="shared" si="357"/>
        <v>1</v>
      </c>
      <c r="J714" s="76" t="str">
        <f t="shared" si="357"/>
        <v>Lactuca</v>
      </c>
      <c r="K714" s="76" t="str">
        <f t="shared" si="357"/>
        <v>inermis</v>
      </c>
      <c r="L714" s="77">
        <f t="shared" si="357"/>
        <v>13</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2019</v>
      </c>
      <c r="B715" s="72" t="str">
        <f t="shared" si="337"/>
        <v>Nov</v>
      </c>
      <c r="C715" s="73">
        <f t="shared" si="355"/>
        <v>23</v>
      </c>
      <c r="D715" s="74">
        <f t="shared" si="338"/>
        <v>22</v>
      </c>
      <c r="E715" s="75">
        <f t="shared" si="339"/>
        <v>12</v>
      </c>
      <c r="F715" s="79"/>
      <c r="G715" s="82"/>
      <c r="H715" s="68" t="str">
        <f t="shared" si="356"/>
        <v>Lacine13_20191123_22_00</v>
      </c>
      <c r="I715" s="69">
        <f t="shared" si="357"/>
        <v>1</v>
      </c>
      <c r="J715" s="76" t="str">
        <f t="shared" si="357"/>
        <v>Lactuca</v>
      </c>
      <c r="K715" s="76" t="str">
        <f t="shared" si="357"/>
        <v>inermis</v>
      </c>
      <c r="L715" s="77">
        <f t="shared" si="357"/>
        <v>13</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2019</v>
      </c>
      <c r="B716" s="72" t="str">
        <f t="shared" si="337"/>
        <v>Nov</v>
      </c>
      <c r="C716" s="73">
        <f t="shared" si="355"/>
        <v>23</v>
      </c>
      <c r="D716" s="74">
        <f t="shared" si="338"/>
        <v>22</v>
      </c>
      <c r="E716" s="75">
        <f t="shared" si="339"/>
        <v>13</v>
      </c>
      <c r="F716" s="79"/>
      <c r="G716" s="82"/>
      <c r="H716" s="68" t="str">
        <f t="shared" si="356"/>
        <v>Lacine13_20191123_22_00</v>
      </c>
      <c r="I716" s="69">
        <f t="shared" si="357"/>
        <v>1</v>
      </c>
      <c r="J716" s="76" t="str">
        <f t="shared" si="357"/>
        <v>Lactuca</v>
      </c>
      <c r="K716" s="76" t="str">
        <f t="shared" si="357"/>
        <v>inermis</v>
      </c>
      <c r="L716" s="77">
        <f t="shared" si="357"/>
        <v>13</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2019</v>
      </c>
      <c r="B717" s="72" t="str">
        <f t="shared" si="337"/>
        <v>Nov</v>
      </c>
      <c r="C717" s="73">
        <f t="shared" si="355"/>
        <v>23</v>
      </c>
      <c r="D717" s="74">
        <f t="shared" si="338"/>
        <v>22</v>
      </c>
      <c r="E717" s="75">
        <f t="shared" si="339"/>
        <v>14</v>
      </c>
      <c r="F717" s="79"/>
      <c r="G717" s="82"/>
      <c r="H717" s="68" t="str">
        <f t="shared" si="356"/>
        <v>Lacine13_20191123_22_00</v>
      </c>
      <c r="I717" s="69">
        <f t="shared" si="357"/>
        <v>1</v>
      </c>
      <c r="J717" s="76" t="str">
        <f t="shared" si="357"/>
        <v>Lactuca</v>
      </c>
      <c r="K717" s="76" t="str">
        <f t="shared" si="357"/>
        <v>inermis</v>
      </c>
      <c r="L717" s="77">
        <f t="shared" si="357"/>
        <v>13</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2019</v>
      </c>
      <c r="B718" s="72" t="str">
        <f t="shared" si="337"/>
        <v>Nov</v>
      </c>
      <c r="C718" s="73">
        <f t="shared" si="355"/>
        <v>23</v>
      </c>
      <c r="D718" s="74">
        <f t="shared" si="338"/>
        <v>22</v>
      </c>
      <c r="E718" s="75">
        <f t="shared" si="339"/>
        <v>15</v>
      </c>
      <c r="F718" s="79"/>
      <c r="G718" s="82"/>
      <c r="H718" s="68" t="str">
        <f t="shared" si="356"/>
        <v>Lacine13_20191123_22_00</v>
      </c>
      <c r="I718" s="69">
        <f t="shared" si="357"/>
        <v>1</v>
      </c>
      <c r="J718" s="76" t="str">
        <f t="shared" si="357"/>
        <v>Lactuca</v>
      </c>
      <c r="K718" s="76" t="str">
        <f t="shared" si="357"/>
        <v>inermis</v>
      </c>
      <c r="L718" s="77">
        <f t="shared" si="357"/>
        <v>13</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2019</v>
      </c>
      <c r="B719" s="72" t="str">
        <f t="shared" si="337"/>
        <v>Nov</v>
      </c>
      <c r="C719" s="73">
        <f t="shared" si="355"/>
        <v>23</v>
      </c>
      <c r="D719" s="74">
        <f t="shared" si="338"/>
        <v>22</v>
      </c>
      <c r="E719" s="75">
        <f t="shared" si="339"/>
        <v>16</v>
      </c>
      <c r="F719" s="79"/>
      <c r="G719" s="82"/>
      <c r="H719" s="68" t="str">
        <f t="shared" si="356"/>
        <v>Lacine13_20191123_22_00</v>
      </c>
      <c r="I719" s="69">
        <f t="shared" si="357"/>
        <v>1</v>
      </c>
      <c r="J719" s="76" t="str">
        <f t="shared" si="357"/>
        <v>Lactuca</v>
      </c>
      <c r="K719" s="76" t="str">
        <f t="shared" si="357"/>
        <v>inermis</v>
      </c>
      <c r="L719" s="77">
        <f t="shared" si="357"/>
        <v>13</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2019</v>
      </c>
      <c r="B720" s="72" t="str">
        <f t="shared" si="337"/>
        <v>Nov</v>
      </c>
      <c r="C720" s="73">
        <f t="shared" si="355"/>
        <v>23</v>
      </c>
      <c r="D720" s="74">
        <f t="shared" si="338"/>
        <v>22</v>
      </c>
      <c r="E720" s="75">
        <f t="shared" si="339"/>
        <v>17</v>
      </c>
      <c r="F720" s="79"/>
      <c r="G720" s="82"/>
      <c r="H720" s="68" t="str">
        <f t="shared" si="356"/>
        <v>Lacine13_20191123_22_00</v>
      </c>
      <c r="I720" s="69">
        <f t="shared" si="357"/>
        <v>1</v>
      </c>
      <c r="J720" s="76" t="str">
        <f t="shared" si="357"/>
        <v>Lactuca</v>
      </c>
      <c r="K720" s="76" t="str">
        <f t="shared" si="357"/>
        <v>inermis</v>
      </c>
      <c r="L720" s="77">
        <f t="shared" si="357"/>
        <v>13</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2019</v>
      </c>
      <c r="B721" s="72" t="str">
        <f t="shared" si="337"/>
        <v>Nov</v>
      </c>
      <c r="C721" s="73">
        <f t="shared" si="355"/>
        <v>23</v>
      </c>
      <c r="D721" s="74">
        <f t="shared" si="338"/>
        <v>22</v>
      </c>
      <c r="E721" s="75">
        <f t="shared" si="339"/>
        <v>18</v>
      </c>
      <c r="F721" s="79"/>
      <c r="G721" s="82"/>
      <c r="H721" s="68" t="str">
        <f t="shared" si="356"/>
        <v>Lacine13_20191123_22_00</v>
      </c>
      <c r="I721" s="69">
        <f t="shared" si="357"/>
        <v>1</v>
      </c>
      <c r="J721" s="76" t="str">
        <f t="shared" si="357"/>
        <v>Lactuca</v>
      </c>
      <c r="K721" s="76" t="str">
        <f t="shared" si="357"/>
        <v>inermis</v>
      </c>
      <c r="L721" s="77">
        <f t="shared" si="357"/>
        <v>13</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2019</v>
      </c>
      <c r="B722" s="72" t="str">
        <f t="shared" si="337"/>
        <v>Nov</v>
      </c>
      <c r="C722" s="73">
        <f t="shared" si="355"/>
        <v>23</v>
      </c>
      <c r="D722" s="74">
        <f t="shared" si="338"/>
        <v>22</v>
      </c>
      <c r="E722" s="75">
        <f t="shared" si="339"/>
        <v>19</v>
      </c>
      <c r="F722" s="79"/>
      <c r="G722" s="82"/>
      <c r="H722" s="68" t="str">
        <f t="shared" si="356"/>
        <v>Lacine13_20191123_22_00</v>
      </c>
      <c r="I722" s="69">
        <f t="shared" si="357"/>
        <v>1</v>
      </c>
      <c r="J722" s="76" t="str">
        <f t="shared" si="357"/>
        <v>Lactuca</v>
      </c>
      <c r="K722" s="76" t="str">
        <f t="shared" si="357"/>
        <v>inermis</v>
      </c>
      <c r="L722" s="77">
        <f t="shared" si="357"/>
        <v>13</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2019</v>
      </c>
      <c r="B723" s="72" t="str">
        <f t="shared" si="337"/>
        <v>Nov</v>
      </c>
      <c r="C723" s="73">
        <f t="shared" si="355"/>
        <v>23</v>
      </c>
      <c r="D723" s="74">
        <f t="shared" si="338"/>
        <v>22</v>
      </c>
      <c r="E723" s="75">
        <f t="shared" si="339"/>
        <v>20</v>
      </c>
      <c r="F723" s="79"/>
      <c r="G723" s="82"/>
      <c r="H723" s="68" t="str">
        <f t="shared" si="356"/>
        <v>Lacine13_20191123_22_00</v>
      </c>
      <c r="I723" s="69">
        <f t="shared" si="357"/>
        <v>1</v>
      </c>
      <c r="J723" s="76" t="str">
        <f t="shared" si="357"/>
        <v>Lactuca</v>
      </c>
      <c r="K723" s="76" t="str">
        <f t="shared" si="357"/>
        <v>inermis</v>
      </c>
      <c r="L723" s="77">
        <f t="shared" si="357"/>
        <v>13</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2019</v>
      </c>
      <c r="B724" s="72" t="str">
        <f t="shared" si="337"/>
        <v>Nov</v>
      </c>
      <c r="C724" s="73">
        <f t="shared" si="355"/>
        <v>23</v>
      </c>
      <c r="D724" s="74">
        <f t="shared" si="338"/>
        <v>22</v>
      </c>
      <c r="E724" s="75">
        <f t="shared" si="339"/>
        <v>21</v>
      </c>
      <c r="F724" s="79"/>
      <c r="G724" s="82"/>
      <c r="H724" s="68" t="str">
        <f t="shared" si="356"/>
        <v>Lacine13_20191123_22_00</v>
      </c>
      <c r="I724" s="69">
        <f t="shared" si="357"/>
        <v>1</v>
      </c>
      <c r="J724" s="76" t="str">
        <f t="shared" si="357"/>
        <v>Lactuca</v>
      </c>
      <c r="K724" s="76" t="str">
        <f t="shared" si="357"/>
        <v>inermis</v>
      </c>
      <c r="L724" s="77">
        <f t="shared" si="357"/>
        <v>13</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2019</v>
      </c>
      <c r="B725" s="72" t="str">
        <f t="shared" si="337"/>
        <v>Nov</v>
      </c>
      <c r="C725" s="73">
        <f t="shared" si="355"/>
        <v>23</v>
      </c>
      <c r="D725" s="74">
        <f t="shared" si="338"/>
        <v>22</v>
      </c>
      <c r="E725" s="75">
        <f t="shared" si="339"/>
        <v>22</v>
      </c>
      <c r="F725" s="79"/>
      <c r="G725" s="82"/>
      <c r="H725" s="68" t="str">
        <f t="shared" si="356"/>
        <v>Lacine13_20191123_22_00</v>
      </c>
      <c r="I725" s="69">
        <f t="shared" ref="I725:N740" si="358">I724</f>
        <v>1</v>
      </c>
      <c r="J725" s="76" t="str">
        <f t="shared" si="358"/>
        <v>Lactuca</v>
      </c>
      <c r="K725" s="76" t="str">
        <f t="shared" si="358"/>
        <v>inermis</v>
      </c>
      <c r="L725" s="77">
        <f t="shared" si="358"/>
        <v>13</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2019</v>
      </c>
      <c r="B726" s="72" t="str">
        <f t="shared" si="337"/>
        <v>Nov</v>
      </c>
      <c r="C726" s="73">
        <f t="shared" si="355"/>
        <v>23</v>
      </c>
      <c r="D726" s="74">
        <f t="shared" si="338"/>
        <v>22</v>
      </c>
      <c r="E726" s="75">
        <f t="shared" si="339"/>
        <v>23</v>
      </c>
      <c r="F726" s="79"/>
      <c r="G726" s="82"/>
      <c r="H726" s="68" t="str">
        <f t="shared" si="356"/>
        <v>Lacine13_20191123_22_00</v>
      </c>
      <c r="I726" s="69">
        <f t="shared" si="358"/>
        <v>1</v>
      </c>
      <c r="J726" s="76" t="str">
        <f t="shared" si="358"/>
        <v>Lactuca</v>
      </c>
      <c r="K726" s="76" t="str">
        <f t="shared" si="358"/>
        <v>inermis</v>
      </c>
      <c r="L726" s="77">
        <f t="shared" si="358"/>
        <v>13</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2019</v>
      </c>
      <c r="B727" s="72" t="str">
        <f t="shared" si="337"/>
        <v>Nov</v>
      </c>
      <c r="C727" s="73">
        <f t="shared" si="355"/>
        <v>23</v>
      </c>
      <c r="D727" s="74">
        <f t="shared" si="338"/>
        <v>22</v>
      </c>
      <c r="E727" s="75">
        <f t="shared" si="339"/>
        <v>24</v>
      </c>
      <c r="F727" s="79"/>
      <c r="G727" s="82"/>
      <c r="H727" s="68" t="str">
        <f t="shared" si="356"/>
        <v>Lacine13_20191123_22_00</v>
      </c>
      <c r="I727" s="69">
        <f t="shared" si="358"/>
        <v>1</v>
      </c>
      <c r="J727" s="76" t="str">
        <f t="shared" si="358"/>
        <v>Lactuca</v>
      </c>
      <c r="K727" s="76" t="str">
        <f t="shared" si="358"/>
        <v>inermis</v>
      </c>
      <c r="L727" s="77">
        <f t="shared" si="358"/>
        <v>13</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2019</v>
      </c>
      <c r="B728" s="72" t="str">
        <f t="shared" si="337"/>
        <v>Nov</v>
      </c>
      <c r="C728" s="73">
        <f t="shared" si="355"/>
        <v>23</v>
      </c>
      <c r="D728" s="74">
        <f t="shared" si="338"/>
        <v>22</v>
      </c>
      <c r="E728" s="75">
        <f t="shared" si="339"/>
        <v>25</v>
      </c>
      <c r="F728" s="79"/>
      <c r="G728" s="82"/>
      <c r="H728" s="68" t="str">
        <f t="shared" si="356"/>
        <v>Lacine13_20191123_22_00</v>
      </c>
      <c r="I728" s="69">
        <f t="shared" si="358"/>
        <v>1</v>
      </c>
      <c r="J728" s="76" t="str">
        <f t="shared" si="358"/>
        <v>Lactuca</v>
      </c>
      <c r="K728" s="76" t="str">
        <f t="shared" si="358"/>
        <v>inermis</v>
      </c>
      <c r="L728" s="77">
        <f t="shared" si="358"/>
        <v>13</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2019</v>
      </c>
      <c r="B729" s="72" t="str">
        <f t="shared" si="337"/>
        <v>Nov</v>
      </c>
      <c r="C729" s="73">
        <f t="shared" si="355"/>
        <v>23</v>
      </c>
      <c r="D729" s="74">
        <f t="shared" si="338"/>
        <v>22</v>
      </c>
      <c r="E729" s="75">
        <f t="shared" si="339"/>
        <v>26</v>
      </c>
      <c r="F729" s="79"/>
      <c r="G729" s="82"/>
      <c r="H729" s="68" t="str">
        <f t="shared" si="356"/>
        <v>Lacine13_20191123_22_00</v>
      </c>
      <c r="I729" s="69">
        <f t="shared" si="358"/>
        <v>1</v>
      </c>
      <c r="J729" s="76" t="str">
        <f t="shared" si="358"/>
        <v>Lactuca</v>
      </c>
      <c r="K729" s="76" t="str">
        <f t="shared" si="358"/>
        <v>inermis</v>
      </c>
      <c r="L729" s="77">
        <f t="shared" si="358"/>
        <v>13</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2019</v>
      </c>
      <c r="B730" s="72" t="str">
        <f t="shared" si="337"/>
        <v>Nov</v>
      </c>
      <c r="C730" s="73">
        <f t="shared" si="355"/>
        <v>23</v>
      </c>
      <c r="D730" s="74">
        <f t="shared" si="338"/>
        <v>22</v>
      </c>
      <c r="E730" s="75">
        <f t="shared" si="339"/>
        <v>27</v>
      </c>
      <c r="F730" s="79"/>
      <c r="G730" s="82"/>
      <c r="H730" s="68" t="str">
        <f t="shared" si="356"/>
        <v>Lacine13_20191123_22_00</v>
      </c>
      <c r="I730" s="69">
        <f t="shared" si="358"/>
        <v>1</v>
      </c>
      <c r="J730" s="76" t="str">
        <f t="shared" si="358"/>
        <v>Lactuca</v>
      </c>
      <c r="K730" s="76" t="str">
        <f t="shared" si="358"/>
        <v>inermis</v>
      </c>
      <c r="L730" s="77">
        <f t="shared" si="358"/>
        <v>13</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2019</v>
      </c>
      <c r="B731" s="72" t="str">
        <f t="shared" si="337"/>
        <v>Nov</v>
      </c>
      <c r="C731" s="73">
        <f t="shared" si="355"/>
        <v>23</v>
      </c>
      <c r="D731" s="74">
        <f t="shared" si="338"/>
        <v>22</v>
      </c>
      <c r="E731" s="75">
        <f t="shared" si="339"/>
        <v>28</v>
      </c>
      <c r="F731" s="79"/>
      <c r="G731" s="82"/>
      <c r="H731" s="68" t="str">
        <f t="shared" si="356"/>
        <v>Lacine13_20191123_22_00</v>
      </c>
      <c r="I731" s="69">
        <f t="shared" si="358"/>
        <v>1</v>
      </c>
      <c r="J731" s="76" t="str">
        <f t="shared" si="358"/>
        <v>Lactuca</v>
      </c>
      <c r="K731" s="76" t="str">
        <f t="shared" si="358"/>
        <v>inermis</v>
      </c>
      <c r="L731" s="77">
        <f t="shared" si="358"/>
        <v>13</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2019</v>
      </c>
      <c r="B732" s="72" t="str">
        <f t="shared" si="337"/>
        <v>Nov</v>
      </c>
      <c r="C732" s="73">
        <f t="shared" si="355"/>
        <v>23</v>
      </c>
      <c r="D732" s="74">
        <f t="shared" si="338"/>
        <v>22</v>
      </c>
      <c r="E732" s="75">
        <f t="shared" si="339"/>
        <v>29</v>
      </c>
      <c r="F732" s="79"/>
      <c r="G732" s="82"/>
      <c r="H732" s="68" t="str">
        <f t="shared" si="356"/>
        <v>Lacine13_20191123_22_00</v>
      </c>
      <c r="I732" s="69">
        <f t="shared" si="358"/>
        <v>1</v>
      </c>
      <c r="J732" s="76" t="str">
        <f t="shared" si="358"/>
        <v>Lactuca</v>
      </c>
      <c r="K732" s="76" t="str">
        <f t="shared" si="358"/>
        <v>inermis</v>
      </c>
      <c r="L732" s="77">
        <f t="shared" si="358"/>
        <v>13</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2019</v>
      </c>
      <c r="B733" s="72" t="str">
        <f t="shared" si="337"/>
        <v>Nov</v>
      </c>
      <c r="C733" s="73">
        <f t="shared" si="355"/>
        <v>23</v>
      </c>
      <c r="D733" s="74">
        <f t="shared" si="338"/>
        <v>22</v>
      </c>
      <c r="E733" s="75">
        <f t="shared" si="339"/>
        <v>30</v>
      </c>
      <c r="F733" s="79"/>
      <c r="G733" s="82"/>
      <c r="H733" s="68" t="str">
        <f t="shared" si="356"/>
        <v>Lacine13_20191123_22_00</v>
      </c>
      <c r="I733" s="69">
        <f t="shared" si="358"/>
        <v>1</v>
      </c>
      <c r="J733" s="76" t="str">
        <f t="shared" si="358"/>
        <v>Lactuca</v>
      </c>
      <c r="K733" s="76" t="str">
        <f t="shared" si="358"/>
        <v>inermis</v>
      </c>
      <c r="L733" s="77">
        <f t="shared" si="358"/>
        <v>13</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2019</v>
      </c>
      <c r="B734" s="72" t="str">
        <f t="shared" si="337"/>
        <v>Nov</v>
      </c>
      <c r="C734" s="73">
        <f t="shared" si="355"/>
        <v>23</v>
      </c>
      <c r="D734" s="74">
        <f t="shared" si="338"/>
        <v>22</v>
      </c>
      <c r="E734" s="75">
        <f t="shared" si="339"/>
        <v>31</v>
      </c>
      <c r="F734" s="79"/>
      <c r="G734" s="82"/>
      <c r="H734" s="68" t="str">
        <f t="shared" si="356"/>
        <v>Lacine13_20191123_22_00</v>
      </c>
      <c r="I734" s="69">
        <f t="shared" si="358"/>
        <v>1</v>
      </c>
      <c r="J734" s="76" t="str">
        <f t="shared" si="358"/>
        <v>Lactuca</v>
      </c>
      <c r="K734" s="76" t="str">
        <f t="shared" si="358"/>
        <v>inermis</v>
      </c>
      <c r="L734" s="77">
        <f t="shared" si="358"/>
        <v>13</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2019</v>
      </c>
      <c r="B735" s="72" t="str">
        <f t="shared" si="337"/>
        <v>Nov</v>
      </c>
      <c r="C735" s="73">
        <f t="shared" si="355"/>
        <v>23</v>
      </c>
      <c r="D735" s="74">
        <f t="shared" si="338"/>
        <v>22</v>
      </c>
      <c r="E735" s="75">
        <f t="shared" si="339"/>
        <v>32</v>
      </c>
      <c r="F735" s="79"/>
      <c r="G735" s="82"/>
      <c r="H735" s="68" t="str">
        <f t="shared" si="356"/>
        <v>Lacine13_20191123_22_00</v>
      </c>
      <c r="I735" s="69">
        <f t="shared" si="358"/>
        <v>1</v>
      </c>
      <c r="J735" s="76" t="str">
        <f t="shared" si="358"/>
        <v>Lactuca</v>
      </c>
      <c r="K735" s="76" t="str">
        <f t="shared" si="358"/>
        <v>inermis</v>
      </c>
      <c r="L735" s="77">
        <f t="shared" si="358"/>
        <v>13</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2019</v>
      </c>
      <c r="B736" s="72" t="str">
        <f t="shared" si="337"/>
        <v>Nov</v>
      </c>
      <c r="C736" s="73">
        <f t="shared" si="355"/>
        <v>23</v>
      </c>
      <c r="D736" s="74">
        <f t="shared" si="338"/>
        <v>22</v>
      </c>
      <c r="E736" s="75">
        <f t="shared" si="339"/>
        <v>33</v>
      </c>
      <c r="F736" s="79"/>
      <c r="G736" s="82"/>
      <c r="H736" s="68" t="str">
        <f t="shared" si="356"/>
        <v>Lacine13_20191123_22_00</v>
      </c>
      <c r="I736" s="69">
        <f t="shared" si="358"/>
        <v>1</v>
      </c>
      <c r="J736" s="76" t="str">
        <f t="shared" si="358"/>
        <v>Lactuca</v>
      </c>
      <c r="K736" s="76" t="str">
        <f t="shared" si="358"/>
        <v>inermis</v>
      </c>
      <c r="L736" s="77">
        <f t="shared" si="358"/>
        <v>13</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2019</v>
      </c>
      <c r="B737" s="72" t="str">
        <f t="shared" si="337"/>
        <v>Nov</v>
      </c>
      <c r="C737" s="73">
        <f t="shared" si="355"/>
        <v>23</v>
      </c>
      <c r="D737" s="74">
        <f t="shared" si="338"/>
        <v>22</v>
      </c>
      <c r="E737" s="75">
        <f t="shared" si="339"/>
        <v>34</v>
      </c>
      <c r="F737" s="79"/>
      <c r="G737" s="82"/>
      <c r="H737" s="68" t="str">
        <f t="shared" si="356"/>
        <v>Lacine13_20191123_22_00</v>
      </c>
      <c r="I737" s="69">
        <f t="shared" si="358"/>
        <v>1</v>
      </c>
      <c r="J737" s="76" t="str">
        <f t="shared" si="358"/>
        <v>Lactuca</v>
      </c>
      <c r="K737" s="76" t="str">
        <f t="shared" si="358"/>
        <v>inermis</v>
      </c>
      <c r="L737" s="77">
        <f t="shared" si="358"/>
        <v>13</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2019</v>
      </c>
      <c r="B738" s="72" t="str">
        <f t="shared" si="337"/>
        <v>Nov</v>
      </c>
      <c r="C738" s="73">
        <f t="shared" si="355"/>
        <v>23</v>
      </c>
      <c r="D738" s="74">
        <f t="shared" si="338"/>
        <v>22</v>
      </c>
      <c r="E738" s="75">
        <f t="shared" si="339"/>
        <v>35</v>
      </c>
      <c r="F738" s="79"/>
      <c r="G738" s="82"/>
      <c r="H738" s="68" t="str">
        <f t="shared" si="356"/>
        <v>Lacine13_20191123_22_00</v>
      </c>
      <c r="I738" s="69">
        <f t="shared" si="358"/>
        <v>1</v>
      </c>
      <c r="J738" s="76" t="str">
        <f t="shared" si="358"/>
        <v>Lactuca</v>
      </c>
      <c r="K738" s="76" t="str">
        <f t="shared" si="358"/>
        <v>inermis</v>
      </c>
      <c r="L738" s="77">
        <f t="shared" si="358"/>
        <v>13</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2019</v>
      </c>
      <c r="B739" s="72" t="str">
        <f t="shared" si="337"/>
        <v>Nov</v>
      </c>
      <c r="C739" s="73">
        <f t="shared" si="355"/>
        <v>23</v>
      </c>
      <c r="D739" s="74">
        <f t="shared" si="338"/>
        <v>22</v>
      </c>
      <c r="E739" s="75">
        <f t="shared" si="339"/>
        <v>36</v>
      </c>
      <c r="F739" s="79"/>
      <c r="G739" s="82"/>
      <c r="H739" s="68" t="str">
        <f t="shared" si="356"/>
        <v>Lacine13_20191123_22_00</v>
      </c>
      <c r="I739" s="69">
        <f t="shared" si="358"/>
        <v>1</v>
      </c>
      <c r="J739" s="76" t="str">
        <f t="shared" si="358"/>
        <v>Lactuca</v>
      </c>
      <c r="K739" s="76" t="str">
        <f t="shared" si="358"/>
        <v>inermis</v>
      </c>
      <c r="L739" s="77">
        <f t="shared" si="358"/>
        <v>13</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2019</v>
      </c>
      <c r="B740" s="72" t="str">
        <f t="shared" si="337"/>
        <v>Nov</v>
      </c>
      <c r="C740" s="73">
        <f t="shared" si="355"/>
        <v>23</v>
      </c>
      <c r="D740" s="74">
        <f t="shared" si="338"/>
        <v>22</v>
      </c>
      <c r="E740" s="75">
        <f t="shared" si="339"/>
        <v>37</v>
      </c>
      <c r="F740" s="79"/>
      <c r="G740" s="82"/>
      <c r="H740" s="68" t="str">
        <f t="shared" si="356"/>
        <v>Lacine13_20191123_22_00</v>
      </c>
      <c r="I740" s="69">
        <f t="shared" si="358"/>
        <v>1</v>
      </c>
      <c r="J740" s="76" t="str">
        <f t="shared" si="358"/>
        <v>Lactuca</v>
      </c>
      <c r="K740" s="76" t="str">
        <f t="shared" si="358"/>
        <v>inermis</v>
      </c>
      <c r="L740" s="77">
        <f t="shared" si="358"/>
        <v>13</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2019</v>
      </c>
      <c r="B741" s="72" t="str">
        <f t="shared" si="337"/>
        <v>Nov</v>
      </c>
      <c r="C741" s="73">
        <f t="shared" si="355"/>
        <v>23</v>
      </c>
      <c r="D741" s="74">
        <f t="shared" si="338"/>
        <v>22</v>
      </c>
      <c r="E741" s="75">
        <f t="shared" si="339"/>
        <v>38</v>
      </c>
      <c r="F741" s="79"/>
      <c r="G741" s="82"/>
      <c r="H741" s="68" t="str">
        <f t="shared" si="356"/>
        <v>Lacine13_20191123_22_00</v>
      </c>
      <c r="I741" s="69">
        <f t="shared" ref="I741:N756" si="359">I740</f>
        <v>1</v>
      </c>
      <c r="J741" s="76" t="str">
        <f t="shared" si="359"/>
        <v>Lactuca</v>
      </c>
      <c r="K741" s="76" t="str">
        <f t="shared" si="359"/>
        <v>inermis</v>
      </c>
      <c r="L741" s="77">
        <f t="shared" si="359"/>
        <v>13</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2019</v>
      </c>
      <c r="B742" s="72" t="str">
        <f t="shared" si="337"/>
        <v>Nov</v>
      </c>
      <c r="C742" s="73">
        <f t="shared" si="355"/>
        <v>23</v>
      </c>
      <c r="D742" s="74">
        <f t="shared" si="338"/>
        <v>22</v>
      </c>
      <c r="E742" s="75">
        <f t="shared" si="339"/>
        <v>39</v>
      </c>
      <c r="F742" s="79"/>
      <c r="G742" s="82"/>
      <c r="H742" s="68" t="str">
        <f t="shared" si="356"/>
        <v>Lacine13_20191123_22_00</v>
      </c>
      <c r="I742" s="69">
        <f t="shared" si="359"/>
        <v>1</v>
      </c>
      <c r="J742" s="76" t="str">
        <f t="shared" si="359"/>
        <v>Lactuca</v>
      </c>
      <c r="K742" s="76" t="str">
        <f t="shared" si="359"/>
        <v>inermis</v>
      </c>
      <c r="L742" s="77">
        <f t="shared" si="359"/>
        <v>13</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2019</v>
      </c>
      <c r="B743" s="72" t="str">
        <f t="shared" si="337"/>
        <v>Nov</v>
      </c>
      <c r="C743" s="73">
        <f t="shared" si="355"/>
        <v>23</v>
      </c>
      <c r="D743" s="74">
        <f t="shared" si="338"/>
        <v>22</v>
      </c>
      <c r="E743" s="75">
        <f t="shared" si="339"/>
        <v>40</v>
      </c>
      <c r="F743" s="79"/>
      <c r="G743" s="82"/>
      <c r="H743" s="68" t="str">
        <f t="shared" si="356"/>
        <v>Lacine13_20191123_22_00</v>
      </c>
      <c r="I743" s="69">
        <f t="shared" si="359"/>
        <v>1</v>
      </c>
      <c r="J743" s="76" t="str">
        <f t="shared" si="359"/>
        <v>Lactuca</v>
      </c>
      <c r="K743" s="76" t="str">
        <f t="shared" si="359"/>
        <v>inermis</v>
      </c>
      <c r="L743" s="77">
        <f t="shared" si="359"/>
        <v>13</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2019</v>
      </c>
      <c r="B744" s="72" t="str">
        <f t="shared" si="337"/>
        <v>Nov</v>
      </c>
      <c r="C744" s="73">
        <f t="shared" si="355"/>
        <v>23</v>
      </c>
      <c r="D744" s="74">
        <f t="shared" si="338"/>
        <v>22</v>
      </c>
      <c r="E744" s="75">
        <f t="shared" si="339"/>
        <v>41</v>
      </c>
      <c r="F744" s="79"/>
      <c r="G744" s="82"/>
      <c r="H744" s="68" t="str">
        <f t="shared" si="356"/>
        <v>Lacine13_20191123_22_00</v>
      </c>
      <c r="I744" s="69">
        <f t="shared" si="359"/>
        <v>1</v>
      </c>
      <c r="J744" s="76" t="str">
        <f t="shared" si="359"/>
        <v>Lactuca</v>
      </c>
      <c r="K744" s="76" t="str">
        <f t="shared" si="359"/>
        <v>inermis</v>
      </c>
      <c r="L744" s="77">
        <f t="shared" si="359"/>
        <v>13</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2019</v>
      </c>
      <c r="B745" s="72" t="str">
        <f t="shared" si="337"/>
        <v>Nov</v>
      </c>
      <c r="C745" s="73">
        <f t="shared" si="355"/>
        <v>23</v>
      </c>
      <c r="D745" s="74">
        <f t="shared" si="338"/>
        <v>22</v>
      </c>
      <c r="E745" s="75">
        <f t="shared" si="339"/>
        <v>42</v>
      </c>
      <c r="F745" s="79"/>
      <c r="G745" s="82"/>
      <c r="H745" s="68" t="str">
        <f t="shared" si="356"/>
        <v>Lacine13_20191123_22_00</v>
      </c>
      <c r="I745" s="69">
        <f t="shared" si="359"/>
        <v>1</v>
      </c>
      <c r="J745" s="76" t="str">
        <f t="shared" si="359"/>
        <v>Lactuca</v>
      </c>
      <c r="K745" s="76" t="str">
        <f t="shared" si="359"/>
        <v>inermis</v>
      </c>
      <c r="L745" s="77">
        <f t="shared" si="359"/>
        <v>13</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2019</v>
      </c>
      <c r="B746" s="72" t="str">
        <f t="shared" si="337"/>
        <v>Nov</v>
      </c>
      <c r="C746" s="73">
        <f t="shared" si="355"/>
        <v>23</v>
      </c>
      <c r="D746" s="74">
        <f t="shared" si="338"/>
        <v>22</v>
      </c>
      <c r="E746" s="75">
        <f t="shared" si="339"/>
        <v>43</v>
      </c>
      <c r="F746" s="79"/>
      <c r="G746" s="82"/>
      <c r="H746" s="68" t="str">
        <f t="shared" si="356"/>
        <v>Lacine13_20191123_22_00</v>
      </c>
      <c r="I746" s="69">
        <f t="shared" si="359"/>
        <v>1</v>
      </c>
      <c r="J746" s="76" t="str">
        <f t="shared" si="359"/>
        <v>Lactuca</v>
      </c>
      <c r="K746" s="76" t="str">
        <f t="shared" si="359"/>
        <v>inermis</v>
      </c>
      <c r="L746" s="77">
        <f t="shared" si="359"/>
        <v>13</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2019</v>
      </c>
      <c r="B747" s="72" t="str">
        <f t="shared" si="337"/>
        <v>Nov</v>
      </c>
      <c r="C747" s="73">
        <f t="shared" si="355"/>
        <v>23</v>
      </c>
      <c r="D747" s="74">
        <f t="shared" si="338"/>
        <v>22</v>
      </c>
      <c r="E747" s="75">
        <f t="shared" si="339"/>
        <v>44</v>
      </c>
      <c r="F747" s="79"/>
      <c r="G747" s="82"/>
      <c r="H747" s="68" t="str">
        <f t="shared" si="356"/>
        <v>Lacine13_20191123_22_00</v>
      </c>
      <c r="I747" s="69">
        <f t="shared" si="359"/>
        <v>1</v>
      </c>
      <c r="J747" s="76" t="str">
        <f t="shared" si="359"/>
        <v>Lactuca</v>
      </c>
      <c r="K747" s="76" t="str">
        <f t="shared" si="359"/>
        <v>inermis</v>
      </c>
      <c r="L747" s="77">
        <f t="shared" si="359"/>
        <v>13</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2019</v>
      </c>
      <c r="B748" s="72" t="str">
        <f t="shared" si="337"/>
        <v>Nov</v>
      </c>
      <c r="C748" s="73">
        <f t="shared" si="355"/>
        <v>23</v>
      </c>
      <c r="D748" s="74">
        <f t="shared" si="338"/>
        <v>22</v>
      </c>
      <c r="E748" s="75">
        <f t="shared" si="339"/>
        <v>45</v>
      </c>
      <c r="F748" s="79"/>
      <c r="G748" s="82"/>
      <c r="H748" s="68" t="str">
        <f t="shared" si="356"/>
        <v>Lacine13_20191123_22_00</v>
      </c>
      <c r="I748" s="69">
        <f t="shared" si="359"/>
        <v>1</v>
      </c>
      <c r="J748" s="76" t="str">
        <f t="shared" si="359"/>
        <v>Lactuca</v>
      </c>
      <c r="K748" s="76" t="str">
        <f t="shared" si="359"/>
        <v>inermis</v>
      </c>
      <c r="L748" s="77">
        <f t="shared" si="359"/>
        <v>13</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2019</v>
      </c>
      <c r="B749" s="72" t="str">
        <f t="shared" si="337"/>
        <v>Nov</v>
      </c>
      <c r="C749" s="73">
        <f t="shared" si="355"/>
        <v>23</v>
      </c>
      <c r="D749" s="74">
        <f t="shared" si="338"/>
        <v>22</v>
      </c>
      <c r="E749" s="75">
        <f t="shared" si="339"/>
        <v>46</v>
      </c>
      <c r="F749" s="79"/>
      <c r="G749" s="82"/>
      <c r="H749" s="68" t="str">
        <f t="shared" si="356"/>
        <v>Lacine13_20191123_22_00</v>
      </c>
      <c r="I749" s="69">
        <f t="shared" si="359"/>
        <v>1</v>
      </c>
      <c r="J749" s="76" t="str">
        <f t="shared" si="359"/>
        <v>Lactuca</v>
      </c>
      <c r="K749" s="76" t="str">
        <f t="shared" si="359"/>
        <v>inermis</v>
      </c>
      <c r="L749" s="77">
        <f t="shared" si="359"/>
        <v>13</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2019</v>
      </c>
      <c r="B750" s="72" t="str">
        <f t="shared" si="337"/>
        <v>Nov</v>
      </c>
      <c r="C750" s="73">
        <f t="shared" si="355"/>
        <v>23</v>
      </c>
      <c r="D750" s="74">
        <f t="shared" si="338"/>
        <v>22</v>
      </c>
      <c r="E750" s="75">
        <f t="shared" si="339"/>
        <v>47</v>
      </c>
      <c r="F750" s="79"/>
      <c r="G750" s="82"/>
      <c r="H750" s="68" t="str">
        <f t="shared" si="356"/>
        <v>Lacine13_20191123_22_00</v>
      </c>
      <c r="I750" s="69">
        <f t="shared" si="359"/>
        <v>1</v>
      </c>
      <c r="J750" s="76" t="str">
        <f t="shared" si="359"/>
        <v>Lactuca</v>
      </c>
      <c r="K750" s="76" t="str">
        <f t="shared" si="359"/>
        <v>inermis</v>
      </c>
      <c r="L750" s="77">
        <f t="shared" si="359"/>
        <v>13</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2019</v>
      </c>
      <c r="B751" s="72" t="str">
        <f t="shared" si="337"/>
        <v>Nov</v>
      </c>
      <c r="C751" s="73">
        <f t="shared" si="355"/>
        <v>23</v>
      </c>
      <c r="D751" s="74">
        <f t="shared" si="338"/>
        <v>22</v>
      </c>
      <c r="E751" s="75">
        <f t="shared" si="339"/>
        <v>48</v>
      </c>
      <c r="F751" s="79"/>
      <c r="G751" s="82"/>
      <c r="H751" s="68" t="str">
        <f t="shared" si="356"/>
        <v>Lacine13_20191123_22_00</v>
      </c>
      <c r="I751" s="69">
        <f t="shared" si="359"/>
        <v>1</v>
      </c>
      <c r="J751" s="76" t="str">
        <f t="shared" si="359"/>
        <v>Lactuca</v>
      </c>
      <c r="K751" s="76" t="str">
        <f t="shared" si="359"/>
        <v>inermis</v>
      </c>
      <c r="L751" s="77">
        <f t="shared" si="359"/>
        <v>13</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2019</v>
      </c>
      <c r="B752" s="72" t="str">
        <f t="shared" si="337"/>
        <v>Nov</v>
      </c>
      <c r="C752" s="73">
        <f t="shared" si="355"/>
        <v>23</v>
      </c>
      <c r="D752" s="74">
        <f t="shared" si="338"/>
        <v>22</v>
      </c>
      <c r="E752" s="75">
        <f t="shared" si="339"/>
        <v>49</v>
      </c>
      <c r="F752" s="79"/>
      <c r="G752" s="82"/>
      <c r="H752" s="68" t="str">
        <f t="shared" si="356"/>
        <v>Lacine13_20191123_22_00</v>
      </c>
      <c r="I752" s="69">
        <f t="shared" si="359"/>
        <v>1</v>
      </c>
      <c r="J752" s="76" t="str">
        <f t="shared" si="359"/>
        <v>Lactuca</v>
      </c>
      <c r="K752" s="76" t="str">
        <f t="shared" si="359"/>
        <v>inermis</v>
      </c>
      <c r="L752" s="77">
        <f t="shared" si="359"/>
        <v>13</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2019</v>
      </c>
      <c r="B753" s="72" t="str">
        <f t="shared" si="337"/>
        <v>Nov</v>
      </c>
      <c r="C753" s="73">
        <f t="shared" si="355"/>
        <v>23</v>
      </c>
      <c r="D753" s="74">
        <f t="shared" si="338"/>
        <v>22</v>
      </c>
      <c r="E753" s="75">
        <f t="shared" si="339"/>
        <v>50</v>
      </c>
      <c r="F753" s="79"/>
      <c r="G753" s="82"/>
      <c r="H753" s="68" t="str">
        <f t="shared" si="356"/>
        <v>Lacine13_20191123_22_00</v>
      </c>
      <c r="I753" s="69">
        <f t="shared" si="359"/>
        <v>1</v>
      </c>
      <c r="J753" s="76" t="str">
        <f t="shared" si="359"/>
        <v>Lactuca</v>
      </c>
      <c r="K753" s="76" t="str">
        <f t="shared" si="359"/>
        <v>inermis</v>
      </c>
      <c r="L753" s="77">
        <f t="shared" si="359"/>
        <v>13</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2019</v>
      </c>
      <c r="B754" s="72" t="str">
        <f t="shared" si="337"/>
        <v>Nov</v>
      </c>
      <c r="C754" s="73">
        <f t="shared" si="355"/>
        <v>23</v>
      </c>
      <c r="D754" s="74">
        <f t="shared" si="338"/>
        <v>22</v>
      </c>
      <c r="E754" s="75">
        <f t="shared" si="339"/>
        <v>51</v>
      </c>
      <c r="F754" s="79"/>
      <c r="G754" s="82"/>
      <c r="H754" s="68" t="str">
        <f t="shared" si="356"/>
        <v>Lacine13_20191123_22_00</v>
      </c>
      <c r="I754" s="69">
        <f t="shared" si="359"/>
        <v>1</v>
      </c>
      <c r="J754" s="76" t="str">
        <f t="shared" si="359"/>
        <v>Lactuca</v>
      </c>
      <c r="K754" s="76" t="str">
        <f t="shared" si="359"/>
        <v>inermis</v>
      </c>
      <c r="L754" s="77">
        <f t="shared" si="359"/>
        <v>13</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2019</v>
      </c>
      <c r="B755" s="72" t="str">
        <f t="shared" si="337"/>
        <v>Nov</v>
      </c>
      <c r="C755" s="73">
        <f t="shared" si="355"/>
        <v>23</v>
      </c>
      <c r="D755" s="74">
        <f t="shared" si="338"/>
        <v>22</v>
      </c>
      <c r="E755" s="75">
        <f t="shared" si="339"/>
        <v>52</v>
      </c>
      <c r="F755" s="79"/>
      <c r="G755" s="82"/>
      <c r="H755" s="68" t="str">
        <f t="shared" si="356"/>
        <v>Lacine13_20191123_22_00</v>
      </c>
      <c r="I755" s="69">
        <f t="shared" si="359"/>
        <v>1</v>
      </c>
      <c r="J755" s="76" t="str">
        <f t="shared" si="359"/>
        <v>Lactuca</v>
      </c>
      <c r="K755" s="76" t="str">
        <f t="shared" si="359"/>
        <v>inermis</v>
      </c>
      <c r="L755" s="77">
        <f t="shared" si="359"/>
        <v>13</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2019</v>
      </c>
      <c r="B756" s="72" t="str">
        <f t="shared" si="337"/>
        <v>Nov</v>
      </c>
      <c r="C756" s="73">
        <f t="shared" si="355"/>
        <v>23</v>
      </c>
      <c r="D756" s="74">
        <f t="shared" si="338"/>
        <v>22</v>
      </c>
      <c r="E756" s="75">
        <f t="shared" si="339"/>
        <v>53</v>
      </c>
      <c r="F756" s="79"/>
      <c r="G756" s="82"/>
      <c r="H756" s="68" t="str">
        <f t="shared" si="356"/>
        <v>Lacine13_20191123_22_00</v>
      </c>
      <c r="I756" s="69">
        <f t="shared" si="359"/>
        <v>1</v>
      </c>
      <c r="J756" s="76" t="str">
        <f t="shared" si="359"/>
        <v>Lactuca</v>
      </c>
      <c r="K756" s="76" t="str">
        <f t="shared" si="359"/>
        <v>inermis</v>
      </c>
      <c r="L756" s="77">
        <f t="shared" si="359"/>
        <v>13</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2019</v>
      </c>
      <c r="B757" s="72" t="str">
        <f t="shared" si="337"/>
        <v>Nov</v>
      </c>
      <c r="C757" s="73">
        <f t="shared" si="355"/>
        <v>23</v>
      </c>
      <c r="D757" s="74">
        <f t="shared" si="338"/>
        <v>22</v>
      </c>
      <c r="E757" s="75">
        <f t="shared" si="339"/>
        <v>54</v>
      </c>
      <c r="F757" s="79"/>
      <c r="G757" s="82"/>
      <c r="H757" s="68" t="str">
        <f t="shared" si="356"/>
        <v>Lacine13_20191123_22_00</v>
      </c>
      <c r="I757" s="69">
        <f t="shared" ref="I757:N772" si="360">I756</f>
        <v>1</v>
      </c>
      <c r="J757" s="76" t="str">
        <f t="shared" si="360"/>
        <v>Lactuca</v>
      </c>
      <c r="K757" s="76" t="str">
        <f t="shared" si="360"/>
        <v>inermis</v>
      </c>
      <c r="L757" s="77">
        <f t="shared" si="360"/>
        <v>13</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2019</v>
      </c>
      <c r="B758" s="72" t="str">
        <f t="shared" si="337"/>
        <v>Nov</v>
      </c>
      <c r="C758" s="73">
        <f t="shared" si="355"/>
        <v>23</v>
      </c>
      <c r="D758" s="74">
        <f t="shared" si="338"/>
        <v>22</v>
      </c>
      <c r="E758" s="75">
        <f t="shared" si="339"/>
        <v>55</v>
      </c>
      <c r="F758" s="79"/>
      <c r="G758" s="82"/>
      <c r="H758" s="68" t="str">
        <f t="shared" si="356"/>
        <v>Lacine13_20191123_22_00</v>
      </c>
      <c r="I758" s="69">
        <f t="shared" si="360"/>
        <v>1</v>
      </c>
      <c r="J758" s="76" t="str">
        <f t="shared" si="360"/>
        <v>Lactuca</v>
      </c>
      <c r="K758" s="76" t="str">
        <f t="shared" si="360"/>
        <v>inermis</v>
      </c>
      <c r="L758" s="77">
        <f t="shared" si="360"/>
        <v>13</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2019</v>
      </c>
      <c r="B759" s="72" t="str">
        <f t="shared" si="337"/>
        <v>Nov</v>
      </c>
      <c r="C759" s="73">
        <f t="shared" si="355"/>
        <v>23</v>
      </c>
      <c r="D759" s="74">
        <f t="shared" si="338"/>
        <v>22</v>
      </c>
      <c r="E759" s="75">
        <f t="shared" si="339"/>
        <v>56</v>
      </c>
      <c r="F759" s="79"/>
      <c r="G759" s="82"/>
      <c r="H759" s="68" t="str">
        <f t="shared" si="356"/>
        <v>Lacine13_20191123_22_00</v>
      </c>
      <c r="I759" s="69">
        <f t="shared" si="360"/>
        <v>1</v>
      </c>
      <c r="J759" s="76" t="str">
        <f t="shared" si="360"/>
        <v>Lactuca</v>
      </c>
      <c r="K759" s="76" t="str">
        <f t="shared" si="360"/>
        <v>inermis</v>
      </c>
      <c r="L759" s="77">
        <f t="shared" si="360"/>
        <v>13</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2019</v>
      </c>
      <c r="B760" s="72" t="str">
        <f t="shared" si="337"/>
        <v>Nov</v>
      </c>
      <c r="C760" s="73">
        <f t="shared" si="355"/>
        <v>23</v>
      </c>
      <c r="D760" s="74">
        <f t="shared" si="338"/>
        <v>22</v>
      </c>
      <c r="E760" s="75">
        <f t="shared" si="339"/>
        <v>57</v>
      </c>
      <c r="F760" s="79"/>
      <c r="G760" s="82"/>
      <c r="H760" s="68" t="str">
        <f t="shared" si="356"/>
        <v>Lacine13_20191123_22_00</v>
      </c>
      <c r="I760" s="69">
        <f t="shared" si="360"/>
        <v>1</v>
      </c>
      <c r="J760" s="76" t="str">
        <f t="shared" si="360"/>
        <v>Lactuca</v>
      </c>
      <c r="K760" s="76" t="str">
        <f t="shared" si="360"/>
        <v>inermis</v>
      </c>
      <c r="L760" s="77">
        <f t="shared" si="360"/>
        <v>13</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2019</v>
      </c>
      <c r="B761" s="72" t="str">
        <f t="shared" si="337"/>
        <v>Nov</v>
      </c>
      <c r="C761" s="73">
        <f t="shared" si="355"/>
        <v>23</v>
      </c>
      <c r="D761" s="74">
        <f t="shared" si="338"/>
        <v>22</v>
      </c>
      <c r="E761" s="75">
        <f t="shared" si="339"/>
        <v>58</v>
      </c>
      <c r="F761" s="79"/>
      <c r="G761" s="82"/>
      <c r="H761" s="68" t="str">
        <f t="shared" si="356"/>
        <v>Lacine13_20191123_22_00</v>
      </c>
      <c r="I761" s="69">
        <f t="shared" si="360"/>
        <v>1</v>
      </c>
      <c r="J761" s="76" t="str">
        <f t="shared" si="360"/>
        <v>Lactuca</v>
      </c>
      <c r="K761" s="76" t="str">
        <f t="shared" si="360"/>
        <v>inermis</v>
      </c>
      <c r="L761" s="77">
        <f t="shared" si="360"/>
        <v>13</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2019</v>
      </c>
      <c r="B762" s="72" t="str">
        <f t="shared" si="337"/>
        <v>Nov</v>
      </c>
      <c r="C762" s="73">
        <f t="shared" si="355"/>
        <v>23</v>
      </c>
      <c r="D762" s="74">
        <f t="shared" si="338"/>
        <v>22</v>
      </c>
      <c r="E762" s="75">
        <f t="shared" si="339"/>
        <v>59</v>
      </c>
      <c r="F762" s="79"/>
      <c r="G762" s="82"/>
      <c r="H762" s="68" t="str">
        <f t="shared" si="356"/>
        <v>Lacine13_20191123_22_00</v>
      </c>
      <c r="I762" s="69">
        <f t="shared" si="360"/>
        <v>1</v>
      </c>
      <c r="J762" s="76" t="str">
        <f t="shared" si="360"/>
        <v>Lactuca</v>
      </c>
      <c r="K762" s="76" t="str">
        <f t="shared" si="360"/>
        <v>inermis</v>
      </c>
      <c r="L762" s="77">
        <f t="shared" si="360"/>
        <v>13</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2019</v>
      </c>
      <c r="B763" s="72" t="str">
        <f t="shared" si="337"/>
        <v>Nov</v>
      </c>
      <c r="C763" s="73">
        <f t="shared" si="355"/>
        <v>23</v>
      </c>
      <c r="D763" s="74">
        <f t="shared" si="338"/>
        <v>23</v>
      </c>
      <c r="E763" s="75">
        <f t="shared" si="339"/>
        <v>0</v>
      </c>
      <c r="F763" s="79"/>
      <c r="G763" s="82"/>
      <c r="H763" s="68" t="str">
        <f t="shared" si="356"/>
        <v>Lacine13_20191123_23_00</v>
      </c>
      <c r="I763" s="69">
        <f t="shared" si="360"/>
        <v>1</v>
      </c>
      <c r="J763" s="76" t="str">
        <f t="shared" si="360"/>
        <v>Lactuca</v>
      </c>
      <c r="K763" s="76" t="str">
        <f t="shared" si="360"/>
        <v>inermis</v>
      </c>
      <c r="L763" s="77">
        <f t="shared" si="360"/>
        <v>13</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2019</v>
      </c>
      <c r="B764" s="72" t="str">
        <f t="shared" si="337"/>
        <v>Nov</v>
      </c>
      <c r="C764" s="73">
        <f t="shared" si="355"/>
        <v>23</v>
      </c>
      <c r="D764" s="74">
        <f t="shared" si="338"/>
        <v>23</v>
      </c>
      <c r="E764" s="75">
        <f t="shared" si="339"/>
        <v>1</v>
      </c>
      <c r="F764" s="79"/>
      <c r="G764" s="82"/>
      <c r="H764" s="68" t="str">
        <f t="shared" si="356"/>
        <v>Lacine13_20191123_23_00</v>
      </c>
      <c r="I764" s="69">
        <f t="shared" si="360"/>
        <v>1</v>
      </c>
      <c r="J764" s="76" t="str">
        <f t="shared" si="360"/>
        <v>Lactuca</v>
      </c>
      <c r="K764" s="76" t="str">
        <f t="shared" si="360"/>
        <v>inermis</v>
      </c>
      <c r="L764" s="77">
        <f t="shared" si="360"/>
        <v>13</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2019</v>
      </c>
      <c r="B765" s="72" t="str">
        <f t="shared" si="337"/>
        <v>Nov</v>
      </c>
      <c r="C765" s="73">
        <f t="shared" si="355"/>
        <v>23</v>
      </c>
      <c r="D765" s="74">
        <f t="shared" si="338"/>
        <v>23</v>
      </c>
      <c r="E765" s="75">
        <f t="shared" si="339"/>
        <v>2</v>
      </c>
      <c r="F765" s="79"/>
      <c r="G765" s="82"/>
      <c r="H765" s="68" t="str">
        <f t="shared" si="356"/>
        <v>Lacine13_20191123_23_00</v>
      </c>
      <c r="I765" s="69">
        <f t="shared" si="360"/>
        <v>1</v>
      </c>
      <c r="J765" s="76" t="str">
        <f t="shared" si="360"/>
        <v>Lactuca</v>
      </c>
      <c r="K765" s="76" t="str">
        <f t="shared" si="360"/>
        <v>inermis</v>
      </c>
      <c r="L765" s="77">
        <f t="shared" si="360"/>
        <v>13</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2019</v>
      </c>
      <c r="B766" s="72" t="str">
        <f t="shared" si="337"/>
        <v>Nov</v>
      </c>
      <c r="C766" s="73">
        <f t="shared" si="355"/>
        <v>23</v>
      </c>
      <c r="D766" s="74">
        <f t="shared" si="338"/>
        <v>23</v>
      </c>
      <c r="E766" s="75">
        <f t="shared" si="339"/>
        <v>3</v>
      </c>
      <c r="F766" s="79"/>
      <c r="G766" s="82"/>
      <c r="H766" s="68" t="str">
        <f t="shared" si="356"/>
        <v>Lacine13_20191123_23_00</v>
      </c>
      <c r="I766" s="69">
        <f t="shared" si="360"/>
        <v>1</v>
      </c>
      <c r="J766" s="76" t="str">
        <f t="shared" si="360"/>
        <v>Lactuca</v>
      </c>
      <c r="K766" s="76" t="str">
        <f t="shared" si="360"/>
        <v>inermis</v>
      </c>
      <c r="L766" s="77">
        <f t="shared" si="360"/>
        <v>13</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2019</v>
      </c>
      <c r="B767" s="72" t="str">
        <f t="shared" si="337"/>
        <v>Nov</v>
      </c>
      <c r="C767" s="73">
        <f t="shared" si="355"/>
        <v>23</v>
      </c>
      <c r="D767" s="74">
        <f t="shared" si="338"/>
        <v>23</v>
      </c>
      <c r="E767" s="75">
        <f t="shared" si="339"/>
        <v>4</v>
      </c>
      <c r="F767" s="79"/>
      <c r="G767" s="82"/>
      <c r="H767" s="68" t="str">
        <f t="shared" si="356"/>
        <v>Lacine13_20191123_23_00</v>
      </c>
      <c r="I767" s="69">
        <f t="shared" si="360"/>
        <v>1</v>
      </c>
      <c r="J767" s="76" t="str">
        <f t="shared" si="360"/>
        <v>Lactuca</v>
      </c>
      <c r="K767" s="76" t="str">
        <f t="shared" si="360"/>
        <v>inermis</v>
      </c>
      <c r="L767" s="77">
        <f t="shared" si="360"/>
        <v>13</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2019</v>
      </c>
      <c r="B768" s="72" t="str">
        <f t="shared" si="337"/>
        <v>Nov</v>
      </c>
      <c r="C768" s="73">
        <f t="shared" si="355"/>
        <v>23</v>
      </c>
      <c r="D768" s="74">
        <f t="shared" si="338"/>
        <v>23</v>
      </c>
      <c r="E768" s="75">
        <f t="shared" si="339"/>
        <v>5</v>
      </c>
      <c r="F768" s="79"/>
      <c r="G768" s="82"/>
      <c r="H768" s="68" t="str">
        <f t="shared" si="356"/>
        <v>Lacine13_20191123_23_00</v>
      </c>
      <c r="I768" s="69">
        <f t="shared" si="360"/>
        <v>1</v>
      </c>
      <c r="J768" s="76" t="str">
        <f t="shared" si="360"/>
        <v>Lactuca</v>
      </c>
      <c r="K768" s="76" t="str">
        <f t="shared" si="360"/>
        <v>inermis</v>
      </c>
      <c r="L768" s="77">
        <f t="shared" si="360"/>
        <v>13</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2019</v>
      </c>
      <c r="B769" s="72" t="str">
        <f t="shared" si="337"/>
        <v>Nov</v>
      </c>
      <c r="C769" s="73">
        <f t="shared" si="355"/>
        <v>23</v>
      </c>
      <c r="D769" s="74">
        <f t="shared" si="338"/>
        <v>23</v>
      </c>
      <c r="E769" s="75">
        <f t="shared" si="339"/>
        <v>6</v>
      </c>
      <c r="F769" s="79"/>
      <c r="G769" s="82"/>
      <c r="H769" s="68" t="str">
        <f t="shared" si="356"/>
        <v>Lacine13_20191123_23_00</v>
      </c>
      <c r="I769" s="69">
        <f t="shared" si="360"/>
        <v>1</v>
      </c>
      <c r="J769" s="76" t="str">
        <f t="shared" si="360"/>
        <v>Lactuca</v>
      </c>
      <c r="K769" s="76" t="str">
        <f t="shared" si="360"/>
        <v>inermis</v>
      </c>
      <c r="L769" s="77">
        <f t="shared" si="360"/>
        <v>13</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2019</v>
      </c>
      <c r="B770" s="72" t="str">
        <f t="shared" si="337"/>
        <v>Nov</v>
      </c>
      <c r="C770" s="73">
        <f t="shared" si="355"/>
        <v>23</v>
      </c>
      <c r="D770" s="74">
        <f t="shared" si="338"/>
        <v>23</v>
      </c>
      <c r="E770" s="75">
        <f t="shared" si="339"/>
        <v>7</v>
      </c>
      <c r="F770" s="79"/>
      <c r="G770" s="82"/>
      <c r="H770" s="68" t="str">
        <f t="shared" si="356"/>
        <v>Lacine13_20191123_23_00</v>
      </c>
      <c r="I770" s="69">
        <f t="shared" si="360"/>
        <v>1</v>
      </c>
      <c r="J770" s="76" t="str">
        <f t="shared" si="360"/>
        <v>Lactuca</v>
      </c>
      <c r="K770" s="76" t="str">
        <f t="shared" si="360"/>
        <v>inermis</v>
      </c>
      <c r="L770" s="77">
        <f t="shared" si="360"/>
        <v>13</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2019</v>
      </c>
      <c r="B771" s="72" t="str">
        <f t="shared" si="337"/>
        <v>Nov</v>
      </c>
      <c r="C771" s="73">
        <f t="shared" si="355"/>
        <v>23</v>
      </c>
      <c r="D771" s="74">
        <f t="shared" si="338"/>
        <v>23</v>
      </c>
      <c r="E771" s="75">
        <f t="shared" si="339"/>
        <v>8</v>
      </c>
      <c r="F771" s="79"/>
      <c r="G771" s="82"/>
      <c r="H771" s="68" t="str">
        <f t="shared" si="356"/>
        <v>Lacine13_20191123_23_00</v>
      </c>
      <c r="I771" s="69">
        <f t="shared" si="360"/>
        <v>1</v>
      </c>
      <c r="J771" s="76" t="str">
        <f t="shared" si="360"/>
        <v>Lactuca</v>
      </c>
      <c r="K771" s="76" t="str">
        <f t="shared" si="360"/>
        <v>inermis</v>
      </c>
      <c r="L771" s="77">
        <f t="shared" si="360"/>
        <v>13</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2019</v>
      </c>
      <c r="B772" s="72" t="str">
        <f t="shared" ref="B772:B835" si="367">IF(C771-C772&gt;0, TEXT(DATE(2016,(MONTH(DATEVALUE(B771&amp;"1"))+1),1),"mmm"), B771)</f>
        <v>Nov</v>
      </c>
      <c r="C772" s="73">
        <f t="shared" si="355"/>
        <v>23</v>
      </c>
      <c r="D772" s="74">
        <f t="shared" ref="D772:D835" si="368">IF(IF(E771=59,D771+1,D771)=24,0,IF(E771=59,D771+1,D771))</f>
        <v>23</v>
      </c>
      <c r="E772" s="75">
        <f t="shared" ref="E772:E835" si="369">IF(E771&lt;59,E771+1,0)</f>
        <v>9</v>
      </c>
      <c r="F772" s="79"/>
      <c r="G772" s="82"/>
      <c r="H772" s="68" t="str">
        <f t="shared" si="356"/>
        <v>Lacine13_20191123_23_00</v>
      </c>
      <c r="I772" s="69">
        <f t="shared" si="360"/>
        <v>1</v>
      </c>
      <c r="J772" s="76" t="str">
        <f t="shared" si="360"/>
        <v>Lactuca</v>
      </c>
      <c r="K772" s="76" t="str">
        <f t="shared" si="360"/>
        <v>inermis</v>
      </c>
      <c r="L772" s="77">
        <f t="shared" si="360"/>
        <v>13</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2019</v>
      </c>
      <c r="B773" s="72" t="str">
        <f t="shared" si="367"/>
        <v>Nov</v>
      </c>
      <c r="C773" s="73">
        <f t="shared" ref="C773:C836" si="385">IF(AND(D773=0, E773=0), IF(TEXT(C772,"dd")=TEXT(EOMONTH(DATE(A772,MONTH(DATEVALUE(B772&amp;"1")),C772),0), "dd"), 1, C772+1), C772)</f>
        <v>23</v>
      </c>
      <c r="D773" s="74">
        <f t="shared" si="368"/>
        <v>23</v>
      </c>
      <c r="E773" s="75">
        <f t="shared" si="369"/>
        <v>10</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Lacine13_20191123_23_00</v>
      </c>
      <c r="I773" s="69">
        <f t="shared" ref="I773:N788" si="387">I772</f>
        <v>1</v>
      </c>
      <c r="J773" s="76" t="str">
        <f t="shared" si="387"/>
        <v>Lactuca</v>
      </c>
      <c r="K773" s="76" t="str">
        <f t="shared" si="387"/>
        <v>inermis</v>
      </c>
      <c r="L773" s="77">
        <f t="shared" si="387"/>
        <v>13</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2019</v>
      </c>
      <c r="B774" s="72" t="str">
        <f t="shared" si="367"/>
        <v>Nov</v>
      </c>
      <c r="C774" s="73">
        <f t="shared" si="385"/>
        <v>23</v>
      </c>
      <c r="D774" s="74">
        <f t="shared" si="368"/>
        <v>23</v>
      </c>
      <c r="E774" s="75">
        <f t="shared" si="369"/>
        <v>11</v>
      </c>
      <c r="F774" s="79"/>
      <c r="G774" s="82"/>
      <c r="H774" s="68" t="str">
        <f t="shared" si="386"/>
        <v>Lacine13_20191123_23_00</v>
      </c>
      <c r="I774" s="69">
        <f t="shared" si="387"/>
        <v>1</v>
      </c>
      <c r="J774" s="76" t="str">
        <f t="shared" si="387"/>
        <v>Lactuca</v>
      </c>
      <c r="K774" s="76" t="str">
        <f t="shared" si="387"/>
        <v>inermis</v>
      </c>
      <c r="L774" s="77">
        <f t="shared" si="387"/>
        <v>13</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2019</v>
      </c>
      <c r="B775" s="72" t="str">
        <f t="shared" si="367"/>
        <v>Nov</v>
      </c>
      <c r="C775" s="73">
        <f t="shared" si="385"/>
        <v>23</v>
      </c>
      <c r="D775" s="74">
        <f t="shared" si="368"/>
        <v>23</v>
      </c>
      <c r="E775" s="75">
        <f t="shared" si="369"/>
        <v>12</v>
      </c>
      <c r="F775" s="79"/>
      <c r="G775" s="82"/>
      <c r="H775" s="68" t="str">
        <f t="shared" si="386"/>
        <v>Lacine13_20191123_23_00</v>
      </c>
      <c r="I775" s="69">
        <f t="shared" si="387"/>
        <v>1</v>
      </c>
      <c r="J775" s="76" t="str">
        <f t="shared" si="387"/>
        <v>Lactuca</v>
      </c>
      <c r="K775" s="76" t="str">
        <f t="shared" si="387"/>
        <v>inermis</v>
      </c>
      <c r="L775" s="77">
        <f t="shared" si="387"/>
        <v>13</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2019</v>
      </c>
      <c r="B776" s="72" t="str">
        <f t="shared" si="367"/>
        <v>Nov</v>
      </c>
      <c r="C776" s="73">
        <f t="shared" si="385"/>
        <v>23</v>
      </c>
      <c r="D776" s="74">
        <f t="shared" si="368"/>
        <v>23</v>
      </c>
      <c r="E776" s="75">
        <f t="shared" si="369"/>
        <v>13</v>
      </c>
      <c r="F776" s="79"/>
      <c r="G776" s="82"/>
      <c r="H776" s="68" t="str">
        <f t="shared" si="386"/>
        <v>Lacine13_20191123_23_00</v>
      </c>
      <c r="I776" s="69">
        <f t="shared" si="387"/>
        <v>1</v>
      </c>
      <c r="J776" s="76" t="str">
        <f t="shared" si="387"/>
        <v>Lactuca</v>
      </c>
      <c r="K776" s="76" t="str">
        <f t="shared" si="387"/>
        <v>inermis</v>
      </c>
      <c r="L776" s="77">
        <f t="shared" si="387"/>
        <v>13</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2019</v>
      </c>
      <c r="B777" s="72" t="str">
        <f t="shared" si="367"/>
        <v>Nov</v>
      </c>
      <c r="C777" s="73">
        <f t="shared" si="385"/>
        <v>23</v>
      </c>
      <c r="D777" s="74">
        <f t="shared" si="368"/>
        <v>23</v>
      </c>
      <c r="E777" s="75">
        <f t="shared" si="369"/>
        <v>14</v>
      </c>
      <c r="F777" s="79"/>
      <c r="G777" s="82"/>
      <c r="H777" s="68" t="str">
        <f t="shared" si="386"/>
        <v>Lacine13_20191123_23_00</v>
      </c>
      <c r="I777" s="69">
        <f t="shared" si="387"/>
        <v>1</v>
      </c>
      <c r="J777" s="76" t="str">
        <f t="shared" si="387"/>
        <v>Lactuca</v>
      </c>
      <c r="K777" s="76" t="str">
        <f t="shared" si="387"/>
        <v>inermis</v>
      </c>
      <c r="L777" s="77">
        <f t="shared" si="387"/>
        <v>13</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2019</v>
      </c>
      <c r="B778" s="72" t="str">
        <f t="shared" si="367"/>
        <v>Nov</v>
      </c>
      <c r="C778" s="73">
        <f t="shared" si="385"/>
        <v>23</v>
      </c>
      <c r="D778" s="74">
        <f t="shared" si="368"/>
        <v>23</v>
      </c>
      <c r="E778" s="75">
        <f t="shared" si="369"/>
        <v>15</v>
      </c>
      <c r="F778" s="79"/>
      <c r="G778" s="82"/>
      <c r="H778" s="68" t="str">
        <f t="shared" si="386"/>
        <v>Lacine13_20191123_23_00</v>
      </c>
      <c r="I778" s="69">
        <f t="shared" si="387"/>
        <v>1</v>
      </c>
      <c r="J778" s="76" t="str">
        <f t="shared" si="387"/>
        <v>Lactuca</v>
      </c>
      <c r="K778" s="76" t="str">
        <f t="shared" si="387"/>
        <v>inermis</v>
      </c>
      <c r="L778" s="77">
        <f t="shared" si="387"/>
        <v>13</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2019</v>
      </c>
      <c r="B779" s="72" t="str">
        <f t="shared" si="367"/>
        <v>Nov</v>
      </c>
      <c r="C779" s="73">
        <f t="shared" si="385"/>
        <v>23</v>
      </c>
      <c r="D779" s="74">
        <f t="shared" si="368"/>
        <v>23</v>
      </c>
      <c r="E779" s="75">
        <f t="shared" si="369"/>
        <v>16</v>
      </c>
      <c r="F779" s="79"/>
      <c r="G779" s="82"/>
      <c r="H779" s="68" t="str">
        <f t="shared" si="386"/>
        <v>Lacine13_20191123_23_00</v>
      </c>
      <c r="I779" s="69">
        <f t="shared" si="387"/>
        <v>1</v>
      </c>
      <c r="J779" s="76" t="str">
        <f t="shared" si="387"/>
        <v>Lactuca</v>
      </c>
      <c r="K779" s="76" t="str">
        <f t="shared" si="387"/>
        <v>inermis</v>
      </c>
      <c r="L779" s="77">
        <f t="shared" si="387"/>
        <v>13</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2019</v>
      </c>
      <c r="B780" s="72" t="str">
        <f t="shared" si="367"/>
        <v>Nov</v>
      </c>
      <c r="C780" s="73">
        <f t="shared" si="385"/>
        <v>23</v>
      </c>
      <c r="D780" s="74">
        <f t="shared" si="368"/>
        <v>23</v>
      </c>
      <c r="E780" s="75">
        <f t="shared" si="369"/>
        <v>17</v>
      </c>
      <c r="F780" s="79"/>
      <c r="G780" s="82"/>
      <c r="H780" s="68" t="str">
        <f t="shared" si="386"/>
        <v>Lacine13_20191123_23_00</v>
      </c>
      <c r="I780" s="69">
        <f t="shared" si="387"/>
        <v>1</v>
      </c>
      <c r="J780" s="76" t="str">
        <f t="shared" si="387"/>
        <v>Lactuca</v>
      </c>
      <c r="K780" s="76" t="str">
        <f t="shared" si="387"/>
        <v>inermis</v>
      </c>
      <c r="L780" s="77">
        <f t="shared" si="387"/>
        <v>13</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2019</v>
      </c>
      <c r="B781" s="72" t="str">
        <f t="shared" si="367"/>
        <v>Nov</v>
      </c>
      <c r="C781" s="73">
        <f t="shared" si="385"/>
        <v>23</v>
      </c>
      <c r="D781" s="74">
        <f t="shared" si="368"/>
        <v>23</v>
      </c>
      <c r="E781" s="75">
        <f t="shared" si="369"/>
        <v>18</v>
      </c>
      <c r="F781" s="79"/>
      <c r="G781" s="82"/>
      <c r="H781" s="68" t="str">
        <f t="shared" si="386"/>
        <v>Lacine13_20191123_23_00</v>
      </c>
      <c r="I781" s="69">
        <f t="shared" si="387"/>
        <v>1</v>
      </c>
      <c r="J781" s="76" t="str">
        <f t="shared" si="387"/>
        <v>Lactuca</v>
      </c>
      <c r="K781" s="76" t="str">
        <f t="shared" si="387"/>
        <v>inermis</v>
      </c>
      <c r="L781" s="77">
        <f t="shared" si="387"/>
        <v>13</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2019</v>
      </c>
      <c r="B782" s="72" t="str">
        <f t="shared" si="367"/>
        <v>Nov</v>
      </c>
      <c r="C782" s="73">
        <f t="shared" si="385"/>
        <v>23</v>
      </c>
      <c r="D782" s="74">
        <f t="shared" si="368"/>
        <v>23</v>
      </c>
      <c r="E782" s="75">
        <f t="shared" si="369"/>
        <v>19</v>
      </c>
      <c r="F782" s="79"/>
      <c r="G782" s="82"/>
      <c r="H782" s="68" t="str">
        <f t="shared" si="386"/>
        <v>Lacine13_20191123_23_00</v>
      </c>
      <c r="I782" s="69">
        <f t="shared" si="387"/>
        <v>1</v>
      </c>
      <c r="J782" s="76" t="str">
        <f t="shared" si="387"/>
        <v>Lactuca</v>
      </c>
      <c r="K782" s="76" t="str">
        <f t="shared" si="387"/>
        <v>inermis</v>
      </c>
      <c r="L782" s="77">
        <f t="shared" si="387"/>
        <v>13</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2019</v>
      </c>
      <c r="B783" s="72" t="str">
        <f t="shared" si="367"/>
        <v>Nov</v>
      </c>
      <c r="C783" s="73">
        <f t="shared" si="385"/>
        <v>23</v>
      </c>
      <c r="D783" s="74">
        <f t="shared" si="368"/>
        <v>23</v>
      </c>
      <c r="E783" s="75">
        <f t="shared" si="369"/>
        <v>20</v>
      </c>
      <c r="F783" s="79"/>
      <c r="G783" s="82"/>
      <c r="H783" s="68" t="str">
        <f t="shared" si="386"/>
        <v>Lacine13_20191123_23_00</v>
      </c>
      <c r="I783" s="69">
        <f t="shared" si="387"/>
        <v>1</v>
      </c>
      <c r="J783" s="76" t="str">
        <f t="shared" si="387"/>
        <v>Lactuca</v>
      </c>
      <c r="K783" s="76" t="str">
        <f t="shared" si="387"/>
        <v>inermis</v>
      </c>
      <c r="L783" s="77">
        <f t="shared" si="387"/>
        <v>13</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2019</v>
      </c>
      <c r="B784" s="72" t="str">
        <f t="shared" si="367"/>
        <v>Nov</v>
      </c>
      <c r="C784" s="73">
        <f t="shared" si="385"/>
        <v>23</v>
      </c>
      <c r="D784" s="74">
        <f t="shared" si="368"/>
        <v>23</v>
      </c>
      <c r="E784" s="75">
        <f t="shared" si="369"/>
        <v>21</v>
      </c>
      <c r="F784" s="79"/>
      <c r="G784" s="82"/>
      <c r="H784" s="68" t="str">
        <f t="shared" si="386"/>
        <v>Lacine13_20191123_23_00</v>
      </c>
      <c r="I784" s="69">
        <f t="shared" si="387"/>
        <v>1</v>
      </c>
      <c r="J784" s="76" t="str">
        <f t="shared" si="387"/>
        <v>Lactuca</v>
      </c>
      <c r="K784" s="76" t="str">
        <f t="shared" si="387"/>
        <v>inermis</v>
      </c>
      <c r="L784" s="77">
        <f t="shared" si="387"/>
        <v>13</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2019</v>
      </c>
      <c r="B785" s="72" t="str">
        <f t="shared" si="367"/>
        <v>Nov</v>
      </c>
      <c r="C785" s="73">
        <f t="shared" si="385"/>
        <v>23</v>
      </c>
      <c r="D785" s="74">
        <f t="shared" si="368"/>
        <v>23</v>
      </c>
      <c r="E785" s="75">
        <f t="shared" si="369"/>
        <v>22</v>
      </c>
      <c r="F785" s="79"/>
      <c r="G785" s="82"/>
      <c r="H785" s="68" t="str">
        <f t="shared" si="386"/>
        <v>Lacine13_20191123_23_00</v>
      </c>
      <c r="I785" s="69">
        <f t="shared" si="387"/>
        <v>1</v>
      </c>
      <c r="J785" s="76" t="str">
        <f t="shared" si="387"/>
        <v>Lactuca</v>
      </c>
      <c r="K785" s="76" t="str">
        <f t="shared" si="387"/>
        <v>inermis</v>
      </c>
      <c r="L785" s="77">
        <f t="shared" si="387"/>
        <v>13</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2019</v>
      </c>
      <c r="B786" s="72" t="str">
        <f t="shared" si="367"/>
        <v>Nov</v>
      </c>
      <c r="C786" s="73">
        <f t="shared" si="385"/>
        <v>23</v>
      </c>
      <c r="D786" s="74">
        <f t="shared" si="368"/>
        <v>23</v>
      </c>
      <c r="E786" s="75">
        <f t="shared" si="369"/>
        <v>23</v>
      </c>
      <c r="F786" s="79"/>
      <c r="G786" s="82"/>
      <c r="H786" s="68" t="str">
        <f t="shared" si="386"/>
        <v>Lacine13_20191123_23_00</v>
      </c>
      <c r="I786" s="69">
        <f t="shared" si="387"/>
        <v>1</v>
      </c>
      <c r="J786" s="76" t="str">
        <f t="shared" si="387"/>
        <v>Lactuca</v>
      </c>
      <c r="K786" s="76" t="str">
        <f t="shared" si="387"/>
        <v>inermis</v>
      </c>
      <c r="L786" s="77">
        <f t="shared" si="387"/>
        <v>13</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2019</v>
      </c>
      <c r="B787" s="72" t="str">
        <f t="shared" si="367"/>
        <v>Nov</v>
      </c>
      <c r="C787" s="73">
        <f t="shared" si="385"/>
        <v>23</v>
      </c>
      <c r="D787" s="74">
        <f t="shared" si="368"/>
        <v>23</v>
      </c>
      <c r="E787" s="75">
        <f t="shared" si="369"/>
        <v>24</v>
      </c>
      <c r="F787" s="79"/>
      <c r="G787" s="82"/>
      <c r="H787" s="68" t="str">
        <f t="shared" si="386"/>
        <v>Lacine13_20191123_23_00</v>
      </c>
      <c r="I787" s="69">
        <f t="shared" si="387"/>
        <v>1</v>
      </c>
      <c r="J787" s="76" t="str">
        <f t="shared" si="387"/>
        <v>Lactuca</v>
      </c>
      <c r="K787" s="76" t="str">
        <f t="shared" si="387"/>
        <v>inermis</v>
      </c>
      <c r="L787" s="77">
        <f t="shared" si="387"/>
        <v>13</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2019</v>
      </c>
      <c r="B788" s="72" t="str">
        <f t="shared" si="367"/>
        <v>Nov</v>
      </c>
      <c r="C788" s="73">
        <f t="shared" si="385"/>
        <v>23</v>
      </c>
      <c r="D788" s="74">
        <f t="shared" si="368"/>
        <v>23</v>
      </c>
      <c r="E788" s="75">
        <f t="shared" si="369"/>
        <v>25</v>
      </c>
      <c r="F788" s="79"/>
      <c r="G788" s="82"/>
      <c r="H788" s="68" t="str">
        <f t="shared" si="386"/>
        <v>Lacine13_20191123_23_00</v>
      </c>
      <c r="I788" s="69">
        <f t="shared" si="387"/>
        <v>1</v>
      </c>
      <c r="J788" s="76" t="str">
        <f t="shared" si="387"/>
        <v>Lactuca</v>
      </c>
      <c r="K788" s="76" t="str">
        <f t="shared" si="387"/>
        <v>inermis</v>
      </c>
      <c r="L788" s="77">
        <f t="shared" si="387"/>
        <v>13</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2019</v>
      </c>
      <c r="B789" s="72" t="str">
        <f t="shared" si="367"/>
        <v>Nov</v>
      </c>
      <c r="C789" s="73">
        <f t="shared" si="385"/>
        <v>23</v>
      </c>
      <c r="D789" s="74">
        <f t="shared" si="368"/>
        <v>23</v>
      </c>
      <c r="E789" s="75">
        <f t="shared" si="369"/>
        <v>26</v>
      </c>
      <c r="F789" s="79"/>
      <c r="G789" s="82"/>
      <c r="H789" s="68" t="str">
        <f t="shared" si="386"/>
        <v>Lacine13_20191123_23_00</v>
      </c>
      <c r="I789" s="69">
        <f t="shared" ref="I789:N804" si="388">I788</f>
        <v>1</v>
      </c>
      <c r="J789" s="76" t="str">
        <f t="shared" si="388"/>
        <v>Lactuca</v>
      </c>
      <c r="K789" s="76" t="str">
        <f t="shared" si="388"/>
        <v>inermis</v>
      </c>
      <c r="L789" s="77">
        <f t="shared" si="388"/>
        <v>13</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2019</v>
      </c>
      <c r="B790" s="72" t="str">
        <f t="shared" si="367"/>
        <v>Nov</v>
      </c>
      <c r="C790" s="73">
        <f t="shared" si="385"/>
        <v>23</v>
      </c>
      <c r="D790" s="74">
        <f t="shared" si="368"/>
        <v>23</v>
      </c>
      <c r="E790" s="75">
        <f t="shared" si="369"/>
        <v>27</v>
      </c>
      <c r="F790" s="79"/>
      <c r="G790" s="82"/>
      <c r="H790" s="68" t="str">
        <f t="shared" si="386"/>
        <v>Lacine13_20191123_23_00</v>
      </c>
      <c r="I790" s="69">
        <f t="shared" si="388"/>
        <v>1</v>
      </c>
      <c r="J790" s="76" t="str">
        <f t="shared" si="388"/>
        <v>Lactuca</v>
      </c>
      <c r="K790" s="76" t="str">
        <f t="shared" si="388"/>
        <v>inermis</v>
      </c>
      <c r="L790" s="77">
        <f t="shared" si="388"/>
        <v>13</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2019</v>
      </c>
      <c r="B791" s="72" t="str">
        <f t="shared" si="367"/>
        <v>Nov</v>
      </c>
      <c r="C791" s="73">
        <f t="shared" si="385"/>
        <v>23</v>
      </c>
      <c r="D791" s="74">
        <f t="shared" si="368"/>
        <v>23</v>
      </c>
      <c r="E791" s="75">
        <f t="shared" si="369"/>
        <v>28</v>
      </c>
      <c r="F791" s="79"/>
      <c r="G791" s="82"/>
      <c r="H791" s="68" t="str">
        <f t="shared" si="386"/>
        <v>Lacine13_20191123_23_00</v>
      </c>
      <c r="I791" s="69">
        <f t="shared" si="388"/>
        <v>1</v>
      </c>
      <c r="J791" s="76" t="str">
        <f t="shared" si="388"/>
        <v>Lactuca</v>
      </c>
      <c r="K791" s="76" t="str">
        <f t="shared" si="388"/>
        <v>inermis</v>
      </c>
      <c r="L791" s="77">
        <f t="shared" si="388"/>
        <v>13</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2019</v>
      </c>
      <c r="B792" s="72" t="str">
        <f t="shared" si="367"/>
        <v>Nov</v>
      </c>
      <c r="C792" s="73">
        <f t="shared" si="385"/>
        <v>23</v>
      </c>
      <c r="D792" s="74">
        <f t="shared" si="368"/>
        <v>23</v>
      </c>
      <c r="E792" s="75">
        <f t="shared" si="369"/>
        <v>29</v>
      </c>
      <c r="F792" s="79"/>
      <c r="G792" s="82"/>
      <c r="H792" s="68" t="str">
        <f t="shared" si="386"/>
        <v>Lacine13_20191123_23_00</v>
      </c>
      <c r="I792" s="69">
        <f t="shared" si="388"/>
        <v>1</v>
      </c>
      <c r="J792" s="76" t="str">
        <f t="shared" si="388"/>
        <v>Lactuca</v>
      </c>
      <c r="K792" s="76" t="str">
        <f t="shared" si="388"/>
        <v>inermis</v>
      </c>
      <c r="L792" s="77">
        <f t="shared" si="388"/>
        <v>13</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2019</v>
      </c>
      <c r="B793" s="72" t="str">
        <f t="shared" si="367"/>
        <v>Nov</v>
      </c>
      <c r="C793" s="73">
        <f t="shared" si="385"/>
        <v>23</v>
      </c>
      <c r="D793" s="74">
        <f t="shared" si="368"/>
        <v>23</v>
      </c>
      <c r="E793" s="75">
        <f t="shared" si="369"/>
        <v>30</v>
      </c>
      <c r="F793" s="79"/>
      <c r="G793" s="82"/>
      <c r="H793" s="68" t="str">
        <f t="shared" si="386"/>
        <v>Lacine13_20191123_23_00</v>
      </c>
      <c r="I793" s="69">
        <f t="shared" si="388"/>
        <v>1</v>
      </c>
      <c r="J793" s="76" t="str">
        <f t="shared" si="388"/>
        <v>Lactuca</v>
      </c>
      <c r="K793" s="76" t="str">
        <f t="shared" si="388"/>
        <v>inermis</v>
      </c>
      <c r="L793" s="77">
        <f t="shared" si="388"/>
        <v>13</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2019</v>
      </c>
      <c r="B794" s="72" t="str">
        <f t="shared" si="367"/>
        <v>Nov</v>
      </c>
      <c r="C794" s="73">
        <f t="shared" si="385"/>
        <v>23</v>
      </c>
      <c r="D794" s="74">
        <f t="shared" si="368"/>
        <v>23</v>
      </c>
      <c r="E794" s="75">
        <f t="shared" si="369"/>
        <v>31</v>
      </c>
      <c r="F794" s="79"/>
      <c r="G794" s="82"/>
      <c r="H794" s="68" t="str">
        <f t="shared" si="386"/>
        <v>Lacine13_20191123_23_00</v>
      </c>
      <c r="I794" s="69">
        <f t="shared" si="388"/>
        <v>1</v>
      </c>
      <c r="J794" s="76" t="str">
        <f t="shared" si="388"/>
        <v>Lactuca</v>
      </c>
      <c r="K794" s="76" t="str">
        <f t="shared" si="388"/>
        <v>inermis</v>
      </c>
      <c r="L794" s="77">
        <f t="shared" si="388"/>
        <v>13</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2019</v>
      </c>
      <c r="B795" s="72" t="str">
        <f t="shared" si="367"/>
        <v>Nov</v>
      </c>
      <c r="C795" s="73">
        <f t="shared" si="385"/>
        <v>23</v>
      </c>
      <c r="D795" s="74">
        <f t="shared" si="368"/>
        <v>23</v>
      </c>
      <c r="E795" s="75">
        <f t="shared" si="369"/>
        <v>32</v>
      </c>
      <c r="F795" s="79"/>
      <c r="G795" s="82"/>
      <c r="H795" s="68" t="str">
        <f t="shared" si="386"/>
        <v>Lacine13_20191123_23_00</v>
      </c>
      <c r="I795" s="69">
        <f t="shared" si="388"/>
        <v>1</v>
      </c>
      <c r="J795" s="76" t="str">
        <f t="shared" si="388"/>
        <v>Lactuca</v>
      </c>
      <c r="K795" s="76" t="str">
        <f t="shared" si="388"/>
        <v>inermis</v>
      </c>
      <c r="L795" s="77">
        <f t="shared" si="388"/>
        <v>13</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2019</v>
      </c>
      <c r="B796" s="72" t="str">
        <f t="shared" si="367"/>
        <v>Nov</v>
      </c>
      <c r="C796" s="73">
        <f t="shared" si="385"/>
        <v>23</v>
      </c>
      <c r="D796" s="74">
        <f t="shared" si="368"/>
        <v>23</v>
      </c>
      <c r="E796" s="75">
        <f t="shared" si="369"/>
        <v>33</v>
      </c>
      <c r="F796" s="79"/>
      <c r="G796" s="82"/>
      <c r="H796" s="68" t="str">
        <f t="shared" si="386"/>
        <v>Lacine13_20191123_23_00</v>
      </c>
      <c r="I796" s="69">
        <f t="shared" si="388"/>
        <v>1</v>
      </c>
      <c r="J796" s="76" t="str">
        <f t="shared" si="388"/>
        <v>Lactuca</v>
      </c>
      <c r="K796" s="76" t="str">
        <f t="shared" si="388"/>
        <v>inermis</v>
      </c>
      <c r="L796" s="77">
        <f t="shared" si="388"/>
        <v>13</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2019</v>
      </c>
      <c r="B797" s="72" t="str">
        <f t="shared" si="367"/>
        <v>Nov</v>
      </c>
      <c r="C797" s="73">
        <f t="shared" si="385"/>
        <v>23</v>
      </c>
      <c r="D797" s="74">
        <f t="shared" si="368"/>
        <v>23</v>
      </c>
      <c r="E797" s="75">
        <f t="shared" si="369"/>
        <v>34</v>
      </c>
      <c r="F797" s="79"/>
      <c r="G797" s="82"/>
      <c r="H797" s="68" t="str">
        <f t="shared" si="386"/>
        <v>Lacine13_20191123_23_00</v>
      </c>
      <c r="I797" s="69">
        <f t="shared" si="388"/>
        <v>1</v>
      </c>
      <c r="J797" s="76" t="str">
        <f t="shared" si="388"/>
        <v>Lactuca</v>
      </c>
      <c r="K797" s="76" t="str">
        <f t="shared" si="388"/>
        <v>inermis</v>
      </c>
      <c r="L797" s="77">
        <f t="shared" si="388"/>
        <v>13</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2019</v>
      </c>
      <c r="B798" s="72" t="str">
        <f t="shared" si="367"/>
        <v>Nov</v>
      </c>
      <c r="C798" s="73">
        <f t="shared" si="385"/>
        <v>23</v>
      </c>
      <c r="D798" s="74">
        <f t="shared" si="368"/>
        <v>23</v>
      </c>
      <c r="E798" s="75">
        <f t="shared" si="369"/>
        <v>35</v>
      </c>
      <c r="F798" s="79"/>
      <c r="G798" s="82"/>
      <c r="H798" s="68" t="str">
        <f t="shared" si="386"/>
        <v>Lacine13_20191123_23_00</v>
      </c>
      <c r="I798" s="69">
        <f t="shared" si="388"/>
        <v>1</v>
      </c>
      <c r="J798" s="76" t="str">
        <f t="shared" si="388"/>
        <v>Lactuca</v>
      </c>
      <c r="K798" s="76" t="str">
        <f t="shared" si="388"/>
        <v>inermis</v>
      </c>
      <c r="L798" s="77">
        <f t="shared" si="388"/>
        <v>13</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2019</v>
      </c>
      <c r="B799" s="72" t="str">
        <f t="shared" si="367"/>
        <v>Nov</v>
      </c>
      <c r="C799" s="73">
        <f t="shared" si="385"/>
        <v>23</v>
      </c>
      <c r="D799" s="74">
        <f t="shared" si="368"/>
        <v>23</v>
      </c>
      <c r="E799" s="75">
        <f t="shared" si="369"/>
        <v>36</v>
      </c>
      <c r="F799" s="79"/>
      <c r="G799" s="82"/>
      <c r="H799" s="68" t="str">
        <f t="shared" si="386"/>
        <v>Lacine13_20191123_23_00</v>
      </c>
      <c r="I799" s="69">
        <f t="shared" si="388"/>
        <v>1</v>
      </c>
      <c r="J799" s="76" t="str">
        <f t="shared" si="388"/>
        <v>Lactuca</v>
      </c>
      <c r="K799" s="76" t="str">
        <f t="shared" si="388"/>
        <v>inermis</v>
      </c>
      <c r="L799" s="77">
        <f t="shared" si="388"/>
        <v>13</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2019</v>
      </c>
      <c r="B800" s="72" t="str">
        <f t="shared" si="367"/>
        <v>Nov</v>
      </c>
      <c r="C800" s="73">
        <f t="shared" si="385"/>
        <v>23</v>
      </c>
      <c r="D800" s="74">
        <f t="shared" si="368"/>
        <v>23</v>
      </c>
      <c r="E800" s="75">
        <f t="shared" si="369"/>
        <v>37</v>
      </c>
      <c r="F800" s="79"/>
      <c r="G800" s="82"/>
      <c r="H800" s="68" t="str">
        <f t="shared" si="386"/>
        <v>Lacine13_20191123_23_00</v>
      </c>
      <c r="I800" s="69">
        <f t="shared" si="388"/>
        <v>1</v>
      </c>
      <c r="J800" s="76" t="str">
        <f t="shared" si="388"/>
        <v>Lactuca</v>
      </c>
      <c r="K800" s="76" t="str">
        <f t="shared" si="388"/>
        <v>inermis</v>
      </c>
      <c r="L800" s="77">
        <f t="shared" si="388"/>
        <v>13</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2019</v>
      </c>
      <c r="B801" s="72" t="str">
        <f t="shared" si="367"/>
        <v>Nov</v>
      </c>
      <c r="C801" s="73">
        <f t="shared" si="385"/>
        <v>23</v>
      </c>
      <c r="D801" s="74">
        <f t="shared" si="368"/>
        <v>23</v>
      </c>
      <c r="E801" s="75">
        <f t="shared" si="369"/>
        <v>38</v>
      </c>
      <c r="F801" s="79"/>
      <c r="G801" s="82"/>
      <c r="H801" s="68" t="str">
        <f t="shared" si="386"/>
        <v>Lacine13_20191123_23_00</v>
      </c>
      <c r="I801" s="69">
        <f t="shared" si="388"/>
        <v>1</v>
      </c>
      <c r="J801" s="76" t="str">
        <f t="shared" si="388"/>
        <v>Lactuca</v>
      </c>
      <c r="K801" s="76" t="str">
        <f t="shared" si="388"/>
        <v>inermis</v>
      </c>
      <c r="L801" s="77">
        <f t="shared" si="388"/>
        <v>13</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2019</v>
      </c>
      <c r="B802" s="72" t="str">
        <f t="shared" si="367"/>
        <v>Nov</v>
      </c>
      <c r="C802" s="73">
        <f t="shared" si="385"/>
        <v>23</v>
      </c>
      <c r="D802" s="74">
        <f t="shared" si="368"/>
        <v>23</v>
      </c>
      <c r="E802" s="75">
        <f t="shared" si="369"/>
        <v>39</v>
      </c>
      <c r="F802" s="79"/>
      <c r="G802" s="82"/>
      <c r="H802" s="68" t="str">
        <f t="shared" si="386"/>
        <v>Lacine13_20191123_23_00</v>
      </c>
      <c r="I802" s="69">
        <f t="shared" si="388"/>
        <v>1</v>
      </c>
      <c r="J802" s="76" t="str">
        <f t="shared" si="388"/>
        <v>Lactuca</v>
      </c>
      <c r="K802" s="76" t="str">
        <f t="shared" si="388"/>
        <v>inermis</v>
      </c>
      <c r="L802" s="77">
        <f t="shared" si="388"/>
        <v>13</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2019</v>
      </c>
      <c r="B803" s="72" t="str">
        <f t="shared" si="367"/>
        <v>Nov</v>
      </c>
      <c r="C803" s="73">
        <f t="shared" si="385"/>
        <v>23</v>
      </c>
      <c r="D803" s="74">
        <f t="shared" si="368"/>
        <v>23</v>
      </c>
      <c r="E803" s="75">
        <f t="shared" si="369"/>
        <v>40</v>
      </c>
      <c r="F803" s="79"/>
      <c r="G803" s="82"/>
      <c r="H803" s="68" t="str">
        <f t="shared" si="386"/>
        <v>Lacine13_20191123_23_00</v>
      </c>
      <c r="I803" s="69">
        <f t="shared" si="388"/>
        <v>1</v>
      </c>
      <c r="J803" s="76" t="str">
        <f t="shared" si="388"/>
        <v>Lactuca</v>
      </c>
      <c r="K803" s="76" t="str">
        <f t="shared" si="388"/>
        <v>inermis</v>
      </c>
      <c r="L803" s="77">
        <f t="shared" si="388"/>
        <v>13</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2019</v>
      </c>
      <c r="B804" s="72" t="str">
        <f t="shared" si="367"/>
        <v>Nov</v>
      </c>
      <c r="C804" s="73">
        <f t="shared" si="385"/>
        <v>23</v>
      </c>
      <c r="D804" s="74">
        <f t="shared" si="368"/>
        <v>23</v>
      </c>
      <c r="E804" s="75">
        <f t="shared" si="369"/>
        <v>41</v>
      </c>
      <c r="F804" s="79"/>
      <c r="G804" s="82"/>
      <c r="H804" s="68" t="str">
        <f t="shared" si="386"/>
        <v>Lacine13_20191123_23_00</v>
      </c>
      <c r="I804" s="69">
        <f t="shared" si="388"/>
        <v>1</v>
      </c>
      <c r="J804" s="76" t="str">
        <f t="shared" si="388"/>
        <v>Lactuca</v>
      </c>
      <c r="K804" s="76" t="str">
        <f t="shared" si="388"/>
        <v>inermis</v>
      </c>
      <c r="L804" s="77">
        <f t="shared" si="388"/>
        <v>13</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2019</v>
      </c>
      <c r="B805" s="72" t="str">
        <f t="shared" si="367"/>
        <v>Nov</v>
      </c>
      <c r="C805" s="73">
        <f t="shared" si="385"/>
        <v>23</v>
      </c>
      <c r="D805" s="74">
        <f t="shared" si="368"/>
        <v>23</v>
      </c>
      <c r="E805" s="75">
        <f t="shared" si="369"/>
        <v>42</v>
      </c>
      <c r="F805" s="79"/>
      <c r="G805" s="82"/>
      <c r="H805" s="68" t="str">
        <f t="shared" si="386"/>
        <v>Lacine13_20191123_23_00</v>
      </c>
      <c r="I805" s="69">
        <f t="shared" ref="I805:N820" si="389">I804</f>
        <v>1</v>
      </c>
      <c r="J805" s="76" t="str">
        <f t="shared" si="389"/>
        <v>Lactuca</v>
      </c>
      <c r="K805" s="76" t="str">
        <f t="shared" si="389"/>
        <v>inermis</v>
      </c>
      <c r="L805" s="77">
        <f t="shared" si="389"/>
        <v>13</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2019</v>
      </c>
      <c r="B806" s="72" t="str">
        <f t="shared" si="367"/>
        <v>Nov</v>
      </c>
      <c r="C806" s="73">
        <f t="shared" si="385"/>
        <v>23</v>
      </c>
      <c r="D806" s="74">
        <f t="shared" si="368"/>
        <v>23</v>
      </c>
      <c r="E806" s="75">
        <f t="shared" si="369"/>
        <v>43</v>
      </c>
      <c r="F806" s="79"/>
      <c r="G806" s="82"/>
      <c r="H806" s="68" t="str">
        <f t="shared" si="386"/>
        <v>Lacine13_20191123_23_00</v>
      </c>
      <c r="I806" s="69">
        <f t="shared" si="389"/>
        <v>1</v>
      </c>
      <c r="J806" s="76" t="str">
        <f t="shared" si="389"/>
        <v>Lactuca</v>
      </c>
      <c r="K806" s="76" t="str">
        <f t="shared" si="389"/>
        <v>inermis</v>
      </c>
      <c r="L806" s="77">
        <f t="shared" si="389"/>
        <v>13</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2019</v>
      </c>
      <c r="B807" s="72" t="str">
        <f t="shared" si="367"/>
        <v>Nov</v>
      </c>
      <c r="C807" s="73">
        <f t="shared" si="385"/>
        <v>23</v>
      </c>
      <c r="D807" s="74">
        <f t="shared" si="368"/>
        <v>23</v>
      </c>
      <c r="E807" s="75">
        <f t="shared" si="369"/>
        <v>44</v>
      </c>
      <c r="F807" s="79"/>
      <c r="G807" s="82"/>
      <c r="H807" s="68" t="str">
        <f t="shared" si="386"/>
        <v>Lacine13_20191123_23_00</v>
      </c>
      <c r="I807" s="69">
        <f t="shared" si="389"/>
        <v>1</v>
      </c>
      <c r="J807" s="76" t="str">
        <f t="shared" si="389"/>
        <v>Lactuca</v>
      </c>
      <c r="K807" s="76" t="str">
        <f t="shared" si="389"/>
        <v>inermis</v>
      </c>
      <c r="L807" s="77">
        <f t="shared" si="389"/>
        <v>13</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2019</v>
      </c>
      <c r="B808" s="72" t="str">
        <f t="shared" si="367"/>
        <v>Nov</v>
      </c>
      <c r="C808" s="73">
        <f t="shared" si="385"/>
        <v>23</v>
      </c>
      <c r="D808" s="74">
        <f t="shared" si="368"/>
        <v>23</v>
      </c>
      <c r="E808" s="75">
        <f t="shared" si="369"/>
        <v>45</v>
      </c>
      <c r="F808" s="79"/>
      <c r="G808" s="82"/>
      <c r="H808" s="68" t="str">
        <f t="shared" si="386"/>
        <v>Lacine13_20191123_23_00</v>
      </c>
      <c r="I808" s="69">
        <f t="shared" si="389"/>
        <v>1</v>
      </c>
      <c r="J808" s="76" t="str">
        <f t="shared" si="389"/>
        <v>Lactuca</v>
      </c>
      <c r="K808" s="76" t="str">
        <f t="shared" si="389"/>
        <v>inermis</v>
      </c>
      <c r="L808" s="77">
        <f t="shared" si="389"/>
        <v>13</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2019</v>
      </c>
      <c r="B809" s="72" t="str">
        <f t="shared" si="367"/>
        <v>Nov</v>
      </c>
      <c r="C809" s="73">
        <f t="shared" si="385"/>
        <v>23</v>
      </c>
      <c r="D809" s="74">
        <f t="shared" si="368"/>
        <v>23</v>
      </c>
      <c r="E809" s="75">
        <f t="shared" si="369"/>
        <v>46</v>
      </c>
      <c r="F809" s="79"/>
      <c r="G809" s="82"/>
      <c r="H809" s="68" t="str">
        <f t="shared" si="386"/>
        <v>Lacine13_20191123_23_00</v>
      </c>
      <c r="I809" s="69">
        <f t="shared" si="389"/>
        <v>1</v>
      </c>
      <c r="J809" s="76" t="str">
        <f t="shared" si="389"/>
        <v>Lactuca</v>
      </c>
      <c r="K809" s="76" t="str">
        <f t="shared" si="389"/>
        <v>inermis</v>
      </c>
      <c r="L809" s="77">
        <f t="shared" si="389"/>
        <v>13</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2019</v>
      </c>
      <c r="B810" s="72" t="str">
        <f t="shared" si="367"/>
        <v>Nov</v>
      </c>
      <c r="C810" s="73">
        <f t="shared" si="385"/>
        <v>23</v>
      </c>
      <c r="D810" s="74">
        <f t="shared" si="368"/>
        <v>23</v>
      </c>
      <c r="E810" s="75">
        <f t="shared" si="369"/>
        <v>47</v>
      </c>
      <c r="F810" s="79"/>
      <c r="G810" s="82"/>
      <c r="H810" s="68" t="str">
        <f t="shared" si="386"/>
        <v>Lacine13_20191123_23_00</v>
      </c>
      <c r="I810" s="69">
        <f t="shared" si="389"/>
        <v>1</v>
      </c>
      <c r="J810" s="76" t="str">
        <f t="shared" si="389"/>
        <v>Lactuca</v>
      </c>
      <c r="K810" s="76" t="str">
        <f t="shared" si="389"/>
        <v>inermis</v>
      </c>
      <c r="L810" s="77">
        <f t="shared" si="389"/>
        <v>13</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2019</v>
      </c>
      <c r="B811" s="72" t="str">
        <f t="shared" si="367"/>
        <v>Nov</v>
      </c>
      <c r="C811" s="73">
        <f t="shared" si="385"/>
        <v>23</v>
      </c>
      <c r="D811" s="74">
        <f t="shared" si="368"/>
        <v>23</v>
      </c>
      <c r="E811" s="75">
        <f t="shared" si="369"/>
        <v>48</v>
      </c>
      <c r="F811" s="79"/>
      <c r="G811" s="82"/>
      <c r="H811" s="68" t="str">
        <f t="shared" si="386"/>
        <v>Lacine13_20191123_23_00</v>
      </c>
      <c r="I811" s="69">
        <f t="shared" si="389"/>
        <v>1</v>
      </c>
      <c r="J811" s="76" t="str">
        <f t="shared" si="389"/>
        <v>Lactuca</v>
      </c>
      <c r="K811" s="76" t="str">
        <f t="shared" si="389"/>
        <v>inermis</v>
      </c>
      <c r="L811" s="77">
        <f t="shared" si="389"/>
        <v>13</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2019</v>
      </c>
      <c r="B812" s="72" t="str">
        <f t="shared" si="367"/>
        <v>Nov</v>
      </c>
      <c r="C812" s="73">
        <f t="shared" si="385"/>
        <v>23</v>
      </c>
      <c r="D812" s="74">
        <f t="shared" si="368"/>
        <v>23</v>
      </c>
      <c r="E812" s="75">
        <f t="shared" si="369"/>
        <v>49</v>
      </c>
      <c r="F812" s="79"/>
      <c r="G812" s="82"/>
      <c r="H812" s="68" t="str">
        <f t="shared" si="386"/>
        <v>Lacine13_20191123_23_00</v>
      </c>
      <c r="I812" s="69">
        <f t="shared" si="389"/>
        <v>1</v>
      </c>
      <c r="J812" s="76" t="str">
        <f t="shared" si="389"/>
        <v>Lactuca</v>
      </c>
      <c r="K812" s="76" t="str">
        <f t="shared" si="389"/>
        <v>inermis</v>
      </c>
      <c r="L812" s="77">
        <f t="shared" si="389"/>
        <v>13</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2019</v>
      </c>
      <c r="B813" s="72" t="str">
        <f t="shared" si="367"/>
        <v>Nov</v>
      </c>
      <c r="C813" s="73">
        <f t="shared" si="385"/>
        <v>23</v>
      </c>
      <c r="D813" s="74">
        <f t="shared" si="368"/>
        <v>23</v>
      </c>
      <c r="E813" s="75">
        <f t="shared" si="369"/>
        <v>50</v>
      </c>
      <c r="F813" s="79"/>
      <c r="G813" s="82"/>
      <c r="H813" s="68" t="str">
        <f t="shared" si="386"/>
        <v>Lacine13_20191123_23_00</v>
      </c>
      <c r="I813" s="69">
        <f t="shared" si="389"/>
        <v>1</v>
      </c>
      <c r="J813" s="76" t="str">
        <f t="shared" si="389"/>
        <v>Lactuca</v>
      </c>
      <c r="K813" s="76" t="str">
        <f t="shared" si="389"/>
        <v>inermis</v>
      </c>
      <c r="L813" s="77">
        <f t="shared" si="389"/>
        <v>13</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2019</v>
      </c>
      <c r="B814" s="72" t="str">
        <f t="shared" si="367"/>
        <v>Nov</v>
      </c>
      <c r="C814" s="73">
        <f t="shared" si="385"/>
        <v>23</v>
      </c>
      <c r="D814" s="74">
        <f t="shared" si="368"/>
        <v>23</v>
      </c>
      <c r="E814" s="75">
        <f t="shared" si="369"/>
        <v>51</v>
      </c>
      <c r="F814" s="79"/>
      <c r="G814" s="82"/>
      <c r="H814" s="68" t="str">
        <f t="shared" si="386"/>
        <v>Lacine13_20191123_23_00</v>
      </c>
      <c r="I814" s="69">
        <f t="shared" si="389"/>
        <v>1</v>
      </c>
      <c r="J814" s="76" t="str">
        <f t="shared" si="389"/>
        <v>Lactuca</v>
      </c>
      <c r="K814" s="76" t="str">
        <f t="shared" si="389"/>
        <v>inermis</v>
      </c>
      <c r="L814" s="77">
        <f t="shared" si="389"/>
        <v>13</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2019</v>
      </c>
      <c r="B815" s="72" t="str">
        <f t="shared" si="367"/>
        <v>Nov</v>
      </c>
      <c r="C815" s="73">
        <f t="shared" si="385"/>
        <v>23</v>
      </c>
      <c r="D815" s="74">
        <f t="shared" si="368"/>
        <v>23</v>
      </c>
      <c r="E815" s="75">
        <f t="shared" si="369"/>
        <v>52</v>
      </c>
      <c r="F815" s="79"/>
      <c r="G815" s="82"/>
      <c r="H815" s="68" t="str">
        <f t="shared" si="386"/>
        <v>Lacine13_20191123_23_00</v>
      </c>
      <c r="I815" s="69">
        <f t="shared" si="389"/>
        <v>1</v>
      </c>
      <c r="J815" s="76" t="str">
        <f t="shared" si="389"/>
        <v>Lactuca</v>
      </c>
      <c r="K815" s="76" t="str">
        <f t="shared" si="389"/>
        <v>inermis</v>
      </c>
      <c r="L815" s="77">
        <f t="shared" si="389"/>
        <v>13</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2019</v>
      </c>
      <c r="B816" s="72" t="str">
        <f t="shared" si="367"/>
        <v>Nov</v>
      </c>
      <c r="C816" s="73">
        <f t="shared" si="385"/>
        <v>23</v>
      </c>
      <c r="D816" s="74">
        <f t="shared" si="368"/>
        <v>23</v>
      </c>
      <c r="E816" s="75">
        <f t="shared" si="369"/>
        <v>53</v>
      </c>
      <c r="F816" s="79"/>
      <c r="G816" s="82"/>
      <c r="H816" s="68" t="str">
        <f t="shared" si="386"/>
        <v>Lacine13_20191123_23_00</v>
      </c>
      <c r="I816" s="69">
        <f t="shared" si="389"/>
        <v>1</v>
      </c>
      <c r="J816" s="76" t="str">
        <f t="shared" si="389"/>
        <v>Lactuca</v>
      </c>
      <c r="K816" s="76" t="str">
        <f t="shared" si="389"/>
        <v>inermis</v>
      </c>
      <c r="L816" s="77">
        <f t="shared" si="389"/>
        <v>13</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2019</v>
      </c>
      <c r="B817" s="72" t="str">
        <f t="shared" si="367"/>
        <v>Nov</v>
      </c>
      <c r="C817" s="73">
        <f t="shared" si="385"/>
        <v>23</v>
      </c>
      <c r="D817" s="74">
        <f t="shared" si="368"/>
        <v>23</v>
      </c>
      <c r="E817" s="75">
        <f t="shared" si="369"/>
        <v>54</v>
      </c>
      <c r="F817" s="79"/>
      <c r="G817" s="82"/>
      <c r="H817" s="68" t="str">
        <f t="shared" si="386"/>
        <v>Lacine13_20191123_23_00</v>
      </c>
      <c r="I817" s="69">
        <f t="shared" si="389"/>
        <v>1</v>
      </c>
      <c r="J817" s="76" t="str">
        <f t="shared" si="389"/>
        <v>Lactuca</v>
      </c>
      <c r="K817" s="76" t="str">
        <f t="shared" si="389"/>
        <v>inermis</v>
      </c>
      <c r="L817" s="77">
        <f t="shared" si="389"/>
        <v>13</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2019</v>
      </c>
      <c r="B818" s="72" t="str">
        <f t="shared" si="367"/>
        <v>Nov</v>
      </c>
      <c r="C818" s="73">
        <f t="shared" si="385"/>
        <v>23</v>
      </c>
      <c r="D818" s="74">
        <f t="shared" si="368"/>
        <v>23</v>
      </c>
      <c r="E818" s="75">
        <f t="shared" si="369"/>
        <v>55</v>
      </c>
      <c r="F818" s="79"/>
      <c r="G818" s="82"/>
      <c r="H818" s="68" t="str">
        <f t="shared" si="386"/>
        <v>Lacine13_20191123_23_00</v>
      </c>
      <c r="I818" s="69">
        <f t="shared" si="389"/>
        <v>1</v>
      </c>
      <c r="J818" s="76" t="str">
        <f t="shared" si="389"/>
        <v>Lactuca</v>
      </c>
      <c r="K818" s="76" t="str">
        <f t="shared" si="389"/>
        <v>inermis</v>
      </c>
      <c r="L818" s="77">
        <f t="shared" si="389"/>
        <v>13</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2019</v>
      </c>
      <c r="B819" s="72" t="str">
        <f t="shared" si="367"/>
        <v>Nov</v>
      </c>
      <c r="C819" s="73">
        <f t="shared" si="385"/>
        <v>23</v>
      </c>
      <c r="D819" s="74">
        <f t="shared" si="368"/>
        <v>23</v>
      </c>
      <c r="E819" s="75">
        <f t="shared" si="369"/>
        <v>56</v>
      </c>
      <c r="F819" s="79"/>
      <c r="G819" s="82"/>
      <c r="H819" s="68" t="str">
        <f t="shared" si="386"/>
        <v>Lacine13_20191123_23_00</v>
      </c>
      <c r="I819" s="69">
        <f t="shared" si="389"/>
        <v>1</v>
      </c>
      <c r="J819" s="76" t="str">
        <f t="shared" si="389"/>
        <v>Lactuca</v>
      </c>
      <c r="K819" s="76" t="str">
        <f t="shared" si="389"/>
        <v>inermis</v>
      </c>
      <c r="L819" s="77">
        <f t="shared" si="389"/>
        <v>13</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2019</v>
      </c>
      <c r="B820" s="72" t="str">
        <f t="shared" si="367"/>
        <v>Nov</v>
      </c>
      <c r="C820" s="73">
        <f t="shared" si="385"/>
        <v>23</v>
      </c>
      <c r="D820" s="74">
        <f t="shared" si="368"/>
        <v>23</v>
      </c>
      <c r="E820" s="75">
        <f t="shared" si="369"/>
        <v>57</v>
      </c>
      <c r="F820" s="79"/>
      <c r="G820" s="82"/>
      <c r="H820" s="68" t="str">
        <f t="shared" si="386"/>
        <v>Lacine13_20191123_23_00</v>
      </c>
      <c r="I820" s="69">
        <f t="shared" si="389"/>
        <v>1</v>
      </c>
      <c r="J820" s="76" t="str">
        <f t="shared" si="389"/>
        <v>Lactuca</v>
      </c>
      <c r="K820" s="76" t="str">
        <f t="shared" si="389"/>
        <v>inermis</v>
      </c>
      <c r="L820" s="77">
        <f t="shared" si="389"/>
        <v>13</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2019</v>
      </c>
      <c r="B821" s="72" t="str">
        <f t="shared" si="367"/>
        <v>Nov</v>
      </c>
      <c r="C821" s="73">
        <f t="shared" si="385"/>
        <v>23</v>
      </c>
      <c r="D821" s="74">
        <f t="shared" si="368"/>
        <v>23</v>
      </c>
      <c r="E821" s="75">
        <f t="shared" si="369"/>
        <v>58</v>
      </c>
      <c r="F821" s="79"/>
      <c r="G821" s="82"/>
      <c r="H821" s="68" t="str">
        <f t="shared" si="386"/>
        <v>Lacine13_20191123_23_00</v>
      </c>
      <c r="I821" s="69">
        <f t="shared" ref="I821:N836" si="390">I820</f>
        <v>1</v>
      </c>
      <c r="J821" s="76" t="str">
        <f t="shared" si="390"/>
        <v>Lactuca</v>
      </c>
      <c r="K821" s="76" t="str">
        <f t="shared" si="390"/>
        <v>inermis</v>
      </c>
      <c r="L821" s="77">
        <f t="shared" si="390"/>
        <v>13</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2019</v>
      </c>
      <c r="B822" s="72" t="str">
        <f t="shared" si="367"/>
        <v>Nov</v>
      </c>
      <c r="C822" s="73">
        <f t="shared" si="385"/>
        <v>23</v>
      </c>
      <c r="D822" s="74">
        <f t="shared" si="368"/>
        <v>23</v>
      </c>
      <c r="E822" s="75">
        <f t="shared" si="369"/>
        <v>59</v>
      </c>
      <c r="F822" s="79"/>
      <c r="G822" s="82"/>
      <c r="H822" s="68" t="str">
        <f t="shared" si="386"/>
        <v>Lacine13_20191123_23_00</v>
      </c>
      <c r="I822" s="69">
        <f t="shared" si="390"/>
        <v>1</v>
      </c>
      <c r="J822" s="76" t="str">
        <f t="shared" si="390"/>
        <v>Lactuca</v>
      </c>
      <c r="K822" s="76" t="str">
        <f t="shared" si="390"/>
        <v>inermis</v>
      </c>
      <c r="L822" s="77">
        <f t="shared" si="390"/>
        <v>13</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2019</v>
      </c>
      <c r="B823" s="72" t="str">
        <f t="shared" si="367"/>
        <v>Nov</v>
      </c>
      <c r="C823" s="73">
        <f t="shared" si="385"/>
        <v>24</v>
      </c>
      <c r="D823" s="74">
        <f t="shared" si="368"/>
        <v>0</v>
      </c>
      <c r="E823" s="75">
        <f t="shared" si="369"/>
        <v>0</v>
      </c>
      <c r="F823" s="79"/>
      <c r="G823" s="82"/>
      <c r="H823" s="68" t="str">
        <f t="shared" si="386"/>
        <v>Lacine13_20191124_00_00</v>
      </c>
      <c r="I823" s="69">
        <f t="shared" si="390"/>
        <v>1</v>
      </c>
      <c r="J823" s="76" t="str">
        <f t="shared" si="390"/>
        <v>Lactuca</v>
      </c>
      <c r="K823" s="76" t="str">
        <f t="shared" si="390"/>
        <v>inermis</v>
      </c>
      <c r="L823" s="77">
        <f t="shared" si="390"/>
        <v>13</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2019</v>
      </c>
      <c r="B824" s="72" t="str">
        <f t="shared" si="367"/>
        <v>Nov</v>
      </c>
      <c r="C824" s="73">
        <f t="shared" si="385"/>
        <v>24</v>
      </c>
      <c r="D824" s="74">
        <f t="shared" si="368"/>
        <v>0</v>
      </c>
      <c r="E824" s="75">
        <f t="shared" si="369"/>
        <v>1</v>
      </c>
      <c r="F824" s="79"/>
      <c r="G824" s="82"/>
      <c r="H824" s="68" t="str">
        <f t="shared" si="386"/>
        <v>Lacine13_20191124_00_00</v>
      </c>
      <c r="I824" s="69">
        <f t="shared" si="390"/>
        <v>1</v>
      </c>
      <c r="J824" s="76" t="str">
        <f t="shared" si="390"/>
        <v>Lactuca</v>
      </c>
      <c r="K824" s="76" t="str">
        <f t="shared" si="390"/>
        <v>inermis</v>
      </c>
      <c r="L824" s="77">
        <f t="shared" si="390"/>
        <v>13</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2019</v>
      </c>
      <c r="B825" s="72" t="str">
        <f t="shared" si="367"/>
        <v>Nov</v>
      </c>
      <c r="C825" s="73">
        <f t="shared" si="385"/>
        <v>24</v>
      </c>
      <c r="D825" s="74">
        <f t="shared" si="368"/>
        <v>0</v>
      </c>
      <c r="E825" s="75">
        <f t="shared" si="369"/>
        <v>2</v>
      </c>
      <c r="F825" s="79"/>
      <c r="G825" s="82"/>
      <c r="H825" s="68" t="str">
        <f t="shared" si="386"/>
        <v>Lacine13_20191124_00_00</v>
      </c>
      <c r="I825" s="69">
        <f t="shared" si="390"/>
        <v>1</v>
      </c>
      <c r="J825" s="76" t="str">
        <f t="shared" si="390"/>
        <v>Lactuca</v>
      </c>
      <c r="K825" s="76" t="str">
        <f t="shared" si="390"/>
        <v>inermis</v>
      </c>
      <c r="L825" s="77">
        <f t="shared" si="390"/>
        <v>13</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2019</v>
      </c>
      <c r="B826" s="72" t="str">
        <f t="shared" si="367"/>
        <v>Nov</v>
      </c>
      <c r="C826" s="73">
        <f t="shared" si="385"/>
        <v>24</v>
      </c>
      <c r="D826" s="74">
        <f t="shared" si="368"/>
        <v>0</v>
      </c>
      <c r="E826" s="75">
        <f t="shared" si="369"/>
        <v>3</v>
      </c>
      <c r="F826" s="79"/>
      <c r="G826" s="82"/>
      <c r="H826" s="68" t="str">
        <f t="shared" si="386"/>
        <v>Lacine13_20191124_00_00</v>
      </c>
      <c r="I826" s="69">
        <f t="shared" si="390"/>
        <v>1</v>
      </c>
      <c r="J826" s="76" t="str">
        <f t="shared" si="390"/>
        <v>Lactuca</v>
      </c>
      <c r="K826" s="76" t="str">
        <f t="shared" si="390"/>
        <v>inermis</v>
      </c>
      <c r="L826" s="77">
        <f t="shared" si="390"/>
        <v>13</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2019</v>
      </c>
      <c r="B827" s="72" t="str">
        <f t="shared" si="367"/>
        <v>Nov</v>
      </c>
      <c r="C827" s="73">
        <f t="shared" si="385"/>
        <v>24</v>
      </c>
      <c r="D827" s="74">
        <f t="shared" si="368"/>
        <v>0</v>
      </c>
      <c r="E827" s="75">
        <f t="shared" si="369"/>
        <v>4</v>
      </c>
      <c r="F827" s="79"/>
      <c r="G827" s="82"/>
      <c r="H827" s="68" t="str">
        <f t="shared" si="386"/>
        <v>Lacine13_20191124_00_00</v>
      </c>
      <c r="I827" s="69">
        <f t="shared" si="390"/>
        <v>1</v>
      </c>
      <c r="J827" s="76" t="str">
        <f t="shared" si="390"/>
        <v>Lactuca</v>
      </c>
      <c r="K827" s="76" t="str">
        <f t="shared" si="390"/>
        <v>inermis</v>
      </c>
      <c r="L827" s="77">
        <f t="shared" si="390"/>
        <v>13</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2019</v>
      </c>
      <c r="B828" s="72" t="str">
        <f t="shared" si="367"/>
        <v>Nov</v>
      </c>
      <c r="C828" s="73">
        <f t="shared" si="385"/>
        <v>24</v>
      </c>
      <c r="D828" s="74">
        <f t="shared" si="368"/>
        <v>0</v>
      </c>
      <c r="E828" s="75">
        <f t="shared" si="369"/>
        <v>5</v>
      </c>
      <c r="F828" s="79"/>
      <c r="G828" s="82"/>
      <c r="H828" s="68" t="str">
        <f t="shared" si="386"/>
        <v>Lacine13_20191124_00_00</v>
      </c>
      <c r="I828" s="69">
        <f t="shared" si="390"/>
        <v>1</v>
      </c>
      <c r="J828" s="76" t="str">
        <f t="shared" si="390"/>
        <v>Lactuca</v>
      </c>
      <c r="K828" s="76" t="str">
        <f t="shared" si="390"/>
        <v>inermis</v>
      </c>
      <c r="L828" s="77">
        <f t="shared" si="390"/>
        <v>13</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2019</v>
      </c>
      <c r="B829" s="72" t="str">
        <f t="shared" si="367"/>
        <v>Nov</v>
      </c>
      <c r="C829" s="73">
        <f t="shared" si="385"/>
        <v>24</v>
      </c>
      <c r="D829" s="74">
        <f t="shared" si="368"/>
        <v>0</v>
      </c>
      <c r="E829" s="75">
        <f t="shared" si="369"/>
        <v>6</v>
      </c>
      <c r="F829" s="79"/>
      <c r="G829" s="82"/>
      <c r="H829" s="68" t="str">
        <f t="shared" si="386"/>
        <v>Lacine13_20191124_00_00</v>
      </c>
      <c r="I829" s="69">
        <f t="shared" si="390"/>
        <v>1</v>
      </c>
      <c r="J829" s="76" t="str">
        <f t="shared" si="390"/>
        <v>Lactuca</v>
      </c>
      <c r="K829" s="76" t="str">
        <f t="shared" si="390"/>
        <v>inermis</v>
      </c>
      <c r="L829" s="77">
        <f t="shared" si="390"/>
        <v>13</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2019</v>
      </c>
      <c r="B830" s="72" t="str">
        <f t="shared" si="367"/>
        <v>Nov</v>
      </c>
      <c r="C830" s="73">
        <f t="shared" si="385"/>
        <v>24</v>
      </c>
      <c r="D830" s="74">
        <f t="shared" si="368"/>
        <v>0</v>
      </c>
      <c r="E830" s="75">
        <f t="shared" si="369"/>
        <v>7</v>
      </c>
      <c r="F830" s="79"/>
      <c r="G830" s="82"/>
      <c r="H830" s="68" t="str">
        <f t="shared" si="386"/>
        <v>Lacine13_20191124_00_00</v>
      </c>
      <c r="I830" s="69">
        <f t="shared" si="390"/>
        <v>1</v>
      </c>
      <c r="J830" s="76" t="str">
        <f t="shared" si="390"/>
        <v>Lactuca</v>
      </c>
      <c r="K830" s="76" t="str">
        <f t="shared" si="390"/>
        <v>inermis</v>
      </c>
      <c r="L830" s="77">
        <f t="shared" si="390"/>
        <v>13</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2019</v>
      </c>
      <c r="B831" s="72" t="str">
        <f t="shared" si="367"/>
        <v>Nov</v>
      </c>
      <c r="C831" s="73">
        <f t="shared" si="385"/>
        <v>24</v>
      </c>
      <c r="D831" s="74">
        <f t="shared" si="368"/>
        <v>0</v>
      </c>
      <c r="E831" s="75">
        <f t="shared" si="369"/>
        <v>8</v>
      </c>
      <c r="F831" s="79"/>
      <c r="G831" s="82"/>
      <c r="H831" s="68" t="str">
        <f t="shared" si="386"/>
        <v>Lacine13_20191124_00_00</v>
      </c>
      <c r="I831" s="69">
        <f t="shared" si="390"/>
        <v>1</v>
      </c>
      <c r="J831" s="76" t="str">
        <f t="shared" si="390"/>
        <v>Lactuca</v>
      </c>
      <c r="K831" s="76" t="str">
        <f t="shared" si="390"/>
        <v>inermis</v>
      </c>
      <c r="L831" s="77">
        <f t="shared" si="390"/>
        <v>13</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2019</v>
      </c>
      <c r="B832" s="72" t="str">
        <f t="shared" si="367"/>
        <v>Nov</v>
      </c>
      <c r="C832" s="73">
        <f t="shared" si="385"/>
        <v>24</v>
      </c>
      <c r="D832" s="74">
        <f t="shared" si="368"/>
        <v>0</v>
      </c>
      <c r="E832" s="75">
        <f t="shared" si="369"/>
        <v>9</v>
      </c>
      <c r="F832" s="79"/>
      <c r="G832" s="82"/>
      <c r="H832" s="68" t="str">
        <f t="shared" si="386"/>
        <v>Lacine13_20191124_00_00</v>
      </c>
      <c r="I832" s="69">
        <f t="shared" si="390"/>
        <v>1</v>
      </c>
      <c r="J832" s="76" t="str">
        <f t="shared" si="390"/>
        <v>Lactuca</v>
      </c>
      <c r="K832" s="76" t="str">
        <f t="shared" si="390"/>
        <v>inermis</v>
      </c>
      <c r="L832" s="77">
        <f t="shared" si="390"/>
        <v>13</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2019</v>
      </c>
      <c r="B833" s="72" t="str">
        <f t="shared" si="367"/>
        <v>Nov</v>
      </c>
      <c r="C833" s="73">
        <f t="shared" si="385"/>
        <v>24</v>
      </c>
      <c r="D833" s="74">
        <f t="shared" si="368"/>
        <v>0</v>
      </c>
      <c r="E833" s="75">
        <f t="shared" si="369"/>
        <v>10</v>
      </c>
      <c r="F833" s="79"/>
      <c r="G833" s="82"/>
      <c r="H833" s="68" t="str">
        <f t="shared" si="386"/>
        <v>Lacine13_20191124_00_00</v>
      </c>
      <c r="I833" s="69">
        <f t="shared" si="390"/>
        <v>1</v>
      </c>
      <c r="J833" s="76" t="str">
        <f t="shared" si="390"/>
        <v>Lactuca</v>
      </c>
      <c r="K833" s="76" t="str">
        <f t="shared" si="390"/>
        <v>inermis</v>
      </c>
      <c r="L833" s="77">
        <f t="shared" si="390"/>
        <v>13</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2019</v>
      </c>
      <c r="B834" s="72" t="str">
        <f t="shared" si="367"/>
        <v>Nov</v>
      </c>
      <c r="C834" s="73">
        <f t="shared" si="385"/>
        <v>24</v>
      </c>
      <c r="D834" s="74">
        <f t="shared" si="368"/>
        <v>0</v>
      </c>
      <c r="E834" s="75">
        <f t="shared" si="369"/>
        <v>11</v>
      </c>
      <c r="F834" s="79"/>
      <c r="G834" s="82"/>
      <c r="H834" s="68" t="str">
        <f t="shared" si="386"/>
        <v>Lacine13_20191124_00_00</v>
      </c>
      <c r="I834" s="69">
        <f t="shared" si="390"/>
        <v>1</v>
      </c>
      <c r="J834" s="76" t="str">
        <f t="shared" si="390"/>
        <v>Lactuca</v>
      </c>
      <c r="K834" s="76" t="str">
        <f t="shared" si="390"/>
        <v>inermis</v>
      </c>
      <c r="L834" s="77">
        <f t="shared" si="390"/>
        <v>13</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2019</v>
      </c>
      <c r="B835" s="72" t="str">
        <f t="shared" si="367"/>
        <v>Nov</v>
      </c>
      <c r="C835" s="73">
        <f t="shared" si="385"/>
        <v>24</v>
      </c>
      <c r="D835" s="74">
        <f t="shared" si="368"/>
        <v>0</v>
      </c>
      <c r="E835" s="75">
        <f t="shared" si="369"/>
        <v>12</v>
      </c>
      <c r="F835" s="79"/>
      <c r="G835" s="82"/>
      <c r="H835" s="68" t="str">
        <f t="shared" si="386"/>
        <v>Lacine13_20191124_00_00</v>
      </c>
      <c r="I835" s="69">
        <f t="shared" si="390"/>
        <v>1</v>
      </c>
      <c r="J835" s="76" t="str">
        <f t="shared" si="390"/>
        <v>Lactuca</v>
      </c>
      <c r="K835" s="76" t="str">
        <f t="shared" si="390"/>
        <v>inermis</v>
      </c>
      <c r="L835" s="77">
        <f t="shared" si="390"/>
        <v>13</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2019</v>
      </c>
      <c r="B836" s="72" t="str">
        <f t="shared" ref="B836:B899" si="397">IF(C835-C836&gt;0, TEXT(DATE(2016,(MONTH(DATEVALUE(B835&amp;"1"))+1),1),"mmm"), B835)</f>
        <v>Nov</v>
      </c>
      <c r="C836" s="73">
        <f t="shared" si="385"/>
        <v>24</v>
      </c>
      <c r="D836" s="74">
        <f t="shared" ref="D836:D899" si="398">IF(IF(E835=59,D835+1,D835)=24,0,IF(E835=59,D835+1,D835))</f>
        <v>0</v>
      </c>
      <c r="E836" s="75">
        <f t="shared" ref="E836:E899" si="399">IF(E835&lt;59,E835+1,0)</f>
        <v>13</v>
      </c>
      <c r="F836" s="79"/>
      <c r="G836" s="82"/>
      <c r="H836" s="68" t="str">
        <f t="shared" si="386"/>
        <v>Lacine13_20191124_00_00</v>
      </c>
      <c r="I836" s="69">
        <f t="shared" si="390"/>
        <v>1</v>
      </c>
      <c r="J836" s="76" t="str">
        <f t="shared" si="390"/>
        <v>Lactuca</v>
      </c>
      <c r="K836" s="76" t="str">
        <f t="shared" si="390"/>
        <v>inermis</v>
      </c>
      <c r="L836" s="77">
        <f t="shared" si="390"/>
        <v>13</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2019</v>
      </c>
      <c r="B837" s="72" t="str">
        <f t="shared" si="397"/>
        <v>Nov</v>
      </c>
      <c r="C837" s="73">
        <f t="shared" ref="C837:C900" si="415">IF(AND(D837=0, E837=0), IF(TEXT(C836,"dd")=TEXT(EOMONTH(DATE(A836,MONTH(DATEVALUE(B836&amp;"1")),C836),0), "dd"), 1, C836+1), C836)</f>
        <v>24</v>
      </c>
      <c r="D837" s="74">
        <f t="shared" si="398"/>
        <v>0</v>
      </c>
      <c r="E837" s="75">
        <f t="shared" si="399"/>
        <v>14</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Lacine13_20191124_00_00</v>
      </c>
      <c r="I837" s="69">
        <f t="shared" ref="I837:N852" si="417">I836</f>
        <v>1</v>
      </c>
      <c r="J837" s="76" t="str">
        <f t="shared" si="417"/>
        <v>Lactuca</v>
      </c>
      <c r="K837" s="76" t="str">
        <f t="shared" si="417"/>
        <v>inermis</v>
      </c>
      <c r="L837" s="77">
        <f t="shared" si="417"/>
        <v>13</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2019</v>
      </c>
      <c r="B838" s="72" t="str">
        <f t="shared" si="397"/>
        <v>Nov</v>
      </c>
      <c r="C838" s="73">
        <f t="shared" si="415"/>
        <v>24</v>
      </c>
      <c r="D838" s="74">
        <f t="shared" si="398"/>
        <v>0</v>
      </c>
      <c r="E838" s="75">
        <f t="shared" si="399"/>
        <v>15</v>
      </c>
      <c r="F838" s="79"/>
      <c r="G838" s="82"/>
      <c r="H838" s="68" t="str">
        <f t="shared" si="416"/>
        <v>Lacine13_20191124_00_00</v>
      </c>
      <c r="I838" s="69">
        <f t="shared" si="417"/>
        <v>1</v>
      </c>
      <c r="J838" s="76" t="str">
        <f t="shared" si="417"/>
        <v>Lactuca</v>
      </c>
      <c r="K838" s="76" t="str">
        <f t="shared" si="417"/>
        <v>inermis</v>
      </c>
      <c r="L838" s="77">
        <f t="shared" si="417"/>
        <v>13</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2019</v>
      </c>
      <c r="B839" s="72" t="str">
        <f t="shared" si="397"/>
        <v>Nov</v>
      </c>
      <c r="C839" s="73">
        <f t="shared" si="415"/>
        <v>24</v>
      </c>
      <c r="D839" s="74">
        <f t="shared" si="398"/>
        <v>0</v>
      </c>
      <c r="E839" s="75">
        <f t="shared" si="399"/>
        <v>16</v>
      </c>
      <c r="F839" s="79"/>
      <c r="G839" s="82"/>
      <c r="H839" s="68" t="str">
        <f t="shared" si="416"/>
        <v>Lacine13_20191124_00_00</v>
      </c>
      <c r="I839" s="69">
        <f t="shared" si="417"/>
        <v>1</v>
      </c>
      <c r="J839" s="76" t="str">
        <f t="shared" si="417"/>
        <v>Lactuca</v>
      </c>
      <c r="K839" s="76" t="str">
        <f t="shared" si="417"/>
        <v>inermis</v>
      </c>
      <c r="L839" s="77">
        <f t="shared" si="417"/>
        <v>13</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2019</v>
      </c>
      <c r="B840" s="72" t="str">
        <f t="shared" si="397"/>
        <v>Nov</v>
      </c>
      <c r="C840" s="73">
        <f t="shared" si="415"/>
        <v>24</v>
      </c>
      <c r="D840" s="74">
        <f t="shared" si="398"/>
        <v>0</v>
      </c>
      <c r="E840" s="75">
        <f t="shared" si="399"/>
        <v>17</v>
      </c>
      <c r="F840" s="79"/>
      <c r="G840" s="82"/>
      <c r="H840" s="68" t="str">
        <f t="shared" si="416"/>
        <v>Lacine13_20191124_00_00</v>
      </c>
      <c r="I840" s="69">
        <f t="shared" si="417"/>
        <v>1</v>
      </c>
      <c r="J840" s="76" t="str">
        <f t="shared" si="417"/>
        <v>Lactuca</v>
      </c>
      <c r="K840" s="76" t="str">
        <f t="shared" si="417"/>
        <v>inermis</v>
      </c>
      <c r="L840" s="77">
        <f t="shared" si="417"/>
        <v>13</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2019</v>
      </c>
      <c r="B841" s="72" t="str">
        <f t="shared" si="397"/>
        <v>Nov</v>
      </c>
      <c r="C841" s="73">
        <f t="shared" si="415"/>
        <v>24</v>
      </c>
      <c r="D841" s="74">
        <f t="shared" si="398"/>
        <v>0</v>
      </c>
      <c r="E841" s="75">
        <f t="shared" si="399"/>
        <v>18</v>
      </c>
      <c r="F841" s="79"/>
      <c r="G841" s="82"/>
      <c r="H841" s="68" t="str">
        <f t="shared" si="416"/>
        <v>Lacine13_20191124_00_00</v>
      </c>
      <c r="I841" s="69">
        <f t="shared" si="417"/>
        <v>1</v>
      </c>
      <c r="J841" s="76" t="str">
        <f t="shared" si="417"/>
        <v>Lactuca</v>
      </c>
      <c r="K841" s="76" t="str">
        <f t="shared" si="417"/>
        <v>inermis</v>
      </c>
      <c r="L841" s="77">
        <f t="shared" si="417"/>
        <v>13</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2019</v>
      </c>
      <c r="B842" s="72" t="str">
        <f t="shared" si="397"/>
        <v>Nov</v>
      </c>
      <c r="C842" s="73">
        <f t="shared" si="415"/>
        <v>24</v>
      </c>
      <c r="D842" s="74">
        <f t="shared" si="398"/>
        <v>0</v>
      </c>
      <c r="E842" s="75">
        <f t="shared" si="399"/>
        <v>19</v>
      </c>
      <c r="F842" s="79"/>
      <c r="G842" s="82"/>
      <c r="H842" s="68" t="str">
        <f t="shared" si="416"/>
        <v>Lacine13_20191124_00_00</v>
      </c>
      <c r="I842" s="69">
        <f t="shared" si="417"/>
        <v>1</v>
      </c>
      <c r="J842" s="76" t="str">
        <f t="shared" si="417"/>
        <v>Lactuca</v>
      </c>
      <c r="K842" s="76" t="str">
        <f t="shared" si="417"/>
        <v>inermis</v>
      </c>
      <c r="L842" s="77">
        <f t="shared" si="417"/>
        <v>13</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2019</v>
      </c>
      <c r="B843" s="72" t="str">
        <f t="shared" si="397"/>
        <v>Nov</v>
      </c>
      <c r="C843" s="73">
        <f t="shared" si="415"/>
        <v>24</v>
      </c>
      <c r="D843" s="74">
        <f t="shared" si="398"/>
        <v>0</v>
      </c>
      <c r="E843" s="75">
        <f t="shared" si="399"/>
        <v>20</v>
      </c>
      <c r="F843" s="79"/>
      <c r="G843" s="82"/>
      <c r="H843" s="68" t="str">
        <f t="shared" si="416"/>
        <v>Lacine13_20191124_00_00</v>
      </c>
      <c r="I843" s="69">
        <f t="shared" si="417"/>
        <v>1</v>
      </c>
      <c r="J843" s="76" t="str">
        <f t="shared" si="417"/>
        <v>Lactuca</v>
      </c>
      <c r="K843" s="76" t="str">
        <f t="shared" si="417"/>
        <v>inermis</v>
      </c>
      <c r="L843" s="77">
        <f t="shared" si="417"/>
        <v>13</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2019</v>
      </c>
      <c r="B844" s="72" t="str">
        <f t="shared" si="397"/>
        <v>Nov</v>
      </c>
      <c r="C844" s="73">
        <f t="shared" si="415"/>
        <v>24</v>
      </c>
      <c r="D844" s="74">
        <f t="shared" si="398"/>
        <v>0</v>
      </c>
      <c r="E844" s="75">
        <f t="shared" si="399"/>
        <v>21</v>
      </c>
      <c r="F844" s="79"/>
      <c r="G844" s="82"/>
      <c r="H844" s="68" t="str">
        <f t="shared" si="416"/>
        <v>Lacine13_20191124_00_00</v>
      </c>
      <c r="I844" s="69">
        <f t="shared" si="417"/>
        <v>1</v>
      </c>
      <c r="J844" s="76" t="str">
        <f t="shared" si="417"/>
        <v>Lactuca</v>
      </c>
      <c r="K844" s="76" t="str">
        <f t="shared" si="417"/>
        <v>inermis</v>
      </c>
      <c r="L844" s="77">
        <f t="shared" si="417"/>
        <v>13</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2019</v>
      </c>
      <c r="B845" s="72" t="str">
        <f t="shared" si="397"/>
        <v>Nov</v>
      </c>
      <c r="C845" s="73">
        <f t="shared" si="415"/>
        <v>24</v>
      </c>
      <c r="D845" s="74">
        <f t="shared" si="398"/>
        <v>0</v>
      </c>
      <c r="E845" s="75">
        <f t="shared" si="399"/>
        <v>22</v>
      </c>
      <c r="F845" s="79"/>
      <c r="G845" s="82"/>
      <c r="H845" s="68" t="str">
        <f t="shared" si="416"/>
        <v>Lacine13_20191124_00_00</v>
      </c>
      <c r="I845" s="69">
        <f t="shared" si="417"/>
        <v>1</v>
      </c>
      <c r="J845" s="76" t="str">
        <f t="shared" si="417"/>
        <v>Lactuca</v>
      </c>
      <c r="K845" s="76" t="str">
        <f t="shared" si="417"/>
        <v>inermis</v>
      </c>
      <c r="L845" s="77">
        <f t="shared" si="417"/>
        <v>13</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2019</v>
      </c>
      <c r="B846" s="72" t="str">
        <f t="shared" si="397"/>
        <v>Nov</v>
      </c>
      <c r="C846" s="73">
        <f t="shared" si="415"/>
        <v>24</v>
      </c>
      <c r="D846" s="74">
        <f t="shared" si="398"/>
        <v>0</v>
      </c>
      <c r="E846" s="75">
        <f t="shared" si="399"/>
        <v>23</v>
      </c>
      <c r="F846" s="79"/>
      <c r="G846" s="82"/>
      <c r="H846" s="68" t="str">
        <f t="shared" si="416"/>
        <v>Lacine13_20191124_00_00</v>
      </c>
      <c r="I846" s="69">
        <f t="shared" si="417"/>
        <v>1</v>
      </c>
      <c r="J846" s="76" t="str">
        <f t="shared" si="417"/>
        <v>Lactuca</v>
      </c>
      <c r="K846" s="76" t="str">
        <f t="shared" si="417"/>
        <v>inermis</v>
      </c>
      <c r="L846" s="77">
        <f t="shared" si="417"/>
        <v>13</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2019</v>
      </c>
      <c r="B847" s="72" t="str">
        <f t="shared" si="397"/>
        <v>Nov</v>
      </c>
      <c r="C847" s="73">
        <f t="shared" si="415"/>
        <v>24</v>
      </c>
      <c r="D847" s="74">
        <f t="shared" si="398"/>
        <v>0</v>
      </c>
      <c r="E847" s="75">
        <f t="shared" si="399"/>
        <v>24</v>
      </c>
      <c r="F847" s="79"/>
      <c r="G847" s="82"/>
      <c r="H847" s="68" t="str">
        <f t="shared" si="416"/>
        <v>Lacine13_20191124_00_00</v>
      </c>
      <c r="I847" s="69">
        <f t="shared" si="417"/>
        <v>1</v>
      </c>
      <c r="J847" s="76" t="str">
        <f t="shared" si="417"/>
        <v>Lactuca</v>
      </c>
      <c r="K847" s="76" t="str">
        <f t="shared" si="417"/>
        <v>inermis</v>
      </c>
      <c r="L847" s="77">
        <f t="shared" si="417"/>
        <v>13</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2019</v>
      </c>
      <c r="B848" s="72" t="str">
        <f t="shared" si="397"/>
        <v>Nov</v>
      </c>
      <c r="C848" s="73">
        <f t="shared" si="415"/>
        <v>24</v>
      </c>
      <c r="D848" s="74">
        <f t="shared" si="398"/>
        <v>0</v>
      </c>
      <c r="E848" s="75">
        <f t="shared" si="399"/>
        <v>25</v>
      </c>
      <c r="F848" s="79"/>
      <c r="G848" s="82"/>
      <c r="H848" s="68" t="str">
        <f t="shared" si="416"/>
        <v>Lacine13_20191124_00_00</v>
      </c>
      <c r="I848" s="69">
        <f t="shared" si="417"/>
        <v>1</v>
      </c>
      <c r="J848" s="76" t="str">
        <f t="shared" si="417"/>
        <v>Lactuca</v>
      </c>
      <c r="K848" s="76" t="str">
        <f t="shared" si="417"/>
        <v>inermis</v>
      </c>
      <c r="L848" s="77">
        <f t="shared" si="417"/>
        <v>13</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2019</v>
      </c>
      <c r="B849" s="72" t="str">
        <f t="shared" si="397"/>
        <v>Nov</v>
      </c>
      <c r="C849" s="73">
        <f t="shared" si="415"/>
        <v>24</v>
      </c>
      <c r="D849" s="74">
        <f t="shared" si="398"/>
        <v>0</v>
      </c>
      <c r="E849" s="75">
        <f t="shared" si="399"/>
        <v>26</v>
      </c>
      <c r="F849" s="79"/>
      <c r="G849" s="82"/>
      <c r="H849" s="68" t="str">
        <f t="shared" si="416"/>
        <v>Lacine13_20191124_00_00</v>
      </c>
      <c r="I849" s="69">
        <f t="shared" si="417"/>
        <v>1</v>
      </c>
      <c r="J849" s="76" t="str">
        <f t="shared" si="417"/>
        <v>Lactuca</v>
      </c>
      <c r="K849" s="76" t="str">
        <f t="shared" si="417"/>
        <v>inermis</v>
      </c>
      <c r="L849" s="77">
        <f t="shared" si="417"/>
        <v>13</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2019</v>
      </c>
      <c r="B850" s="72" t="str">
        <f t="shared" si="397"/>
        <v>Nov</v>
      </c>
      <c r="C850" s="73">
        <f t="shared" si="415"/>
        <v>24</v>
      </c>
      <c r="D850" s="74">
        <f t="shared" si="398"/>
        <v>0</v>
      </c>
      <c r="E850" s="75">
        <f t="shared" si="399"/>
        <v>27</v>
      </c>
      <c r="F850" s="79"/>
      <c r="G850" s="82"/>
      <c r="H850" s="68" t="str">
        <f t="shared" si="416"/>
        <v>Lacine13_20191124_00_00</v>
      </c>
      <c r="I850" s="69">
        <f t="shared" si="417"/>
        <v>1</v>
      </c>
      <c r="J850" s="76" t="str">
        <f t="shared" si="417"/>
        <v>Lactuca</v>
      </c>
      <c r="K850" s="76" t="str">
        <f t="shared" si="417"/>
        <v>inermis</v>
      </c>
      <c r="L850" s="77">
        <f t="shared" si="417"/>
        <v>13</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2019</v>
      </c>
      <c r="B851" s="72" t="str">
        <f t="shared" si="397"/>
        <v>Nov</v>
      </c>
      <c r="C851" s="73">
        <f t="shared" si="415"/>
        <v>24</v>
      </c>
      <c r="D851" s="74">
        <f t="shared" si="398"/>
        <v>0</v>
      </c>
      <c r="E851" s="75">
        <f t="shared" si="399"/>
        <v>28</v>
      </c>
      <c r="F851" s="79"/>
      <c r="G851" s="82"/>
      <c r="H851" s="68" t="str">
        <f t="shared" si="416"/>
        <v>Lacine13_20191124_00_00</v>
      </c>
      <c r="I851" s="69">
        <f t="shared" si="417"/>
        <v>1</v>
      </c>
      <c r="J851" s="76" t="str">
        <f t="shared" si="417"/>
        <v>Lactuca</v>
      </c>
      <c r="K851" s="76" t="str">
        <f t="shared" si="417"/>
        <v>inermis</v>
      </c>
      <c r="L851" s="77">
        <f t="shared" si="417"/>
        <v>13</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2019</v>
      </c>
      <c r="B852" s="72" t="str">
        <f t="shared" si="397"/>
        <v>Nov</v>
      </c>
      <c r="C852" s="73">
        <f t="shared" si="415"/>
        <v>24</v>
      </c>
      <c r="D852" s="74">
        <f t="shared" si="398"/>
        <v>0</v>
      </c>
      <c r="E852" s="75">
        <f t="shared" si="399"/>
        <v>29</v>
      </c>
      <c r="F852" s="79"/>
      <c r="G852" s="82"/>
      <c r="H852" s="68" t="str">
        <f t="shared" si="416"/>
        <v>Lacine13_20191124_00_00</v>
      </c>
      <c r="I852" s="69">
        <f t="shared" si="417"/>
        <v>1</v>
      </c>
      <c r="J852" s="76" t="str">
        <f t="shared" si="417"/>
        <v>Lactuca</v>
      </c>
      <c r="K852" s="76" t="str">
        <f t="shared" si="417"/>
        <v>inermis</v>
      </c>
      <c r="L852" s="77">
        <f t="shared" si="417"/>
        <v>13</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2019</v>
      </c>
      <c r="B853" s="72" t="str">
        <f t="shared" si="397"/>
        <v>Nov</v>
      </c>
      <c r="C853" s="73">
        <f t="shared" si="415"/>
        <v>24</v>
      </c>
      <c r="D853" s="74">
        <f t="shared" si="398"/>
        <v>0</v>
      </c>
      <c r="E853" s="75">
        <f t="shared" si="399"/>
        <v>30</v>
      </c>
      <c r="F853" s="79"/>
      <c r="G853" s="82"/>
      <c r="H853" s="68" t="str">
        <f t="shared" si="416"/>
        <v>Lacine13_20191124_00_00</v>
      </c>
      <c r="I853" s="69">
        <f t="shared" ref="I853:N868" si="418">I852</f>
        <v>1</v>
      </c>
      <c r="J853" s="76" t="str">
        <f t="shared" si="418"/>
        <v>Lactuca</v>
      </c>
      <c r="K853" s="76" t="str">
        <f t="shared" si="418"/>
        <v>inermis</v>
      </c>
      <c r="L853" s="77">
        <f t="shared" si="418"/>
        <v>13</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2019</v>
      </c>
      <c r="B854" s="72" t="str">
        <f t="shared" si="397"/>
        <v>Nov</v>
      </c>
      <c r="C854" s="73">
        <f t="shared" si="415"/>
        <v>24</v>
      </c>
      <c r="D854" s="74">
        <f t="shared" si="398"/>
        <v>0</v>
      </c>
      <c r="E854" s="75">
        <f t="shared" si="399"/>
        <v>31</v>
      </c>
      <c r="F854" s="79"/>
      <c r="G854" s="82"/>
      <c r="H854" s="68" t="str">
        <f t="shared" si="416"/>
        <v>Lacine13_20191124_00_00</v>
      </c>
      <c r="I854" s="69">
        <f t="shared" si="418"/>
        <v>1</v>
      </c>
      <c r="J854" s="76" t="str">
        <f t="shared" si="418"/>
        <v>Lactuca</v>
      </c>
      <c r="K854" s="76" t="str">
        <f t="shared" si="418"/>
        <v>inermis</v>
      </c>
      <c r="L854" s="77">
        <f t="shared" si="418"/>
        <v>13</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2019</v>
      </c>
      <c r="B855" s="72" t="str">
        <f t="shared" si="397"/>
        <v>Nov</v>
      </c>
      <c r="C855" s="73">
        <f t="shared" si="415"/>
        <v>24</v>
      </c>
      <c r="D855" s="74">
        <f t="shared" si="398"/>
        <v>0</v>
      </c>
      <c r="E855" s="75">
        <f t="shared" si="399"/>
        <v>32</v>
      </c>
      <c r="F855" s="79"/>
      <c r="G855" s="82"/>
      <c r="H855" s="68" t="str">
        <f t="shared" si="416"/>
        <v>Lacine13_20191124_00_00</v>
      </c>
      <c r="I855" s="69">
        <f t="shared" si="418"/>
        <v>1</v>
      </c>
      <c r="J855" s="76" t="str">
        <f t="shared" si="418"/>
        <v>Lactuca</v>
      </c>
      <c r="K855" s="76" t="str">
        <f t="shared" si="418"/>
        <v>inermis</v>
      </c>
      <c r="L855" s="77">
        <f t="shared" si="418"/>
        <v>13</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2019</v>
      </c>
      <c r="B856" s="72" t="str">
        <f t="shared" si="397"/>
        <v>Nov</v>
      </c>
      <c r="C856" s="73">
        <f t="shared" si="415"/>
        <v>24</v>
      </c>
      <c r="D856" s="74">
        <f t="shared" si="398"/>
        <v>0</v>
      </c>
      <c r="E856" s="75">
        <f t="shared" si="399"/>
        <v>33</v>
      </c>
      <c r="F856" s="79"/>
      <c r="G856" s="82"/>
      <c r="H856" s="68" t="str">
        <f t="shared" si="416"/>
        <v>Lacine13_20191124_00_00</v>
      </c>
      <c r="I856" s="69">
        <f t="shared" si="418"/>
        <v>1</v>
      </c>
      <c r="J856" s="76" t="str">
        <f t="shared" si="418"/>
        <v>Lactuca</v>
      </c>
      <c r="K856" s="76" t="str">
        <f t="shared" si="418"/>
        <v>inermis</v>
      </c>
      <c r="L856" s="77">
        <f t="shared" si="418"/>
        <v>13</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2019</v>
      </c>
      <c r="B857" s="72" t="str">
        <f t="shared" si="397"/>
        <v>Nov</v>
      </c>
      <c r="C857" s="73">
        <f t="shared" si="415"/>
        <v>24</v>
      </c>
      <c r="D857" s="74">
        <f t="shared" si="398"/>
        <v>0</v>
      </c>
      <c r="E857" s="75">
        <f t="shared" si="399"/>
        <v>34</v>
      </c>
      <c r="F857" s="79"/>
      <c r="G857" s="82"/>
      <c r="H857" s="68" t="str">
        <f t="shared" si="416"/>
        <v>Lacine13_20191124_00_00</v>
      </c>
      <c r="I857" s="69">
        <f t="shared" si="418"/>
        <v>1</v>
      </c>
      <c r="J857" s="76" t="str">
        <f t="shared" si="418"/>
        <v>Lactuca</v>
      </c>
      <c r="K857" s="76" t="str">
        <f t="shared" si="418"/>
        <v>inermis</v>
      </c>
      <c r="L857" s="77">
        <f t="shared" si="418"/>
        <v>13</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2019</v>
      </c>
      <c r="B858" s="72" t="str">
        <f t="shared" si="397"/>
        <v>Nov</v>
      </c>
      <c r="C858" s="73">
        <f t="shared" si="415"/>
        <v>24</v>
      </c>
      <c r="D858" s="74">
        <f t="shared" si="398"/>
        <v>0</v>
      </c>
      <c r="E858" s="75">
        <f t="shared" si="399"/>
        <v>35</v>
      </c>
      <c r="F858" s="79"/>
      <c r="G858" s="82"/>
      <c r="H858" s="68" t="str">
        <f t="shared" si="416"/>
        <v>Lacine13_20191124_00_00</v>
      </c>
      <c r="I858" s="69">
        <f t="shared" si="418"/>
        <v>1</v>
      </c>
      <c r="J858" s="76" t="str">
        <f t="shared" si="418"/>
        <v>Lactuca</v>
      </c>
      <c r="K858" s="76" t="str">
        <f t="shared" si="418"/>
        <v>inermis</v>
      </c>
      <c r="L858" s="77">
        <f t="shared" si="418"/>
        <v>13</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2019</v>
      </c>
      <c r="B859" s="72" t="str">
        <f t="shared" si="397"/>
        <v>Nov</v>
      </c>
      <c r="C859" s="73">
        <f t="shared" si="415"/>
        <v>24</v>
      </c>
      <c r="D859" s="74">
        <f t="shared" si="398"/>
        <v>0</v>
      </c>
      <c r="E859" s="75">
        <f t="shared" si="399"/>
        <v>36</v>
      </c>
      <c r="F859" s="79"/>
      <c r="G859" s="82"/>
      <c r="H859" s="68" t="str">
        <f t="shared" si="416"/>
        <v>Lacine13_20191124_00_00</v>
      </c>
      <c r="I859" s="69">
        <f t="shared" si="418"/>
        <v>1</v>
      </c>
      <c r="J859" s="76" t="str">
        <f t="shared" si="418"/>
        <v>Lactuca</v>
      </c>
      <c r="K859" s="76" t="str">
        <f t="shared" si="418"/>
        <v>inermis</v>
      </c>
      <c r="L859" s="77">
        <f t="shared" si="418"/>
        <v>13</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2019</v>
      </c>
      <c r="B860" s="72" t="str">
        <f t="shared" si="397"/>
        <v>Nov</v>
      </c>
      <c r="C860" s="73">
        <f t="shared" si="415"/>
        <v>24</v>
      </c>
      <c r="D860" s="74">
        <f t="shared" si="398"/>
        <v>0</v>
      </c>
      <c r="E860" s="75">
        <f t="shared" si="399"/>
        <v>37</v>
      </c>
      <c r="F860" s="79"/>
      <c r="G860" s="82"/>
      <c r="H860" s="68" t="str">
        <f t="shared" si="416"/>
        <v>Lacine13_20191124_00_00</v>
      </c>
      <c r="I860" s="69">
        <f t="shared" si="418"/>
        <v>1</v>
      </c>
      <c r="J860" s="76" t="str">
        <f t="shared" si="418"/>
        <v>Lactuca</v>
      </c>
      <c r="K860" s="76" t="str">
        <f t="shared" si="418"/>
        <v>inermis</v>
      </c>
      <c r="L860" s="77">
        <f t="shared" si="418"/>
        <v>13</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2019</v>
      </c>
      <c r="B861" s="72" t="str">
        <f t="shared" si="397"/>
        <v>Nov</v>
      </c>
      <c r="C861" s="73">
        <f t="shared" si="415"/>
        <v>24</v>
      </c>
      <c r="D861" s="74">
        <f t="shared" si="398"/>
        <v>0</v>
      </c>
      <c r="E861" s="75">
        <f t="shared" si="399"/>
        <v>38</v>
      </c>
      <c r="F861" s="79"/>
      <c r="G861" s="82"/>
      <c r="H861" s="68" t="str">
        <f t="shared" si="416"/>
        <v>Lacine13_20191124_00_00</v>
      </c>
      <c r="I861" s="69">
        <f t="shared" si="418"/>
        <v>1</v>
      </c>
      <c r="J861" s="76" t="str">
        <f t="shared" si="418"/>
        <v>Lactuca</v>
      </c>
      <c r="K861" s="76" t="str">
        <f t="shared" si="418"/>
        <v>inermis</v>
      </c>
      <c r="L861" s="77">
        <f t="shared" si="418"/>
        <v>13</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2019</v>
      </c>
      <c r="B862" s="72" t="str">
        <f t="shared" si="397"/>
        <v>Nov</v>
      </c>
      <c r="C862" s="73">
        <f t="shared" si="415"/>
        <v>24</v>
      </c>
      <c r="D862" s="74">
        <f t="shared" si="398"/>
        <v>0</v>
      </c>
      <c r="E862" s="75">
        <f t="shared" si="399"/>
        <v>39</v>
      </c>
      <c r="F862" s="79"/>
      <c r="G862" s="82"/>
      <c r="H862" s="68" t="str">
        <f t="shared" si="416"/>
        <v>Lacine13_20191124_00_00</v>
      </c>
      <c r="I862" s="69">
        <f t="shared" si="418"/>
        <v>1</v>
      </c>
      <c r="J862" s="76" t="str">
        <f t="shared" si="418"/>
        <v>Lactuca</v>
      </c>
      <c r="K862" s="76" t="str">
        <f t="shared" si="418"/>
        <v>inermis</v>
      </c>
      <c r="L862" s="77">
        <f t="shared" si="418"/>
        <v>13</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2019</v>
      </c>
      <c r="B863" s="72" t="str">
        <f t="shared" si="397"/>
        <v>Nov</v>
      </c>
      <c r="C863" s="73">
        <f t="shared" si="415"/>
        <v>24</v>
      </c>
      <c r="D863" s="74">
        <f t="shared" si="398"/>
        <v>0</v>
      </c>
      <c r="E863" s="75">
        <f t="shared" si="399"/>
        <v>40</v>
      </c>
      <c r="F863" s="79"/>
      <c r="G863" s="82"/>
      <c r="H863" s="68" t="str">
        <f t="shared" si="416"/>
        <v>Lacine13_20191124_00_00</v>
      </c>
      <c r="I863" s="69">
        <f t="shared" si="418"/>
        <v>1</v>
      </c>
      <c r="J863" s="76" t="str">
        <f t="shared" si="418"/>
        <v>Lactuca</v>
      </c>
      <c r="K863" s="76" t="str">
        <f t="shared" si="418"/>
        <v>inermis</v>
      </c>
      <c r="L863" s="77">
        <f t="shared" si="418"/>
        <v>13</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2019</v>
      </c>
      <c r="B864" s="72" t="str">
        <f t="shared" si="397"/>
        <v>Nov</v>
      </c>
      <c r="C864" s="73">
        <f t="shared" si="415"/>
        <v>24</v>
      </c>
      <c r="D864" s="74">
        <f t="shared" si="398"/>
        <v>0</v>
      </c>
      <c r="E864" s="75">
        <f t="shared" si="399"/>
        <v>41</v>
      </c>
      <c r="F864" s="79"/>
      <c r="G864" s="82"/>
      <c r="H864" s="68" t="str">
        <f t="shared" si="416"/>
        <v>Lacine13_20191124_00_00</v>
      </c>
      <c r="I864" s="69">
        <f t="shared" si="418"/>
        <v>1</v>
      </c>
      <c r="J864" s="76" t="str">
        <f t="shared" si="418"/>
        <v>Lactuca</v>
      </c>
      <c r="K864" s="76" t="str">
        <f t="shared" si="418"/>
        <v>inermis</v>
      </c>
      <c r="L864" s="77">
        <f t="shared" si="418"/>
        <v>13</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2019</v>
      </c>
      <c r="B865" s="72" t="str">
        <f t="shared" si="397"/>
        <v>Nov</v>
      </c>
      <c r="C865" s="73">
        <f t="shared" si="415"/>
        <v>24</v>
      </c>
      <c r="D865" s="74">
        <f t="shared" si="398"/>
        <v>0</v>
      </c>
      <c r="E865" s="75">
        <f t="shared" si="399"/>
        <v>42</v>
      </c>
      <c r="F865" s="79"/>
      <c r="G865" s="82"/>
      <c r="H865" s="68" t="str">
        <f t="shared" si="416"/>
        <v>Lacine13_20191124_00_00</v>
      </c>
      <c r="I865" s="69">
        <f t="shared" si="418"/>
        <v>1</v>
      </c>
      <c r="J865" s="76" t="str">
        <f t="shared" si="418"/>
        <v>Lactuca</v>
      </c>
      <c r="K865" s="76" t="str">
        <f t="shared" si="418"/>
        <v>inermis</v>
      </c>
      <c r="L865" s="77">
        <f t="shared" si="418"/>
        <v>13</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2019</v>
      </c>
      <c r="B866" s="72" t="str">
        <f t="shared" si="397"/>
        <v>Nov</v>
      </c>
      <c r="C866" s="73">
        <f t="shared" si="415"/>
        <v>24</v>
      </c>
      <c r="D866" s="74">
        <f t="shared" si="398"/>
        <v>0</v>
      </c>
      <c r="E866" s="75">
        <f t="shared" si="399"/>
        <v>43</v>
      </c>
      <c r="F866" s="79"/>
      <c r="G866" s="82"/>
      <c r="H866" s="68" t="str">
        <f t="shared" si="416"/>
        <v>Lacine13_20191124_00_00</v>
      </c>
      <c r="I866" s="69">
        <f t="shared" si="418"/>
        <v>1</v>
      </c>
      <c r="J866" s="76" t="str">
        <f t="shared" si="418"/>
        <v>Lactuca</v>
      </c>
      <c r="K866" s="76" t="str">
        <f t="shared" si="418"/>
        <v>inermis</v>
      </c>
      <c r="L866" s="77">
        <f t="shared" si="418"/>
        <v>13</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2019</v>
      </c>
      <c r="B867" s="72" t="str">
        <f t="shared" si="397"/>
        <v>Nov</v>
      </c>
      <c r="C867" s="73">
        <f t="shared" si="415"/>
        <v>24</v>
      </c>
      <c r="D867" s="74">
        <f t="shared" si="398"/>
        <v>0</v>
      </c>
      <c r="E867" s="75">
        <f t="shared" si="399"/>
        <v>44</v>
      </c>
      <c r="F867" s="79"/>
      <c r="G867" s="82"/>
      <c r="H867" s="68" t="str">
        <f t="shared" si="416"/>
        <v>Lacine13_20191124_00_00</v>
      </c>
      <c r="I867" s="69">
        <f t="shared" si="418"/>
        <v>1</v>
      </c>
      <c r="J867" s="76" t="str">
        <f t="shared" si="418"/>
        <v>Lactuca</v>
      </c>
      <c r="K867" s="76" t="str">
        <f t="shared" si="418"/>
        <v>inermis</v>
      </c>
      <c r="L867" s="77">
        <f t="shared" si="418"/>
        <v>13</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2019</v>
      </c>
      <c r="B868" s="72" t="str">
        <f t="shared" si="397"/>
        <v>Nov</v>
      </c>
      <c r="C868" s="73">
        <f t="shared" si="415"/>
        <v>24</v>
      </c>
      <c r="D868" s="74">
        <f t="shared" si="398"/>
        <v>0</v>
      </c>
      <c r="E868" s="75">
        <f t="shared" si="399"/>
        <v>45</v>
      </c>
      <c r="F868" s="79"/>
      <c r="G868" s="82"/>
      <c r="H868" s="68" t="str">
        <f t="shared" si="416"/>
        <v>Lacine13_20191124_00_00</v>
      </c>
      <c r="I868" s="69">
        <f t="shared" si="418"/>
        <v>1</v>
      </c>
      <c r="J868" s="76" t="str">
        <f t="shared" si="418"/>
        <v>Lactuca</v>
      </c>
      <c r="K868" s="76" t="str">
        <f t="shared" si="418"/>
        <v>inermis</v>
      </c>
      <c r="L868" s="77">
        <f t="shared" si="418"/>
        <v>13</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2019</v>
      </c>
      <c r="B869" s="72" t="str">
        <f t="shared" si="397"/>
        <v>Nov</v>
      </c>
      <c r="C869" s="73">
        <f t="shared" si="415"/>
        <v>24</v>
      </c>
      <c r="D869" s="74">
        <f t="shared" si="398"/>
        <v>0</v>
      </c>
      <c r="E869" s="75">
        <f t="shared" si="399"/>
        <v>46</v>
      </c>
      <c r="F869" s="79"/>
      <c r="G869" s="82"/>
      <c r="H869" s="68" t="str">
        <f t="shared" si="416"/>
        <v>Lacine13_20191124_00_00</v>
      </c>
      <c r="I869" s="69">
        <f t="shared" ref="I869:N884" si="419">I868</f>
        <v>1</v>
      </c>
      <c r="J869" s="76" t="str">
        <f t="shared" si="419"/>
        <v>Lactuca</v>
      </c>
      <c r="K869" s="76" t="str">
        <f t="shared" si="419"/>
        <v>inermis</v>
      </c>
      <c r="L869" s="77">
        <f t="shared" si="419"/>
        <v>13</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2019</v>
      </c>
      <c r="B870" s="72" t="str">
        <f t="shared" si="397"/>
        <v>Nov</v>
      </c>
      <c r="C870" s="73">
        <f t="shared" si="415"/>
        <v>24</v>
      </c>
      <c r="D870" s="74">
        <f t="shared" si="398"/>
        <v>0</v>
      </c>
      <c r="E870" s="75">
        <f t="shared" si="399"/>
        <v>47</v>
      </c>
      <c r="F870" s="79"/>
      <c r="G870" s="82"/>
      <c r="H870" s="68" t="str">
        <f t="shared" si="416"/>
        <v>Lacine13_20191124_00_00</v>
      </c>
      <c r="I870" s="69">
        <f t="shared" si="419"/>
        <v>1</v>
      </c>
      <c r="J870" s="76" t="str">
        <f t="shared" si="419"/>
        <v>Lactuca</v>
      </c>
      <c r="K870" s="76" t="str">
        <f t="shared" si="419"/>
        <v>inermis</v>
      </c>
      <c r="L870" s="77">
        <f t="shared" si="419"/>
        <v>13</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2019</v>
      </c>
      <c r="B871" s="72" t="str">
        <f t="shared" si="397"/>
        <v>Nov</v>
      </c>
      <c r="C871" s="73">
        <f t="shared" si="415"/>
        <v>24</v>
      </c>
      <c r="D871" s="74">
        <f t="shared" si="398"/>
        <v>0</v>
      </c>
      <c r="E871" s="75">
        <f t="shared" si="399"/>
        <v>48</v>
      </c>
      <c r="F871" s="79"/>
      <c r="G871" s="82"/>
      <c r="H871" s="68" t="str">
        <f t="shared" si="416"/>
        <v>Lacine13_20191124_00_00</v>
      </c>
      <c r="I871" s="69">
        <f t="shared" si="419"/>
        <v>1</v>
      </c>
      <c r="J871" s="76" t="str">
        <f t="shared" si="419"/>
        <v>Lactuca</v>
      </c>
      <c r="K871" s="76" t="str">
        <f t="shared" si="419"/>
        <v>inermis</v>
      </c>
      <c r="L871" s="77">
        <f t="shared" si="419"/>
        <v>13</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2019</v>
      </c>
      <c r="B872" s="72" t="str">
        <f t="shared" si="397"/>
        <v>Nov</v>
      </c>
      <c r="C872" s="73">
        <f t="shared" si="415"/>
        <v>24</v>
      </c>
      <c r="D872" s="74">
        <f t="shared" si="398"/>
        <v>0</v>
      </c>
      <c r="E872" s="75">
        <f t="shared" si="399"/>
        <v>49</v>
      </c>
      <c r="F872" s="79"/>
      <c r="G872" s="82"/>
      <c r="H872" s="68" t="str">
        <f t="shared" si="416"/>
        <v>Lacine13_20191124_00_00</v>
      </c>
      <c r="I872" s="69">
        <f t="shared" si="419"/>
        <v>1</v>
      </c>
      <c r="J872" s="76" t="str">
        <f t="shared" si="419"/>
        <v>Lactuca</v>
      </c>
      <c r="K872" s="76" t="str">
        <f t="shared" si="419"/>
        <v>inermis</v>
      </c>
      <c r="L872" s="77">
        <f t="shared" si="419"/>
        <v>13</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2019</v>
      </c>
      <c r="B873" s="72" t="str">
        <f t="shared" si="397"/>
        <v>Nov</v>
      </c>
      <c r="C873" s="73">
        <f t="shared" si="415"/>
        <v>24</v>
      </c>
      <c r="D873" s="74">
        <f t="shared" si="398"/>
        <v>0</v>
      </c>
      <c r="E873" s="75">
        <f t="shared" si="399"/>
        <v>50</v>
      </c>
      <c r="F873" s="79"/>
      <c r="G873" s="82"/>
      <c r="H873" s="68" t="str">
        <f t="shared" si="416"/>
        <v>Lacine13_20191124_00_00</v>
      </c>
      <c r="I873" s="69">
        <f t="shared" si="419"/>
        <v>1</v>
      </c>
      <c r="J873" s="76" t="str">
        <f t="shared" si="419"/>
        <v>Lactuca</v>
      </c>
      <c r="K873" s="76" t="str">
        <f t="shared" si="419"/>
        <v>inermis</v>
      </c>
      <c r="L873" s="77">
        <f t="shared" si="419"/>
        <v>13</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2019</v>
      </c>
      <c r="B874" s="72" t="str">
        <f t="shared" si="397"/>
        <v>Nov</v>
      </c>
      <c r="C874" s="73">
        <f t="shared" si="415"/>
        <v>24</v>
      </c>
      <c r="D874" s="74">
        <f t="shared" si="398"/>
        <v>0</v>
      </c>
      <c r="E874" s="75">
        <f t="shared" si="399"/>
        <v>51</v>
      </c>
      <c r="F874" s="79"/>
      <c r="G874" s="82"/>
      <c r="H874" s="68" t="str">
        <f t="shared" si="416"/>
        <v>Lacine13_20191124_00_00</v>
      </c>
      <c r="I874" s="69">
        <f t="shared" si="419"/>
        <v>1</v>
      </c>
      <c r="J874" s="76" t="str">
        <f t="shared" si="419"/>
        <v>Lactuca</v>
      </c>
      <c r="K874" s="76" t="str">
        <f t="shared" si="419"/>
        <v>inermis</v>
      </c>
      <c r="L874" s="77">
        <f t="shared" si="419"/>
        <v>13</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2019</v>
      </c>
      <c r="B875" s="72" t="str">
        <f t="shared" si="397"/>
        <v>Nov</v>
      </c>
      <c r="C875" s="73">
        <f t="shared" si="415"/>
        <v>24</v>
      </c>
      <c r="D875" s="74">
        <f t="shared" si="398"/>
        <v>0</v>
      </c>
      <c r="E875" s="75">
        <f t="shared" si="399"/>
        <v>52</v>
      </c>
      <c r="F875" s="79"/>
      <c r="G875" s="82"/>
      <c r="H875" s="68" t="str">
        <f t="shared" si="416"/>
        <v>Lacine13_20191124_00_00</v>
      </c>
      <c r="I875" s="69">
        <f t="shared" si="419"/>
        <v>1</v>
      </c>
      <c r="J875" s="76" t="str">
        <f t="shared" si="419"/>
        <v>Lactuca</v>
      </c>
      <c r="K875" s="76" t="str">
        <f t="shared" si="419"/>
        <v>inermis</v>
      </c>
      <c r="L875" s="77">
        <f t="shared" si="419"/>
        <v>13</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2019</v>
      </c>
      <c r="B876" s="72" t="str">
        <f t="shared" si="397"/>
        <v>Nov</v>
      </c>
      <c r="C876" s="73">
        <f t="shared" si="415"/>
        <v>24</v>
      </c>
      <c r="D876" s="74">
        <f t="shared" si="398"/>
        <v>0</v>
      </c>
      <c r="E876" s="75">
        <f t="shared" si="399"/>
        <v>53</v>
      </c>
      <c r="F876" s="79"/>
      <c r="G876" s="82"/>
      <c r="H876" s="68" t="str">
        <f t="shared" si="416"/>
        <v>Lacine13_20191124_00_00</v>
      </c>
      <c r="I876" s="69">
        <f t="shared" si="419"/>
        <v>1</v>
      </c>
      <c r="J876" s="76" t="str">
        <f t="shared" si="419"/>
        <v>Lactuca</v>
      </c>
      <c r="K876" s="76" t="str">
        <f t="shared" si="419"/>
        <v>inermis</v>
      </c>
      <c r="L876" s="77">
        <f t="shared" si="419"/>
        <v>13</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2019</v>
      </c>
      <c r="B877" s="72" t="str">
        <f t="shared" si="397"/>
        <v>Nov</v>
      </c>
      <c r="C877" s="73">
        <f t="shared" si="415"/>
        <v>24</v>
      </c>
      <c r="D877" s="74">
        <f t="shared" si="398"/>
        <v>0</v>
      </c>
      <c r="E877" s="75">
        <f t="shared" si="399"/>
        <v>54</v>
      </c>
      <c r="F877" s="79"/>
      <c r="G877" s="82"/>
      <c r="H877" s="68" t="str">
        <f t="shared" si="416"/>
        <v>Lacine13_20191124_00_00</v>
      </c>
      <c r="I877" s="69">
        <f t="shared" si="419"/>
        <v>1</v>
      </c>
      <c r="J877" s="76" t="str">
        <f t="shared" si="419"/>
        <v>Lactuca</v>
      </c>
      <c r="K877" s="76" t="str">
        <f t="shared" si="419"/>
        <v>inermis</v>
      </c>
      <c r="L877" s="77">
        <f t="shared" si="419"/>
        <v>13</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2019</v>
      </c>
      <c r="B878" s="72" t="str">
        <f t="shared" si="397"/>
        <v>Nov</v>
      </c>
      <c r="C878" s="73">
        <f t="shared" si="415"/>
        <v>24</v>
      </c>
      <c r="D878" s="74">
        <f t="shared" si="398"/>
        <v>0</v>
      </c>
      <c r="E878" s="75">
        <f t="shared" si="399"/>
        <v>55</v>
      </c>
      <c r="F878" s="79"/>
      <c r="G878" s="82"/>
      <c r="H878" s="68" t="str">
        <f t="shared" si="416"/>
        <v>Lacine13_20191124_00_00</v>
      </c>
      <c r="I878" s="69">
        <f t="shared" si="419"/>
        <v>1</v>
      </c>
      <c r="J878" s="76" t="str">
        <f t="shared" si="419"/>
        <v>Lactuca</v>
      </c>
      <c r="K878" s="76" t="str">
        <f t="shared" si="419"/>
        <v>inermis</v>
      </c>
      <c r="L878" s="77">
        <f t="shared" si="419"/>
        <v>13</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2019</v>
      </c>
      <c r="B879" s="72" t="str">
        <f t="shared" si="397"/>
        <v>Nov</v>
      </c>
      <c r="C879" s="73">
        <f t="shared" si="415"/>
        <v>24</v>
      </c>
      <c r="D879" s="74">
        <f t="shared" si="398"/>
        <v>0</v>
      </c>
      <c r="E879" s="75">
        <f t="shared" si="399"/>
        <v>56</v>
      </c>
      <c r="F879" s="79"/>
      <c r="G879" s="82"/>
      <c r="H879" s="68" t="str">
        <f t="shared" si="416"/>
        <v>Lacine13_20191124_00_00</v>
      </c>
      <c r="I879" s="69">
        <f t="shared" si="419"/>
        <v>1</v>
      </c>
      <c r="J879" s="76" t="str">
        <f t="shared" si="419"/>
        <v>Lactuca</v>
      </c>
      <c r="K879" s="76" t="str">
        <f t="shared" si="419"/>
        <v>inermis</v>
      </c>
      <c r="L879" s="77">
        <f t="shared" si="419"/>
        <v>13</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2019</v>
      </c>
      <c r="B880" s="72" t="str">
        <f t="shared" si="397"/>
        <v>Nov</v>
      </c>
      <c r="C880" s="73">
        <f t="shared" si="415"/>
        <v>24</v>
      </c>
      <c r="D880" s="74">
        <f t="shared" si="398"/>
        <v>0</v>
      </c>
      <c r="E880" s="75">
        <f t="shared" si="399"/>
        <v>57</v>
      </c>
      <c r="F880" s="79"/>
      <c r="G880" s="82"/>
      <c r="H880" s="68" t="str">
        <f t="shared" si="416"/>
        <v>Lacine13_20191124_00_00</v>
      </c>
      <c r="I880" s="69">
        <f t="shared" si="419"/>
        <v>1</v>
      </c>
      <c r="J880" s="76" t="str">
        <f t="shared" si="419"/>
        <v>Lactuca</v>
      </c>
      <c r="K880" s="76" t="str">
        <f t="shared" si="419"/>
        <v>inermis</v>
      </c>
      <c r="L880" s="77">
        <f t="shared" si="419"/>
        <v>13</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2019</v>
      </c>
      <c r="B881" s="72" t="str">
        <f t="shared" si="397"/>
        <v>Nov</v>
      </c>
      <c r="C881" s="73">
        <f t="shared" si="415"/>
        <v>24</v>
      </c>
      <c r="D881" s="74">
        <f t="shared" si="398"/>
        <v>0</v>
      </c>
      <c r="E881" s="75">
        <f t="shared" si="399"/>
        <v>58</v>
      </c>
      <c r="F881" s="79"/>
      <c r="G881" s="82"/>
      <c r="H881" s="68" t="str">
        <f t="shared" si="416"/>
        <v>Lacine13_20191124_00_00</v>
      </c>
      <c r="I881" s="69">
        <f t="shared" si="419"/>
        <v>1</v>
      </c>
      <c r="J881" s="76" t="str">
        <f t="shared" si="419"/>
        <v>Lactuca</v>
      </c>
      <c r="K881" s="76" t="str">
        <f t="shared" si="419"/>
        <v>inermis</v>
      </c>
      <c r="L881" s="77">
        <f t="shared" si="419"/>
        <v>13</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2019</v>
      </c>
      <c r="B882" s="72" t="str">
        <f t="shared" si="397"/>
        <v>Nov</v>
      </c>
      <c r="C882" s="73">
        <f t="shared" si="415"/>
        <v>24</v>
      </c>
      <c r="D882" s="74">
        <f t="shared" si="398"/>
        <v>0</v>
      </c>
      <c r="E882" s="75">
        <f t="shared" si="399"/>
        <v>59</v>
      </c>
      <c r="F882" s="79"/>
      <c r="G882" s="82"/>
      <c r="H882" s="68" t="str">
        <f t="shared" si="416"/>
        <v>Lacine13_20191124_00_00</v>
      </c>
      <c r="I882" s="69">
        <f t="shared" si="419"/>
        <v>1</v>
      </c>
      <c r="J882" s="76" t="str">
        <f t="shared" si="419"/>
        <v>Lactuca</v>
      </c>
      <c r="K882" s="76" t="str">
        <f t="shared" si="419"/>
        <v>inermis</v>
      </c>
      <c r="L882" s="77">
        <f t="shared" si="419"/>
        <v>13</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2019</v>
      </c>
      <c r="B883" s="72" t="str">
        <f t="shared" si="397"/>
        <v>Nov</v>
      </c>
      <c r="C883" s="73">
        <f t="shared" si="415"/>
        <v>24</v>
      </c>
      <c r="D883" s="74">
        <f t="shared" si="398"/>
        <v>1</v>
      </c>
      <c r="E883" s="75">
        <f t="shared" si="399"/>
        <v>0</v>
      </c>
      <c r="F883" s="79"/>
      <c r="G883" s="82"/>
      <c r="H883" s="68" t="str">
        <f t="shared" si="416"/>
        <v>Lacine13_20191124_01_00</v>
      </c>
      <c r="I883" s="69">
        <f t="shared" si="419"/>
        <v>1</v>
      </c>
      <c r="J883" s="76" t="str">
        <f t="shared" si="419"/>
        <v>Lactuca</v>
      </c>
      <c r="K883" s="76" t="str">
        <f t="shared" si="419"/>
        <v>inermis</v>
      </c>
      <c r="L883" s="77">
        <f t="shared" si="419"/>
        <v>13</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2019</v>
      </c>
      <c r="B884" s="72" t="str">
        <f t="shared" si="397"/>
        <v>Nov</v>
      </c>
      <c r="C884" s="73">
        <f t="shared" si="415"/>
        <v>24</v>
      </c>
      <c r="D884" s="74">
        <f t="shared" si="398"/>
        <v>1</v>
      </c>
      <c r="E884" s="75">
        <f t="shared" si="399"/>
        <v>1</v>
      </c>
      <c r="F884" s="79"/>
      <c r="G884" s="82"/>
      <c r="H884" s="68" t="str">
        <f t="shared" si="416"/>
        <v>Lacine13_20191124_01_00</v>
      </c>
      <c r="I884" s="69">
        <f t="shared" si="419"/>
        <v>1</v>
      </c>
      <c r="J884" s="76" t="str">
        <f t="shared" si="419"/>
        <v>Lactuca</v>
      </c>
      <c r="K884" s="76" t="str">
        <f t="shared" si="419"/>
        <v>inermis</v>
      </c>
      <c r="L884" s="77">
        <f t="shared" si="419"/>
        <v>13</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2019</v>
      </c>
      <c r="B885" s="72" t="str">
        <f t="shared" si="397"/>
        <v>Nov</v>
      </c>
      <c r="C885" s="73">
        <f t="shared" si="415"/>
        <v>24</v>
      </c>
      <c r="D885" s="74">
        <f t="shared" si="398"/>
        <v>1</v>
      </c>
      <c r="E885" s="75">
        <f t="shared" si="399"/>
        <v>2</v>
      </c>
      <c r="F885" s="79"/>
      <c r="G885" s="82"/>
      <c r="H885" s="68" t="str">
        <f t="shared" si="416"/>
        <v>Lacine13_20191124_01_00</v>
      </c>
      <c r="I885" s="69">
        <f t="shared" ref="I885:N900" si="420">I884</f>
        <v>1</v>
      </c>
      <c r="J885" s="76" t="str">
        <f t="shared" si="420"/>
        <v>Lactuca</v>
      </c>
      <c r="K885" s="76" t="str">
        <f t="shared" si="420"/>
        <v>inermis</v>
      </c>
      <c r="L885" s="77">
        <f t="shared" si="420"/>
        <v>13</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2019</v>
      </c>
      <c r="B886" s="72" t="str">
        <f t="shared" si="397"/>
        <v>Nov</v>
      </c>
      <c r="C886" s="73">
        <f t="shared" si="415"/>
        <v>24</v>
      </c>
      <c r="D886" s="74">
        <f t="shared" si="398"/>
        <v>1</v>
      </c>
      <c r="E886" s="75">
        <f t="shared" si="399"/>
        <v>3</v>
      </c>
      <c r="F886" s="79"/>
      <c r="G886" s="82"/>
      <c r="H886" s="68" t="str">
        <f t="shared" si="416"/>
        <v>Lacine13_20191124_01_00</v>
      </c>
      <c r="I886" s="69">
        <f t="shared" si="420"/>
        <v>1</v>
      </c>
      <c r="J886" s="76" t="str">
        <f t="shared" si="420"/>
        <v>Lactuca</v>
      </c>
      <c r="K886" s="76" t="str">
        <f t="shared" si="420"/>
        <v>inermis</v>
      </c>
      <c r="L886" s="77">
        <f t="shared" si="420"/>
        <v>13</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2019</v>
      </c>
      <c r="B887" s="72" t="str">
        <f t="shared" si="397"/>
        <v>Nov</v>
      </c>
      <c r="C887" s="73">
        <f t="shared" si="415"/>
        <v>24</v>
      </c>
      <c r="D887" s="74">
        <f t="shared" si="398"/>
        <v>1</v>
      </c>
      <c r="E887" s="75">
        <f t="shared" si="399"/>
        <v>4</v>
      </c>
      <c r="F887" s="79"/>
      <c r="G887" s="82"/>
      <c r="H887" s="68" t="str">
        <f t="shared" si="416"/>
        <v>Lacine13_20191124_01_00</v>
      </c>
      <c r="I887" s="69">
        <f t="shared" si="420"/>
        <v>1</v>
      </c>
      <c r="J887" s="76" t="str">
        <f t="shared" si="420"/>
        <v>Lactuca</v>
      </c>
      <c r="K887" s="76" t="str">
        <f t="shared" si="420"/>
        <v>inermis</v>
      </c>
      <c r="L887" s="77">
        <f t="shared" si="420"/>
        <v>13</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2019</v>
      </c>
      <c r="B888" s="72" t="str">
        <f t="shared" si="397"/>
        <v>Nov</v>
      </c>
      <c r="C888" s="73">
        <f t="shared" si="415"/>
        <v>24</v>
      </c>
      <c r="D888" s="74">
        <f t="shared" si="398"/>
        <v>1</v>
      </c>
      <c r="E888" s="75">
        <f t="shared" si="399"/>
        <v>5</v>
      </c>
      <c r="F888" s="79"/>
      <c r="G888" s="82"/>
      <c r="H888" s="68" t="str">
        <f t="shared" si="416"/>
        <v>Lacine13_20191124_01_00</v>
      </c>
      <c r="I888" s="69">
        <f t="shared" si="420"/>
        <v>1</v>
      </c>
      <c r="J888" s="76" t="str">
        <f t="shared" si="420"/>
        <v>Lactuca</v>
      </c>
      <c r="K888" s="76" t="str">
        <f t="shared" si="420"/>
        <v>inermis</v>
      </c>
      <c r="L888" s="77">
        <f t="shared" si="420"/>
        <v>13</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2019</v>
      </c>
      <c r="B889" s="72" t="str">
        <f t="shared" si="397"/>
        <v>Nov</v>
      </c>
      <c r="C889" s="73">
        <f t="shared" si="415"/>
        <v>24</v>
      </c>
      <c r="D889" s="74">
        <f t="shared" si="398"/>
        <v>1</v>
      </c>
      <c r="E889" s="75">
        <f t="shared" si="399"/>
        <v>6</v>
      </c>
      <c r="F889" s="79"/>
      <c r="G889" s="82"/>
      <c r="H889" s="68" t="str">
        <f t="shared" si="416"/>
        <v>Lacine13_20191124_01_00</v>
      </c>
      <c r="I889" s="69">
        <f t="shared" si="420"/>
        <v>1</v>
      </c>
      <c r="J889" s="76" t="str">
        <f t="shared" si="420"/>
        <v>Lactuca</v>
      </c>
      <c r="K889" s="76" t="str">
        <f t="shared" si="420"/>
        <v>inermis</v>
      </c>
      <c r="L889" s="77">
        <f t="shared" si="420"/>
        <v>13</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2019</v>
      </c>
      <c r="B890" s="72" t="str">
        <f t="shared" si="397"/>
        <v>Nov</v>
      </c>
      <c r="C890" s="73">
        <f t="shared" si="415"/>
        <v>24</v>
      </c>
      <c r="D890" s="74">
        <f t="shared" si="398"/>
        <v>1</v>
      </c>
      <c r="E890" s="75">
        <f t="shared" si="399"/>
        <v>7</v>
      </c>
      <c r="F890" s="79"/>
      <c r="G890" s="82"/>
      <c r="H890" s="68" t="str">
        <f t="shared" si="416"/>
        <v>Lacine13_20191124_01_00</v>
      </c>
      <c r="I890" s="69">
        <f t="shared" si="420"/>
        <v>1</v>
      </c>
      <c r="J890" s="76" t="str">
        <f t="shared" si="420"/>
        <v>Lactuca</v>
      </c>
      <c r="K890" s="76" t="str">
        <f t="shared" si="420"/>
        <v>inermis</v>
      </c>
      <c r="L890" s="77">
        <f t="shared" si="420"/>
        <v>13</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2019</v>
      </c>
      <c r="B891" s="72" t="str">
        <f t="shared" si="397"/>
        <v>Nov</v>
      </c>
      <c r="C891" s="73">
        <f t="shared" si="415"/>
        <v>24</v>
      </c>
      <c r="D891" s="74">
        <f t="shared" si="398"/>
        <v>1</v>
      </c>
      <c r="E891" s="75">
        <f t="shared" si="399"/>
        <v>8</v>
      </c>
      <c r="F891" s="79"/>
      <c r="G891" s="82"/>
      <c r="H891" s="68" t="str">
        <f t="shared" si="416"/>
        <v>Lacine13_20191124_01_00</v>
      </c>
      <c r="I891" s="69">
        <f t="shared" si="420"/>
        <v>1</v>
      </c>
      <c r="J891" s="76" t="str">
        <f t="shared" si="420"/>
        <v>Lactuca</v>
      </c>
      <c r="K891" s="76" t="str">
        <f t="shared" si="420"/>
        <v>inermis</v>
      </c>
      <c r="L891" s="77">
        <f t="shared" si="420"/>
        <v>13</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2019</v>
      </c>
      <c r="B892" s="72" t="str">
        <f t="shared" si="397"/>
        <v>Nov</v>
      </c>
      <c r="C892" s="73">
        <f t="shared" si="415"/>
        <v>24</v>
      </c>
      <c r="D892" s="74">
        <f t="shared" si="398"/>
        <v>1</v>
      </c>
      <c r="E892" s="75">
        <f t="shared" si="399"/>
        <v>9</v>
      </c>
      <c r="F892" s="79"/>
      <c r="G892" s="82"/>
      <c r="H892" s="68" t="str">
        <f t="shared" si="416"/>
        <v>Lacine13_20191124_01_00</v>
      </c>
      <c r="I892" s="69">
        <f t="shared" si="420"/>
        <v>1</v>
      </c>
      <c r="J892" s="76" t="str">
        <f t="shared" si="420"/>
        <v>Lactuca</v>
      </c>
      <c r="K892" s="76" t="str">
        <f t="shared" si="420"/>
        <v>inermis</v>
      </c>
      <c r="L892" s="77">
        <f t="shared" si="420"/>
        <v>13</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2019</v>
      </c>
      <c r="B893" s="72" t="str">
        <f t="shared" si="397"/>
        <v>Nov</v>
      </c>
      <c r="C893" s="73">
        <f t="shared" si="415"/>
        <v>24</v>
      </c>
      <c r="D893" s="74">
        <f t="shared" si="398"/>
        <v>1</v>
      </c>
      <c r="E893" s="75">
        <f t="shared" si="399"/>
        <v>10</v>
      </c>
      <c r="F893" s="79"/>
      <c r="G893" s="82"/>
      <c r="H893" s="68" t="str">
        <f t="shared" si="416"/>
        <v>Lacine13_20191124_01_00</v>
      </c>
      <c r="I893" s="69">
        <f t="shared" si="420"/>
        <v>1</v>
      </c>
      <c r="J893" s="76" t="str">
        <f t="shared" si="420"/>
        <v>Lactuca</v>
      </c>
      <c r="K893" s="76" t="str">
        <f t="shared" si="420"/>
        <v>inermis</v>
      </c>
      <c r="L893" s="77">
        <f t="shared" si="420"/>
        <v>13</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2019</v>
      </c>
      <c r="B894" s="72" t="str">
        <f t="shared" si="397"/>
        <v>Nov</v>
      </c>
      <c r="C894" s="73">
        <f t="shared" si="415"/>
        <v>24</v>
      </c>
      <c r="D894" s="74">
        <f t="shared" si="398"/>
        <v>1</v>
      </c>
      <c r="E894" s="75">
        <f t="shared" si="399"/>
        <v>11</v>
      </c>
      <c r="F894" s="79"/>
      <c r="G894" s="82"/>
      <c r="H894" s="68" t="str">
        <f t="shared" si="416"/>
        <v>Lacine13_20191124_01_00</v>
      </c>
      <c r="I894" s="69">
        <f t="shared" si="420"/>
        <v>1</v>
      </c>
      <c r="J894" s="76" t="str">
        <f t="shared" si="420"/>
        <v>Lactuca</v>
      </c>
      <c r="K894" s="76" t="str">
        <f t="shared" si="420"/>
        <v>inermis</v>
      </c>
      <c r="L894" s="77">
        <f t="shared" si="420"/>
        <v>13</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2019</v>
      </c>
      <c r="B895" s="72" t="str">
        <f t="shared" si="397"/>
        <v>Nov</v>
      </c>
      <c r="C895" s="73">
        <f t="shared" si="415"/>
        <v>24</v>
      </c>
      <c r="D895" s="74">
        <f t="shared" si="398"/>
        <v>1</v>
      </c>
      <c r="E895" s="75">
        <f t="shared" si="399"/>
        <v>12</v>
      </c>
      <c r="F895" s="79"/>
      <c r="G895" s="82"/>
      <c r="H895" s="68" t="str">
        <f t="shared" si="416"/>
        <v>Lacine13_20191124_01_00</v>
      </c>
      <c r="I895" s="69">
        <f t="shared" si="420"/>
        <v>1</v>
      </c>
      <c r="J895" s="76" t="str">
        <f t="shared" si="420"/>
        <v>Lactuca</v>
      </c>
      <c r="K895" s="76" t="str">
        <f t="shared" si="420"/>
        <v>inermis</v>
      </c>
      <c r="L895" s="77">
        <f t="shared" si="420"/>
        <v>13</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2019</v>
      </c>
      <c r="B896" s="72" t="str">
        <f t="shared" si="397"/>
        <v>Nov</v>
      </c>
      <c r="C896" s="73">
        <f t="shared" si="415"/>
        <v>24</v>
      </c>
      <c r="D896" s="74">
        <f t="shared" si="398"/>
        <v>1</v>
      </c>
      <c r="E896" s="75">
        <f t="shared" si="399"/>
        <v>13</v>
      </c>
      <c r="F896" s="79"/>
      <c r="G896" s="82"/>
      <c r="H896" s="68" t="str">
        <f t="shared" si="416"/>
        <v>Lacine13_20191124_01_00</v>
      </c>
      <c r="I896" s="69">
        <f t="shared" si="420"/>
        <v>1</v>
      </c>
      <c r="J896" s="76" t="str">
        <f t="shared" si="420"/>
        <v>Lactuca</v>
      </c>
      <c r="K896" s="76" t="str">
        <f t="shared" si="420"/>
        <v>inermis</v>
      </c>
      <c r="L896" s="77">
        <f t="shared" si="420"/>
        <v>13</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2019</v>
      </c>
      <c r="B897" s="72" t="str">
        <f t="shared" si="397"/>
        <v>Nov</v>
      </c>
      <c r="C897" s="73">
        <f t="shared" si="415"/>
        <v>24</v>
      </c>
      <c r="D897" s="74">
        <f t="shared" si="398"/>
        <v>1</v>
      </c>
      <c r="E897" s="75">
        <f t="shared" si="399"/>
        <v>14</v>
      </c>
      <c r="F897" s="79"/>
      <c r="G897" s="82"/>
      <c r="H897" s="68" t="str">
        <f t="shared" si="416"/>
        <v>Lacine13_20191124_01_00</v>
      </c>
      <c r="I897" s="69">
        <f t="shared" si="420"/>
        <v>1</v>
      </c>
      <c r="J897" s="76" t="str">
        <f t="shared" si="420"/>
        <v>Lactuca</v>
      </c>
      <c r="K897" s="76" t="str">
        <f t="shared" si="420"/>
        <v>inermis</v>
      </c>
      <c r="L897" s="77">
        <f t="shared" si="420"/>
        <v>13</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2019</v>
      </c>
      <c r="B898" s="72" t="str">
        <f t="shared" si="397"/>
        <v>Nov</v>
      </c>
      <c r="C898" s="73">
        <f t="shared" si="415"/>
        <v>24</v>
      </c>
      <c r="D898" s="74">
        <f t="shared" si="398"/>
        <v>1</v>
      </c>
      <c r="E898" s="75">
        <f t="shared" si="399"/>
        <v>15</v>
      </c>
      <c r="F898" s="79"/>
      <c r="G898" s="82"/>
      <c r="H898" s="68" t="str">
        <f t="shared" si="416"/>
        <v>Lacine13_20191124_01_00</v>
      </c>
      <c r="I898" s="69">
        <f t="shared" si="420"/>
        <v>1</v>
      </c>
      <c r="J898" s="76" t="str">
        <f t="shared" si="420"/>
        <v>Lactuca</v>
      </c>
      <c r="K898" s="76" t="str">
        <f t="shared" si="420"/>
        <v>inermis</v>
      </c>
      <c r="L898" s="77">
        <f t="shared" si="420"/>
        <v>13</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2019</v>
      </c>
      <c r="B899" s="72" t="str">
        <f t="shared" si="397"/>
        <v>Nov</v>
      </c>
      <c r="C899" s="73">
        <f t="shared" si="415"/>
        <v>24</v>
      </c>
      <c r="D899" s="74">
        <f t="shared" si="398"/>
        <v>1</v>
      </c>
      <c r="E899" s="75">
        <f t="shared" si="399"/>
        <v>16</v>
      </c>
      <c r="F899" s="79"/>
      <c r="G899" s="82"/>
      <c r="H899" s="68" t="str">
        <f t="shared" si="416"/>
        <v>Lacine13_20191124_01_00</v>
      </c>
      <c r="I899" s="69">
        <f t="shared" si="420"/>
        <v>1</v>
      </c>
      <c r="J899" s="76" t="str">
        <f t="shared" si="420"/>
        <v>Lactuca</v>
      </c>
      <c r="K899" s="76" t="str">
        <f t="shared" si="420"/>
        <v>inermis</v>
      </c>
      <c r="L899" s="77">
        <f t="shared" si="420"/>
        <v>13</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2019</v>
      </c>
      <c r="B900" s="72" t="str">
        <f t="shared" ref="B900:B963" si="427">IF(C899-C900&gt;0, TEXT(DATE(2016,(MONTH(DATEVALUE(B899&amp;"1"))+1),1),"mmm"), B899)</f>
        <v>Nov</v>
      </c>
      <c r="C900" s="73">
        <f t="shared" si="415"/>
        <v>24</v>
      </c>
      <c r="D900" s="74">
        <f t="shared" ref="D900:D963" si="428">IF(IF(E899=59,D899+1,D899)=24,0,IF(E899=59,D899+1,D899))</f>
        <v>1</v>
      </c>
      <c r="E900" s="75">
        <f t="shared" ref="E900:E963" si="429">IF(E899&lt;59,E899+1,0)</f>
        <v>17</v>
      </c>
      <c r="F900" s="79"/>
      <c r="G900" s="82"/>
      <c r="H900" s="68" t="str">
        <f t="shared" si="416"/>
        <v>Lacine13_20191124_01_00</v>
      </c>
      <c r="I900" s="69">
        <f t="shared" si="420"/>
        <v>1</v>
      </c>
      <c r="J900" s="76" t="str">
        <f t="shared" si="420"/>
        <v>Lactuca</v>
      </c>
      <c r="K900" s="76" t="str">
        <f t="shared" si="420"/>
        <v>inermis</v>
      </c>
      <c r="L900" s="77">
        <f t="shared" si="420"/>
        <v>13</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2019</v>
      </c>
      <c r="B901" s="72" t="str">
        <f t="shared" si="427"/>
        <v>Nov</v>
      </c>
      <c r="C901" s="73">
        <f t="shared" ref="C901:C964" si="445">IF(AND(D901=0, E901=0), IF(TEXT(C900,"dd")=TEXT(EOMONTH(DATE(A900,MONTH(DATEVALUE(B900&amp;"1")),C900),0), "dd"), 1, C900+1), C900)</f>
        <v>24</v>
      </c>
      <c r="D901" s="74">
        <f t="shared" si="428"/>
        <v>1</v>
      </c>
      <c r="E901" s="75">
        <f t="shared" si="429"/>
        <v>18</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Lacine13_20191124_01_00</v>
      </c>
      <c r="I901" s="69">
        <f t="shared" ref="I901:N916" si="447">I900</f>
        <v>1</v>
      </c>
      <c r="J901" s="76" t="str">
        <f t="shared" si="447"/>
        <v>Lactuca</v>
      </c>
      <c r="K901" s="76" t="str">
        <f t="shared" si="447"/>
        <v>inermis</v>
      </c>
      <c r="L901" s="77">
        <f t="shared" si="447"/>
        <v>13</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2019</v>
      </c>
      <c r="B902" s="72" t="str">
        <f t="shared" si="427"/>
        <v>Nov</v>
      </c>
      <c r="C902" s="73">
        <f t="shared" si="445"/>
        <v>24</v>
      </c>
      <c r="D902" s="74">
        <f t="shared" si="428"/>
        <v>1</v>
      </c>
      <c r="E902" s="75">
        <f t="shared" si="429"/>
        <v>19</v>
      </c>
      <c r="F902" s="79"/>
      <c r="G902" s="82"/>
      <c r="H902" s="68" t="str">
        <f t="shared" si="446"/>
        <v>Lacine13_20191124_01_00</v>
      </c>
      <c r="I902" s="69">
        <f t="shared" si="447"/>
        <v>1</v>
      </c>
      <c r="J902" s="76" t="str">
        <f t="shared" si="447"/>
        <v>Lactuca</v>
      </c>
      <c r="K902" s="76" t="str">
        <f t="shared" si="447"/>
        <v>inermis</v>
      </c>
      <c r="L902" s="77">
        <f t="shared" si="447"/>
        <v>13</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2019</v>
      </c>
      <c r="B903" s="72" t="str">
        <f t="shared" si="427"/>
        <v>Nov</v>
      </c>
      <c r="C903" s="73">
        <f t="shared" si="445"/>
        <v>24</v>
      </c>
      <c r="D903" s="74">
        <f t="shared" si="428"/>
        <v>1</v>
      </c>
      <c r="E903" s="75">
        <f t="shared" si="429"/>
        <v>20</v>
      </c>
      <c r="F903" s="79"/>
      <c r="G903" s="82"/>
      <c r="H903" s="68" t="str">
        <f t="shared" si="446"/>
        <v>Lacine13_20191124_01_00</v>
      </c>
      <c r="I903" s="69">
        <f t="shared" si="447"/>
        <v>1</v>
      </c>
      <c r="J903" s="76" t="str">
        <f t="shared" si="447"/>
        <v>Lactuca</v>
      </c>
      <c r="K903" s="76" t="str">
        <f t="shared" si="447"/>
        <v>inermis</v>
      </c>
      <c r="L903" s="77">
        <f t="shared" si="447"/>
        <v>13</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2019</v>
      </c>
      <c r="B904" s="72" t="str">
        <f t="shared" si="427"/>
        <v>Nov</v>
      </c>
      <c r="C904" s="73">
        <f t="shared" si="445"/>
        <v>24</v>
      </c>
      <c r="D904" s="74">
        <f t="shared" si="428"/>
        <v>1</v>
      </c>
      <c r="E904" s="75">
        <f t="shared" si="429"/>
        <v>21</v>
      </c>
      <c r="F904" s="79"/>
      <c r="G904" s="82"/>
      <c r="H904" s="68" t="str">
        <f t="shared" si="446"/>
        <v>Lacine13_20191124_01_00</v>
      </c>
      <c r="I904" s="69">
        <f t="shared" si="447"/>
        <v>1</v>
      </c>
      <c r="J904" s="76" t="str">
        <f t="shared" si="447"/>
        <v>Lactuca</v>
      </c>
      <c r="K904" s="76" t="str">
        <f t="shared" si="447"/>
        <v>inermis</v>
      </c>
      <c r="L904" s="77">
        <f t="shared" si="447"/>
        <v>13</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2019</v>
      </c>
      <c r="B905" s="72" t="str">
        <f t="shared" si="427"/>
        <v>Nov</v>
      </c>
      <c r="C905" s="73">
        <f t="shared" si="445"/>
        <v>24</v>
      </c>
      <c r="D905" s="74">
        <f t="shared" si="428"/>
        <v>1</v>
      </c>
      <c r="E905" s="75">
        <f t="shared" si="429"/>
        <v>22</v>
      </c>
      <c r="F905" s="79"/>
      <c r="G905" s="82"/>
      <c r="H905" s="68" t="str">
        <f t="shared" si="446"/>
        <v>Lacine13_20191124_01_00</v>
      </c>
      <c r="I905" s="69">
        <f t="shared" si="447"/>
        <v>1</v>
      </c>
      <c r="J905" s="76" t="str">
        <f t="shared" si="447"/>
        <v>Lactuca</v>
      </c>
      <c r="K905" s="76" t="str">
        <f t="shared" si="447"/>
        <v>inermis</v>
      </c>
      <c r="L905" s="77">
        <f t="shared" si="447"/>
        <v>13</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2019</v>
      </c>
      <c r="B906" s="72" t="str">
        <f t="shared" si="427"/>
        <v>Nov</v>
      </c>
      <c r="C906" s="73">
        <f t="shared" si="445"/>
        <v>24</v>
      </c>
      <c r="D906" s="74">
        <f t="shared" si="428"/>
        <v>1</v>
      </c>
      <c r="E906" s="75">
        <f t="shared" si="429"/>
        <v>23</v>
      </c>
      <c r="F906" s="79"/>
      <c r="G906" s="82"/>
      <c r="H906" s="68" t="str">
        <f t="shared" si="446"/>
        <v>Lacine13_20191124_01_00</v>
      </c>
      <c r="I906" s="69">
        <f t="shared" si="447"/>
        <v>1</v>
      </c>
      <c r="J906" s="76" t="str">
        <f t="shared" si="447"/>
        <v>Lactuca</v>
      </c>
      <c r="K906" s="76" t="str">
        <f t="shared" si="447"/>
        <v>inermis</v>
      </c>
      <c r="L906" s="77">
        <f t="shared" si="447"/>
        <v>13</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2019</v>
      </c>
      <c r="B907" s="72" t="str">
        <f t="shared" si="427"/>
        <v>Nov</v>
      </c>
      <c r="C907" s="73">
        <f t="shared" si="445"/>
        <v>24</v>
      </c>
      <c r="D907" s="74">
        <f t="shared" si="428"/>
        <v>1</v>
      </c>
      <c r="E907" s="75">
        <f t="shared" si="429"/>
        <v>24</v>
      </c>
      <c r="F907" s="79"/>
      <c r="G907" s="82"/>
      <c r="H907" s="68" t="str">
        <f t="shared" si="446"/>
        <v>Lacine13_20191124_01_00</v>
      </c>
      <c r="I907" s="69">
        <f t="shared" si="447"/>
        <v>1</v>
      </c>
      <c r="J907" s="76" t="str">
        <f t="shared" si="447"/>
        <v>Lactuca</v>
      </c>
      <c r="K907" s="76" t="str">
        <f t="shared" si="447"/>
        <v>inermis</v>
      </c>
      <c r="L907" s="77">
        <f t="shared" si="447"/>
        <v>13</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2019</v>
      </c>
      <c r="B908" s="72" t="str">
        <f t="shared" si="427"/>
        <v>Nov</v>
      </c>
      <c r="C908" s="73">
        <f t="shared" si="445"/>
        <v>24</v>
      </c>
      <c r="D908" s="74">
        <f t="shared" si="428"/>
        <v>1</v>
      </c>
      <c r="E908" s="75">
        <f t="shared" si="429"/>
        <v>25</v>
      </c>
      <c r="F908" s="79"/>
      <c r="G908" s="82"/>
      <c r="H908" s="68" t="str">
        <f t="shared" si="446"/>
        <v>Lacine13_20191124_01_00</v>
      </c>
      <c r="I908" s="69">
        <f t="shared" si="447"/>
        <v>1</v>
      </c>
      <c r="J908" s="76" t="str">
        <f t="shared" si="447"/>
        <v>Lactuca</v>
      </c>
      <c r="K908" s="76" t="str">
        <f t="shared" si="447"/>
        <v>inermis</v>
      </c>
      <c r="L908" s="77">
        <f t="shared" si="447"/>
        <v>13</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2019</v>
      </c>
      <c r="B909" s="72" t="str">
        <f t="shared" si="427"/>
        <v>Nov</v>
      </c>
      <c r="C909" s="73">
        <f t="shared" si="445"/>
        <v>24</v>
      </c>
      <c r="D909" s="74">
        <f t="shared" si="428"/>
        <v>1</v>
      </c>
      <c r="E909" s="75">
        <f t="shared" si="429"/>
        <v>26</v>
      </c>
      <c r="F909" s="79"/>
      <c r="G909" s="82"/>
      <c r="H909" s="68" t="str">
        <f t="shared" si="446"/>
        <v>Lacine13_20191124_01_00</v>
      </c>
      <c r="I909" s="69">
        <f t="shared" si="447"/>
        <v>1</v>
      </c>
      <c r="J909" s="76" t="str">
        <f t="shared" si="447"/>
        <v>Lactuca</v>
      </c>
      <c r="K909" s="76" t="str">
        <f t="shared" si="447"/>
        <v>inermis</v>
      </c>
      <c r="L909" s="77">
        <f t="shared" si="447"/>
        <v>13</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2019</v>
      </c>
      <c r="B910" s="72" t="str">
        <f t="shared" si="427"/>
        <v>Nov</v>
      </c>
      <c r="C910" s="73">
        <f t="shared" si="445"/>
        <v>24</v>
      </c>
      <c r="D910" s="74">
        <f t="shared" si="428"/>
        <v>1</v>
      </c>
      <c r="E910" s="75">
        <f t="shared" si="429"/>
        <v>27</v>
      </c>
      <c r="F910" s="79"/>
      <c r="G910" s="82"/>
      <c r="H910" s="68" t="str">
        <f t="shared" si="446"/>
        <v>Lacine13_20191124_01_00</v>
      </c>
      <c r="I910" s="69">
        <f t="shared" si="447"/>
        <v>1</v>
      </c>
      <c r="J910" s="76" t="str">
        <f t="shared" si="447"/>
        <v>Lactuca</v>
      </c>
      <c r="K910" s="76" t="str">
        <f t="shared" si="447"/>
        <v>inermis</v>
      </c>
      <c r="L910" s="77">
        <f t="shared" si="447"/>
        <v>13</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2019</v>
      </c>
      <c r="B911" s="72" t="str">
        <f t="shared" si="427"/>
        <v>Nov</v>
      </c>
      <c r="C911" s="73">
        <f t="shared" si="445"/>
        <v>24</v>
      </c>
      <c r="D911" s="74">
        <f t="shared" si="428"/>
        <v>1</v>
      </c>
      <c r="E911" s="75">
        <f t="shared" si="429"/>
        <v>28</v>
      </c>
      <c r="F911" s="79"/>
      <c r="G911" s="82"/>
      <c r="H911" s="68" t="str">
        <f t="shared" si="446"/>
        <v>Lacine13_20191124_01_00</v>
      </c>
      <c r="I911" s="69">
        <f t="shared" si="447"/>
        <v>1</v>
      </c>
      <c r="J911" s="76" t="str">
        <f t="shared" si="447"/>
        <v>Lactuca</v>
      </c>
      <c r="K911" s="76" t="str">
        <f t="shared" si="447"/>
        <v>inermis</v>
      </c>
      <c r="L911" s="77">
        <f t="shared" si="447"/>
        <v>13</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2019</v>
      </c>
      <c r="B912" s="72" t="str">
        <f t="shared" si="427"/>
        <v>Nov</v>
      </c>
      <c r="C912" s="73">
        <f t="shared" si="445"/>
        <v>24</v>
      </c>
      <c r="D912" s="74">
        <f t="shared" si="428"/>
        <v>1</v>
      </c>
      <c r="E912" s="75">
        <f t="shared" si="429"/>
        <v>29</v>
      </c>
      <c r="F912" s="79"/>
      <c r="G912" s="82"/>
      <c r="H912" s="68" t="str">
        <f t="shared" si="446"/>
        <v>Lacine13_20191124_01_00</v>
      </c>
      <c r="I912" s="69">
        <f t="shared" si="447"/>
        <v>1</v>
      </c>
      <c r="J912" s="76" t="str">
        <f t="shared" si="447"/>
        <v>Lactuca</v>
      </c>
      <c r="K912" s="76" t="str">
        <f t="shared" si="447"/>
        <v>inermis</v>
      </c>
      <c r="L912" s="77">
        <f t="shared" si="447"/>
        <v>13</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2019</v>
      </c>
      <c r="B913" s="72" t="str">
        <f t="shared" si="427"/>
        <v>Nov</v>
      </c>
      <c r="C913" s="73">
        <f t="shared" si="445"/>
        <v>24</v>
      </c>
      <c r="D913" s="74">
        <f t="shared" si="428"/>
        <v>1</v>
      </c>
      <c r="E913" s="75">
        <f t="shared" si="429"/>
        <v>30</v>
      </c>
      <c r="F913" s="79"/>
      <c r="G913" s="82"/>
      <c r="H913" s="68" t="str">
        <f t="shared" si="446"/>
        <v>Lacine13_20191124_01_00</v>
      </c>
      <c r="I913" s="69">
        <f t="shared" si="447"/>
        <v>1</v>
      </c>
      <c r="J913" s="76" t="str">
        <f t="shared" si="447"/>
        <v>Lactuca</v>
      </c>
      <c r="K913" s="76" t="str">
        <f t="shared" si="447"/>
        <v>inermis</v>
      </c>
      <c r="L913" s="77">
        <f t="shared" si="447"/>
        <v>13</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2019</v>
      </c>
      <c r="B914" s="72" t="str">
        <f t="shared" si="427"/>
        <v>Nov</v>
      </c>
      <c r="C914" s="73">
        <f t="shared" si="445"/>
        <v>24</v>
      </c>
      <c r="D914" s="74">
        <f t="shared" si="428"/>
        <v>1</v>
      </c>
      <c r="E914" s="75">
        <f t="shared" si="429"/>
        <v>31</v>
      </c>
      <c r="F914" s="79"/>
      <c r="G914" s="82"/>
      <c r="H914" s="68" t="str">
        <f t="shared" si="446"/>
        <v>Lacine13_20191124_01_00</v>
      </c>
      <c r="I914" s="69">
        <f t="shared" si="447"/>
        <v>1</v>
      </c>
      <c r="J914" s="76" t="str">
        <f t="shared" si="447"/>
        <v>Lactuca</v>
      </c>
      <c r="K914" s="76" t="str">
        <f t="shared" si="447"/>
        <v>inermis</v>
      </c>
      <c r="L914" s="77">
        <f t="shared" si="447"/>
        <v>13</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2019</v>
      </c>
      <c r="B915" s="72" t="str">
        <f t="shared" si="427"/>
        <v>Nov</v>
      </c>
      <c r="C915" s="73">
        <f t="shared" si="445"/>
        <v>24</v>
      </c>
      <c r="D915" s="74">
        <f t="shared" si="428"/>
        <v>1</v>
      </c>
      <c r="E915" s="75">
        <f t="shared" si="429"/>
        <v>32</v>
      </c>
      <c r="F915" s="79"/>
      <c r="G915" s="82"/>
      <c r="H915" s="68" t="str">
        <f t="shared" si="446"/>
        <v>Lacine13_20191124_01_00</v>
      </c>
      <c r="I915" s="69">
        <f t="shared" si="447"/>
        <v>1</v>
      </c>
      <c r="J915" s="76" t="str">
        <f t="shared" si="447"/>
        <v>Lactuca</v>
      </c>
      <c r="K915" s="76" t="str">
        <f t="shared" si="447"/>
        <v>inermis</v>
      </c>
      <c r="L915" s="77">
        <f t="shared" si="447"/>
        <v>13</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2019</v>
      </c>
      <c r="B916" s="72" t="str">
        <f t="shared" si="427"/>
        <v>Nov</v>
      </c>
      <c r="C916" s="73">
        <f t="shared" si="445"/>
        <v>24</v>
      </c>
      <c r="D916" s="74">
        <f t="shared" si="428"/>
        <v>1</v>
      </c>
      <c r="E916" s="75">
        <f t="shared" si="429"/>
        <v>33</v>
      </c>
      <c r="F916" s="79"/>
      <c r="G916" s="82"/>
      <c r="H916" s="68" t="str">
        <f t="shared" si="446"/>
        <v>Lacine13_20191124_01_00</v>
      </c>
      <c r="I916" s="69">
        <f t="shared" si="447"/>
        <v>1</v>
      </c>
      <c r="J916" s="76" t="str">
        <f t="shared" si="447"/>
        <v>Lactuca</v>
      </c>
      <c r="K916" s="76" t="str">
        <f t="shared" si="447"/>
        <v>inermis</v>
      </c>
      <c r="L916" s="77">
        <f t="shared" si="447"/>
        <v>13</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2019</v>
      </c>
      <c r="B917" s="72" t="str">
        <f t="shared" si="427"/>
        <v>Nov</v>
      </c>
      <c r="C917" s="73">
        <f t="shared" si="445"/>
        <v>24</v>
      </c>
      <c r="D917" s="74">
        <f t="shared" si="428"/>
        <v>1</v>
      </c>
      <c r="E917" s="75">
        <f t="shared" si="429"/>
        <v>34</v>
      </c>
      <c r="F917" s="79"/>
      <c r="G917" s="82"/>
      <c r="H917" s="68" t="str">
        <f t="shared" si="446"/>
        <v>Lacine13_20191124_01_00</v>
      </c>
      <c r="I917" s="69">
        <f t="shared" ref="I917:N932" si="448">I916</f>
        <v>1</v>
      </c>
      <c r="J917" s="76" t="str">
        <f t="shared" si="448"/>
        <v>Lactuca</v>
      </c>
      <c r="K917" s="76" t="str">
        <f t="shared" si="448"/>
        <v>inermis</v>
      </c>
      <c r="L917" s="77">
        <f t="shared" si="448"/>
        <v>13</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2019</v>
      </c>
      <c r="B918" s="72" t="str">
        <f t="shared" si="427"/>
        <v>Nov</v>
      </c>
      <c r="C918" s="73">
        <f t="shared" si="445"/>
        <v>24</v>
      </c>
      <c r="D918" s="74">
        <f t="shared" si="428"/>
        <v>1</v>
      </c>
      <c r="E918" s="75">
        <f t="shared" si="429"/>
        <v>35</v>
      </c>
      <c r="F918" s="79"/>
      <c r="G918" s="82"/>
      <c r="H918" s="68" t="str">
        <f t="shared" si="446"/>
        <v>Lacine13_20191124_01_00</v>
      </c>
      <c r="I918" s="69">
        <f t="shared" si="448"/>
        <v>1</v>
      </c>
      <c r="J918" s="76" t="str">
        <f t="shared" si="448"/>
        <v>Lactuca</v>
      </c>
      <c r="K918" s="76" t="str">
        <f t="shared" si="448"/>
        <v>inermis</v>
      </c>
      <c r="L918" s="77">
        <f t="shared" si="448"/>
        <v>13</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2019</v>
      </c>
      <c r="B919" s="72" t="str">
        <f t="shared" si="427"/>
        <v>Nov</v>
      </c>
      <c r="C919" s="73">
        <f t="shared" si="445"/>
        <v>24</v>
      </c>
      <c r="D919" s="74">
        <f t="shared" si="428"/>
        <v>1</v>
      </c>
      <c r="E919" s="75">
        <f t="shared" si="429"/>
        <v>36</v>
      </c>
      <c r="F919" s="79"/>
      <c r="G919" s="82"/>
      <c r="H919" s="68" t="str">
        <f t="shared" si="446"/>
        <v>Lacine13_20191124_01_00</v>
      </c>
      <c r="I919" s="69">
        <f t="shared" si="448"/>
        <v>1</v>
      </c>
      <c r="J919" s="76" t="str">
        <f t="shared" si="448"/>
        <v>Lactuca</v>
      </c>
      <c r="K919" s="76" t="str">
        <f t="shared" si="448"/>
        <v>inermis</v>
      </c>
      <c r="L919" s="77">
        <f t="shared" si="448"/>
        <v>13</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2019</v>
      </c>
      <c r="B920" s="72" t="str">
        <f t="shared" si="427"/>
        <v>Nov</v>
      </c>
      <c r="C920" s="73">
        <f t="shared" si="445"/>
        <v>24</v>
      </c>
      <c r="D920" s="74">
        <f t="shared" si="428"/>
        <v>1</v>
      </c>
      <c r="E920" s="75">
        <f t="shared" si="429"/>
        <v>37</v>
      </c>
      <c r="F920" s="79"/>
      <c r="G920" s="82"/>
      <c r="H920" s="68" t="str">
        <f t="shared" si="446"/>
        <v>Lacine13_20191124_01_00</v>
      </c>
      <c r="I920" s="69">
        <f t="shared" si="448"/>
        <v>1</v>
      </c>
      <c r="J920" s="76" t="str">
        <f t="shared" si="448"/>
        <v>Lactuca</v>
      </c>
      <c r="K920" s="76" t="str">
        <f t="shared" si="448"/>
        <v>inermis</v>
      </c>
      <c r="L920" s="77">
        <f t="shared" si="448"/>
        <v>13</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2019</v>
      </c>
      <c r="B921" s="72" t="str">
        <f t="shared" si="427"/>
        <v>Nov</v>
      </c>
      <c r="C921" s="73">
        <f t="shared" si="445"/>
        <v>24</v>
      </c>
      <c r="D921" s="74">
        <f t="shared" si="428"/>
        <v>1</v>
      </c>
      <c r="E921" s="75">
        <f t="shared" si="429"/>
        <v>38</v>
      </c>
      <c r="F921" s="79"/>
      <c r="G921" s="82"/>
      <c r="H921" s="68" t="str">
        <f t="shared" si="446"/>
        <v>Lacine13_20191124_01_00</v>
      </c>
      <c r="I921" s="69">
        <f t="shared" si="448"/>
        <v>1</v>
      </c>
      <c r="J921" s="76" t="str">
        <f t="shared" si="448"/>
        <v>Lactuca</v>
      </c>
      <c r="K921" s="76" t="str">
        <f t="shared" si="448"/>
        <v>inermis</v>
      </c>
      <c r="L921" s="77">
        <f t="shared" si="448"/>
        <v>13</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2019</v>
      </c>
      <c r="B922" s="72" t="str">
        <f t="shared" si="427"/>
        <v>Nov</v>
      </c>
      <c r="C922" s="73">
        <f t="shared" si="445"/>
        <v>24</v>
      </c>
      <c r="D922" s="74">
        <f t="shared" si="428"/>
        <v>1</v>
      </c>
      <c r="E922" s="75">
        <f t="shared" si="429"/>
        <v>39</v>
      </c>
      <c r="F922" s="79"/>
      <c r="G922" s="82"/>
      <c r="H922" s="68" t="str">
        <f t="shared" si="446"/>
        <v>Lacine13_20191124_01_00</v>
      </c>
      <c r="I922" s="69">
        <f t="shared" si="448"/>
        <v>1</v>
      </c>
      <c r="J922" s="76" t="str">
        <f t="shared" si="448"/>
        <v>Lactuca</v>
      </c>
      <c r="K922" s="76" t="str">
        <f t="shared" si="448"/>
        <v>inermis</v>
      </c>
      <c r="L922" s="77">
        <f t="shared" si="448"/>
        <v>13</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2019</v>
      </c>
      <c r="B923" s="72" t="str">
        <f t="shared" si="427"/>
        <v>Nov</v>
      </c>
      <c r="C923" s="73">
        <f t="shared" si="445"/>
        <v>24</v>
      </c>
      <c r="D923" s="74">
        <f t="shared" si="428"/>
        <v>1</v>
      </c>
      <c r="E923" s="75">
        <f t="shared" si="429"/>
        <v>40</v>
      </c>
      <c r="F923" s="79"/>
      <c r="G923" s="82"/>
      <c r="H923" s="68" t="str">
        <f t="shared" si="446"/>
        <v>Lacine13_20191124_01_00</v>
      </c>
      <c r="I923" s="69">
        <f t="shared" si="448"/>
        <v>1</v>
      </c>
      <c r="J923" s="76" t="str">
        <f t="shared" si="448"/>
        <v>Lactuca</v>
      </c>
      <c r="K923" s="76" t="str">
        <f t="shared" si="448"/>
        <v>inermis</v>
      </c>
      <c r="L923" s="77">
        <f t="shared" si="448"/>
        <v>13</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2019</v>
      </c>
      <c r="B924" s="72" t="str">
        <f t="shared" si="427"/>
        <v>Nov</v>
      </c>
      <c r="C924" s="73">
        <f t="shared" si="445"/>
        <v>24</v>
      </c>
      <c r="D924" s="74">
        <f t="shared" si="428"/>
        <v>1</v>
      </c>
      <c r="E924" s="75">
        <f t="shared" si="429"/>
        <v>41</v>
      </c>
      <c r="F924" s="79"/>
      <c r="G924" s="82"/>
      <c r="H924" s="68" t="str">
        <f t="shared" si="446"/>
        <v>Lacine13_20191124_01_00</v>
      </c>
      <c r="I924" s="69">
        <f t="shared" si="448"/>
        <v>1</v>
      </c>
      <c r="J924" s="76" t="str">
        <f t="shared" si="448"/>
        <v>Lactuca</v>
      </c>
      <c r="K924" s="76" t="str">
        <f t="shared" si="448"/>
        <v>inermis</v>
      </c>
      <c r="L924" s="77">
        <f t="shared" si="448"/>
        <v>13</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2019</v>
      </c>
      <c r="B925" s="72" t="str">
        <f t="shared" si="427"/>
        <v>Nov</v>
      </c>
      <c r="C925" s="73">
        <f t="shared" si="445"/>
        <v>24</v>
      </c>
      <c r="D925" s="74">
        <f t="shared" si="428"/>
        <v>1</v>
      </c>
      <c r="E925" s="75">
        <f t="shared" si="429"/>
        <v>42</v>
      </c>
      <c r="F925" s="79"/>
      <c r="G925" s="82"/>
      <c r="H925" s="68" t="str">
        <f t="shared" si="446"/>
        <v>Lacine13_20191124_01_00</v>
      </c>
      <c r="I925" s="69">
        <f t="shared" si="448"/>
        <v>1</v>
      </c>
      <c r="J925" s="76" t="str">
        <f t="shared" si="448"/>
        <v>Lactuca</v>
      </c>
      <c r="K925" s="76" t="str">
        <f t="shared" si="448"/>
        <v>inermis</v>
      </c>
      <c r="L925" s="77">
        <f t="shared" si="448"/>
        <v>13</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2019</v>
      </c>
      <c r="B926" s="72" t="str">
        <f t="shared" si="427"/>
        <v>Nov</v>
      </c>
      <c r="C926" s="73">
        <f t="shared" si="445"/>
        <v>24</v>
      </c>
      <c r="D926" s="74">
        <f t="shared" si="428"/>
        <v>1</v>
      </c>
      <c r="E926" s="75">
        <f t="shared" si="429"/>
        <v>43</v>
      </c>
      <c r="F926" s="79"/>
      <c r="G926" s="82"/>
      <c r="H926" s="68" t="str">
        <f t="shared" si="446"/>
        <v>Lacine13_20191124_01_00</v>
      </c>
      <c r="I926" s="69">
        <f t="shared" si="448"/>
        <v>1</v>
      </c>
      <c r="J926" s="76" t="str">
        <f t="shared" si="448"/>
        <v>Lactuca</v>
      </c>
      <c r="K926" s="76" t="str">
        <f t="shared" si="448"/>
        <v>inermis</v>
      </c>
      <c r="L926" s="77">
        <f t="shared" si="448"/>
        <v>13</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2019</v>
      </c>
      <c r="B927" s="72" t="str">
        <f t="shared" si="427"/>
        <v>Nov</v>
      </c>
      <c r="C927" s="73">
        <f t="shared" si="445"/>
        <v>24</v>
      </c>
      <c r="D927" s="74">
        <f t="shared" si="428"/>
        <v>1</v>
      </c>
      <c r="E927" s="75">
        <f t="shared" si="429"/>
        <v>44</v>
      </c>
      <c r="F927" s="79"/>
      <c r="G927" s="82"/>
      <c r="H927" s="68" t="str">
        <f t="shared" si="446"/>
        <v>Lacine13_20191124_01_00</v>
      </c>
      <c r="I927" s="69">
        <f t="shared" si="448"/>
        <v>1</v>
      </c>
      <c r="J927" s="76" t="str">
        <f t="shared" si="448"/>
        <v>Lactuca</v>
      </c>
      <c r="K927" s="76" t="str">
        <f t="shared" si="448"/>
        <v>inermis</v>
      </c>
      <c r="L927" s="77">
        <f t="shared" si="448"/>
        <v>13</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2019</v>
      </c>
      <c r="B928" s="72" t="str">
        <f t="shared" si="427"/>
        <v>Nov</v>
      </c>
      <c r="C928" s="73">
        <f t="shared" si="445"/>
        <v>24</v>
      </c>
      <c r="D928" s="74">
        <f t="shared" si="428"/>
        <v>1</v>
      </c>
      <c r="E928" s="75">
        <f t="shared" si="429"/>
        <v>45</v>
      </c>
      <c r="F928" s="79"/>
      <c r="G928" s="82"/>
      <c r="H928" s="68" t="str">
        <f t="shared" si="446"/>
        <v>Lacine13_20191124_01_00</v>
      </c>
      <c r="I928" s="69">
        <f t="shared" si="448"/>
        <v>1</v>
      </c>
      <c r="J928" s="76" t="str">
        <f t="shared" si="448"/>
        <v>Lactuca</v>
      </c>
      <c r="K928" s="76" t="str">
        <f t="shared" si="448"/>
        <v>inermis</v>
      </c>
      <c r="L928" s="77">
        <f t="shared" si="448"/>
        <v>13</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2019</v>
      </c>
      <c r="B929" s="72" t="str">
        <f t="shared" si="427"/>
        <v>Nov</v>
      </c>
      <c r="C929" s="73">
        <f t="shared" si="445"/>
        <v>24</v>
      </c>
      <c r="D929" s="74">
        <f t="shared" si="428"/>
        <v>1</v>
      </c>
      <c r="E929" s="75">
        <f t="shared" si="429"/>
        <v>46</v>
      </c>
      <c r="F929" s="79"/>
      <c r="G929" s="82"/>
      <c r="H929" s="68" t="str">
        <f t="shared" si="446"/>
        <v>Lacine13_20191124_01_00</v>
      </c>
      <c r="I929" s="69">
        <f t="shared" si="448"/>
        <v>1</v>
      </c>
      <c r="J929" s="76" t="str">
        <f t="shared" si="448"/>
        <v>Lactuca</v>
      </c>
      <c r="K929" s="76" t="str">
        <f t="shared" si="448"/>
        <v>inermis</v>
      </c>
      <c r="L929" s="77">
        <f t="shared" si="448"/>
        <v>13</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2019</v>
      </c>
      <c r="B930" s="72" t="str">
        <f t="shared" si="427"/>
        <v>Nov</v>
      </c>
      <c r="C930" s="73">
        <f t="shared" si="445"/>
        <v>24</v>
      </c>
      <c r="D930" s="74">
        <f t="shared" si="428"/>
        <v>1</v>
      </c>
      <c r="E930" s="75">
        <f t="shared" si="429"/>
        <v>47</v>
      </c>
      <c r="F930" s="79"/>
      <c r="G930" s="82"/>
      <c r="H930" s="68" t="str">
        <f t="shared" si="446"/>
        <v>Lacine13_20191124_01_00</v>
      </c>
      <c r="I930" s="69">
        <f t="shared" si="448"/>
        <v>1</v>
      </c>
      <c r="J930" s="76" t="str">
        <f t="shared" si="448"/>
        <v>Lactuca</v>
      </c>
      <c r="K930" s="76" t="str">
        <f t="shared" si="448"/>
        <v>inermis</v>
      </c>
      <c r="L930" s="77">
        <f t="shared" si="448"/>
        <v>13</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2019</v>
      </c>
      <c r="B931" s="72" t="str">
        <f t="shared" si="427"/>
        <v>Nov</v>
      </c>
      <c r="C931" s="73">
        <f t="shared" si="445"/>
        <v>24</v>
      </c>
      <c r="D931" s="74">
        <f t="shared" si="428"/>
        <v>1</v>
      </c>
      <c r="E931" s="75">
        <f t="shared" si="429"/>
        <v>48</v>
      </c>
      <c r="F931" s="79"/>
      <c r="G931" s="82"/>
      <c r="H931" s="68" t="str">
        <f t="shared" si="446"/>
        <v>Lacine13_20191124_01_00</v>
      </c>
      <c r="I931" s="69">
        <f t="shared" si="448"/>
        <v>1</v>
      </c>
      <c r="J931" s="76" t="str">
        <f t="shared" si="448"/>
        <v>Lactuca</v>
      </c>
      <c r="K931" s="76" t="str">
        <f t="shared" si="448"/>
        <v>inermis</v>
      </c>
      <c r="L931" s="77">
        <f t="shared" si="448"/>
        <v>13</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2019</v>
      </c>
      <c r="B932" s="72" t="str">
        <f t="shared" si="427"/>
        <v>Nov</v>
      </c>
      <c r="C932" s="73">
        <f t="shared" si="445"/>
        <v>24</v>
      </c>
      <c r="D932" s="74">
        <f t="shared" si="428"/>
        <v>1</v>
      </c>
      <c r="E932" s="75">
        <f t="shared" si="429"/>
        <v>49</v>
      </c>
      <c r="F932" s="79"/>
      <c r="G932" s="82"/>
      <c r="H932" s="68" t="str">
        <f t="shared" si="446"/>
        <v>Lacine13_20191124_01_00</v>
      </c>
      <c r="I932" s="69">
        <f t="shared" si="448"/>
        <v>1</v>
      </c>
      <c r="J932" s="76" t="str">
        <f t="shared" si="448"/>
        <v>Lactuca</v>
      </c>
      <c r="K932" s="76" t="str">
        <f t="shared" si="448"/>
        <v>inermis</v>
      </c>
      <c r="L932" s="77">
        <f t="shared" si="448"/>
        <v>13</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2019</v>
      </c>
      <c r="B933" s="72" t="str">
        <f t="shared" si="427"/>
        <v>Nov</v>
      </c>
      <c r="C933" s="73">
        <f t="shared" si="445"/>
        <v>24</v>
      </c>
      <c r="D933" s="74">
        <f t="shared" si="428"/>
        <v>1</v>
      </c>
      <c r="E933" s="75">
        <f t="shared" si="429"/>
        <v>50</v>
      </c>
      <c r="F933" s="79"/>
      <c r="G933" s="82"/>
      <c r="H933" s="68" t="str">
        <f t="shared" si="446"/>
        <v>Lacine13_20191124_01_00</v>
      </c>
      <c r="I933" s="69">
        <f t="shared" ref="I933:N948" si="449">I932</f>
        <v>1</v>
      </c>
      <c r="J933" s="76" t="str">
        <f t="shared" si="449"/>
        <v>Lactuca</v>
      </c>
      <c r="K933" s="76" t="str">
        <f t="shared" si="449"/>
        <v>inermis</v>
      </c>
      <c r="L933" s="77">
        <f t="shared" si="449"/>
        <v>13</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2019</v>
      </c>
      <c r="B934" s="72" t="str">
        <f t="shared" si="427"/>
        <v>Nov</v>
      </c>
      <c r="C934" s="73">
        <f t="shared" si="445"/>
        <v>24</v>
      </c>
      <c r="D934" s="74">
        <f t="shared" si="428"/>
        <v>1</v>
      </c>
      <c r="E934" s="75">
        <f t="shared" si="429"/>
        <v>51</v>
      </c>
      <c r="F934" s="79"/>
      <c r="G934" s="82"/>
      <c r="H934" s="68" t="str">
        <f t="shared" si="446"/>
        <v>Lacine13_20191124_01_00</v>
      </c>
      <c r="I934" s="69">
        <f t="shared" si="449"/>
        <v>1</v>
      </c>
      <c r="J934" s="76" t="str">
        <f t="shared" si="449"/>
        <v>Lactuca</v>
      </c>
      <c r="K934" s="76" t="str">
        <f t="shared" si="449"/>
        <v>inermis</v>
      </c>
      <c r="L934" s="77">
        <f t="shared" si="449"/>
        <v>13</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2019</v>
      </c>
      <c r="B935" s="72" t="str">
        <f t="shared" si="427"/>
        <v>Nov</v>
      </c>
      <c r="C935" s="73">
        <f t="shared" si="445"/>
        <v>24</v>
      </c>
      <c r="D935" s="74">
        <f t="shared" si="428"/>
        <v>1</v>
      </c>
      <c r="E935" s="75">
        <f t="shared" si="429"/>
        <v>52</v>
      </c>
      <c r="F935" s="79"/>
      <c r="G935" s="82"/>
      <c r="H935" s="68" t="str">
        <f t="shared" si="446"/>
        <v>Lacine13_20191124_01_00</v>
      </c>
      <c r="I935" s="69">
        <f t="shared" si="449"/>
        <v>1</v>
      </c>
      <c r="J935" s="76" t="str">
        <f t="shared" si="449"/>
        <v>Lactuca</v>
      </c>
      <c r="K935" s="76" t="str">
        <f t="shared" si="449"/>
        <v>inermis</v>
      </c>
      <c r="L935" s="77">
        <f t="shared" si="449"/>
        <v>13</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2019</v>
      </c>
      <c r="B936" s="72" t="str">
        <f t="shared" si="427"/>
        <v>Nov</v>
      </c>
      <c r="C936" s="73">
        <f t="shared" si="445"/>
        <v>24</v>
      </c>
      <c r="D936" s="74">
        <f t="shared" si="428"/>
        <v>1</v>
      </c>
      <c r="E936" s="75">
        <f t="shared" si="429"/>
        <v>53</v>
      </c>
      <c r="F936" s="79"/>
      <c r="G936" s="82"/>
      <c r="H936" s="68" t="str">
        <f t="shared" si="446"/>
        <v>Lacine13_20191124_01_00</v>
      </c>
      <c r="I936" s="69">
        <f t="shared" si="449"/>
        <v>1</v>
      </c>
      <c r="J936" s="76" t="str">
        <f t="shared" si="449"/>
        <v>Lactuca</v>
      </c>
      <c r="K936" s="76" t="str">
        <f t="shared" si="449"/>
        <v>inermis</v>
      </c>
      <c r="L936" s="77">
        <f t="shared" si="449"/>
        <v>13</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2019</v>
      </c>
      <c r="B937" s="72" t="str">
        <f t="shared" si="427"/>
        <v>Nov</v>
      </c>
      <c r="C937" s="73">
        <f t="shared" si="445"/>
        <v>24</v>
      </c>
      <c r="D937" s="74">
        <f t="shared" si="428"/>
        <v>1</v>
      </c>
      <c r="E937" s="75">
        <f t="shared" si="429"/>
        <v>54</v>
      </c>
      <c r="F937" s="79"/>
      <c r="G937" s="82"/>
      <c r="H937" s="68" t="str">
        <f t="shared" si="446"/>
        <v>Lacine13_20191124_01_00</v>
      </c>
      <c r="I937" s="69">
        <f t="shared" si="449"/>
        <v>1</v>
      </c>
      <c r="J937" s="76" t="str">
        <f t="shared" si="449"/>
        <v>Lactuca</v>
      </c>
      <c r="K937" s="76" t="str">
        <f t="shared" si="449"/>
        <v>inermis</v>
      </c>
      <c r="L937" s="77">
        <f t="shared" si="449"/>
        <v>13</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2019</v>
      </c>
      <c r="B938" s="72" t="str">
        <f t="shared" si="427"/>
        <v>Nov</v>
      </c>
      <c r="C938" s="73">
        <f t="shared" si="445"/>
        <v>24</v>
      </c>
      <c r="D938" s="74">
        <f t="shared" si="428"/>
        <v>1</v>
      </c>
      <c r="E938" s="75">
        <f t="shared" si="429"/>
        <v>55</v>
      </c>
      <c r="F938" s="79"/>
      <c r="G938" s="82"/>
      <c r="H938" s="68" t="str">
        <f t="shared" si="446"/>
        <v>Lacine13_20191124_01_00</v>
      </c>
      <c r="I938" s="69">
        <f t="shared" si="449"/>
        <v>1</v>
      </c>
      <c r="J938" s="76" t="str">
        <f t="shared" si="449"/>
        <v>Lactuca</v>
      </c>
      <c r="K938" s="76" t="str">
        <f t="shared" si="449"/>
        <v>inermis</v>
      </c>
      <c r="L938" s="77">
        <f t="shared" si="449"/>
        <v>13</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2019</v>
      </c>
      <c r="B939" s="72" t="str">
        <f t="shared" si="427"/>
        <v>Nov</v>
      </c>
      <c r="C939" s="73">
        <f t="shared" si="445"/>
        <v>24</v>
      </c>
      <c r="D939" s="74">
        <f t="shared" si="428"/>
        <v>1</v>
      </c>
      <c r="E939" s="75">
        <f t="shared" si="429"/>
        <v>56</v>
      </c>
      <c r="F939" s="79"/>
      <c r="G939" s="82"/>
      <c r="H939" s="68" t="str">
        <f t="shared" si="446"/>
        <v>Lacine13_20191124_01_00</v>
      </c>
      <c r="I939" s="69">
        <f t="shared" si="449"/>
        <v>1</v>
      </c>
      <c r="J939" s="76" t="str">
        <f t="shared" si="449"/>
        <v>Lactuca</v>
      </c>
      <c r="K939" s="76" t="str">
        <f t="shared" si="449"/>
        <v>inermis</v>
      </c>
      <c r="L939" s="77">
        <f t="shared" si="449"/>
        <v>13</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2019</v>
      </c>
      <c r="B940" s="72" t="str">
        <f t="shared" si="427"/>
        <v>Nov</v>
      </c>
      <c r="C940" s="73">
        <f t="shared" si="445"/>
        <v>24</v>
      </c>
      <c r="D940" s="74">
        <f t="shared" si="428"/>
        <v>1</v>
      </c>
      <c r="E940" s="75">
        <f t="shared" si="429"/>
        <v>57</v>
      </c>
      <c r="F940" s="79"/>
      <c r="G940" s="82"/>
      <c r="H940" s="68" t="str">
        <f t="shared" si="446"/>
        <v>Lacine13_20191124_01_00</v>
      </c>
      <c r="I940" s="69">
        <f t="shared" si="449"/>
        <v>1</v>
      </c>
      <c r="J940" s="76" t="str">
        <f t="shared" si="449"/>
        <v>Lactuca</v>
      </c>
      <c r="K940" s="76" t="str">
        <f t="shared" si="449"/>
        <v>inermis</v>
      </c>
      <c r="L940" s="77">
        <f t="shared" si="449"/>
        <v>13</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2019</v>
      </c>
      <c r="B941" s="72" t="str">
        <f t="shared" si="427"/>
        <v>Nov</v>
      </c>
      <c r="C941" s="73">
        <f t="shared" si="445"/>
        <v>24</v>
      </c>
      <c r="D941" s="74">
        <f t="shared" si="428"/>
        <v>1</v>
      </c>
      <c r="E941" s="75">
        <f t="shared" si="429"/>
        <v>58</v>
      </c>
      <c r="F941" s="79"/>
      <c r="G941" s="82"/>
      <c r="H941" s="68" t="str">
        <f t="shared" si="446"/>
        <v>Lacine13_20191124_01_00</v>
      </c>
      <c r="I941" s="69">
        <f t="shared" si="449"/>
        <v>1</v>
      </c>
      <c r="J941" s="76" t="str">
        <f t="shared" si="449"/>
        <v>Lactuca</v>
      </c>
      <c r="K941" s="76" t="str">
        <f t="shared" si="449"/>
        <v>inermis</v>
      </c>
      <c r="L941" s="77">
        <f t="shared" si="449"/>
        <v>13</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2019</v>
      </c>
      <c r="B942" s="72" t="str">
        <f t="shared" si="427"/>
        <v>Nov</v>
      </c>
      <c r="C942" s="73">
        <f t="shared" si="445"/>
        <v>24</v>
      </c>
      <c r="D942" s="74">
        <f t="shared" si="428"/>
        <v>1</v>
      </c>
      <c r="E942" s="75">
        <f t="shared" si="429"/>
        <v>59</v>
      </c>
      <c r="F942" s="79"/>
      <c r="G942" s="82"/>
      <c r="H942" s="68" t="str">
        <f t="shared" si="446"/>
        <v>Lacine13_20191124_01_00</v>
      </c>
      <c r="I942" s="69">
        <f t="shared" si="449"/>
        <v>1</v>
      </c>
      <c r="J942" s="76" t="str">
        <f t="shared" si="449"/>
        <v>Lactuca</v>
      </c>
      <c r="K942" s="76" t="str">
        <f t="shared" si="449"/>
        <v>inermis</v>
      </c>
      <c r="L942" s="77">
        <f t="shared" si="449"/>
        <v>13</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2019</v>
      </c>
      <c r="B943" s="72" t="str">
        <f t="shared" si="427"/>
        <v>Nov</v>
      </c>
      <c r="C943" s="73">
        <f t="shared" si="445"/>
        <v>24</v>
      </c>
      <c r="D943" s="74">
        <f t="shared" si="428"/>
        <v>2</v>
      </c>
      <c r="E943" s="75">
        <f t="shared" si="429"/>
        <v>0</v>
      </c>
      <c r="F943" s="79"/>
      <c r="G943" s="82"/>
      <c r="H943" s="68" t="str">
        <f t="shared" si="446"/>
        <v>Lacine13_20191124_02_00</v>
      </c>
      <c r="I943" s="69">
        <f t="shared" si="449"/>
        <v>1</v>
      </c>
      <c r="J943" s="76" t="str">
        <f t="shared" si="449"/>
        <v>Lactuca</v>
      </c>
      <c r="K943" s="76" t="str">
        <f t="shared" si="449"/>
        <v>inermis</v>
      </c>
      <c r="L943" s="77">
        <f t="shared" si="449"/>
        <v>13</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2019</v>
      </c>
      <c r="B944" s="72" t="str">
        <f t="shared" si="427"/>
        <v>Nov</v>
      </c>
      <c r="C944" s="73">
        <f t="shared" si="445"/>
        <v>24</v>
      </c>
      <c r="D944" s="74">
        <f t="shared" si="428"/>
        <v>2</v>
      </c>
      <c r="E944" s="75">
        <f t="shared" si="429"/>
        <v>1</v>
      </c>
      <c r="F944" s="79"/>
      <c r="G944" s="82"/>
      <c r="H944" s="68" t="str">
        <f t="shared" si="446"/>
        <v>Lacine13_20191124_02_00</v>
      </c>
      <c r="I944" s="69">
        <f t="shared" si="449"/>
        <v>1</v>
      </c>
      <c r="J944" s="76" t="str">
        <f t="shared" si="449"/>
        <v>Lactuca</v>
      </c>
      <c r="K944" s="76" t="str">
        <f t="shared" si="449"/>
        <v>inermis</v>
      </c>
      <c r="L944" s="77">
        <f t="shared" si="449"/>
        <v>13</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2019</v>
      </c>
      <c r="B945" s="72" t="str">
        <f t="shared" si="427"/>
        <v>Nov</v>
      </c>
      <c r="C945" s="73">
        <f t="shared" si="445"/>
        <v>24</v>
      </c>
      <c r="D945" s="74">
        <f t="shared" si="428"/>
        <v>2</v>
      </c>
      <c r="E945" s="75">
        <f t="shared" si="429"/>
        <v>2</v>
      </c>
      <c r="F945" s="79"/>
      <c r="G945" s="82"/>
      <c r="H945" s="68" t="str">
        <f t="shared" si="446"/>
        <v>Lacine13_20191124_02_00</v>
      </c>
      <c r="I945" s="69">
        <f t="shared" si="449"/>
        <v>1</v>
      </c>
      <c r="J945" s="76" t="str">
        <f t="shared" si="449"/>
        <v>Lactuca</v>
      </c>
      <c r="K945" s="76" t="str">
        <f t="shared" si="449"/>
        <v>inermis</v>
      </c>
      <c r="L945" s="77">
        <f t="shared" si="449"/>
        <v>13</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2019</v>
      </c>
      <c r="B946" s="72" t="str">
        <f t="shared" si="427"/>
        <v>Nov</v>
      </c>
      <c r="C946" s="73">
        <f t="shared" si="445"/>
        <v>24</v>
      </c>
      <c r="D946" s="74">
        <f t="shared" si="428"/>
        <v>2</v>
      </c>
      <c r="E946" s="75">
        <f t="shared" si="429"/>
        <v>3</v>
      </c>
      <c r="F946" s="79"/>
      <c r="G946" s="82"/>
      <c r="H946" s="68" t="str">
        <f t="shared" si="446"/>
        <v>Lacine13_20191124_02_00</v>
      </c>
      <c r="I946" s="69">
        <f t="shared" si="449"/>
        <v>1</v>
      </c>
      <c r="J946" s="76" t="str">
        <f t="shared" si="449"/>
        <v>Lactuca</v>
      </c>
      <c r="K946" s="76" t="str">
        <f t="shared" si="449"/>
        <v>inermis</v>
      </c>
      <c r="L946" s="77">
        <f t="shared" si="449"/>
        <v>13</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2019</v>
      </c>
      <c r="B947" s="72" t="str">
        <f t="shared" si="427"/>
        <v>Nov</v>
      </c>
      <c r="C947" s="73">
        <f t="shared" si="445"/>
        <v>24</v>
      </c>
      <c r="D947" s="74">
        <f t="shared" si="428"/>
        <v>2</v>
      </c>
      <c r="E947" s="75">
        <f t="shared" si="429"/>
        <v>4</v>
      </c>
      <c r="F947" s="79"/>
      <c r="G947" s="82"/>
      <c r="H947" s="68" t="str">
        <f t="shared" si="446"/>
        <v>Lacine13_20191124_02_00</v>
      </c>
      <c r="I947" s="69">
        <f t="shared" si="449"/>
        <v>1</v>
      </c>
      <c r="J947" s="76" t="str">
        <f t="shared" si="449"/>
        <v>Lactuca</v>
      </c>
      <c r="K947" s="76" t="str">
        <f t="shared" si="449"/>
        <v>inermis</v>
      </c>
      <c r="L947" s="77">
        <f t="shared" si="449"/>
        <v>13</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2019</v>
      </c>
      <c r="B948" s="72" t="str">
        <f t="shared" si="427"/>
        <v>Nov</v>
      </c>
      <c r="C948" s="73">
        <f t="shared" si="445"/>
        <v>24</v>
      </c>
      <c r="D948" s="74">
        <f t="shared" si="428"/>
        <v>2</v>
      </c>
      <c r="E948" s="75">
        <f t="shared" si="429"/>
        <v>5</v>
      </c>
      <c r="F948" s="79"/>
      <c r="G948" s="82"/>
      <c r="H948" s="68" t="str">
        <f t="shared" si="446"/>
        <v>Lacine13_20191124_02_00</v>
      </c>
      <c r="I948" s="69">
        <f t="shared" si="449"/>
        <v>1</v>
      </c>
      <c r="J948" s="76" t="str">
        <f t="shared" si="449"/>
        <v>Lactuca</v>
      </c>
      <c r="K948" s="76" t="str">
        <f t="shared" si="449"/>
        <v>inermis</v>
      </c>
      <c r="L948" s="77">
        <f t="shared" si="449"/>
        <v>13</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2019</v>
      </c>
      <c r="B949" s="72" t="str">
        <f t="shared" si="427"/>
        <v>Nov</v>
      </c>
      <c r="C949" s="73">
        <f t="shared" si="445"/>
        <v>24</v>
      </c>
      <c r="D949" s="74">
        <f t="shared" si="428"/>
        <v>2</v>
      </c>
      <c r="E949" s="75">
        <f t="shared" si="429"/>
        <v>6</v>
      </c>
      <c r="F949" s="79"/>
      <c r="G949" s="82"/>
      <c r="H949" s="68" t="str">
        <f t="shared" si="446"/>
        <v>Lacine13_20191124_02_00</v>
      </c>
      <c r="I949" s="69">
        <f t="shared" ref="I949:N964" si="450">I948</f>
        <v>1</v>
      </c>
      <c r="J949" s="76" t="str">
        <f t="shared" si="450"/>
        <v>Lactuca</v>
      </c>
      <c r="K949" s="76" t="str">
        <f t="shared" si="450"/>
        <v>inermis</v>
      </c>
      <c r="L949" s="77">
        <f t="shared" si="450"/>
        <v>13</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2019</v>
      </c>
      <c r="B950" s="72" t="str">
        <f t="shared" si="427"/>
        <v>Nov</v>
      </c>
      <c r="C950" s="73">
        <f t="shared" si="445"/>
        <v>24</v>
      </c>
      <c r="D950" s="74">
        <f t="shared" si="428"/>
        <v>2</v>
      </c>
      <c r="E950" s="75">
        <f t="shared" si="429"/>
        <v>7</v>
      </c>
      <c r="F950" s="79"/>
      <c r="G950" s="82"/>
      <c r="H950" s="68" t="str">
        <f t="shared" si="446"/>
        <v>Lacine13_20191124_02_00</v>
      </c>
      <c r="I950" s="69">
        <f t="shared" si="450"/>
        <v>1</v>
      </c>
      <c r="J950" s="76" t="str">
        <f t="shared" si="450"/>
        <v>Lactuca</v>
      </c>
      <c r="K950" s="76" t="str">
        <f t="shared" si="450"/>
        <v>inermis</v>
      </c>
      <c r="L950" s="77">
        <f t="shared" si="450"/>
        <v>13</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2019</v>
      </c>
      <c r="B951" s="72" t="str">
        <f t="shared" si="427"/>
        <v>Nov</v>
      </c>
      <c r="C951" s="73">
        <f t="shared" si="445"/>
        <v>24</v>
      </c>
      <c r="D951" s="74">
        <f t="shared" si="428"/>
        <v>2</v>
      </c>
      <c r="E951" s="75">
        <f t="shared" si="429"/>
        <v>8</v>
      </c>
      <c r="F951" s="79"/>
      <c r="G951" s="82"/>
      <c r="H951" s="68" t="str">
        <f t="shared" si="446"/>
        <v>Lacine13_20191124_02_00</v>
      </c>
      <c r="I951" s="69">
        <f t="shared" si="450"/>
        <v>1</v>
      </c>
      <c r="J951" s="76" t="str">
        <f t="shared" si="450"/>
        <v>Lactuca</v>
      </c>
      <c r="K951" s="76" t="str">
        <f t="shared" si="450"/>
        <v>inermis</v>
      </c>
      <c r="L951" s="77">
        <f t="shared" si="450"/>
        <v>13</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2019</v>
      </c>
      <c r="B952" s="72" t="str">
        <f t="shared" si="427"/>
        <v>Nov</v>
      </c>
      <c r="C952" s="73">
        <f t="shared" si="445"/>
        <v>24</v>
      </c>
      <c r="D952" s="74">
        <f t="shared" si="428"/>
        <v>2</v>
      </c>
      <c r="E952" s="75">
        <f t="shared" si="429"/>
        <v>9</v>
      </c>
      <c r="F952" s="79"/>
      <c r="G952" s="82"/>
      <c r="H952" s="68" t="str">
        <f t="shared" si="446"/>
        <v>Lacine13_20191124_02_00</v>
      </c>
      <c r="I952" s="69">
        <f t="shared" si="450"/>
        <v>1</v>
      </c>
      <c r="J952" s="76" t="str">
        <f t="shared" si="450"/>
        <v>Lactuca</v>
      </c>
      <c r="K952" s="76" t="str">
        <f t="shared" si="450"/>
        <v>inermis</v>
      </c>
      <c r="L952" s="77">
        <f t="shared" si="450"/>
        <v>13</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2019</v>
      </c>
      <c r="B953" s="72" t="str">
        <f t="shared" si="427"/>
        <v>Nov</v>
      </c>
      <c r="C953" s="73">
        <f t="shared" si="445"/>
        <v>24</v>
      </c>
      <c r="D953" s="74">
        <f t="shared" si="428"/>
        <v>2</v>
      </c>
      <c r="E953" s="75">
        <f t="shared" si="429"/>
        <v>10</v>
      </c>
      <c r="F953" s="79"/>
      <c r="G953" s="82"/>
      <c r="H953" s="68" t="str">
        <f t="shared" si="446"/>
        <v>Lacine13_20191124_02_00</v>
      </c>
      <c r="I953" s="69">
        <f t="shared" si="450"/>
        <v>1</v>
      </c>
      <c r="J953" s="76" t="str">
        <f t="shared" si="450"/>
        <v>Lactuca</v>
      </c>
      <c r="K953" s="76" t="str">
        <f t="shared" si="450"/>
        <v>inermis</v>
      </c>
      <c r="L953" s="77">
        <f t="shared" si="450"/>
        <v>13</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2019</v>
      </c>
      <c r="B954" s="72" t="str">
        <f t="shared" si="427"/>
        <v>Nov</v>
      </c>
      <c r="C954" s="73">
        <f t="shared" si="445"/>
        <v>24</v>
      </c>
      <c r="D954" s="74">
        <f t="shared" si="428"/>
        <v>2</v>
      </c>
      <c r="E954" s="75">
        <f t="shared" si="429"/>
        <v>11</v>
      </c>
      <c r="F954" s="79"/>
      <c r="G954" s="82"/>
      <c r="H954" s="68" t="str">
        <f t="shared" si="446"/>
        <v>Lacine13_20191124_02_00</v>
      </c>
      <c r="I954" s="69">
        <f t="shared" si="450"/>
        <v>1</v>
      </c>
      <c r="J954" s="76" t="str">
        <f t="shared" si="450"/>
        <v>Lactuca</v>
      </c>
      <c r="K954" s="76" t="str">
        <f t="shared" si="450"/>
        <v>inermis</v>
      </c>
      <c r="L954" s="77">
        <f t="shared" si="450"/>
        <v>13</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2019</v>
      </c>
      <c r="B955" s="72" t="str">
        <f t="shared" si="427"/>
        <v>Nov</v>
      </c>
      <c r="C955" s="73">
        <f t="shared" si="445"/>
        <v>24</v>
      </c>
      <c r="D955" s="74">
        <f t="shared" si="428"/>
        <v>2</v>
      </c>
      <c r="E955" s="75">
        <f t="shared" si="429"/>
        <v>12</v>
      </c>
      <c r="F955" s="79"/>
      <c r="G955" s="82"/>
      <c r="H955" s="68" t="str">
        <f t="shared" si="446"/>
        <v>Lacine13_20191124_02_00</v>
      </c>
      <c r="I955" s="69">
        <f t="shared" si="450"/>
        <v>1</v>
      </c>
      <c r="J955" s="76" t="str">
        <f t="shared" si="450"/>
        <v>Lactuca</v>
      </c>
      <c r="K955" s="76" t="str">
        <f t="shared" si="450"/>
        <v>inermis</v>
      </c>
      <c r="L955" s="77">
        <f t="shared" si="450"/>
        <v>13</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2019</v>
      </c>
      <c r="B956" s="72" t="str">
        <f t="shared" si="427"/>
        <v>Nov</v>
      </c>
      <c r="C956" s="73">
        <f t="shared" si="445"/>
        <v>24</v>
      </c>
      <c r="D956" s="74">
        <f t="shared" si="428"/>
        <v>2</v>
      </c>
      <c r="E956" s="75">
        <f t="shared" si="429"/>
        <v>13</v>
      </c>
      <c r="F956" s="79"/>
      <c r="G956" s="82"/>
      <c r="H956" s="68" t="str">
        <f t="shared" si="446"/>
        <v>Lacine13_20191124_02_00</v>
      </c>
      <c r="I956" s="69">
        <f t="shared" si="450"/>
        <v>1</v>
      </c>
      <c r="J956" s="76" t="str">
        <f t="shared" si="450"/>
        <v>Lactuca</v>
      </c>
      <c r="K956" s="76" t="str">
        <f t="shared" si="450"/>
        <v>inermis</v>
      </c>
      <c r="L956" s="77">
        <f t="shared" si="450"/>
        <v>13</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2019</v>
      </c>
      <c r="B957" s="72" t="str">
        <f t="shared" si="427"/>
        <v>Nov</v>
      </c>
      <c r="C957" s="73">
        <f t="shared" si="445"/>
        <v>24</v>
      </c>
      <c r="D957" s="74">
        <f t="shared" si="428"/>
        <v>2</v>
      </c>
      <c r="E957" s="75">
        <f t="shared" si="429"/>
        <v>14</v>
      </c>
      <c r="F957" s="79"/>
      <c r="G957" s="82"/>
      <c r="H957" s="68" t="str">
        <f t="shared" si="446"/>
        <v>Lacine13_20191124_02_00</v>
      </c>
      <c r="I957" s="69">
        <f t="shared" si="450"/>
        <v>1</v>
      </c>
      <c r="J957" s="76" t="str">
        <f t="shared" si="450"/>
        <v>Lactuca</v>
      </c>
      <c r="K957" s="76" t="str">
        <f t="shared" si="450"/>
        <v>inermis</v>
      </c>
      <c r="L957" s="77">
        <f t="shared" si="450"/>
        <v>13</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2019</v>
      </c>
      <c r="B958" s="72" t="str">
        <f t="shared" si="427"/>
        <v>Nov</v>
      </c>
      <c r="C958" s="73">
        <f t="shared" si="445"/>
        <v>24</v>
      </c>
      <c r="D958" s="74">
        <f t="shared" si="428"/>
        <v>2</v>
      </c>
      <c r="E958" s="75">
        <f t="shared" si="429"/>
        <v>15</v>
      </c>
      <c r="F958" s="79"/>
      <c r="G958" s="82"/>
      <c r="H958" s="68" t="str">
        <f t="shared" si="446"/>
        <v>Lacine13_20191124_02_00</v>
      </c>
      <c r="I958" s="69">
        <f t="shared" si="450"/>
        <v>1</v>
      </c>
      <c r="J958" s="76" t="str">
        <f t="shared" si="450"/>
        <v>Lactuca</v>
      </c>
      <c r="K958" s="76" t="str">
        <f t="shared" si="450"/>
        <v>inermis</v>
      </c>
      <c r="L958" s="77">
        <f t="shared" si="450"/>
        <v>13</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2019</v>
      </c>
      <c r="B959" s="72" t="str">
        <f t="shared" si="427"/>
        <v>Nov</v>
      </c>
      <c r="C959" s="73">
        <f t="shared" si="445"/>
        <v>24</v>
      </c>
      <c r="D959" s="74">
        <f t="shared" si="428"/>
        <v>2</v>
      </c>
      <c r="E959" s="75">
        <f t="shared" si="429"/>
        <v>16</v>
      </c>
      <c r="F959" s="79"/>
      <c r="G959" s="82"/>
      <c r="H959" s="68" t="str">
        <f t="shared" si="446"/>
        <v>Lacine13_20191124_02_00</v>
      </c>
      <c r="I959" s="69">
        <f t="shared" si="450"/>
        <v>1</v>
      </c>
      <c r="J959" s="76" t="str">
        <f t="shared" si="450"/>
        <v>Lactuca</v>
      </c>
      <c r="K959" s="76" t="str">
        <f t="shared" si="450"/>
        <v>inermis</v>
      </c>
      <c r="L959" s="77">
        <f t="shared" si="450"/>
        <v>13</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2019</v>
      </c>
      <c r="B960" s="72" t="str">
        <f t="shared" si="427"/>
        <v>Nov</v>
      </c>
      <c r="C960" s="73">
        <f t="shared" si="445"/>
        <v>24</v>
      </c>
      <c r="D960" s="74">
        <f t="shared" si="428"/>
        <v>2</v>
      </c>
      <c r="E960" s="75">
        <f t="shared" si="429"/>
        <v>17</v>
      </c>
      <c r="F960" s="79"/>
      <c r="G960" s="82"/>
      <c r="H960" s="68" t="str">
        <f t="shared" si="446"/>
        <v>Lacine13_20191124_02_00</v>
      </c>
      <c r="I960" s="69">
        <f t="shared" si="450"/>
        <v>1</v>
      </c>
      <c r="J960" s="76" t="str">
        <f t="shared" si="450"/>
        <v>Lactuca</v>
      </c>
      <c r="K960" s="76" t="str">
        <f t="shared" si="450"/>
        <v>inermis</v>
      </c>
      <c r="L960" s="77">
        <f t="shared" si="450"/>
        <v>13</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2019</v>
      </c>
      <c r="B961" s="72" t="str">
        <f t="shared" si="427"/>
        <v>Nov</v>
      </c>
      <c r="C961" s="73">
        <f t="shared" si="445"/>
        <v>24</v>
      </c>
      <c r="D961" s="74">
        <f t="shared" si="428"/>
        <v>2</v>
      </c>
      <c r="E961" s="75">
        <f t="shared" si="429"/>
        <v>18</v>
      </c>
      <c r="F961" s="79"/>
      <c r="G961" s="82"/>
      <c r="H961" s="68" t="str">
        <f t="shared" si="446"/>
        <v>Lacine13_20191124_02_00</v>
      </c>
      <c r="I961" s="69">
        <f t="shared" si="450"/>
        <v>1</v>
      </c>
      <c r="J961" s="76" t="str">
        <f t="shared" si="450"/>
        <v>Lactuca</v>
      </c>
      <c r="K961" s="76" t="str">
        <f t="shared" si="450"/>
        <v>inermis</v>
      </c>
      <c r="L961" s="77">
        <f t="shared" si="450"/>
        <v>13</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2019</v>
      </c>
      <c r="B962" s="72" t="str">
        <f t="shared" si="427"/>
        <v>Nov</v>
      </c>
      <c r="C962" s="73">
        <f t="shared" si="445"/>
        <v>24</v>
      </c>
      <c r="D962" s="74">
        <f t="shared" si="428"/>
        <v>2</v>
      </c>
      <c r="E962" s="75">
        <f t="shared" si="429"/>
        <v>19</v>
      </c>
      <c r="F962" s="79"/>
      <c r="G962" s="82"/>
      <c r="H962" s="68" t="str">
        <f t="shared" si="446"/>
        <v>Lacine13_20191124_02_00</v>
      </c>
      <c r="I962" s="69">
        <f t="shared" si="450"/>
        <v>1</v>
      </c>
      <c r="J962" s="76" t="str">
        <f t="shared" si="450"/>
        <v>Lactuca</v>
      </c>
      <c r="K962" s="76" t="str">
        <f t="shared" si="450"/>
        <v>inermis</v>
      </c>
      <c r="L962" s="77">
        <f t="shared" si="450"/>
        <v>13</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2019</v>
      </c>
      <c r="B963" s="72" t="str">
        <f t="shared" si="427"/>
        <v>Nov</v>
      </c>
      <c r="C963" s="73">
        <f t="shared" si="445"/>
        <v>24</v>
      </c>
      <c r="D963" s="74">
        <f t="shared" si="428"/>
        <v>2</v>
      </c>
      <c r="E963" s="75">
        <f t="shared" si="429"/>
        <v>20</v>
      </c>
      <c r="F963" s="79"/>
      <c r="G963" s="82"/>
      <c r="H963" s="68" t="str">
        <f t="shared" si="446"/>
        <v>Lacine13_20191124_02_00</v>
      </c>
      <c r="I963" s="69">
        <f t="shared" si="450"/>
        <v>1</v>
      </c>
      <c r="J963" s="76" t="str">
        <f t="shared" si="450"/>
        <v>Lactuca</v>
      </c>
      <c r="K963" s="76" t="str">
        <f t="shared" si="450"/>
        <v>inermis</v>
      </c>
      <c r="L963" s="77">
        <f t="shared" si="450"/>
        <v>13</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2019</v>
      </c>
      <c r="B964" s="72" t="str">
        <f t="shared" ref="B964:B1027" si="457">IF(C963-C964&gt;0, TEXT(DATE(2016,(MONTH(DATEVALUE(B963&amp;"1"))+1),1),"mmm"), B963)</f>
        <v>Nov</v>
      </c>
      <c r="C964" s="73">
        <f t="shared" si="445"/>
        <v>24</v>
      </c>
      <c r="D964" s="74">
        <f t="shared" ref="D964:D1027" si="458">IF(IF(E963=59,D963+1,D963)=24,0,IF(E963=59,D963+1,D963))</f>
        <v>2</v>
      </c>
      <c r="E964" s="75">
        <f t="shared" ref="E964:E1027" si="459">IF(E963&lt;59,E963+1,0)</f>
        <v>21</v>
      </c>
      <c r="F964" s="79"/>
      <c r="G964" s="82"/>
      <c r="H964" s="68" t="str">
        <f t="shared" si="446"/>
        <v>Lacine13_20191124_02_00</v>
      </c>
      <c r="I964" s="69">
        <f t="shared" si="450"/>
        <v>1</v>
      </c>
      <c r="J964" s="76" t="str">
        <f t="shared" si="450"/>
        <v>Lactuca</v>
      </c>
      <c r="K964" s="76" t="str">
        <f t="shared" si="450"/>
        <v>inermis</v>
      </c>
      <c r="L964" s="77">
        <f t="shared" si="450"/>
        <v>13</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2019</v>
      </c>
      <c r="B965" s="72" t="str">
        <f t="shared" si="457"/>
        <v>Nov</v>
      </c>
      <c r="C965" s="73">
        <f t="shared" ref="C965:C1028" si="475">IF(AND(D965=0, E965=0), IF(TEXT(C964,"dd")=TEXT(EOMONTH(DATE(A964,MONTH(DATEVALUE(B964&amp;"1")),C964),0), "dd"), 1, C964+1), C964)</f>
        <v>24</v>
      </c>
      <c r="D965" s="74">
        <f t="shared" si="458"/>
        <v>2</v>
      </c>
      <c r="E965" s="75">
        <f t="shared" si="459"/>
        <v>22</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Lacine13_20191124_02_00</v>
      </c>
      <c r="I965" s="69">
        <f t="shared" ref="I965:N980" si="477">I964</f>
        <v>1</v>
      </c>
      <c r="J965" s="76" t="str">
        <f t="shared" si="477"/>
        <v>Lactuca</v>
      </c>
      <c r="K965" s="76" t="str">
        <f t="shared" si="477"/>
        <v>inermis</v>
      </c>
      <c r="L965" s="77">
        <f t="shared" si="477"/>
        <v>13</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2019</v>
      </c>
      <c r="B966" s="72" t="str">
        <f t="shared" si="457"/>
        <v>Nov</v>
      </c>
      <c r="C966" s="73">
        <f t="shared" si="475"/>
        <v>24</v>
      </c>
      <c r="D966" s="74">
        <f t="shared" si="458"/>
        <v>2</v>
      </c>
      <c r="E966" s="75">
        <f t="shared" si="459"/>
        <v>23</v>
      </c>
      <c r="F966" s="79"/>
      <c r="G966" s="82"/>
      <c r="H966" s="68" t="str">
        <f t="shared" si="476"/>
        <v>Lacine13_20191124_02_00</v>
      </c>
      <c r="I966" s="69">
        <f t="shared" si="477"/>
        <v>1</v>
      </c>
      <c r="J966" s="76" t="str">
        <f t="shared" si="477"/>
        <v>Lactuca</v>
      </c>
      <c r="K966" s="76" t="str">
        <f t="shared" si="477"/>
        <v>inermis</v>
      </c>
      <c r="L966" s="77">
        <f t="shared" si="477"/>
        <v>13</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2019</v>
      </c>
      <c r="B967" s="72" t="str">
        <f t="shared" si="457"/>
        <v>Nov</v>
      </c>
      <c r="C967" s="73">
        <f t="shared" si="475"/>
        <v>24</v>
      </c>
      <c r="D967" s="74">
        <f t="shared" si="458"/>
        <v>2</v>
      </c>
      <c r="E967" s="75">
        <f t="shared" si="459"/>
        <v>24</v>
      </c>
      <c r="F967" s="79"/>
      <c r="G967" s="82"/>
      <c r="H967" s="68" t="str">
        <f t="shared" si="476"/>
        <v>Lacine13_20191124_02_00</v>
      </c>
      <c r="I967" s="69">
        <f t="shared" si="477"/>
        <v>1</v>
      </c>
      <c r="J967" s="76" t="str">
        <f t="shared" si="477"/>
        <v>Lactuca</v>
      </c>
      <c r="K967" s="76" t="str">
        <f t="shared" si="477"/>
        <v>inermis</v>
      </c>
      <c r="L967" s="77">
        <f t="shared" si="477"/>
        <v>13</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2019</v>
      </c>
      <c r="B968" s="72" t="str">
        <f t="shared" si="457"/>
        <v>Nov</v>
      </c>
      <c r="C968" s="73">
        <f t="shared" si="475"/>
        <v>24</v>
      </c>
      <c r="D968" s="74">
        <f t="shared" si="458"/>
        <v>2</v>
      </c>
      <c r="E968" s="75">
        <f t="shared" si="459"/>
        <v>25</v>
      </c>
      <c r="F968" s="79"/>
      <c r="G968" s="82"/>
      <c r="H968" s="68" t="str">
        <f t="shared" si="476"/>
        <v>Lacine13_20191124_02_00</v>
      </c>
      <c r="I968" s="69">
        <f t="shared" si="477"/>
        <v>1</v>
      </c>
      <c r="J968" s="76" t="str">
        <f t="shared" si="477"/>
        <v>Lactuca</v>
      </c>
      <c r="K968" s="76" t="str">
        <f t="shared" si="477"/>
        <v>inermis</v>
      </c>
      <c r="L968" s="77">
        <f t="shared" si="477"/>
        <v>13</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2019</v>
      </c>
      <c r="B969" s="72" t="str">
        <f t="shared" si="457"/>
        <v>Nov</v>
      </c>
      <c r="C969" s="73">
        <f t="shared" si="475"/>
        <v>24</v>
      </c>
      <c r="D969" s="74">
        <f t="shared" si="458"/>
        <v>2</v>
      </c>
      <c r="E969" s="75">
        <f t="shared" si="459"/>
        <v>26</v>
      </c>
      <c r="F969" s="79"/>
      <c r="G969" s="82"/>
      <c r="H969" s="68" t="str">
        <f t="shared" si="476"/>
        <v>Lacine13_20191124_02_00</v>
      </c>
      <c r="I969" s="69">
        <f t="shared" si="477"/>
        <v>1</v>
      </c>
      <c r="J969" s="76" t="str">
        <f t="shared" si="477"/>
        <v>Lactuca</v>
      </c>
      <c r="K969" s="76" t="str">
        <f t="shared" si="477"/>
        <v>inermis</v>
      </c>
      <c r="L969" s="77">
        <f t="shared" si="477"/>
        <v>13</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2019</v>
      </c>
      <c r="B970" s="72" t="str">
        <f t="shared" si="457"/>
        <v>Nov</v>
      </c>
      <c r="C970" s="73">
        <f t="shared" si="475"/>
        <v>24</v>
      </c>
      <c r="D970" s="74">
        <f t="shared" si="458"/>
        <v>2</v>
      </c>
      <c r="E970" s="75">
        <f t="shared" si="459"/>
        <v>27</v>
      </c>
      <c r="F970" s="79"/>
      <c r="G970" s="82"/>
      <c r="H970" s="68" t="str">
        <f t="shared" si="476"/>
        <v>Lacine13_20191124_02_00</v>
      </c>
      <c r="I970" s="69">
        <f t="shared" si="477"/>
        <v>1</v>
      </c>
      <c r="J970" s="76" t="str">
        <f t="shared" si="477"/>
        <v>Lactuca</v>
      </c>
      <c r="K970" s="76" t="str">
        <f t="shared" si="477"/>
        <v>inermis</v>
      </c>
      <c r="L970" s="77">
        <f t="shared" si="477"/>
        <v>13</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2019</v>
      </c>
      <c r="B971" s="72" t="str">
        <f t="shared" si="457"/>
        <v>Nov</v>
      </c>
      <c r="C971" s="73">
        <f t="shared" si="475"/>
        <v>24</v>
      </c>
      <c r="D971" s="74">
        <f t="shared" si="458"/>
        <v>2</v>
      </c>
      <c r="E971" s="75">
        <f t="shared" si="459"/>
        <v>28</v>
      </c>
      <c r="F971" s="79"/>
      <c r="G971" s="82"/>
      <c r="H971" s="68" t="str">
        <f t="shared" si="476"/>
        <v>Lacine13_20191124_02_00</v>
      </c>
      <c r="I971" s="69">
        <f t="shared" si="477"/>
        <v>1</v>
      </c>
      <c r="J971" s="76" t="str">
        <f t="shared" si="477"/>
        <v>Lactuca</v>
      </c>
      <c r="K971" s="76" t="str">
        <f t="shared" si="477"/>
        <v>inermis</v>
      </c>
      <c r="L971" s="77">
        <f t="shared" si="477"/>
        <v>13</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2019</v>
      </c>
      <c r="B972" s="72" t="str">
        <f t="shared" si="457"/>
        <v>Nov</v>
      </c>
      <c r="C972" s="73">
        <f t="shared" si="475"/>
        <v>24</v>
      </c>
      <c r="D972" s="74">
        <f t="shared" si="458"/>
        <v>2</v>
      </c>
      <c r="E972" s="75">
        <f t="shared" si="459"/>
        <v>29</v>
      </c>
      <c r="F972" s="79"/>
      <c r="G972" s="82"/>
      <c r="H972" s="68" t="str">
        <f t="shared" si="476"/>
        <v>Lacine13_20191124_02_00</v>
      </c>
      <c r="I972" s="69">
        <f t="shared" si="477"/>
        <v>1</v>
      </c>
      <c r="J972" s="76" t="str">
        <f t="shared" si="477"/>
        <v>Lactuca</v>
      </c>
      <c r="K972" s="76" t="str">
        <f t="shared" si="477"/>
        <v>inermis</v>
      </c>
      <c r="L972" s="77">
        <f t="shared" si="477"/>
        <v>13</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2019</v>
      </c>
      <c r="B973" s="72" t="str">
        <f t="shared" si="457"/>
        <v>Nov</v>
      </c>
      <c r="C973" s="73">
        <f t="shared" si="475"/>
        <v>24</v>
      </c>
      <c r="D973" s="74">
        <f t="shared" si="458"/>
        <v>2</v>
      </c>
      <c r="E973" s="75">
        <f t="shared" si="459"/>
        <v>30</v>
      </c>
      <c r="F973" s="79"/>
      <c r="G973" s="82"/>
      <c r="H973" s="68" t="str">
        <f t="shared" si="476"/>
        <v>Lacine13_20191124_02_00</v>
      </c>
      <c r="I973" s="69">
        <f t="shared" si="477"/>
        <v>1</v>
      </c>
      <c r="J973" s="76" t="str">
        <f t="shared" si="477"/>
        <v>Lactuca</v>
      </c>
      <c r="K973" s="76" t="str">
        <f t="shared" si="477"/>
        <v>inermis</v>
      </c>
      <c r="L973" s="77">
        <f t="shared" si="477"/>
        <v>13</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2019</v>
      </c>
      <c r="B974" s="72" t="str">
        <f t="shared" si="457"/>
        <v>Nov</v>
      </c>
      <c r="C974" s="73">
        <f t="shared" si="475"/>
        <v>24</v>
      </c>
      <c r="D974" s="74">
        <f t="shared" si="458"/>
        <v>2</v>
      </c>
      <c r="E974" s="75">
        <f t="shared" si="459"/>
        <v>31</v>
      </c>
      <c r="F974" s="79"/>
      <c r="G974" s="82"/>
      <c r="H974" s="68" t="str">
        <f t="shared" si="476"/>
        <v>Lacine13_20191124_02_00</v>
      </c>
      <c r="I974" s="69">
        <f t="shared" si="477"/>
        <v>1</v>
      </c>
      <c r="J974" s="76" t="str">
        <f t="shared" si="477"/>
        <v>Lactuca</v>
      </c>
      <c r="K974" s="76" t="str">
        <f t="shared" si="477"/>
        <v>inermis</v>
      </c>
      <c r="L974" s="77">
        <f t="shared" si="477"/>
        <v>13</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2019</v>
      </c>
      <c r="B975" s="72" t="str">
        <f t="shared" si="457"/>
        <v>Nov</v>
      </c>
      <c r="C975" s="73">
        <f t="shared" si="475"/>
        <v>24</v>
      </c>
      <c r="D975" s="74">
        <f t="shared" si="458"/>
        <v>2</v>
      </c>
      <c r="E975" s="75">
        <f t="shared" si="459"/>
        <v>32</v>
      </c>
      <c r="F975" s="79"/>
      <c r="G975" s="82"/>
      <c r="H975" s="68" t="str">
        <f t="shared" si="476"/>
        <v>Lacine13_20191124_02_00</v>
      </c>
      <c r="I975" s="69">
        <f t="shared" si="477"/>
        <v>1</v>
      </c>
      <c r="J975" s="76" t="str">
        <f t="shared" si="477"/>
        <v>Lactuca</v>
      </c>
      <c r="K975" s="76" t="str">
        <f t="shared" si="477"/>
        <v>inermis</v>
      </c>
      <c r="L975" s="77">
        <f t="shared" si="477"/>
        <v>13</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2019</v>
      </c>
      <c r="B976" s="72" t="str">
        <f t="shared" si="457"/>
        <v>Nov</v>
      </c>
      <c r="C976" s="73">
        <f t="shared" si="475"/>
        <v>24</v>
      </c>
      <c r="D976" s="74">
        <f t="shared" si="458"/>
        <v>2</v>
      </c>
      <c r="E976" s="75">
        <f t="shared" si="459"/>
        <v>33</v>
      </c>
      <c r="F976" s="79"/>
      <c r="G976" s="82"/>
      <c r="H976" s="68" t="str">
        <f t="shared" si="476"/>
        <v>Lacine13_20191124_02_00</v>
      </c>
      <c r="I976" s="69">
        <f t="shared" si="477"/>
        <v>1</v>
      </c>
      <c r="J976" s="76" t="str">
        <f t="shared" si="477"/>
        <v>Lactuca</v>
      </c>
      <c r="K976" s="76" t="str">
        <f t="shared" si="477"/>
        <v>inermis</v>
      </c>
      <c r="L976" s="77">
        <f t="shared" si="477"/>
        <v>13</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2019</v>
      </c>
      <c r="B977" s="72" t="str">
        <f t="shared" si="457"/>
        <v>Nov</v>
      </c>
      <c r="C977" s="73">
        <f t="shared" si="475"/>
        <v>24</v>
      </c>
      <c r="D977" s="74">
        <f t="shared" si="458"/>
        <v>2</v>
      </c>
      <c r="E977" s="75">
        <f t="shared" si="459"/>
        <v>34</v>
      </c>
      <c r="F977" s="79"/>
      <c r="G977" s="82"/>
      <c r="H977" s="68" t="str">
        <f t="shared" si="476"/>
        <v>Lacine13_20191124_02_00</v>
      </c>
      <c r="I977" s="69">
        <f t="shared" si="477"/>
        <v>1</v>
      </c>
      <c r="J977" s="76" t="str">
        <f t="shared" si="477"/>
        <v>Lactuca</v>
      </c>
      <c r="K977" s="76" t="str">
        <f t="shared" si="477"/>
        <v>inermis</v>
      </c>
      <c r="L977" s="77">
        <f t="shared" si="477"/>
        <v>13</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2019</v>
      </c>
      <c r="B978" s="72" t="str">
        <f t="shared" si="457"/>
        <v>Nov</v>
      </c>
      <c r="C978" s="73">
        <f t="shared" si="475"/>
        <v>24</v>
      </c>
      <c r="D978" s="74">
        <f t="shared" si="458"/>
        <v>2</v>
      </c>
      <c r="E978" s="75">
        <f t="shared" si="459"/>
        <v>35</v>
      </c>
      <c r="F978" s="79"/>
      <c r="G978" s="82"/>
      <c r="H978" s="68" t="str">
        <f t="shared" si="476"/>
        <v>Lacine13_20191124_02_00</v>
      </c>
      <c r="I978" s="69">
        <f t="shared" si="477"/>
        <v>1</v>
      </c>
      <c r="J978" s="76" t="str">
        <f t="shared" si="477"/>
        <v>Lactuca</v>
      </c>
      <c r="K978" s="76" t="str">
        <f t="shared" si="477"/>
        <v>inermis</v>
      </c>
      <c r="L978" s="77">
        <f t="shared" si="477"/>
        <v>13</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2019</v>
      </c>
      <c r="B979" s="72" t="str">
        <f t="shared" si="457"/>
        <v>Nov</v>
      </c>
      <c r="C979" s="73">
        <f t="shared" si="475"/>
        <v>24</v>
      </c>
      <c r="D979" s="74">
        <f t="shared" si="458"/>
        <v>2</v>
      </c>
      <c r="E979" s="75">
        <f t="shared" si="459"/>
        <v>36</v>
      </c>
      <c r="F979" s="79"/>
      <c r="G979" s="82"/>
      <c r="H979" s="68" t="str">
        <f t="shared" si="476"/>
        <v>Lacine13_20191124_02_00</v>
      </c>
      <c r="I979" s="69">
        <f t="shared" si="477"/>
        <v>1</v>
      </c>
      <c r="J979" s="76" t="str">
        <f t="shared" si="477"/>
        <v>Lactuca</v>
      </c>
      <c r="K979" s="76" t="str">
        <f t="shared" si="477"/>
        <v>inermis</v>
      </c>
      <c r="L979" s="77">
        <f t="shared" si="477"/>
        <v>13</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2019</v>
      </c>
      <c r="B980" s="72" t="str">
        <f t="shared" si="457"/>
        <v>Nov</v>
      </c>
      <c r="C980" s="73">
        <f t="shared" si="475"/>
        <v>24</v>
      </c>
      <c r="D980" s="74">
        <f t="shared" si="458"/>
        <v>2</v>
      </c>
      <c r="E980" s="75">
        <f t="shared" si="459"/>
        <v>37</v>
      </c>
      <c r="F980" s="79"/>
      <c r="G980" s="82"/>
      <c r="H980" s="68" t="str">
        <f t="shared" si="476"/>
        <v>Lacine13_20191124_02_00</v>
      </c>
      <c r="I980" s="69">
        <f t="shared" si="477"/>
        <v>1</v>
      </c>
      <c r="J980" s="76" t="str">
        <f t="shared" si="477"/>
        <v>Lactuca</v>
      </c>
      <c r="K980" s="76" t="str">
        <f t="shared" si="477"/>
        <v>inermis</v>
      </c>
      <c r="L980" s="77">
        <f t="shared" si="477"/>
        <v>13</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2019</v>
      </c>
      <c r="B981" s="72" t="str">
        <f t="shared" si="457"/>
        <v>Nov</v>
      </c>
      <c r="C981" s="73">
        <f t="shared" si="475"/>
        <v>24</v>
      </c>
      <c r="D981" s="74">
        <f t="shared" si="458"/>
        <v>2</v>
      </c>
      <c r="E981" s="75">
        <f t="shared" si="459"/>
        <v>38</v>
      </c>
      <c r="F981" s="79"/>
      <c r="G981" s="82"/>
      <c r="H981" s="68" t="str">
        <f t="shared" si="476"/>
        <v>Lacine13_20191124_02_00</v>
      </c>
      <c r="I981" s="69">
        <f t="shared" ref="I981:N996" si="478">I980</f>
        <v>1</v>
      </c>
      <c r="J981" s="76" t="str">
        <f t="shared" si="478"/>
        <v>Lactuca</v>
      </c>
      <c r="K981" s="76" t="str">
        <f t="shared" si="478"/>
        <v>inermis</v>
      </c>
      <c r="L981" s="77">
        <f t="shared" si="478"/>
        <v>13</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2019</v>
      </c>
      <c r="B982" s="72" t="str">
        <f t="shared" si="457"/>
        <v>Nov</v>
      </c>
      <c r="C982" s="73">
        <f t="shared" si="475"/>
        <v>24</v>
      </c>
      <c r="D982" s="74">
        <f t="shared" si="458"/>
        <v>2</v>
      </c>
      <c r="E982" s="75">
        <f t="shared" si="459"/>
        <v>39</v>
      </c>
      <c r="F982" s="79"/>
      <c r="G982" s="82"/>
      <c r="H982" s="68" t="str">
        <f t="shared" si="476"/>
        <v>Lacine13_20191124_02_00</v>
      </c>
      <c r="I982" s="69">
        <f t="shared" si="478"/>
        <v>1</v>
      </c>
      <c r="J982" s="76" t="str">
        <f t="shared" si="478"/>
        <v>Lactuca</v>
      </c>
      <c r="K982" s="76" t="str">
        <f t="shared" si="478"/>
        <v>inermis</v>
      </c>
      <c r="L982" s="77">
        <f t="shared" si="478"/>
        <v>13</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2019</v>
      </c>
      <c r="B983" s="72" t="str">
        <f t="shared" si="457"/>
        <v>Nov</v>
      </c>
      <c r="C983" s="73">
        <f t="shared" si="475"/>
        <v>24</v>
      </c>
      <c r="D983" s="74">
        <f t="shared" si="458"/>
        <v>2</v>
      </c>
      <c r="E983" s="75">
        <f t="shared" si="459"/>
        <v>40</v>
      </c>
      <c r="F983" s="79"/>
      <c r="G983" s="82"/>
      <c r="H983" s="68" t="str">
        <f t="shared" si="476"/>
        <v>Lacine13_20191124_02_00</v>
      </c>
      <c r="I983" s="69">
        <f t="shared" si="478"/>
        <v>1</v>
      </c>
      <c r="J983" s="76" t="str">
        <f t="shared" si="478"/>
        <v>Lactuca</v>
      </c>
      <c r="K983" s="76" t="str">
        <f t="shared" si="478"/>
        <v>inermis</v>
      </c>
      <c r="L983" s="77">
        <f t="shared" si="478"/>
        <v>13</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2019</v>
      </c>
      <c r="B984" s="72" t="str">
        <f t="shared" si="457"/>
        <v>Nov</v>
      </c>
      <c r="C984" s="73">
        <f t="shared" si="475"/>
        <v>24</v>
      </c>
      <c r="D984" s="74">
        <f t="shared" si="458"/>
        <v>2</v>
      </c>
      <c r="E984" s="75">
        <f t="shared" si="459"/>
        <v>41</v>
      </c>
      <c r="F984" s="79"/>
      <c r="G984" s="82"/>
      <c r="H984" s="68" t="str">
        <f t="shared" si="476"/>
        <v>Lacine13_20191124_02_00</v>
      </c>
      <c r="I984" s="69">
        <f t="shared" si="478"/>
        <v>1</v>
      </c>
      <c r="J984" s="76" t="str">
        <f t="shared" si="478"/>
        <v>Lactuca</v>
      </c>
      <c r="K984" s="76" t="str">
        <f t="shared" si="478"/>
        <v>inermis</v>
      </c>
      <c r="L984" s="77">
        <f t="shared" si="478"/>
        <v>13</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2019</v>
      </c>
      <c r="B985" s="72" t="str">
        <f t="shared" si="457"/>
        <v>Nov</v>
      </c>
      <c r="C985" s="73">
        <f t="shared" si="475"/>
        <v>24</v>
      </c>
      <c r="D985" s="74">
        <f t="shared" si="458"/>
        <v>2</v>
      </c>
      <c r="E985" s="75">
        <f t="shared" si="459"/>
        <v>42</v>
      </c>
      <c r="F985" s="79"/>
      <c r="G985" s="82"/>
      <c r="H985" s="68" t="str">
        <f t="shared" si="476"/>
        <v>Lacine13_20191124_02_00</v>
      </c>
      <c r="I985" s="69">
        <f t="shared" si="478"/>
        <v>1</v>
      </c>
      <c r="J985" s="76" t="str">
        <f t="shared" si="478"/>
        <v>Lactuca</v>
      </c>
      <c r="K985" s="76" t="str">
        <f t="shared" si="478"/>
        <v>inermis</v>
      </c>
      <c r="L985" s="77">
        <f t="shared" si="478"/>
        <v>13</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2019</v>
      </c>
      <c r="B986" s="72" t="str">
        <f t="shared" si="457"/>
        <v>Nov</v>
      </c>
      <c r="C986" s="73">
        <f t="shared" si="475"/>
        <v>24</v>
      </c>
      <c r="D986" s="74">
        <f t="shared" si="458"/>
        <v>2</v>
      </c>
      <c r="E986" s="75">
        <f t="shared" si="459"/>
        <v>43</v>
      </c>
      <c r="F986" s="79"/>
      <c r="G986" s="82"/>
      <c r="H986" s="68" t="str">
        <f t="shared" si="476"/>
        <v>Lacine13_20191124_02_00</v>
      </c>
      <c r="I986" s="69">
        <f t="shared" si="478"/>
        <v>1</v>
      </c>
      <c r="J986" s="76" t="str">
        <f t="shared" si="478"/>
        <v>Lactuca</v>
      </c>
      <c r="K986" s="76" t="str">
        <f t="shared" si="478"/>
        <v>inermis</v>
      </c>
      <c r="L986" s="77">
        <f t="shared" si="478"/>
        <v>13</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2019</v>
      </c>
      <c r="B987" s="72" t="str">
        <f t="shared" si="457"/>
        <v>Nov</v>
      </c>
      <c r="C987" s="73">
        <f t="shared" si="475"/>
        <v>24</v>
      </c>
      <c r="D987" s="74">
        <f t="shared" si="458"/>
        <v>2</v>
      </c>
      <c r="E987" s="75">
        <f t="shared" si="459"/>
        <v>44</v>
      </c>
      <c r="F987" s="79"/>
      <c r="G987" s="82"/>
      <c r="H987" s="68" t="str">
        <f t="shared" si="476"/>
        <v>Lacine13_20191124_02_00</v>
      </c>
      <c r="I987" s="69">
        <f t="shared" si="478"/>
        <v>1</v>
      </c>
      <c r="J987" s="76" t="str">
        <f t="shared" si="478"/>
        <v>Lactuca</v>
      </c>
      <c r="K987" s="76" t="str">
        <f t="shared" si="478"/>
        <v>inermis</v>
      </c>
      <c r="L987" s="77">
        <f t="shared" si="478"/>
        <v>13</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2019</v>
      </c>
      <c r="B988" s="72" t="str">
        <f t="shared" si="457"/>
        <v>Nov</v>
      </c>
      <c r="C988" s="73">
        <f t="shared" si="475"/>
        <v>24</v>
      </c>
      <c r="D988" s="74">
        <f t="shared" si="458"/>
        <v>2</v>
      </c>
      <c r="E988" s="75">
        <f t="shared" si="459"/>
        <v>45</v>
      </c>
      <c r="F988" s="79"/>
      <c r="G988" s="82"/>
      <c r="H988" s="68" t="str">
        <f t="shared" si="476"/>
        <v>Lacine13_20191124_02_00</v>
      </c>
      <c r="I988" s="69">
        <f t="shared" si="478"/>
        <v>1</v>
      </c>
      <c r="J988" s="76" t="str">
        <f t="shared" si="478"/>
        <v>Lactuca</v>
      </c>
      <c r="K988" s="76" t="str">
        <f t="shared" si="478"/>
        <v>inermis</v>
      </c>
      <c r="L988" s="77">
        <f t="shared" si="478"/>
        <v>13</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2019</v>
      </c>
      <c r="B989" s="72" t="str">
        <f t="shared" si="457"/>
        <v>Nov</v>
      </c>
      <c r="C989" s="73">
        <f t="shared" si="475"/>
        <v>24</v>
      </c>
      <c r="D989" s="74">
        <f t="shared" si="458"/>
        <v>2</v>
      </c>
      <c r="E989" s="75">
        <f t="shared" si="459"/>
        <v>46</v>
      </c>
      <c r="F989" s="79"/>
      <c r="G989" s="82"/>
      <c r="H989" s="68" t="str">
        <f t="shared" si="476"/>
        <v>Lacine13_20191124_02_00</v>
      </c>
      <c r="I989" s="69">
        <f t="shared" si="478"/>
        <v>1</v>
      </c>
      <c r="J989" s="76" t="str">
        <f t="shared" si="478"/>
        <v>Lactuca</v>
      </c>
      <c r="K989" s="76" t="str">
        <f t="shared" si="478"/>
        <v>inermis</v>
      </c>
      <c r="L989" s="77">
        <f t="shared" si="478"/>
        <v>13</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2019</v>
      </c>
      <c r="B990" s="72" t="str">
        <f t="shared" si="457"/>
        <v>Nov</v>
      </c>
      <c r="C990" s="73">
        <f t="shared" si="475"/>
        <v>24</v>
      </c>
      <c r="D990" s="74">
        <f t="shared" si="458"/>
        <v>2</v>
      </c>
      <c r="E990" s="75">
        <f t="shared" si="459"/>
        <v>47</v>
      </c>
      <c r="F990" s="79"/>
      <c r="G990" s="82"/>
      <c r="H990" s="68" t="str">
        <f t="shared" si="476"/>
        <v>Lacine13_20191124_02_00</v>
      </c>
      <c r="I990" s="69">
        <f t="shared" si="478"/>
        <v>1</v>
      </c>
      <c r="J990" s="76" t="str">
        <f t="shared" si="478"/>
        <v>Lactuca</v>
      </c>
      <c r="K990" s="76" t="str">
        <f t="shared" si="478"/>
        <v>inermis</v>
      </c>
      <c r="L990" s="77">
        <f t="shared" si="478"/>
        <v>13</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2019</v>
      </c>
      <c r="B991" s="72" t="str">
        <f t="shared" si="457"/>
        <v>Nov</v>
      </c>
      <c r="C991" s="73">
        <f t="shared" si="475"/>
        <v>24</v>
      </c>
      <c r="D991" s="74">
        <f t="shared" si="458"/>
        <v>2</v>
      </c>
      <c r="E991" s="75">
        <f t="shared" si="459"/>
        <v>48</v>
      </c>
      <c r="F991" s="79"/>
      <c r="G991" s="82"/>
      <c r="H991" s="68" t="str">
        <f t="shared" si="476"/>
        <v>Lacine13_20191124_02_00</v>
      </c>
      <c r="I991" s="69">
        <f t="shared" si="478"/>
        <v>1</v>
      </c>
      <c r="J991" s="76" t="str">
        <f t="shared" si="478"/>
        <v>Lactuca</v>
      </c>
      <c r="K991" s="76" t="str">
        <f t="shared" si="478"/>
        <v>inermis</v>
      </c>
      <c r="L991" s="77">
        <f t="shared" si="478"/>
        <v>13</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2019</v>
      </c>
      <c r="B992" s="72" t="str">
        <f t="shared" si="457"/>
        <v>Nov</v>
      </c>
      <c r="C992" s="73">
        <f t="shared" si="475"/>
        <v>24</v>
      </c>
      <c r="D992" s="74">
        <f t="shared" si="458"/>
        <v>2</v>
      </c>
      <c r="E992" s="75">
        <f t="shared" si="459"/>
        <v>49</v>
      </c>
      <c r="F992" s="79"/>
      <c r="G992" s="82"/>
      <c r="H992" s="68" t="str">
        <f t="shared" si="476"/>
        <v>Lacine13_20191124_02_00</v>
      </c>
      <c r="I992" s="69">
        <f t="shared" si="478"/>
        <v>1</v>
      </c>
      <c r="J992" s="76" t="str">
        <f t="shared" si="478"/>
        <v>Lactuca</v>
      </c>
      <c r="K992" s="76" t="str">
        <f t="shared" si="478"/>
        <v>inermis</v>
      </c>
      <c r="L992" s="77">
        <f t="shared" si="478"/>
        <v>13</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2019</v>
      </c>
      <c r="B993" s="72" t="str">
        <f t="shared" si="457"/>
        <v>Nov</v>
      </c>
      <c r="C993" s="73">
        <f t="shared" si="475"/>
        <v>24</v>
      </c>
      <c r="D993" s="74">
        <f t="shared" si="458"/>
        <v>2</v>
      </c>
      <c r="E993" s="75">
        <f t="shared" si="459"/>
        <v>50</v>
      </c>
      <c r="F993" s="79"/>
      <c r="G993" s="82"/>
      <c r="H993" s="68" t="str">
        <f t="shared" si="476"/>
        <v>Lacine13_20191124_02_00</v>
      </c>
      <c r="I993" s="69">
        <f t="shared" si="478"/>
        <v>1</v>
      </c>
      <c r="J993" s="76" t="str">
        <f t="shared" si="478"/>
        <v>Lactuca</v>
      </c>
      <c r="K993" s="76" t="str">
        <f t="shared" si="478"/>
        <v>inermis</v>
      </c>
      <c r="L993" s="77">
        <f t="shared" si="478"/>
        <v>13</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2019</v>
      </c>
      <c r="B994" s="72" t="str">
        <f t="shared" si="457"/>
        <v>Nov</v>
      </c>
      <c r="C994" s="73">
        <f t="shared" si="475"/>
        <v>24</v>
      </c>
      <c r="D994" s="74">
        <f t="shared" si="458"/>
        <v>2</v>
      </c>
      <c r="E994" s="75">
        <f t="shared" si="459"/>
        <v>51</v>
      </c>
      <c r="F994" s="79"/>
      <c r="G994" s="82"/>
      <c r="H994" s="68" t="str">
        <f t="shared" si="476"/>
        <v>Lacine13_20191124_02_00</v>
      </c>
      <c r="I994" s="69">
        <f t="shared" si="478"/>
        <v>1</v>
      </c>
      <c r="J994" s="76" t="str">
        <f t="shared" si="478"/>
        <v>Lactuca</v>
      </c>
      <c r="K994" s="76" t="str">
        <f t="shared" si="478"/>
        <v>inermis</v>
      </c>
      <c r="L994" s="77">
        <f t="shared" si="478"/>
        <v>13</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2019</v>
      </c>
      <c r="B995" s="72" t="str">
        <f t="shared" si="457"/>
        <v>Nov</v>
      </c>
      <c r="C995" s="73">
        <f t="shared" si="475"/>
        <v>24</v>
      </c>
      <c r="D995" s="74">
        <f t="shared" si="458"/>
        <v>2</v>
      </c>
      <c r="E995" s="75">
        <f t="shared" si="459"/>
        <v>52</v>
      </c>
      <c r="F995" s="79"/>
      <c r="G995" s="82"/>
      <c r="H995" s="68" t="str">
        <f t="shared" si="476"/>
        <v>Lacine13_20191124_02_00</v>
      </c>
      <c r="I995" s="69">
        <f t="shared" si="478"/>
        <v>1</v>
      </c>
      <c r="J995" s="76" t="str">
        <f t="shared" si="478"/>
        <v>Lactuca</v>
      </c>
      <c r="K995" s="76" t="str">
        <f t="shared" si="478"/>
        <v>inermis</v>
      </c>
      <c r="L995" s="77">
        <f t="shared" si="478"/>
        <v>13</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2019</v>
      </c>
      <c r="B996" s="72" t="str">
        <f t="shared" si="457"/>
        <v>Nov</v>
      </c>
      <c r="C996" s="73">
        <f t="shared" si="475"/>
        <v>24</v>
      </c>
      <c r="D996" s="74">
        <f t="shared" si="458"/>
        <v>2</v>
      </c>
      <c r="E996" s="75">
        <f t="shared" si="459"/>
        <v>53</v>
      </c>
      <c r="F996" s="79"/>
      <c r="G996" s="82"/>
      <c r="H996" s="68" t="str">
        <f t="shared" si="476"/>
        <v>Lacine13_20191124_02_00</v>
      </c>
      <c r="I996" s="69">
        <f t="shared" si="478"/>
        <v>1</v>
      </c>
      <c r="J996" s="76" t="str">
        <f t="shared" si="478"/>
        <v>Lactuca</v>
      </c>
      <c r="K996" s="76" t="str">
        <f t="shared" si="478"/>
        <v>inermis</v>
      </c>
      <c r="L996" s="77">
        <f t="shared" si="478"/>
        <v>13</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2019</v>
      </c>
      <c r="B997" s="72" t="str">
        <f t="shared" si="457"/>
        <v>Nov</v>
      </c>
      <c r="C997" s="73">
        <f t="shared" si="475"/>
        <v>24</v>
      </c>
      <c r="D997" s="74">
        <f t="shared" si="458"/>
        <v>2</v>
      </c>
      <c r="E997" s="75">
        <f t="shared" si="459"/>
        <v>54</v>
      </c>
      <c r="F997" s="79"/>
      <c r="G997" s="82"/>
      <c r="H997" s="68" t="str">
        <f t="shared" si="476"/>
        <v>Lacine13_20191124_02_00</v>
      </c>
      <c r="I997" s="69">
        <f t="shared" ref="I997:N1012" si="479">I996</f>
        <v>1</v>
      </c>
      <c r="J997" s="76" t="str">
        <f t="shared" si="479"/>
        <v>Lactuca</v>
      </c>
      <c r="K997" s="76" t="str">
        <f t="shared" si="479"/>
        <v>inermis</v>
      </c>
      <c r="L997" s="77">
        <f t="shared" si="479"/>
        <v>13</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2019</v>
      </c>
      <c r="B998" s="72" t="str">
        <f t="shared" si="457"/>
        <v>Nov</v>
      </c>
      <c r="C998" s="73">
        <f t="shared" si="475"/>
        <v>24</v>
      </c>
      <c r="D998" s="74">
        <f t="shared" si="458"/>
        <v>2</v>
      </c>
      <c r="E998" s="75">
        <f t="shared" si="459"/>
        <v>55</v>
      </c>
      <c r="F998" s="79"/>
      <c r="G998" s="82"/>
      <c r="H998" s="68" t="str">
        <f t="shared" si="476"/>
        <v>Lacine13_20191124_02_00</v>
      </c>
      <c r="I998" s="69">
        <f t="shared" si="479"/>
        <v>1</v>
      </c>
      <c r="J998" s="76" t="str">
        <f t="shared" si="479"/>
        <v>Lactuca</v>
      </c>
      <c r="K998" s="76" t="str">
        <f t="shared" si="479"/>
        <v>inermis</v>
      </c>
      <c r="L998" s="77">
        <f t="shared" si="479"/>
        <v>13</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2019</v>
      </c>
      <c r="B999" s="72" t="str">
        <f t="shared" si="457"/>
        <v>Nov</v>
      </c>
      <c r="C999" s="73">
        <f t="shared" si="475"/>
        <v>24</v>
      </c>
      <c r="D999" s="74">
        <f t="shared" si="458"/>
        <v>2</v>
      </c>
      <c r="E999" s="75">
        <f t="shared" si="459"/>
        <v>56</v>
      </c>
      <c r="F999" s="79"/>
      <c r="G999" s="82"/>
      <c r="H999" s="68" t="str">
        <f t="shared" si="476"/>
        <v>Lacine13_20191124_02_00</v>
      </c>
      <c r="I999" s="69">
        <f t="shared" si="479"/>
        <v>1</v>
      </c>
      <c r="J999" s="76" t="str">
        <f t="shared" si="479"/>
        <v>Lactuca</v>
      </c>
      <c r="K999" s="76" t="str">
        <f t="shared" si="479"/>
        <v>inermis</v>
      </c>
      <c r="L999" s="77">
        <f t="shared" si="479"/>
        <v>13</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2019</v>
      </c>
      <c r="B1000" s="72" t="str">
        <f t="shared" si="457"/>
        <v>Nov</v>
      </c>
      <c r="C1000" s="73">
        <f t="shared" si="475"/>
        <v>24</v>
      </c>
      <c r="D1000" s="74">
        <f t="shared" si="458"/>
        <v>2</v>
      </c>
      <c r="E1000" s="75">
        <f t="shared" si="459"/>
        <v>57</v>
      </c>
      <c r="F1000" s="79"/>
      <c r="G1000" s="82"/>
      <c r="H1000" s="68" t="str">
        <f t="shared" si="476"/>
        <v>Lacine13_20191124_02_00</v>
      </c>
      <c r="I1000" s="69">
        <f t="shared" si="479"/>
        <v>1</v>
      </c>
      <c r="J1000" s="76" t="str">
        <f t="shared" si="479"/>
        <v>Lactuca</v>
      </c>
      <c r="K1000" s="76" t="str">
        <f t="shared" si="479"/>
        <v>inermis</v>
      </c>
      <c r="L1000" s="77">
        <f t="shared" si="479"/>
        <v>13</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2019</v>
      </c>
      <c r="B1001" s="72" t="str">
        <f t="shared" si="457"/>
        <v>Nov</v>
      </c>
      <c r="C1001" s="73">
        <f t="shared" si="475"/>
        <v>24</v>
      </c>
      <c r="D1001" s="74">
        <f t="shared" si="458"/>
        <v>2</v>
      </c>
      <c r="E1001" s="75">
        <f t="shared" si="459"/>
        <v>58</v>
      </c>
      <c r="F1001" s="79"/>
      <c r="G1001" s="82"/>
      <c r="H1001" s="68" t="str">
        <f t="shared" si="476"/>
        <v>Lacine13_20191124_02_00</v>
      </c>
      <c r="I1001" s="69">
        <f t="shared" si="479"/>
        <v>1</v>
      </c>
      <c r="J1001" s="76" t="str">
        <f t="shared" si="479"/>
        <v>Lactuca</v>
      </c>
      <c r="K1001" s="76" t="str">
        <f t="shared" si="479"/>
        <v>inermis</v>
      </c>
      <c r="L1001" s="77">
        <f t="shared" si="479"/>
        <v>13</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2019</v>
      </c>
      <c r="B1002" s="72" t="str">
        <f t="shared" si="457"/>
        <v>Nov</v>
      </c>
      <c r="C1002" s="73">
        <f t="shared" si="475"/>
        <v>24</v>
      </c>
      <c r="D1002" s="74">
        <f t="shared" si="458"/>
        <v>2</v>
      </c>
      <c r="E1002" s="75">
        <f t="shared" si="459"/>
        <v>59</v>
      </c>
      <c r="F1002" s="79"/>
      <c r="G1002" s="82"/>
      <c r="H1002" s="68" t="str">
        <f t="shared" si="476"/>
        <v>Lacine13_20191124_02_00</v>
      </c>
      <c r="I1002" s="69">
        <f t="shared" si="479"/>
        <v>1</v>
      </c>
      <c r="J1002" s="76" t="str">
        <f t="shared" si="479"/>
        <v>Lactuca</v>
      </c>
      <c r="K1002" s="76" t="str">
        <f t="shared" si="479"/>
        <v>inermis</v>
      </c>
      <c r="L1002" s="77">
        <f t="shared" si="479"/>
        <v>13</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2019</v>
      </c>
      <c r="B1003" s="72" t="str">
        <f t="shared" si="457"/>
        <v>Nov</v>
      </c>
      <c r="C1003" s="73">
        <f t="shared" si="475"/>
        <v>24</v>
      </c>
      <c r="D1003" s="74">
        <f t="shared" si="458"/>
        <v>3</v>
      </c>
      <c r="E1003" s="75">
        <f t="shared" si="459"/>
        <v>0</v>
      </c>
      <c r="F1003" s="79"/>
      <c r="G1003" s="82"/>
      <c r="H1003" s="68" t="str">
        <f t="shared" si="476"/>
        <v>Lacine13_20191124_03_00</v>
      </c>
      <c r="I1003" s="69">
        <f t="shared" si="479"/>
        <v>1</v>
      </c>
      <c r="J1003" s="76" t="str">
        <f t="shared" si="479"/>
        <v>Lactuca</v>
      </c>
      <c r="K1003" s="76" t="str">
        <f t="shared" si="479"/>
        <v>inermis</v>
      </c>
      <c r="L1003" s="77">
        <f t="shared" si="479"/>
        <v>13</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2019</v>
      </c>
      <c r="B1004" s="72" t="str">
        <f t="shared" si="457"/>
        <v>Nov</v>
      </c>
      <c r="C1004" s="73">
        <f t="shared" si="475"/>
        <v>24</v>
      </c>
      <c r="D1004" s="74">
        <f t="shared" si="458"/>
        <v>3</v>
      </c>
      <c r="E1004" s="75">
        <f t="shared" si="459"/>
        <v>1</v>
      </c>
      <c r="F1004" s="79"/>
      <c r="G1004" s="82"/>
      <c r="H1004" s="68" t="str">
        <f t="shared" si="476"/>
        <v>Lacine13_20191124_03_00</v>
      </c>
      <c r="I1004" s="69">
        <f t="shared" si="479"/>
        <v>1</v>
      </c>
      <c r="J1004" s="76" t="str">
        <f t="shared" si="479"/>
        <v>Lactuca</v>
      </c>
      <c r="K1004" s="76" t="str">
        <f t="shared" si="479"/>
        <v>inermis</v>
      </c>
      <c r="L1004" s="77">
        <f t="shared" si="479"/>
        <v>13</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2019</v>
      </c>
      <c r="B1005" s="72" t="str">
        <f t="shared" si="457"/>
        <v>Nov</v>
      </c>
      <c r="C1005" s="73">
        <f t="shared" si="475"/>
        <v>24</v>
      </c>
      <c r="D1005" s="74">
        <f t="shared" si="458"/>
        <v>3</v>
      </c>
      <c r="E1005" s="75">
        <f t="shared" si="459"/>
        <v>2</v>
      </c>
      <c r="F1005" s="79"/>
      <c r="G1005" s="82"/>
      <c r="H1005" s="68" t="str">
        <f t="shared" si="476"/>
        <v>Lacine13_20191124_03_00</v>
      </c>
      <c r="I1005" s="69">
        <f t="shared" si="479"/>
        <v>1</v>
      </c>
      <c r="J1005" s="76" t="str">
        <f t="shared" si="479"/>
        <v>Lactuca</v>
      </c>
      <c r="K1005" s="76" t="str">
        <f t="shared" si="479"/>
        <v>inermis</v>
      </c>
      <c r="L1005" s="77">
        <f t="shared" si="479"/>
        <v>13</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2019</v>
      </c>
      <c r="B1006" s="72" t="str">
        <f t="shared" si="457"/>
        <v>Nov</v>
      </c>
      <c r="C1006" s="73">
        <f t="shared" si="475"/>
        <v>24</v>
      </c>
      <c r="D1006" s="74">
        <f t="shared" si="458"/>
        <v>3</v>
      </c>
      <c r="E1006" s="75">
        <f t="shared" si="459"/>
        <v>3</v>
      </c>
      <c r="F1006" s="79"/>
      <c r="G1006" s="82"/>
      <c r="H1006" s="68" t="str">
        <f t="shared" si="476"/>
        <v>Lacine13_20191124_03_00</v>
      </c>
      <c r="I1006" s="69">
        <f t="shared" si="479"/>
        <v>1</v>
      </c>
      <c r="J1006" s="76" t="str">
        <f t="shared" si="479"/>
        <v>Lactuca</v>
      </c>
      <c r="K1006" s="76" t="str">
        <f t="shared" si="479"/>
        <v>inermis</v>
      </c>
      <c r="L1006" s="77">
        <f t="shared" si="479"/>
        <v>13</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2019</v>
      </c>
      <c r="B1007" s="72" t="str">
        <f t="shared" si="457"/>
        <v>Nov</v>
      </c>
      <c r="C1007" s="73">
        <f t="shared" si="475"/>
        <v>24</v>
      </c>
      <c r="D1007" s="74">
        <f t="shared" si="458"/>
        <v>3</v>
      </c>
      <c r="E1007" s="75">
        <f t="shared" si="459"/>
        <v>4</v>
      </c>
      <c r="F1007" s="79"/>
      <c r="G1007" s="82"/>
      <c r="H1007" s="68" t="str">
        <f t="shared" si="476"/>
        <v>Lacine13_20191124_03_00</v>
      </c>
      <c r="I1007" s="69">
        <f t="shared" si="479"/>
        <v>1</v>
      </c>
      <c r="J1007" s="76" t="str">
        <f t="shared" si="479"/>
        <v>Lactuca</v>
      </c>
      <c r="K1007" s="76" t="str">
        <f t="shared" si="479"/>
        <v>inermis</v>
      </c>
      <c r="L1007" s="77">
        <f t="shared" si="479"/>
        <v>13</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2019</v>
      </c>
      <c r="B1008" s="72" t="str">
        <f t="shared" si="457"/>
        <v>Nov</v>
      </c>
      <c r="C1008" s="73">
        <f t="shared" si="475"/>
        <v>24</v>
      </c>
      <c r="D1008" s="74">
        <f t="shared" si="458"/>
        <v>3</v>
      </c>
      <c r="E1008" s="75">
        <f t="shared" si="459"/>
        <v>5</v>
      </c>
      <c r="F1008" s="79"/>
      <c r="G1008" s="82"/>
      <c r="H1008" s="68" t="str">
        <f t="shared" si="476"/>
        <v>Lacine13_20191124_03_00</v>
      </c>
      <c r="I1008" s="69">
        <f t="shared" si="479"/>
        <v>1</v>
      </c>
      <c r="J1008" s="76" t="str">
        <f t="shared" si="479"/>
        <v>Lactuca</v>
      </c>
      <c r="K1008" s="76" t="str">
        <f t="shared" si="479"/>
        <v>inermis</v>
      </c>
      <c r="L1008" s="77">
        <f t="shared" si="479"/>
        <v>13</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2019</v>
      </c>
      <c r="B1009" s="72" t="str">
        <f t="shared" si="457"/>
        <v>Nov</v>
      </c>
      <c r="C1009" s="73">
        <f t="shared" si="475"/>
        <v>24</v>
      </c>
      <c r="D1009" s="74">
        <f t="shared" si="458"/>
        <v>3</v>
      </c>
      <c r="E1009" s="75">
        <f t="shared" si="459"/>
        <v>6</v>
      </c>
      <c r="F1009" s="79"/>
      <c r="G1009" s="82"/>
      <c r="H1009" s="68" t="str">
        <f t="shared" si="476"/>
        <v>Lacine13_20191124_03_00</v>
      </c>
      <c r="I1009" s="69">
        <f t="shared" si="479"/>
        <v>1</v>
      </c>
      <c r="J1009" s="76" t="str">
        <f t="shared" si="479"/>
        <v>Lactuca</v>
      </c>
      <c r="K1009" s="76" t="str">
        <f t="shared" si="479"/>
        <v>inermis</v>
      </c>
      <c r="L1009" s="77">
        <f t="shared" si="479"/>
        <v>13</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2019</v>
      </c>
      <c r="B1010" s="72" t="str">
        <f t="shared" si="457"/>
        <v>Nov</v>
      </c>
      <c r="C1010" s="73">
        <f t="shared" si="475"/>
        <v>24</v>
      </c>
      <c r="D1010" s="74">
        <f t="shared" si="458"/>
        <v>3</v>
      </c>
      <c r="E1010" s="75">
        <f t="shared" si="459"/>
        <v>7</v>
      </c>
      <c r="F1010" s="79"/>
      <c r="G1010" s="82"/>
      <c r="H1010" s="68" t="str">
        <f t="shared" si="476"/>
        <v>Lacine13_20191124_03_00</v>
      </c>
      <c r="I1010" s="69">
        <f t="shared" si="479"/>
        <v>1</v>
      </c>
      <c r="J1010" s="76" t="str">
        <f t="shared" si="479"/>
        <v>Lactuca</v>
      </c>
      <c r="K1010" s="76" t="str">
        <f t="shared" si="479"/>
        <v>inermis</v>
      </c>
      <c r="L1010" s="77">
        <f t="shared" si="479"/>
        <v>13</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2019</v>
      </c>
      <c r="B1011" s="72" t="str">
        <f t="shared" si="457"/>
        <v>Nov</v>
      </c>
      <c r="C1011" s="73">
        <f t="shared" si="475"/>
        <v>24</v>
      </c>
      <c r="D1011" s="74">
        <f t="shared" si="458"/>
        <v>3</v>
      </c>
      <c r="E1011" s="75">
        <f t="shared" si="459"/>
        <v>8</v>
      </c>
      <c r="F1011" s="79"/>
      <c r="G1011" s="82"/>
      <c r="H1011" s="68" t="str">
        <f t="shared" si="476"/>
        <v>Lacine13_20191124_03_00</v>
      </c>
      <c r="I1011" s="69">
        <f t="shared" si="479"/>
        <v>1</v>
      </c>
      <c r="J1011" s="76" t="str">
        <f t="shared" si="479"/>
        <v>Lactuca</v>
      </c>
      <c r="K1011" s="76" t="str">
        <f t="shared" si="479"/>
        <v>inermis</v>
      </c>
      <c r="L1011" s="77">
        <f t="shared" si="479"/>
        <v>13</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2019</v>
      </c>
      <c r="B1012" s="72" t="str">
        <f t="shared" si="457"/>
        <v>Nov</v>
      </c>
      <c r="C1012" s="73">
        <f t="shared" si="475"/>
        <v>24</v>
      </c>
      <c r="D1012" s="74">
        <f t="shared" si="458"/>
        <v>3</v>
      </c>
      <c r="E1012" s="75">
        <f t="shared" si="459"/>
        <v>9</v>
      </c>
      <c r="F1012" s="79"/>
      <c r="G1012" s="82"/>
      <c r="H1012" s="68" t="str">
        <f t="shared" si="476"/>
        <v>Lacine13_20191124_03_00</v>
      </c>
      <c r="I1012" s="69">
        <f t="shared" si="479"/>
        <v>1</v>
      </c>
      <c r="J1012" s="76" t="str">
        <f t="shared" si="479"/>
        <v>Lactuca</v>
      </c>
      <c r="K1012" s="76" t="str">
        <f t="shared" si="479"/>
        <v>inermis</v>
      </c>
      <c r="L1012" s="77">
        <f t="shared" si="479"/>
        <v>13</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2019</v>
      </c>
      <c r="B1013" s="72" t="str">
        <f t="shared" si="457"/>
        <v>Nov</v>
      </c>
      <c r="C1013" s="73">
        <f t="shared" si="475"/>
        <v>24</v>
      </c>
      <c r="D1013" s="74">
        <f t="shared" si="458"/>
        <v>3</v>
      </c>
      <c r="E1013" s="75">
        <f t="shared" si="459"/>
        <v>10</v>
      </c>
      <c r="F1013" s="79"/>
      <c r="G1013" s="82"/>
      <c r="H1013" s="68" t="str">
        <f t="shared" si="476"/>
        <v>Lacine13_20191124_03_00</v>
      </c>
      <c r="I1013" s="69">
        <f t="shared" ref="I1013:N1028" si="480">I1012</f>
        <v>1</v>
      </c>
      <c r="J1013" s="76" t="str">
        <f t="shared" si="480"/>
        <v>Lactuca</v>
      </c>
      <c r="K1013" s="76" t="str">
        <f t="shared" si="480"/>
        <v>inermis</v>
      </c>
      <c r="L1013" s="77">
        <f t="shared" si="480"/>
        <v>13</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2019</v>
      </c>
      <c r="B1014" s="72" t="str">
        <f t="shared" si="457"/>
        <v>Nov</v>
      </c>
      <c r="C1014" s="73">
        <f t="shared" si="475"/>
        <v>24</v>
      </c>
      <c r="D1014" s="74">
        <f t="shared" si="458"/>
        <v>3</v>
      </c>
      <c r="E1014" s="75">
        <f t="shared" si="459"/>
        <v>11</v>
      </c>
      <c r="F1014" s="79"/>
      <c r="G1014" s="82"/>
      <c r="H1014" s="68" t="str">
        <f t="shared" si="476"/>
        <v>Lacine13_20191124_03_00</v>
      </c>
      <c r="I1014" s="69">
        <f t="shared" si="480"/>
        <v>1</v>
      </c>
      <c r="J1014" s="76" t="str">
        <f t="shared" si="480"/>
        <v>Lactuca</v>
      </c>
      <c r="K1014" s="76" t="str">
        <f t="shared" si="480"/>
        <v>inermis</v>
      </c>
      <c r="L1014" s="77">
        <f t="shared" si="480"/>
        <v>13</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2019</v>
      </c>
      <c r="B1015" s="72" t="str">
        <f t="shared" si="457"/>
        <v>Nov</v>
      </c>
      <c r="C1015" s="73">
        <f t="shared" si="475"/>
        <v>24</v>
      </c>
      <c r="D1015" s="74">
        <f t="shared" si="458"/>
        <v>3</v>
      </c>
      <c r="E1015" s="75">
        <f t="shared" si="459"/>
        <v>12</v>
      </c>
      <c r="F1015" s="79"/>
      <c r="G1015" s="82"/>
      <c r="H1015" s="68" t="str">
        <f t="shared" si="476"/>
        <v>Lacine13_20191124_03_00</v>
      </c>
      <c r="I1015" s="69">
        <f t="shared" si="480"/>
        <v>1</v>
      </c>
      <c r="J1015" s="76" t="str">
        <f t="shared" si="480"/>
        <v>Lactuca</v>
      </c>
      <c r="K1015" s="76" t="str">
        <f t="shared" si="480"/>
        <v>inermis</v>
      </c>
      <c r="L1015" s="77">
        <f t="shared" si="480"/>
        <v>13</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2019</v>
      </c>
      <c r="B1016" s="72" t="str">
        <f t="shared" si="457"/>
        <v>Nov</v>
      </c>
      <c r="C1016" s="73">
        <f t="shared" si="475"/>
        <v>24</v>
      </c>
      <c r="D1016" s="74">
        <f t="shared" si="458"/>
        <v>3</v>
      </c>
      <c r="E1016" s="75">
        <f t="shared" si="459"/>
        <v>13</v>
      </c>
      <c r="F1016" s="79"/>
      <c r="G1016" s="82"/>
      <c r="H1016" s="68" t="str">
        <f t="shared" si="476"/>
        <v>Lacine13_20191124_03_00</v>
      </c>
      <c r="I1016" s="69">
        <f t="shared" si="480"/>
        <v>1</v>
      </c>
      <c r="J1016" s="76" t="str">
        <f t="shared" si="480"/>
        <v>Lactuca</v>
      </c>
      <c r="K1016" s="76" t="str">
        <f t="shared" si="480"/>
        <v>inermis</v>
      </c>
      <c r="L1016" s="77">
        <f t="shared" si="480"/>
        <v>13</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2019</v>
      </c>
      <c r="B1017" s="72" t="str">
        <f t="shared" si="457"/>
        <v>Nov</v>
      </c>
      <c r="C1017" s="73">
        <f t="shared" si="475"/>
        <v>24</v>
      </c>
      <c r="D1017" s="74">
        <f t="shared" si="458"/>
        <v>3</v>
      </c>
      <c r="E1017" s="75">
        <f t="shared" si="459"/>
        <v>14</v>
      </c>
      <c r="F1017" s="79"/>
      <c r="G1017" s="82"/>
      <c r="H1017" s="68" t="str">
        <f t="shared" si="476"/>
        <v>Lacine13_20191124_03_00</v>
      </c>
      <c r="I1017" s="69">
        <f t="shared" si="480"/>
        <v>1</v>
      </c>
      <c r="J1017" s="76" t="str">
        <f t="shared" si="480"/>
        <v>Lactuca</v>
      </c>
      <c r="K1017" s="76" t="str">
        <f t="shared" si="480"/>
        <v>inermis</v>
      </c>
      <c r="L1017" s="77">
        <f t="shared" si="480"/>
        <v>13</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2019</v>
      </c>
      <c r="B1018" s="72" t="str">
        <f t="shared" si="457"/>
        <v>Nov</v>
      </c>
      <c r="C1018" s="73">
        <f t="shared" si="475"/>
        <v>24</v>
      </c>
      <c r="D1018" s="74">
        <f t="shared" si="458"/>
        <v>3</v>
      </c>
      <c r="E1018" s="75">
        <f t="shared" si="459"/>
        <v>15</v>
      </c>
      <c r="F1018" s="79"/>
      <c r="G1018" s="82"/>
      <c r="H1018" s="68" t="str">
        <f t="shared" si="476"/>
        <v>Lacine13_20191124_03_00</v>
      </c>
      <c r="I1018" s="69">
        <f t="shared" si="480"/>
        <v>1</v>
      </c>
      <c r="J1018" s="76" t="str">
        <f t="shared" si="480"/>
        <v>Lactuca</v>
      </c>
      <c r="K1018" s="76" t="str">
        <f t="shared" si="480"/>
        <v>inermis</v>
      </c>
      <c r="L1018" s="77">
        <f t="shared" si="480"/>
        <v>13</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2019</v>
      </c>
      <c r="B1019" s="72" t="str">
        <f t="shared" si="457"/>
        <v>Nov</v>
      </c>
      <c r="C1019" s="73">
        <f t="shared" si="475"/>
        <v>24</v>
      </c>
      <c r="D1019" s="74">
        <f t="shared" si="458"/>
        <v>3</v>
      </c>
      <c r="E1019" s="75">
        <f t="shared" si="459"/>
        <v>16</v>
      </c>
      <c r="F1019" s="79"/>
      <c r="G1019" s="82"/>
      <c r="H1019" s="68" t="str">
        <f t="shared" si="476"/>
        <v>Lacine13_20191124_03_00</v>
      </c>
      <c r="I1019" s="69">
        <f t="shared" si="480"/>
        <v>1</v>
      </c>
      <c r="J1019" s="76" t="str">
        <f t="shared" si="480"/>
        <v>Lactuca</v>
      </c>
      <c r="K1019" s="76" t="str">
        <f t="shared" si="480"/>
        <v>inermis</v>
      </c>
      <c r="L1019" s="77">
        <f t="shared" si="480"/>
        <v>13</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2019</v>
      </c>
      <c r="B1020" s="72" t="str">
        <f t="shared" si="457"/>
        <v>Nov</v>
      </c>
      <c r="C1020" s="73">
        <f t="shared" si="475"/>
        <v>24</v>
      </c>
      <c r="D1020" s="74">
        <f t="shared" si="458"/>
        <v>3</v>
      </c>
      <c r="E1020" s="75">
        <f t="shared" si="459"/>
        <v>17</v>
      </c>
      <c r="F1020" s="79"/>
      <c r="G1020" s="82"/>
      <c r="H1020" s="68" t="str">
        <f t="shared" si="476"/>
        <v>Lacine13_20191124_03_00</v>
      </c>
      <c r="I1020" s="69">
        <f t="shared" si="480"/>
        <v>1</v>
      </c>
      <c r="J1020" s="76" t="str">
        <f t="shared" si="480"/>
        <v>Lactuca</v>
      </c>
      <c r="K1020" s="76" t="str">
        <f t="shared" si="480"/>
        <v>inermis</v>
      </c>
      <c r="L1020" s="77">
        <f t="shared" si="480"/>
        <v>13</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2019</v>
      </c>
      <c r="B1021" s="72" t="str">
        <f t="shared" si="457"/>
        <v>Nov</v>
      </c>
      <c r="C1021" s="73">
        <f t="shared" si="475"/>
        <v>24</v>
      </c>
      <c r="D1021" s="74">
        <f t="shared" si="458"/>
        <v>3</v>
      </c>
      <c r="E1021" s="75">
        <f t="shared" si="459"/>
        <v>18</v>
      </c>
      <c r="F1021" s="79"/>
      <c r="G1021" s="82"/>
      <c r="H1021" s="68" t="str">
        <f t="shared" si="476"/>
        <v>Lacine13_20191124_03_00</v>
      </c>
      <c r="I1021" s="69">
        <f t="shared" si="480"/>
        <v>1</v>
      </c>
      <c r="J1021" s="76" t="str">
        <f t="shared" si="480"/>
        <v>Lactuca</v>
      </c>
      <c r="K1021" s="76" t="str">
        <f t="shared" si="480"/>
        <v>inermis</v>
      </c>
      <c r="L1021" s="77">
        <f t="shared" si="480"/>
        <v>13</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2019</v>
      </c>
      <c r="B1022" s="72" t="str">
        <f t="shared" si="457"/>
        <v>Nov</v>
      </c>
      <c r="C1022" s="73">
        <f t="shared" si="475"/>
        <v>24</v>
      </c>
      <c r="D1022" s="74">
        <f t="shared" si="458"/>
        <v>3</v>
      </c>
      <c r="E1022" s="75">
        <f t="shared" si="459"/>
        <v>19</v>
      </c>
      <c r="F1022" s="79"/>
      <c r="G1022" s="82"/>
      <c r="H1022" s="68" t="str">
        <f t="shared" si="476"/>
        <v>Lacine13_20191124_03_00</v>
      </c>
      <c r="I1022" s="69">
        <f t="shared" si="480"/>
        <v>1</v>
      </c>
      <c r="J1022" s="76" t="str">
        <f t="shared" si="480"/>
        <v>Lactuca</v>
      </c>
      <c r="K1022" s="76" t="str">
        <f t="shared" si="480"/>
        <v>inermis</v>
      </c>
      <c r="L1022" s="77">
        <f t="shared" si="480"/>
        <v>13</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2019</v>
      </c>
      <c r="B1023" s="72" t="str">
        <f t="shared" si="457"/>
        <v>Nov</v>
      </c>
      <c r="C1023" s="73">
        <f t="shared" si="475"/>
        <v>24</v>
      </c>
      <c r="D1023" s="74">
        <f t="shared" si="458"/>
        <v>3</v>
      </c>
      <c r="E1023" s="75">
        <f t="shared" si="459"/>
        <v>20</v>
      </c>
      <c r="F1023" s="79"/>
      <c r="G1023" s="82"/>
      <c r="H1023" s="68" t="str">
        <f t="shared" si="476"/>
        <v>Lacine13_20191124_03_00</v>
      </c>
      <c r="I1023" s="69">
        <f t="shared" si="480"/>
        <v>1</v>
      </c>
      <c r="J1023" s="76" t="str">
        <f t="shared" si="480"/>
        <v>Lactuca</v>
      </c>
      <c r="K1023" s="76" t="str">
        <f t="shared" si="480"/>
        <v>inermis</v>
      </c>
      <c r="L1023" s="77">
        <f t="shared" si="480"/>
        <v>13</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2019</v>
      </c>
      <c r="B1024" s="72" t="str">
        <f t="shared" si="457"/>
        <v>Nov</v>
      </c>
      <c r="C1024" s="73">
        <f t="shared" si="475"/>
        <v>24</v>
      </c>
      <c r="D1024" s="74">
        <f t="shared" si="458"/>
        <v>3</v>
      </c>
      <c r="E1024" s="75">
        <f t="shared" si="459"/>
        <v>21</v>
      </c>
      <c r="F1024" s="79"/>
      <c r="G1024" s="82"/>
      <c r="H1024" s="68" t="str">
        <f t="shared" si="476"/>
        <v>Lacine13_20191124_03_00</v>
      </c>
      <c r="I1024" s="69">
        <f t="shared" si="480"/>
        <v>1</v>
      </c>
      <c r="J1024" s="76" t="str">
        <f t="shared" si="480"/>
        <v>Lactuca</v>
      </c>
      <c r="K1024" s="76" t="str">
        <f t="shared" si="480"/>
        <v>inermis</v>
      </c>
      <c r="L1024" s="77">
        <f t="shared" si="480"/>
        <v>13</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2019</v>
      </c>
      <c r="B1025" s="72" t="str">
        <f t="shared" si="457"/>
        <v>Nov</v>
      </c>
      <c r="C1025" s="73">
        <f t="shared" si="475"/>
        <v>24</v>
      </c>
      <c r="D1025" s="74">
        <f t="shared" si="458"/>
        <v>3</v>
      </c>
      <c r="E1025" s="75">
        <f t="shared" si="459"/>
        <v>22</v>
      </c>
      <c r="F1025" s="79"/>
      <c r="G1025" s="82"/>
      <c r="H1025" s="68" t="str">
        <f t="shared" si="476"/>
        <v>Lacine13_20191124_03_00</v>
      </c>
      <c r="I1025" s="69">
        <f t="shared" si="480"/>
        <v>1</v>
      </c>
      <c r="J1025" s="76" t="str">
        <f t="shared" si="480"/>
        <v>Lactuca</v>
      </c>
      <c r="K1025" s="76" t="str">
        <f t="shared" si="480"/>
        <v>inermis</v>
      </c>
      <c r="L1025" s="77">
        <f t="shared" si="480"/>
        <v>13</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2019</v>
      </c>
      <c r="B1026" s="72" t="str">
        <f t="shared" si="457"/>
        <v>Nov</v>
      </c>
      <c r="C1026" s="73">
        <f t="shared" si="475"/>
        <v>24</v>
      </c>
      <c r="D1026" s="74">
        <f t="shared" si="458"/>
        <v>3</v>
      </c>
      <c r="E1026" s="75">
        <f t="shared" si="459"/>
        <v>23</v>
      </c>
      <c r="F1026" s="79"/>
      <c r="G1026" s="82"/>
      <c r="H1026" s="68" t="str">
        <f t="shared" si="476"/>
        <v>Lacine13_20191124_03_00</v>
      </c>
      <c r="I1026" s="69">
        <f t="shared" si="480"/>
        <v>1</v>
      </c>
      <c r="J1026" s="76" t="str">
        <f t="shared" si="480"/>
        <v>Lactuca</v>
      </c>
      <c r="K1026" s="76" t="str">
        <f t="shared" si="480"/>
        <v>inermis</v>
      </c>
      <c r="L1026" s="77">
        <f t="shared" si="480"/>
        <v>13</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2019</v>
      </c>
      <c r="B1027" s="72" t="str">
        <f t="shared" si="457"/>
        <v>Nov</v>
      </c>
      <c r="C1027" s="73">
        <f t="shared" si="475"/>
        <v>24</v>
      </c>
      <c r="D1027" s="74">
        <f t="shared" si="458"/>
        <v>3</v>
      </c>
      <c r="E1027" s="75">
        <f t="shared" si="459"/>
        <v>24</v>
      </c>
      <c r="F1027" s="79"/>
      <c r="G1027" s="82"/>
      <c r="H1027" s="68" t="str">
        <f t="shared" si="476"/>
        <v>Lacine13_20191124_03_00</v>
      </c>
      <c r="I1027" s="69">
        <f t="shared" si="480"/>
        <v>1</v>
      </c>
      <c r="J1027" s="76" t="str">
        <f t="shared" si="480"/>
        <v>Lactuca</v>
      </c>
      <c r="K1027" s="76" t="str">
        <f t="shared" si="480"/>
        <v>inermis</v>
      </c>
      <c r="L1027" s="77">
        <f t="shared" si="480"/>
        <v>13</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2019</v>
      </c>
      <c r="B1028" s="72" t="str">
        <f t="shared" ref="B1028:B1091" si="487">IF(C1027-C1028&gt;0, TEXT(DATE(2016,(MONTH(DATEVALUE(B1027&amp;"1"))+1),1),"mmm"), B1027)</f>
        <v>Nov</v>
      </c>
      <c r="C1028" s="73">
        <f t="shared" si="475"/>
        <v>24</v>
      </c>
      <c r="D1028" s="74">
        <f t="shared" ref="D1028:D1091" si="488">IF(IF(E1027=59,D1027+1,D1027)=24,0,IF(E1027=59,D1027+1,D1027))</f>
        <v>3</v>
      </c>
      <c r="E1028" s="75">
        <f t="shared" ref="E1028:E1091" si="489">IF(E1027&lt;59,E1027+1,0)</f>
        <v>25</v>
      </c>
      <c r="F1028" s="79"/>
      <c r="G1028" s="82"/>
      <c r="H1028" s="68" t="str">
        <f t="shared" si="476"/>
        <v>Lacine13_20191124_03_00</v>
      </c>
      <c r="I1028" s="69">
        <f t="shared" si="480"/>
        <v>1</v>
      </c>
      <c r="J1028" s="76" t="str">
        <f t="shared" si="480"/>
        <v>Lactuca</v>
      </c>
      <c r="K1028" s="76" t="str">
        <f t="shared" si="480"/>
        <v>inermis</v>
      </c>
      <c r="L1028" s="77">
        <f t="shared" si="480"/>
        <v>13</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2019</v>
      </c>
      <c r="B1029" s="72" t="str">
        <f t="shared" si="487"/>
        <v>Nov</v>
      </c>
      <c r="C1029" s="73">
        <f t="shared" ref="C1029:C1092" si="505">IF(AND(D1029=0, E1029=0), IF(TEXT(C1028,"dd")=TEXT(EOMONTH(DATE(A1028,MONTH(DATEVALUE(B1028&amp;"1")),C1028),0), "dd"), 1, C1028+1), C1028)</f>
        <v>24</v>
      </c>
      <c r="D1029" s="74">
        <f t="shared" si="488"/>
        <v>3</v>
      </c>
      <c r="E1029" s="75">
        <f t="shared" si="489"/>
        <v>26</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Lacine13_20191124_03_00</v>
      </c>
      <c r="I1029" s="69">
        <f t="shared" ref="I1029:N1044" si="507">I1028</f>
        <v>1</v>
      </c>
      <c r="J1029" s="76" t="str">
        <f t="shared" si="507"/>
        <v>Lactuca</v>
      </c>
      <c r="K1029" s="76" t="str">
        <f t="shared" si="507"/>
        <v>inermis</v>
      </c>
      <c r="L1029" s="77">
        <f t="shared" si="507"/>
        <v>13</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2019</v>
      </c>
      <c r="B1030" s="72" t="str">
        <f t="shared" si="487"/>
        <v>Nov</v>
      </c>
      <c r="C1030" s="73">
        <f t="shared" si="505"/>
        <v>24</v>
      </c>
      <c r="D1030" s="74">
        <f t="shared" si="488"/>
        <v>3</v>
      </c>
      <c r="E1030" s="75">
        <f t="shared" si="489"/>
        <v>27</v>
      </c>
      <c r="F1030" s="79"/>
      <c r="G1030" s="82"/>
      <c r="H1030" s="68" t="str">
        <f t="shared" si="506"/>
        <v>Lacine13_20191124_03_00</v>
      </c>
      <c r="I1030" s="69">
        <f t="shared" si="507"/>
        <v>1</v>
      </c>
      <c r="J1030" s="76" t="str">
        <f t="shared" si="507"/>
        <v>Lactuca</v>
      </c>
      <c r="K1030" s="76" t="str">
        <f t="shared" si="507"/>
        <v>inermis</v>
      </c>
      <c r="L1030" s="77">
        <f t="shared" si="507"/>
        <v>13</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2019</v>
      </c>
      <c r="B1031" s="72" t="str">
        <f t="shared" si="487"/>
        <v>Nov</v>
      </c>
      <c r="C1031" s="73">
        <f t="shared" si="505"/>
        <v>24</v>
      </c>
      <c r="D1031" s="74">
        <f t="shared" si="488"/>
        <v>3</v>
      </c>
      <c r="E1031" s="75">
        <f t="shared" si="489"/>
        <v>28</v>
      </c>
      <c r="F1031" s="79"/>
      <c r="G1031" s="82"/>
      <c r="H1031" s="68" t="str">
        <f t="shared" si="506"/>
        <v>Lacine13_20191124_03_00</v>
      </c>
      <c r="I1031" s="69">
        <f t="shared" si="507"/>
        <v>1</v>
      </c>
      <c r="J1031" s="76" t="str">
        <f t="shared" si="507"/>
        <v>Lactuca</v>
      </c>
      <c r="K1031" s="76" t="str">
        <f t="shared" si="507"/>
        <v>inermis</v>
      </c>
      <c r="L1031" s="77">
        <f t="shared" si="507"/>
        <v>13</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2019</v>
      </c>
      <c r="B1032" s="72" t="str">
        <f t="shared" si="487"/>
        <v>Nov</v>
      </c>
      <c r="C1032" s="73">
        <f t="shared" si="505"/>
        <v>24</v>
      </c>
      <c r="D1032" s="74">
        <f t="shared" si="488"/>
        <v>3</v>
      </c>
      <c r="E1032" s="75">
        <f t="shared" si="489"/>
        <v>29</v>
      </c>
      <c r="F1032" s="79"/>
      <c r="G1032" s="82"/>
      <c r="H1032" s="68" t="str">
        <f t="shared" si="506"/>
        <v>Lacine13_20191124_03_00</v>
      </c>
      <c r="I1032" s="69">
        <f t="shared" si="507"/>
        <v>1</v>
      </c>
      <c r="J1032" s="76" t="str">
        <f t="shared" si="507"/>
        <v>Lactuca</v>
      </c>
      <c r="K1032" s="76" t="str">
        <f t="shared" si="507"/>
        <v>inermis</v>
      </c>
      <c r="L1032" s="77">
        <f t="shared" si="507"/>
        <v>13</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2019</v>
      </c>
      <c r="B1033" s="72" t="str">
        <f t="shared" si="487"/>
        <v>Nov</v>
      </c>
      <c r="C1033" s="73">
        <f t="shared" si="505"/>
        <v>24</v>
      </c>
      <c r="D1033" s="74">
        <f t="shared" si="488"/>
        <v>3</v>
      </c>
      <c r="E1033" s="75">
        <f t="shared" si="489"/>
        <v>30</v>
      </c>
      <c r="F1033" s="79"/>
      <c r="G1033" s="82"/>
      <c r="H1033" s="68" t="str">
        <f t="shared" si="506"/>
        <v>Lacine13_20191124_03_00</v>
      </c>
      <c r="I1033" s="69">
        <f t="shared" si="507"/>
        <v>1</v>
      </c>
      <c r="J1033" s="76" t="str">
        <f t="shared" si="507"/>
        <v>Lactuca</v>
      </c>
      <c r="K1033" s="76" t="str">
        <f t="shared" si="507"/>
        <v>inermis</v>
      </c>
      <c r="L1033" s="77">
        <f t="shared" si="507"/>
        <v>13</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2019</v>
      </c>
      <c r="B1034" s="72" t="str">
        <f t="shared" si="487"/>
        <v>Nov</v>
      </c>
      <c r="C1034" s="73">
        <f t="shared" si="505"/>
        <v>24</v>
      </c>
      <c r="D1034" s="74">
        <f t="shared" si="488"/>
        <v>3</v>
      </c>
      <c r="E1034" s="75">
        <f t="shared" si="489"/>
        <v>31</v>
      </c>
      <c r="F1034" s="79"/>
      <c r="G1034" s="82"/>
      <c r="H1034" s="68" t="str">
        <f t="shared" si="506"/>
        <v>Lacine13_20191124_03_00</v>
      </c>
      <c r="I1034" s="69">
        <f t="shared" si="507"/>
        <v>1</v>
      </c>
      <c r="J1034" s="76" t="str">
        <f t="shared" si="507"/>
        <v>Lactuca</v>
      </c>
      <c r="K1034" s="76" t="str">
        <f t="shared" si="507"/>
        <v>inermis</v>
      </c>
      <c r="L1034" s="77">
        <f t="shared" si="507"/>
        <v>13</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2019</v>
      </c>
      <c r="B1035" s="72" t="str">
        <f t="shared" si="487"/>
        <v>Nov</v>
      </c>
      <c r="C1035" s="73">
        <f t="shared" si="505"/>
        <v>24</v>
      </c>
      <c r="D1035" s="74">
        <f t="shared" si="488"/>
        <v>3</v>
      </c>
      <c r="E1035" s="75">
        <f t="shared" si="489"/>
        <v>32</v>
      </c>
      <c r="F1035" s="79"/>
      <c r="G1035" s="82"/>
      <c r="H1035" s="68" t="str">
        <f t="shared" si="506"/>
        <v>Lacine13_20191124_03_00</v>
      </c>
      <c r="I1035" s="69">
        <f t="shared" si="507"/>
        <v>1</v>
      </c>
      <c r="J1035" s="76" t="str">
        <f t="shared" si="507"/>
        <v>Lactuca</v>
      </c>
      <c r="K1035" s="76" t="str">
        <f t="shared" si="507"/>
        <v>inermis</v>
      </c>
      <c r="L1035" s="77">
        <f t="shared" si="507"/>
        <v>13</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2019</v>
      </c>
      <c r="B1036" s="72" t="str">
        <f t="shared" si="487"/>
        <v>Nov</v>
      </c>
      <c r="C1036" s="73">
        <f t="shared" si="505"/>
        <v>24</v>
      </c>
      <c r="D1036" s="74">
        <f t="shared" si="488"/>
        <v>3</v>
      </c>
      <c r="E1036" s="75">
        <f t="shared" si="489"/>
        <v>33</v>
      </c>
      <c r="F1036" s="79"/>
      <c r="G1036" s="82"/>
      <c r="H1036" s="68" t="str">
        <f t="shared" si="506"/>
        <v>Lacine13_20191124_03_00</v>
      </c>
      <c r="I1036" s="69">
        <f t="shared" si="507"/>
        <v>1</v>
      </c>
      <c r="J1036" s="76" t="str">
        <f t="shared" si="507"/>
        <v>Lactuca</v>
      </c>
      <c r="K1036" s="76" t="str">
        <f t="shared" si="507"/>
        <v>inermis</v>
      </c>
      <c r="L1036" s="77">
        <f t="shared" si="507"/>
        <v>13</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2019</v>
      </c>
      <c r="B1037" s="72" t="str">
        <f t="shared" si="487"/>
        <v>Nov</v>
      </c>
      <c r="C1037" s="73">
        <f t="shared" si="505"/>
        <v>24</v>
      </c>
      <c r="D1037" s="74">
        <f t="shared" si="488"/>
        <v>3</v>
      </c>
      <c r="E1037" s="75">
        <f t="shared" si="489"/>
        <v>34</v>
      </c>
      <c r="F1037" s="79"/>
      <c r="G1037" s="82"/>
      <c r="H1037" s="68" t="str">
        <f t="shared" si="506"/>
        <v>Lacine13_20191124_03_00</v>
      </c>
      <c r="I1037" s="69">
        <f t="shared" si="507"/>
        <v>1</v>
      </c>
      <c r="J1037" s="76" t="str">
        <f t="shared" si="507"/>
        <v>Lactuca</v>
      </c>
      <c r="K1037" s="76" t="str">
        <f t="shared" si="507"/>
        <v>inermis</v>
      </c>
      <c r="L1037" s="77">
        <f t="shared" si="507"/>
        <v>13</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2019</v>
      </c>
      <c r="B1038" s="72" t="str">
        <f t="shared" si="487"/>
        <v>Nov</v>
      </c>
      <c r="C1038" s="73">
        <f t="shared" si="505"/>
        <v>24</v>
      </c>
      <c r="D1038" s="74">
        <f t="shared" si="488"/>
        <v>3</v>
      </c>
      <c r="E1038" s="75">
        <f t="shared" si="489"/>
        <v>35</v>
      </c>
      <c r="F1038" s="79"/>
      <c r="G1038" s="82"/>
      <c r="H1038" s="68" t="str">
        <f t="shared" si="506"/>
        <v>Lacine13_20191124_03_00</v>
      </c>
      <c r="I1038" s="69">
        <f t="shared" si="507"/>
        <v>1</v>
      </c>
      <c r="J1038" s="76" t="str">
        <f t="shared" si="507"/>
        <v>Lactuca</v>
      </c>
      <c r="K1038" s="76" t="str">
        <f t="shared" si="507"/>
        <v>inermis</v>
      </c>
      <c r="L1038" s="77">
        <f t="shared" si="507"/>
        <v>13</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2019</v>
      </c>
      <c r="B1039" s="72" t="str">
        <f t="shared" si="487"/>
        <v>Nov</v>
      </c>
      <c r="C1039" s="73">
        <f t="shared" si="505"/>
        <v>24</v>
      </c>
      <c r="D1039" s="74">
        <f t="shared" si="488"/>
        <v>3</v>
      </c>
      <c r="E1039" s="75">
        <f t="shared" si="489"/>
        <v>36</v>
      </c>
      <c r="F1039" s="79"/>
      <c r="G1039" s="82"/>
      <c r="H1039" s="68" t="str">
        <f t="shared" si="506"/>
        <v>Lacine13_20191124_03_00</v>
      </c>
      <c r="I1039" s="69">
        <f t="shared" si="507"/>
        <v>1</v>
      </c>
      <c r="J1039" s="76" t="str">
        <f t="shared" si="507"/>
        <v>Lactuca</v>
      </c>
      <c r="K1039" s="76" t="str">
        <f t="shared" si="507"/>
        <v>inermis</v>
      </c>
      <c r="L1039" s="77">
        <f t="shared" si="507"/>
        <v>13</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2019</v>
      </c>
      <c r="B1040" s="72" t="str">
        <f t="shared" si="487"/>
        <v>Nov</v>
      </c>
      <c r="C1040" s="73">
        <f t="shared" si="505"/>
        <v>24</v>
      </c>
      <c r="D1040" s="74">
        <f t="shared" si="488"/>
        <v>3</v>
      </c>
      <c r="E1040" s="75">
        <f t="shared" si="489"/>
        <v>37</v>
      </c>
      <c r="F1040" s="79"/>
      <c r="G1040" s="82"/>
      <c r="H1040" s="68" t="str">
        <f t="shared" si="506"/>
        <v>Lacine13_20191124_03_00</v>
      </c>
      <c r="I1040" s="69">
        <f t="shared" si="507"/>
        <v>1</v>
      </c>
      <c r="J1040" s="76" t="str">
        <f t="shared" si="507"/>
        <v>Lactuca</v>
      </c>
      <c r="K1040" s="76" t="str">
        <f t="shared" si="507"/>
        <v>inermis</v>
      </c>
      <c r="L1040" s="77">
        <f t="shared" si="507"/>
        <v>13</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2019</v>
      </c>
      <c r="B1041" s="72" t="str">
        <f t="shared" si="487"/>
        <v>Nov</v>
      </c>
      <c r="C1041" s="73">
        <f t="shared" si="505"/>
        <v>24</v>
      </c>
      <c r="D1041" s="74">
        <f t="shared" si="488"/>
        <v>3</v>
      </c>
      <c r="E1041" s="75">
        <f t="shared" si="489"/>
        <v>38</v>
      </c>
      <c r="F1041" s="79"/>
      <c r="G1041" s="82"/>
      <c r="H1041" s="68" t="str">
        <f t="shared" si="506"/>
        <v>Lacine13_20191124_03_00</v>
      </c>
      <c r="I1041" s="69">
        <f t="shared" si="507"/>
        <v>1</v>
      </c>
      <c r="J1041" s="76" t="str">
        <f t="shared" si="507"/>
        <v>Lactuca</v>
      </c>
      <c r="K1041" s="76" t="str">
        <f t="shared" si="507"/>
        <v>inermis</v>
      </c>
      <c r="L1041" s="77">
        <f t="shared" si="507"/>
        <v>13</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2019</v>
      </c>
      <c r="B1042" s="72" t="str">
        <f t="shared" si="487"/>
        <v>Nov</v>
      </c>
      <c r="C1042" s="73">
        <f t="shared" si="505"/>
        <v>24</v>
      </c>
      <c r="D1042" s="74">
        <f t="shared" si="488"/>
        <v>3</v>
      </c>
      <c r="E1042" s="75">
        <f t="shared" si="489"/>
        <v>39</v>
      </c>
      <c r="F1042" s="79"/>
      <c r="G1042" s="82"/>
      <c r="H1042" s="68" t="str">
        <f t="shared" si="506"/>
        <v>Lacine13_20191124_03_00</v>
      </c>
      <c r="I1042" s="69">
        <f t="shared" si="507"/>
        <v>1</v>
      </c>
      <c r="J1042" s="76" t="str">
        <f t="shared" si="507"/>
        <v>Lactuca</v>
      </c>
      <c r="K1042" s="76" t="str">
        <f t="shared" si="507"/>
        <v>inermis</v>
      </c>
      <c r="L1042" s="77">
        <f t="shared" si="507"/>
        <v>13</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2019</v>
      </c>
      <c r="B1043" s="72" t="str">
        <f t="shared" si="487"/>
        <v>Nov</v>
      </c>
      <c r="C1043" s="73">
        <f t="shared" si="505"/>
        <v>24</v>
      </c>
      <c r="D1043" s="74">
        <f t="shared" si="488"/>
        <v>3</v>
      </c>
      <c r="E1043" s="75">
        <f t="shared" si="489"/>
        <v>40</v>
      </c>
      <c r="F1043" s="79"/>
      <c r="G1043" s="82"/>
      <c r="H1043" s="68" t="str">
        <f t="shared" si="506"/>
        <v>Lacine13_20191124_03_00</v>
      </c>
      <c r="I1043" s="69">
        <f t="shared" si="507"/>
        <v>1</v>
      </c>
      <c r="J1043" s="76" t="str">
        <f t="shared" si="507"/>
        <v>Lactuca</v>
      </c>
      <c r="K1043" s="76" t="str">
        <f t="shared" si="507"/>
        <v>inermis</v>
      </c>
      <c r="L1043" s="77">
        <f t="shared" si="507"/>
        <v>13</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2019</v>
      </c>
      <c r="B1044" s="72" t="str">
        <f t="shared" si="487"/>
        <v>Nov</v>
      </c>
      <c r="C1044" s="73">
        <f t="shared" si="505"/>
        <v>24</v>
      </c>
      <c r="D1044" s="74">
        <f t="shared" si="488"/>
        <v>3</v>
      </c>
      <c r="E1044" s="75">
        <f t="shared" si="489"/>
        <v>41</v>
      </c>
      <c r="F1044" s="79"/>
      <c r="G1044" s="82"/>
      <c r="H1044" s="68" t="str">
        <f t="shared" si="506"/>
        <v>Lacine13_20191124_03_00</v>
      </c>
      <c r="I1044" s="69">
        <f t="shared" si="507"/>
        <v>1</v>
      </c>
      <c r="J1044" s="76" t="str">
        <f t="shared" si="507"/>
        <v>Lactuca</v>
      </c>
      <c r="K1044" s="76" t="str">
        <f t="shared" si="507"/>
        <v>inermis</v>
      </c>
      <c r="L1044" s="77">
        <f t="shared" si="507"/>
        <v>13</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2019</v>
      </c>
      <c r="B1045" s="72" t="str">
        <f t="shared" si="487"/>
        <v>Nov</v>
      </c>
      <c r="C1045" s="73">
        <f t="shared" si="505"/>
        <v>24</v>
      </c>
      <c r="D1045" s="74">
        <f t="shared" si="488"/>
        <v>3</v>
      </c>
      <c r="E1045" s="75">
        <f t="shared" si="489"/>
        <v>42</v>
      </c>
      <c r="F1045" s="79"/>
      <c r="G1045" s="82"/>
      <c r="H1045" s="68" t="str">
        <f t="shared" si="506"/>
        <v>Lacine13_20191124_03_00</v>
      </c>
      <c r="I1045" s="69">
        <f t="shared" ref="I1045:N1060" si="508">I1044</f>
        <v>1</v>
      </c>
      <c r="J1045" s="76" t="str">
        <f t="shared" si="508"/>
        <v>Lactuca</v>
      </c>
      <c r="K1045" s="76" t="str">
        <f t="shared" si="508"/>
        <v>inermis</v>
      </c>
      <c r="L1045" s="77">
        <f t="shared" si="508"/>
        <v>13</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2019</v>
      </c>
      <c r="B1046" s="72" t="str">
        <f t="shared" si="487"/>
        <v>Nov</v>
      </c>
      <c r="C1046" s="73">
        <f t="shared" si="505"/>
        <v>24</v>
      </c>
      <c r="D1046" s="74">
        <f t="shared" si="488"/>
        <v>3</v>
      </c>
      <c r="E1046" s="75">
        <f t="shared" si="489"/>
        <v>43</v>
      </c>
      <c r="F1046" s="79"/>
      <c r="G1046" s="82"/>
      <c r="H1046" s="68" t="str">
        <f t="shared" si="506"/>
        <v>Lacine13_20191124_03_00</v>
      </c>
      <c r="I1046" s="69">
        <f t="shared" si="508"/>
        <v>1</v>
      </c>
      <c r="J1046" s="76" t="str">
        <f t="shared" si="508"/>
        <v>Lactuca</v>
      </c>
      <c r="K1046" s="76" t="str">
        <f t="shared" si="508"/>
        <v>inermis</v>
      </c>
      <c r="L1046" s="77">
        <f t="shared" si="508"/>
        <v>13</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2019</v>
      </c>
      <c r="B1047" s="72" t="str">
        <f t="shared" si="487"/>
        <v>Nov</v>
      </c>
      <c r="C1047" s="73">
        <f t="shared" si="505"/>
        <v>24</v>
      </c>
      <c r="D1047" s="74">
        <f t="shared" si="488"/>
        <v>3</v>
      </c>
      <c r="E1047" s="75">
        <f t="shared" si="489"/>
        <v>44</v>
      </c>
      <c r="F1047" s="79"/>
      <c r="G1047" s="82"/>
      <c r="H1047" s="68" t="str">
        <f t="shared" si="506"/>
        <v>Lacine13_20191124_03_00</v>
      </c>
      <c r="I1047" s="69">
        <f t="shared" si="508"/>
        <v>1</v>
      </c>
      <c r="J1047" s="76" t="str">
        <f t="shared" si="508"/>
        <v>Lactuca</v>
      </c>
      <c r="K1047" s="76" t="str">
        <f t="shared" si="508"/>
        <v>inermis</v>
      </c>
      <c r="L1047" s="77">
        <f t="shared" si="508"/>
        <v>13</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2019</v>
      </c>
      <c r="B1048" s="72" t="str">
        <f t="shared" si="487"/>
        <v>Nov</v>
      </c>
      <c r="C1048" s="73">
        <f t="shared" si="505"/>
        <v>24</v>
      </c>
      <c r="D1048" s="74">
        <f t="shared" si="488"/>
        <v>3</v>
      </c>
      <c r="E1048" s="75">
        <f t="shared" si="489"/>
        <v>45</v>
      </c>
      <c r="F1048" s="79"/>
      <c r="G1048" s="82"/>
      <c r="H1048" s="68" t="str">
        <f t="shared" si="506"/>
        <v>Lacine13_20191124_03_00</v>
      </c>
      <c r="I1048" s="69">
        <f t="shared" si="508"/>
        <v>1</v>
      </c>
      <c r="J1048" s="76" t="str">
        <f t="shared" si="508"/>
        <v>Lactuca</v>
      </c>
      <c r="K1048" s="76" t="str">
        <f t="shared" si="508"/>
        <v>inermis</v>
      </c>
      <c r="L1048" s="77">
        <f t="shared" si="508"/>
        <v>13</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2019</v>
      </c>
      <c r="B1049" s="72" t="str">
        <f t="shared" si="487"/>
        <v>Nov</v>
      </c>
      <c r="C1049" s="73">
        <f t="shared" si="505"/>
        <v>24</v>
      </c>
      <c r="D1049" s="74">
        <f t="shared" si="488"/>
        <v>3</v>
      </c>
      <c r="E1049" s="75">
        <f t="shared" si="489"/>
        <v>46</v>
      </c>
      <c r="F1049" s="79"/>
      <c r="G1049" s="82"/>
      <c r="H1049" s="68" t="str">
        <f t="shared" si="506"/>
        <v>Lacine13_20191124_03_00</v>
      </c>
      <c r="I1049" s="69">
        <f t="shared" si="508"/>
        <v>1</v>
      </c>
      <c r="J1049" s="76" t="str">
        <f t="shared" si="508"/>
        <v>Lactuca</v>
      </c>
      <c r="K1049" s="76" t="str">
        <f t="shared" si="508"/>
        <v>inermis</v>
      </c>
      <c r="L1049" s="77">
        <f t="shared" si="508"/>
        <v>13</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2019</v>
      </c>
      <c r="B1050" s="72" t="str">
        <f t="shared" si="487"/>
        <v>Nov</v>
      </c>
      <c r="C1050" s="73">
        <f t="shared" si="505"/>
        <v>24</v>
      </c>
      <c r="D1050" s="74">
        <f t="shared" si="488"/>
        <v>3</v>
      </c>
      <c r="E1050" s="75">
        <f t="shared" si="489"/>
        <v>47</v>
      </c>
      <c r="F1050" s="79"/>
      <c r="G1050" s="82"/>
      <c r="H1050" s="68" t="str">
        <f t="shared" si="506"/>
        <v>Lacine13_20191124_03_00</v>
      </c>
      <c r="I1050" s="69">
        <f t="shared" si="508"/>
        <v>1</v>
      </c>
      <c r="J1050" s="76" t="str">
        <f t="shared" si="508"/>
        <v>Lactuca</v>
      </c>
      <c r="K1050" s="76" t="str">
        <f t="shared" si="508"/>
        <v>inermis</v>
      </c>
      <c r="L1050" s="77">
        <f t="shared" si="508"/>
        <v>13</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2019</v>
      </c>
      <c r="B1051" s="72" t="str">
        <f t="shared" si="487"/>
        <v>Nov</v>
      </c>
      <c r="C1051" s="73">
        <f t="shared" si="505"/>
        <v>24</v>
      </c>
      <c r="D1051" s="74">
        <f t="shared" si="488"/>
        <v>3</v>
      </c>
      <c r="E1051" s="75">
        <f t="shared" si="489"/>
        <v>48</v>
      </c>
      <c r="F1051" s="79"/>
      <c r="G1051" s="82"/>
      <c r="H1051" s="68" t="str">
        <f t="shared" si="506"/>
        <v>Lacine13_20191124_03_00</v>
      </c>
      <c r="I1051" s="69">
        <f t="shared" si="508"/>
        <v>1</v>
      </c>
      <c r="J1051" s="76" t="str">
        <f t="shared" si="508"/>
        <v>Lactuca</v>
      </c>
      <c r="K1051" s="76" t="str">
        <f t="shared" si="508"/>
        <v>inermis</v>
      </c>
      <c r="L1051" s="77">
        <f t="shared" si="508"/>
        <v>13</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2019</v>
      </c>
      <c r="B1052" s="72" t="str">
        <f t="shared" si="487"/>
        <v>Nov</v>
      </c>
      <c r="C1052" s="73">
        <f t="shared" si="505"/>
        <v>24</v>
      </c>
      <c r="D1052" s="74">
        <f t="shared" si="488"/>
        <v>3</v>
      </c>
      <c r="E1052" s="75">
        <f t="shared" si="489"/>
        <v>49</v>
      </c>
      <c r="F1052" s="79"/>
      <c r="G1052" s="82"/>
      <c r="H1052" s="68" t="str">
        <f t="shared" si="506"/>
        <v>Lacine13_20191124_03_00</v>
      </c>
      <c r="I1052" s="69">
        <f t="shared" si="508"/>
        <v>1</v>
      </c>
      <c r="J1052" s="76" t="str">
        <f t="shared" si="508"/>
        <v>Lactuca</v>
      </c>
      <c r="K1052" s="76" t="str">
        <f t="shared" si="508"/>
        <v>inermis</v>
      </c>
      <c r="L1052" s="77">
        <f t="shared" si="508"/>
        <v>13</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2019</v>
      </c>
      <c r="B1053" s="72" t="str">
        <f t="shared" si="487"/>
        <v>Nov</v>
      </c>
      <c r="C1053" s="73">
        <f t="shared" si="505"/>
        <v>24</v>
      </c>
      <c r="D1053" s="74">
        <f t="shared" si="488"/>
        <v>3</v>
      </c>
      <c r="E1053" s="75">
        <f t="shared" si="489"/>
        <v>50</v>
      </c>
      <c r="F1053" s="79"/>
      <c r="G1053" s="82"/>
      <c r="H1053" s="68" t="str">
        <f t="shared" si="506"/>
        <v>Lacine13_20191124_03_00</v>
      </c>
      <c r="I1053" s="69">
        <f t="shared" si="508"/>
        <v>1</v>
      </c>
      <c r="J1053" s="76" t="str">
        <f t="shared" si="508"/>
        <v>Lactuca</v>
      </c>
      <c r="K1053" s="76" t="str">
        <f t="shared" si="508"/>
        <v>inermis</v>
      </c>
      <c r="L1053" s="77">
        <f t="shared" si="508"/>
        <v>13</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2019</v>
      </c>
      <c r="B1054" s="72" t="str">
        <f t="shared" si="487"/>
        <v>Nov</v>
      </c>
      <c r="C1054" s="73">
        <f t="shared" si="505"/>
        <v>24</v>
      </c>
      <c r="D1054" s="74">
        <f t="shared" si="488"/>
        <v>3</v>
      </c>
      <c r="E1054" s="75">
        <f t="shared" si="489"/>
        <v>51</v>
      </c>
      <c r="F1054" s="79"/>
      <c r="G1054" s="82"/>
      <c r="H1054" s="68" t="str">
        <f t="shared" si="506"/>
        <v>Lacine13_20191124_03_00</v>
      </c>
      <c r="I1054" s="69">
        <f t="shared" si="508"/>
        <v>1</v>
      </c>
      <c r="J1054" s="76" t="str">
        <f t="shared" si="508"/>
        <v>Lactuca</v>
      </c>
      <c r="K1054" s="76" t="str">
        <f t="shared" si="508"/>
        <v>inermis</v>
      </c>
      <c r="L1054" s="77">
        <f t="shared" si="508"/>
        <v>13</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2019</v>
      </c>
      <c r="B1055" s="72" t="str">
        <f t="shared" si="487"/>
        <v>Nov</v>
      </c>
      <c r="C1055" s="73">
        <f t="shared" si="505"/>
        <v>24</v>
      </c>
      <c r="D1055" s="74">
        <f t="shared" si="488"/>
        <v>3</v>
      </c>
      <c r="E1055" s="75">
        <f t="shared" si="489"/>
        <v>52</v>
      </c>
      <c r="F1055" s="79"/>
      <c r="G1055" s="82"/>
      <c r="H1055" s="68" t="str">
        <f t="shared" si="506"/>
        <v>Lacine13_20191124_03_00</v>
      </c>
      <c r="I1055" s="69">
        <f t="shared" si="508"/>
        <v>1</v>
      </c>
      <c r="J1055" s="76" t="str">
        <f t="shared" si="508"/>
        <v>Lactuca</v>
      </c>
      <c r="K1055" s="76" t="str">
        <f t="shared" si="508"/>
        <v>inermis</v>
      </c>
      <c r="L1055" s="77">
        <f t="shared" si="508"/>
        <v>13</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2019</v>
      </c>
      <c r="B1056" s="72" t="str">
        <f t="shared" si="487"/>
        <v>Nov</v>
      </c>
      <c r="C1056" s="73">
        <f t="shared" si="505"/>
        <v>24</v>
      </c>
      <c r="D1056" s="74">
        <f t="shared" si="488"/>
        <v>3</v>
      </c>
      <c r="E1056" s="75">
        <f t="shared" si="489"/>
        <v>53</v>
      </c>
      <c r="F1056" s="79"/>
      <c r="G1056" s="82"/>
      <c r="H1056" s="68" t="str">
        <f t="shared" si="506"/>
        <v>Lacine13_20191124_03_00</v>
      </c>
      <c r="I1056" s="69">
        <f t="shared" si="508"/>
        <v>1</v>
      </c>
      <c r="J1056" s="76" t="str">
        <f t="shared" si="508"/>
        <v>Lactuca</v>
      </c>
      <c r="K1056" s="76" t="str">
        <f t="shared" si="508"/>
        <v>inermis</v>
      </c>
      <c r="L1056" s="77">
        <f t="shared" si="508"/>
        <v>13</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2019</v>
      </c>
      <c r="B1057" s="72" t="str">
        <f t="shared" si="487"/>
        <v>Nov</v>
      </c>
      <c r="C1057" s="73">
        <f t="shared" si="505"/>
        <v>24</v>
      </c>
      <c r="D1057" s="74">
        <f t="shared" si="488"/>
        <v>3</v>
      </c>
      <c r="E1057" s="75">
        <f t="shared" si="489"/>
        <v>54</v>
      </c>
      <c r="F1057" s="79"/>
      <c r="G1057" s="82"/>
      <c r="H1057" s="68" t="str">
        <f t="shared" si="506"/>
        <v>Lacine13_20191124_03_00</v>
      </c>
      <c r="I1057" s="69">
        <f t="shared" si="508"/>
        <v>1</v>
      </c>
      <c r="J1057" s="76" t="str">
        <f t="shared" si="508"/>
        <v>Lactuca</v>
      </c>
      <c r="K1057" s="76" t="str">
        <f t="shared" si="508"/>
        <v>inermis</v>
      </c>
      <c r="L1057" s="77">
        <f t="shared" si="508"/>
        <v>13</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2019</v>
      </c>
      <c r="B1058" s="72" t="str">
        <f t="shared" si="487"/>
        <v>Nov</v>
      </c>
      <c r="C1058" s="73">
        <f t="shared" si="505"/>
        <v>24</v>
      </c>
      <c r="D1058" s="74">
        <f t="shared" si="488"/>
        <v>3</v>
      </c>
      <c r="E1058" s="75">
        <f t="shared" si="489"/>
        <v>55</v>
      </c>
      <c r="F1058" s="79"/>
      <c r="G1058" s="82"/>
      <c r="H1058" s="68" t="str">
        <f t="shared" si="506"/>
        <v>Lacine13_20191124_03_00</v>
      </c>
      <c r="I1058" s="69">
        <f t="shared" si="508"/>
        <v>1</v>
      </c>
      <c r="J1058" s="76" t="str">
        <f t="shared" si="508"/>
        <v>Lactuca</v>
      </c>
      <c r="K1058" s="76" t="str">
        <f t="shared" si="508"/>
        <v>inermis</v>
      </c>
      <c r="L1058" s="77">
        <f t="shared" si="508"/>
        <v>13</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2019</v>
      </c>
      <c r="B1059" s="72" t="str">
        <f t="shared" si="487"/>
        <v>Nov</v>
      </c>
      <c r="C1059" s="73">
        <f t="shared" si="505"/>
        <v>24</v>
      </c>
      <c r="D1059" s="74">
        <f t="shared" si="488"/>
        <v>3</v>
      </c>
      <c r="E1059" s="75">
        <f t="shared" si="489"/>
        <v>56</v>
      </c>
      <c r="F1059" s="79"/>
      <c r="G1059" s="82"/>
      <c r="H1059" s="68" t="str">
        <f t="shared" si="506"/>
        <v>Lacine13_20191124_03_00</v>
      </c>
      <c r="I1059" s="69">
        <f t="shared" si="508"/>
        <v>1</v>
      </c>
      <c r="J1059" s="76" t="str">
        <f t="shared" si="508"/>
        <v>Lactuca</v>
      </c>
      <c r="K1059" s="76" t="str">
        <f t="shared" si="508"/>
        <v>inermis</v>
      </c>
      <c r="L1059" s="77">
        <f t="shared" si="508"/>
        <v>13</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2019</v>
      </c>
      <c r="B1060" s="72" t="str">
        <f t="shared" si="487"/>
        <v>Nov</v>
      </c>
      <c r="C1060" s="73">
        <f t="shared" si="505"/>
        <v>24</v>
      </c>
      <c r="D1060" s="74">
        <f t="shared" si="488"/>
        <v>3</v>
      </c>
      <c r="E1060" s="75">
        <f t="shared" si="489"/>
        <v>57</v>
      </c>
      <c r="F1060" s="79"/>
      <c r="G1060" s="82"/>
      <c r="H1060" s="68" t="str">
        <f t="shared" si="506"/>
        <v>Lacine13_20191124_03_00</v>
      </c>
      <c r="I1060" s="69">
        <f t="shared" si="508"/>
        <v>1</v>
      </c>
      <c r="J1060" s="76" t="str">
        <f t="shared" si="508"/>
        <v>Lactuca</v>
      </c>
      <c r="K1060" s="76" t="str">
        <f t="shared" si="508"/>
        <v>inermis</v>
      </c>
      <c r="L1060" s="77">
        <f t="shared" si="508"/>
        <v>13</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2019</v>
      </c>
      <c r="B1061" s="72" t="str">
        <f t="shared" si="487"/>
        <v>Nov</v>
      </c>
      <c r="C1061" s="73">
        <f t="shared" si="505"/>
        <v>24</v>
      </c>
      <c r="D1061" s="74">
        <f t="shared" si="488"/>
        <v>3</v>
      </c>
      <c r="E1061" s="75">
        <f t="shared" si="489"/>
        <v>58</v>
      </c>
      <c r="F1061" s="79"/>
      <c r="G1061" s="82"/>
      <c r="H1061" s="68" t="str">
        <f t="shared" si="506"/>
        <v>Lacine13_20191124_03_00</v>
      </c>
      <c r="I1061" s="69">
        <f t="shared" ref="I1061:N1076" si="509">I1060</f>
        <v>1</v>
      </c>
      <c r="J1061" s="76" t="str">
        <f t="shared" si="509"/>
        <v>Lactuca</v>
      </c>
      <c r="K1061" s="76" t="str">
        <f t="shared" si="509"/>
        <v>inermis</v>
      </c>
      <c r="L1061" s="77">
        <f t="shared" si="509"/>
        <v>13</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2019</v>
      </c>
      <c r="B1062" s="72" t="str">
        <f t="shared" si="487"/>
        <v>Nov</v>
      </c>
      <c r="C1062" s="73">
        <f t="shared" si="505"/>
        <v>24</v>
      </c>
      <c r="D1062" s="74">
        <f t="shared" si="488"/>
        <v>3</v>
      </c>
      <c r="E1062" s="75">
        <f t="shared" si="489"/>
        <v>59</v>
      </c>
      <c r="F1062" s="79"/>
      <c r="G1062" s="82"/>
      <c r="H1062" s="68" t="str">
        <f t="shared" si="506"/>
        <v>Lacine13_20191124_03_00</v>
      </c>
      <c r="I1062" s="69">
        <f t="shared" si="509"/>
        <v>1</v>
      </c>
      <c r="J1062" s="76" t="str">
        <f t="shared" si="509"/>
        <v>Lactuca</v>
      </c>
      <c r="K1062" s="76" t="str">
        <f t="shared" si="509"/>
        <v>inermis</v>
      </c>
      <c r="L1062" s="77">
        <f t="shared" si="509"/>
        <v>13</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2019</v>
      </c>
      <c r="B1063" s="72" t="str">
        <f t="shared" si="487"/>
        <v>Nov</v>
      </c>
      <c r="C1063" s="73">
        <f t="shared" si="505"/>
        <v>24</v>
      </c>
      <c r="D1063" s="74">
        <f t="shared" si="488"/>
        <v>4</v>
      </c>
      <c r="E1063" s="75">
        <f t="shared" si="489"/>
        <v>0</v>
      </c>
      <c r="F1063" s="79"/>
      <c r="G1063" s="82"/>
      <c r="H1063" s="68" t="str">
        <f t="shared" si="506"/>
        <v>Lacine13_20191124_04_00</v>
      </c>
      <c r="I1063" s="69">
        <f t="shared" si="509"/>
        <v>1</v>
      </c>
      <c r="J1063" s="76" t="str">
        <f t="shared" si="509"/>
        <v>Lactuca</v>
      </c>
      <c r="K1063" s="76" t="str">
        <f t="shared" si="509"/>
        <v>inermis</v>
      </c>
      <c r="L1063" s="77">
        <f t="shared" si="509"/>
        <v>13</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2019</v>
      </c>
      <c r="B1064" s="72" t="str">
        <f t="shared" si="487"/>
        <v>Nov</v>
      </c>
      <c r="C1064" s="73">
        <f t="shared" si="505"/>
        <v>24</v>
      </c>
      <c r="D1064" s="74">
        <f t="shared" si="488"/>
        <v>4</v>
      </c>
      <c r="E1064" s="75">
        <f t="shared" si="489"/>
        <v>1</v>
      </c>
      <c r="F1064" s="79"/>
      <c r="G1064" s="82"/>
      <c r="H1064" s="68" t="str">
        <f t="shared" si="506"/>
        <v>Lacine13_20191124_04_00</v>
      </c>
      <c r="I1064" s="69">
        <f t="shared" si="509"/>
        <v>1</v>
      </c>
      <c r="J1064" s="76" t="str">
        <f t="shared" si="509"/>
        <v>Lactuca</v>
      </c>
      <c r="K1064" s="76" t="str">
        <f t="shared" si="509"/>
        <v>inermis</v>
      </c>
      <c r="L1064" s="77">
        <f t="shared" si="509"/>
        <v>13</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2019</v>
      </c>
      <c r="B1065" s="72" t="str">
        <f t="shared" si="487"/>
        <v>Nov</v>
      </c>
      <c r="C1065" s="73">
        <f t="shared" si="505"/>
        <v>24</v>
      </c>
      <c r="D1065" s="74">
        <f t="shared" si="488"/>
        <v>4</v>
      </c>
      <c r="E1065" s="75">
        <f t="shared" si="489"/>
        <v>2</v>
      </c>
      <c r="F1065" s="79"/>
      <c r="G1065" s="82"/>
      <c r="H1065" s="68" t="str">
        <f t="shared" si="506"/>
        <v>Lacine13_20191124_04_00</v>
      </c>
      <c r="I1065" s="69">
        <f t="shared" si="509"/>
        <v>1</v>
      </c>
      <c r="J1065" s="76" t="str">
        <f t="shared" si="509"/>
        <v>Lactuca</v>
      </c>
      <c r="K1065" s="76" t="str">
        <f t="shared" si="509"/>
        <v>inermis</v>
      </c>
      <c r="L1065" s="77">
        <f t="shared" si="509"/>
        <v>13</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2019</v>
      </c>
      <c r="B1066" s="72" t="str">
        <f t="shared" si="487"/>
        <v>Nov</v>
      </c>
      <c r="C1066" s="73">
        <f t="shared" si="505"/>
        <v>24</v>
      </c>
      <c r="D1066" s="74">
        <f t="shared" si="488"/>
        <v>4</v>
      </c>
      <c r="E1066" s="75">
        <f t="shared" si="489"/>
        <v>3</v>
      </c>
      <c r="F1066" s="79"/>
      <c r="G1066" s="82"/>
      <c r="H1066" s="68" t="str">
        <f t="shared" si="506"/>
        <v>Lacine13_20191124_04_00</v>
      </c>
      <c r="I1066" s="69">
        <f t="shared" si="509"/>
        <v>1</v>
      </c>
      <c r="J1066" s="76" t="str">
        <f t="shared" si="509"/>
        <v>Lactuca</v>
      </c>
      <c r="K1066" s="76" t="str">
        <f t="shared" si="509"/>
        <v>inermis</v>
      </c>
      <c r="L1066" s="77">
        <f t="shared" si="509"/>
        <v>13</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2019</v>
      </c>
      <c r="B1067" s="72" t="str">
        <f t="shared" si="487"/>
        <v>Nov</v>
      </c>
      <c r="C1067" s="73">
        <f t="shared" si="505"/>
        <v>24</v>
      </c>
      <c r="D1067" s="74">
        <f t="shared" si="488"/>
        <v>4</v>
      </c>
      <c r="E1067" s="75">
        <f t="shared" si="489"/>
        <v>4</v>
      </c>
      <c r="F1067" s="79"/>
      <c r="G1067" s="82"/>
      <c r="H1067" s="68" t="str">
        <f t="shared" si="506"/>
        <v>Lacine13_20191124_04_00</v>
      </c>
      <c r="I1067" s="69">
        <f t="shared" si="509"/>
        <v>1</v>
      </c>
      <c r="J1067" s="76" t="str">
        <f t="shared" si="509"/>
        <v>Lactuca</v>
      </c>
      <c r="K1067" s="76" t="str">
        <f t="shared" si="509"/>
        <v>inermis</v>
      </c>
      <c r="L1067" s="77">
        <f t="shared" si="509"/>
        <v>13</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2019</v>
      </c>
      <c r="B1068" s="72" t="str">
        <f t="shared" si="487"/>
        <v>Nov</v>
      </c>
      <c r="C1068" s="73">
        <f t="shared" si="505"/>
        <v>24</v>
      </c>
      <c r="D1068" s="74">
        <f t="shared" si="488"/>
        <v>4</v>
      </c>
      <c r="E1068" s="75">
        <f t="shared" si="489"/>
        <v>5</v>
      </c>
      <c r="F1068" s="79"/>
      <c r="G1068" s="82"/>
      <c r="H1068" s="68" t="str">
        <f t="shared" si="506"/>
        <v>Lacine13_20191124_04_00</v>
      </c>
      <c r="I1068" s="69">
        <f t="shared" si="509"/>
        <v>1</v>
      </c>
      <c r="J1068" s="76" t="str">
        <f t="shared" si="509"/>
        <v>Lactuca</v>
      </c>
      <c r="K1068" s="76" t="str">
        <f t="shared" si="509"/>
        <v>inermis</v>
      </c>
      <c r="L1068" s="77">
        <f t="shared" si="509"/>
        <v>13</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2019</v>
      </c>
      <c r="B1069" s="72" t="str">
        <f t="shared" si="487"/>
        <v>Nov</v>
      </c>
      <c r="C1069" s="73">
        <f t="shared" si="505"/>
        <v>24</v>
      </c>
      <c r="D1069" s="74">
        <f t="shared" si="488"/>
        <v>4</v>
      </c>
      <c r="E1069" s="75">
        <f t="shared" si="489"/>
        <v>6</v>
      </c>
      <c r="F1069" s="79"/>
      <c r="G1069" s="82"/>
      <c r="H1069" s="68" t="str">
        <f t="shared" si="506"/>
        <v>Lacine13_20191124_04_00</v>
      </c>
      <c r="I1069" s="69">
        <f t="shared" si="509"/>
        <v>1</v>
      </c>
      <c r="J1069" s="76" t="str">
        <f t="shared" si="509"/>
        <v>Lactuca</v>
      </c>
      <c r="K1069" s="76" t="str">
        <f t="shared" si="509"/>
        <v>inermis</v>
      </c>
      <c r="L1069" s="77">
        <f t="shared" si="509"/>
        <v>13</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2019</v>
      </c>
      <c r="B1070" s="72" t="str">
        <f t="shared" si="487"/>
        <v>Nov</v>
      </c>
      <c r="C1070" s="73">
        <f t="shared" si="505"/>
        <v>24</v>
      </c>
      <c r="D1070" s="74">
        <f t="shared" si="488"/>
        <v>4</v>
      </c>
      <c r="E1070" s="75">
        <f t="shared" si="489"/>
        <v>7</v>
      </c>
      <c r="F1070" s="79"/>
      <c r="G1070" s="82"/>
      <c r="H1070" s="68" t="str">
        <f t="shared" si="506"/>
        <v>Lacine13_20191124_04_00</v>
      </c>
      <c r="I1070" s="69">
        <f t="shared" si="509"/>
        <v>1</v>
      </c>
      <c r="J1070" s="76" t="str">
        <f t="shared" si="509"/>
        <v>Lactuca</v>
      </c>
      <c r="K1070" s="76" t="str">
        <f t="shared" si="509"/>
        <v>inermis</v>
      </c>
      <c r="L1070" s="77">
        <f t="shared" si="509"/>
        <v>13</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2019</v>
      </c>
      <c r="B1071" s="72" t="str">
        <f t="shared" si="487"/>
        <v>Nov</v>
      </c>
      <c r="C1071" s="73">
        <f t="shared" si="505"/>
        <v>24</v>
      </c>
      <c r="D1071" s="74">
        <f t="shared" si="488"/>
        <v>4</v>
      </c>
      <c r="E1071" s="75">
        <f t="shared" si="489"/>
        <v>8</v>
      </c>
      <c r="F1071" s="79"/>
      <c r="G1071" s="82"/>
      <c r="H1071" s="68" t="str">
        <f t="shared" si="506"/>
        <v>Lacine13_20191124_04_00</v>
      </c>
      <c r="I1071" s="69">
        <f t="shared" si="509"/>
        <v>1</v>
      </c>
      <c r="J1071" s="76" t="str">
        <f t="shared" si="509"/>
        <v>Lactuca</v>
      </c>
      <c r="K1071" s="76" t="str">
        <f t="shared" si="509"/>
        <v>inermis</v>
      </c>
      <c r="L1071" s="77">
        <f t="shared" si="509"/>
        <v>13</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2019</v>
      </c>
      <c r="B1072" s="72" t="str">
        <f t="shared" si="487"/>
        <v>Nov</v>
      </c>
      <c r="C1072" s="73">
        <f t="shared" si="505"/>
        <v>24</v>
      </c>
      <c r="D1072" s="74">
        <f t="shared" si="488"/>
        <v>4</v>
      </c>
      <c r="E1072" s="75">
        <f t="shared" si="489"/>
        <v>9</v>
      </c>
      <c r="F1072" s="79"/>
      <c r="G1072" s="82"/>
      <c r="H1072" s="68" t="str">
        <f t="shared" si="506"/>
        <v>Lacine13_20191124_04_00</v>
      </c>
      <c r="I1072" s="69">
        <f t="shared" si="509"/>
        <v>1</v>
      </c>
      <c r="J1072" s="76" t="str">
        <f t="shared" si="509"/>
        <v>Lactuca</v>
      </c>
      <c r="K1072" s="76" t="str">
        <f t="shared" si="509"/>
        <v>inermis</v>
      </c>
      <c r="L1072" s="77">
        <f t="shared" si="509"/>
        <v>13</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2019</v>
      </c>
      <c r="B1073" s="72" t="str">
        <f t="shared" si="487"/>
        <v>Nov</v>
      </c>
      <c r="C1073" s="73">
        <f t="shared" si="505"/>
        <v>24</v>
      </c>
      <c r="D1073" s="74">
        <f t="shared" si="488"/>
        <v>4</v>
      </c>
      <c r="E1073" s="75">
        <f t="shared" si="489"/>
        <v>10</v>
      </c>
      <c r="F1073" s="79"/>
      <c r="G1073" s="82"/>
      <c r="H1073" s="68" t="str">
        <f t="shared" si="506"/>
        <v>Lacine13_20191124_04_00</v>
      </c>
      <c r="I1073" s="69">
        <f t="shared" si="509"/>
        <v>1</v>
      </c>
      <c r="J1073" s="76" t="str">
        <f t="shared" si="509"/>
        <v>Lactuca</v>
      </c>
      <c r="K1073" s="76" t="str">
        <f t="shared" si="509"/>
        <v>inermis</v>
      </c>
      <c r="L1073" s="77">
        <f t="shared" si="509"/>
        <v>13</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2019</v>
      </c>
      <c r="B1074" s="72" t="str">
        <f t="shared" si="487"/>
        <v>Nov</v>
      </c>
      <c r="C1074" s="73">
        <f t="shared" si="505"/>
        <v>24</v>
      </c>
      <c r="D1074" s="74">
        <f t="shared" si="488"/>
        <v>4</v>
      </c>
      <c r="E1074" s="75">
        <f t="shared" si="489"/>
        <v>11</v>
      </c>
      <c r="F1074" s="79"/>
      <c r="G1074" s="82"/>
      <c r="H1074" s="68" t="str">
        <f t="shared" si="506"/>
        <v>Lacine13_20191124_04_00</v>
      </c>
      <c r="I1074" s="69">
        <f t="shared" si="509"/>
        <v>1</v>
      </c>
      <c r="J1074" s="76" t="str">
        <f t="shared" si="509"/>
        <v>Lactuca</v>
      </c>
      <c r="K1074" s="76" t="str">
        <f t="shared" si="509"/>
        <v>inermis</v>
      </c>
      <c r="L1074" s="77">
        <f t="shared" si="509"/>
        <v>13</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2019</v>
      </c>
      <c r="B1075" s="72" t="str">
        <f t="shared" si="487"/>
        <v>Nov</v>
      </c>
      <c r="C1075" s="73">
        <f t="shared" si="505"/>
        <v>24</v>
      </c>
      <c r="D1075" s="74">
        <f t="shared" si="488"/>
        <v>4</v>
      </c>
      <c r="E1075" s="75">
        <f t="shared" si="489"/>
        <v>12</v>
      </c>
      <c r="F1075" s="79"/>
      <c r="G1075" s="82"/>
      <c r="H1075" s="68" t="str">
        <f t="shared" si="506"/>
        <v>Lacine13_20191124_04_00</v>
      </c>
      <c r="I1075" s="69">
        <f t="shared" si="509"/>
        <v>1</v>
      </c>
      <c r="J1075" s="76" t="str">
        <f t="shared" si="509"/>
        <v>Lactuca</v>
      </c>
      <c r="K1075" s="76" t="str">
        <f t="shared" si="509"/>
        <v>inermis</v>
      </c>
      <c r="L1075" s="77">
        <f t="shared" si="509"/>
        <v>13</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2019</v>
      </c>
      <c r="B1076" s="72" t="str">
        <f t="shared" si="487"/>
        <v>Nov</v>
      </c>
      <c r="C1076" s="73">
        <f t="shared" si="505"/>
        <v>24</v>
      </c>
      <c r="D1076" s="74">
        <f t="shared" si="488"/>
        <v>4</v>
      </c>
      <c r="E1076" s="75">
        <f t="shared" si="489"/>
        <v>13</v>
      </c>
      <c r="F1076" s="79"/>
      <c r="G1076" s="82"/>
      <c r="H1076" s="68" t="str">
        <f t="shared" si="506"/>
        <v>Lacine13_20191124_04_00</v>
      </c>
      <c r="I1076" s="69">
        <f t="shared" si="509"/>
        <v>1</v>
      </c>
      <c r="J1076" s="76" t="str">
        <f t="shared" si="509"/>
        <v>Lactuca</v>
      </c>
      <c r="K1076" s="76" t="str">
        <f t="shared" si="509"/>
        <v>inermis</v>
      </c>
      <c r="L1076" s="77">
        <f t="shared" si="509"/>
        <v>13</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2019</v>
      </c>
      <c r="B1077" s="72" t="str">
        <f t="shared" si="487"/>
        <v>Nov</v>
      </c>
      <c r="C1077" s="73">
        <f t="shared" si="505"/>
        <v>24</v>
      </c>
      <c r="D1077" s="74">
        <f t="shared" si="488"/>
        <v>4</v>
      </c>
      <c r="E1077" s="75">
        <f t="shared" si="489"/>
        <v>14</v>
      </c>
      <c r="F1077" s="79"/>
      <c r="G1077" s="82"/>
      <c r="H1077" s="68" t="str">
        <f t="shared" si="506"/>
        <v>Lacine13_20191124_04_00</v>
      </c>
      <c r="I1077" s="69">
        <f t="shared" ref="I1077:N1092" si="510">I1076</f>
        <v>1</v>
      </c>
      <c r="J1077" s="76" t="str">
        <f t="shared" si="510"/>
        <v>Lactuca</v>
      </c>
      <c r="K1077" s="76" t="str">
        <f t="shared" si="510"/>
        <v>inermis</v>
      </c>
      <c r="L1077" s="77">
        <f t="shared" si="510"/>
        <v>13</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2019</v>
      </c>
      <c r="B1078" s="72" t="str">
        <f t="shared" si="487"/>
        <v>Nov</v>
      </c>
      <c r="C1078" s="73">
        <f t="shared" si="505"/>
        <v>24</v>
      </c>
      <c r="D1078" s="74">
        <f t="shared" si="488"/>
        <v>4</v>
      </c>
      <c r="E1078" s="75">
        <f t="shared" si="489"/>
        <v>15</v>
      </c>
      <c r="F1078" s="79"/>
      <c r="G1078" s="82"/>
      <c r="H1078" s="68" t="str">
        <f t="shared" si="506"/>
        <v>Lacine13_20191124_04_00</v>
      </c>
      <c r="I1078" s="69">
        <f t="shared" si="510"/>
        <v>1</v>
      </c>
      <c r="J1078" s="76" t="str">
        <f t="shared" si="510"/>
        <v>Lactuca</v>
      </c>
      <c r="K1078" s="76" t="str">
        <f t="shared" si="510"/>
        <v>inermis</v>
      </c>
      <c r="L1078" s="77">
        <f t="shared" si="510"/>
        <v>13</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2019</v>
      </c>
      <c r="B1079" s="72" t="str">
        <f t="shared" si="487"/>
        <v>Nov</v>
      </c>
      <c r="C1079" s="73">
        <f t="shared" si="505"/>
        <v>24</v>
      </c>
      <c r="D1079" s="74">
        <f t="shared" si="488"/>
        <v>4</v>
      </c>
      <c r="E1079" s="75">
        <f t="shared" si="489"/>
        <v>16</v>
      </c>
      <c r="F1079" s="79"/>
      <c r="G1079" s="82"/>
      <c r="H1079" s="68" t="str">
        <f t="shared" si="506"/>
        <v>Lacine13_20191124_04_00</v>
      </c>
      <c r="I1079" s="69">
        <f t="shared" si="510"/>
        <v>1</v>
      </c>
      <c r="J1079" s="76" t="str">
        <f t="shared" si="510"/>
        <v>Lactuca</v>
      </c>
      <c r="K1079" s="76" t="str">
        <f t="shared" si="510"/>
        <v>inermis</v>
      </c>
      <c r="L1079" s="77">
        <f t="shared" si="510"/>
        <v>13</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2019</v>
      </c>
      <c r="B1080" s="72" t="str">
        <f t="shared" si="487"/>
        <v>Nov</v>
      </c>
      <c r="C1080" s="73">
        <f t="shared" si="505"/>
        <v>24</v>
      </c>
      <c r="D1080" s="74">
        <f t="shared" si="488"/>
        <v>4</v>
      </c>
      <c r="E1080" s="75">
        <f t="shared" si="489"/>
        <v>17</v>
      </c>
      <c r="F1080" s="79"/>
      <c r="G1080" s="82"/>
      <c r="H1080" s="68" t="str">
        <f t="shared" si="506"/>
        <v>Lacine13_20191124_04_00</v>
      </c>
      <c r="I1080" s="69">
        <f t="shared" si="510"/>
        <v>1</v>
      </c>
      <c r="J1080" s="76" t="str">
        <f t="shared" si="510"/>
        <v>Lactuca</v>
      </c>
      <c r="K1080" s="76" t="str">
        <f t="shared" si="510"/>
        <v>inermis</v>
      </c>
      <c r="L1080" s="77">
        <f t="shared" si="510"/>
        <v>13</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2019</v>
      </c>
      <c r="B1081" s="72" t="str">
        <f t="shared" si="487"/>
        <v>Nov</v>
      </c>
      <c r="C1081" s="73">
        <f t="shared" si="505"/>
        <v>24</v>
      </c>
      <c r="D1081" s="74">
        <f t="shared" si="488"/>
        <v>4</v>
      </c>
      <c r="E1081" s="75">
        <f t="shared" si="489"/>
        <v>18</v>
      </c>
      <c r="F1081" s="79"/>
      <c r="G1081" s="82"/>
      <c r="H1081" s="68" t="str">
        <f t="shared" si="506"/>
        <v>Lacine13_20191124_04_00</v>
      </c>
      <c r="I1081" s="69">
        <f t="shared" si="510"/>
        <v>1</v>
      </c>
      <c r="J1081" s="76" t="str">
        <f t="shared" si="510"/>
        <v>Lactuca</v>
      </c>
      <c r="K1081" s="76" t="str">
        <f t="shared" si="510"/>
        <v>inermis</v>
      </c>
      <c r="L1081" s="77">
        <f t="shared" si="510"/>
        <v>13</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2019</v>
      </c>
      <c r="B1082" s="72" t="str">
        <f t="shared" si="487"/>
        <v>Nov</v>
      </c>
      <c r="C1082" s="73">
        <f t="shared" si="505"/>
        <v>24</v>
      </c>
      <c r="D1082" s="74">
        <f t="shared" si="488"/>
        <v>4</v>
      </c>
      <c r="E1082" s="75">
        <f t="shared" si="489"/>
        <v>19</v>
      </c>
      <c r="F1082" s="79"/>
      <c r="G1082" s="82"/>
      <c r="H1082" s="68" t="str">
        <f t="shared" si="506"/>
        <v>Lacine13_20191124_04_00</v>
      </c>
      <c r="I1082" s="69">
        <f t="shared" si="510"/>
        <v>1</v>
      </c>
      <c r="J1082" s="76" t="str">
        <f t="shared" si="510"/>
        <v>Lactuca</v>
      </c>
      <c r="K1082" s="76" t="str">
        <f t="shared" si="510"/>
        <v>inermis</v>
      </c>
      <c r="L1082" s="77">
        <f t="shared" si="510"/>
        <v>13</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2019</v>
      </c>
      <c r="B1083" s="72" t="str">
        <f t="shared" si="487"/>
        <v>Nov</v>
      </c>
      <c r="C1083" s="73">
        <f t="shared" si="505"/>
        <v>24</v>
      </c>
      <c r="D1083" s="74">
        <f t="shared" si="488"/>
        <v>4</v>
      </c>
      <c r="E1083" s="75">
        <f t="shared" si="489"/>
        <v>20</v>
      </c>
      <c r="F1083" s="79"/>
      <c r="G1083" s="82"/>
      <c r="H1083" s="68" t="str">
        <f t="shared" si="506"/>
        <v>Lacine13_20191124_04_00</v>
      </c>
      <c r="I1083" s="69">
        <f t="shared" si="510"/>
        <v>1</v>
      </c>
      <c r="J1083" s="76" t="str">
        <f t="shared" si="510"/>
        <v>Lactuca</v>
      </c>
      <c r="K1083" s="76" t="str">
        <f t="shared" si="510"/>
        <v>inermis</v>
      </c>
      <c r="L1083" s="77">
        <f t="shared" si="510"/>
        <v>13</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2019</v>
      </c>
      <c r="B1084" s="72" t="str">
        <f t="shared" si="487"/>
        <v>Nov</v>
      </c>
      <c r="C1084" s="73">
        <f t="shared" si="505"/>
        <v>24</v>
      </c>
      <c r="D1084" s="74">
        <f t="shared" si="488"/>
        <v>4</v>
      </c>
      <c r="E1084" s="75">
        <f t="shared" si="489"/>
        <v>21</v>
      </c>
      <c r="F1084" s="79"/>
      <c r="G1084" s="82"/>
      <c r="H1084" s="68" t="str">
        <f t="shared" si="506"/>
        <v>Lacine13_20191124_04_00</v>
      </c>
      <c r="I1084" s="69">
        <f t="shared" si="510"/>
        <v>1</v>
      </c>
      <c r="J1084" s="76" t="str">
        <f t="shared" si="510"/>
        <v>Lactuca</v>
      </c>
      <c r="K1084" s="76" t="str">
        <f t="shared" si="510"/>
        <v>inermis</v>
      </c>
      <c r="L1084" s="77">
        <f t="shared" si="510"/>
        <v>13</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2019</v>
      </c>
      <c r="B1085" s="72" t="str">
        <f t="shared" si="487"/>
        <v>Nov</v>
      </c>
      <c r="C1085" s="73">
        <f t="shared" si="505"/>
        <v>24</v>
      </c>
      <c r="D1085" s="74">
        <f t="shared" si="488"/>
        <v>4</v>
      </c>
      <c r="E1085" s="75">
        <f t="shared" si="489"/>
        <v>22</v>
      </c>
      <c r="F1085" s="79"/>
      <c r="G1085" s="82"/>
      <c r="H1085" s="68" t="str">
        <f t="shared" si="506"/>
        <v>Lacine13_20191124_04_00</v>
      </c>
      <c r="I1085" s="69">
        <f t="shared" si="510"/>
        <v>1</v>
      </c>
      <c r="J1085" s="76" t="str">
        <f t="shared" si="510"/>
        <v>Lactuca</v>
      </c>
      <c r="K1085" s="76" t="str">
        <f t="shared" si="510"/>
        <v>inermis</v>
      </c>
      <c r="L1085" s="77">
        <f t="shared" si="510"/>
        <v>13</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2019</v>
      </c>
      <c r="B1086" s="72" t="str">
        <f t="shared" si="487"/>
        <v>Nov</v>
      </c>
      <c r="C1086" s="73">
        <f t="shared" si="505"/>
        <v>24</v>
      </c>
      <c r="D1086" s="74">
        <f t="shared" si="488"/>
        <v>4</v>
      </c>
      <c r="E1086" s="75">
        <f t="shared" si="489"/>
        <v>23</v>
      </c>
      <c r="F1086" s="79"/>
      <c r="G1086" s="82"/>
      <c r="H1086" s="68" t="str">
        <f t="shared" si="506"/>
        <v>Lacine13_20191124_04_00</v>
      </c>
      <c r="I1086" s="69">
        <f t="shared" si="510"/>
        <v>1</v>
      </c>
      <c r="J1086" s="76" t="str">
        <f t="shared" si="510"/>
        <v>Lactuca</v>
      </c>
      <c r="K1086" s="76" t="str">
        <f t="shared" si="510"/>
        <v>inermis</v>
      </c>
      <c r="L1086" s="77">
        <f t="shared" si="510"/>
        <v>13</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2019</v>
      </c>
      <c r="B1087" s="72" t="str">
        <f t="shared" si="487"/>
        <v>Nov</v>
      </c>
      <c r="C1087" s="73">
        <f t="shared" si="505"/>
        <v>24</v>
      </c>
      <c r="D1087" s="74">
        <f t="shared" si="488"/>
        <v>4</v>
      </c>
      <c r="E1087" s="75">
        <f t="shared" si="489"/>
        <v>24</v>
      </c>
      <c r="F1087" s="79"/>
      <c r="G1087" s="82"/>
      <c r="H1087" s="68" t="str">
        <f t="shared" si="506"/>
        <v>Lacine13_20191124_04_00</v>
      </c>
      <c r="I1087" s="69">
        <f t="shared" si="510"/>
        <v>1</v>
      </c>
      <c r="J1087" s="76" t="str">
        <f t="shared" si="510"/>
        <v>Lactuca</v>
      </c>
      <c r="K1087" s="76" t="str">
        <f t="shared" si="510"/>
        <v>inermis</v>
      </c>
      <c r="L1087" s="77">
        <f t="shared" si="510"/>
        <v>13</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2019</v>
      </c>
      <c r="B1088" s="72" t="str">
        <f t="shared" si="487"/>
        <v>Nov</v>
      </c>
      <c r="C1088" s="73">
        <f t="shared" si="505"/>
        <v>24</v>
      </c>
      <c r="D1088" s="74">
        <f t="shared" si="488"/>
        <v>4</v>
      </c>
      <c r="E1088" s="75">
        <f t="shared" si="489"/>
        <v>25</v>
      </c>
      <c r="F1088" s="79"/>
      <c r="G1088" s="82"/>
      <c r="H1088" s="68" t="str">
        <f t="shared" si="506"/>
        <v>Lacine13_20191124_04_00</v>
      </c>
      <c r="I1088" s="69">
        <f t="shared" si="510"/>
        <v>1</v>
      </c>
      <c r="J1088" s="76" t="str">
        <f t="shared" si="510"/>
        <v>Lactuca</v>
      </c>
      <c r="K1088" s="76" t="str">
        <f t="shared" si="510"/>
        <v>inermis</v>
      </c>
      <c r="L1088" s="77">
        <f t="shared" si="510"/>
        <v>13</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2019</v>
      </c>
      <c r="B1089" s="72" t="str">
        <f t="shared" si="487"/>
        <v>Nov</v>
      </c>
      <c r="C1089" s="73">
        <f t="shared" si="505"/>
        <v>24</v>
      </c>
      <c r="D1089" s="74">
        <f t="shared" si="488"/>
        <v>4</v>
      </c>
      <c r="E1089" s="75">
        <f t="shared" si="489"/>
        <v>26</v>
      </c>
      <c r="F1089" s="79"/>
      <c r="G1089" s="82"/>
      <c r="H1089" s="68" t="str">
        <f t="shared" si="506"/>
        <v>Lacine13_20191124_04_00</v>
      </c>
      <c r="I1089" s="69">
        <f t="shared" si="510"/>
        <v>1</v>
      </c>
      <c r="J1089" s="76" t="str">
        <f t="shared" si="510"/>
        <v>Lactuca</v>
      </c>
      <c r="K1089" s="76" t="str">
        <f t="shared" si="510"/>
        <v>inermis</v>
      </c>
      <c r="L1089" s="77">
        <f t="shared" si="510"/>
        <v>13</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2019</v>
      </c>
      <c r="B1090" s="72" t="str">
        <f t="shared" si="487"/>
        <v>Nov</v>
      </c>
      <c r="C1090" s="73">
        <f t="shared" si="505"/>
        <v>24</v>
      </c>
      <c r="D1090" s="74">
        <f t="shared" si="488"/>
        <v>4</v>
      </c>
      <c r="E1090" s="75">
        <f t="shared" si="489"/>
        <v>27</v>
      </c>
      <c r="F1090" s="79"/>
      <c r="G1090" s="82"/>
      <c r="H1090" s="68" t="str">
        <f t="shared" si="506"/>
        <v>Lacine13_20191124_04_00</v>
      </c>
      <c r="I1090" s="69">
        <f t="shared" si="510"/>
        <v>1</v>
      </c>
      <c r="J1090" s="76" t="str">
        <f t="shared" si="510"/>
        <v>Lactuca</v>
      </c>
      <c r="K1090" s="76" t="str">
        <f t="shared" si="510"/>
        <v>inermis</v>
      </c>
      <c r="L1090" s="77">
        <f t="shared" si="510"/>
        <v>13</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2019</v>
      </c>
      <c r="B1091" s="72" t="str">
        <f t="shared" si="487"/>
        <v>Nov</v>
      </c>
      <c r="C1091" s="73">
        <f t="shared" si="505"/>
        <v>24</v>
      </c>
      <c r="D1091" s="74">
        <f t="shared" si="488"/>
        <v>4</v>
      </c>
      <c r="E1091" s="75">
        <f t="shared" si="489"/>
        <v>28</v>
      </c>
      <c r="F1091" s="79"/>
      <c r="G1091" s="82"/>
      <c r="H1091" s="68" t="str">
        <f t="shared" si="506"/>
        <v>Lacine13_20191124_04_00</v>
      </c>
      <c r="I1091" s="69">
        <f t="shared" si="510"/>
        <v>1</v>
      </c>
      <c r="J1091" s="76" t="str">
        <f t="shared" si="510"/>
        <v>Lactuca</v>
      </c>
      <c r="K1091" s="76" t="str">
        <f t="shared" si="510"/>
        <v>inermis</v>
      </c>
      <c r="L1091" s="77">
        <f t="shared" si="510"/>
        <v>13</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2019</v>
      </c>
      <c r="B1092" s="72" t="str">
        <f t="shared" ref="B1092:B1155" si="517">IF(C1091-C1092&gt;0, TEXT(DATE(2016,(MONTH(DATEVALUE(B1091&amp;"1"))+1),1),"mmm"), B1091)</f>
        <v>Nov</v>
      </c>
      <c r="C1092" s="73">
        <f t="shared" si="505"/>
        <v>24</v>
      </c>
      <c r="D1092" s="74">
        <f t="shared" ref="D1092:D1155" si="518">IF(IF(E1091=59,D1091+1,D1091)=24,0,IF(E1091=59,D1091+1,D1091))</f>
        <v>4</v>
      </c>
      <c r="E1092" s="75">
        <f t="shared" ref="E1092:E1155" si="519">IF(E1091&lt;59,E1091+1,0)</f>
        <v>29</v>
      </c>
      <c r="F1092" s="79"/>
      <c r="G1092" s="82"/>
      <c r="H1092" s="68" t="str">
        <f t="shared" si="506"/>
        <v>Lacine13_20191124_04_00</v>
      </c>
      <c r="I1092" s="69">
        <f t="shared" si="510"/>
        <v>1</v>
      </c>
      <c r="J1092" s="76" t="str">
        <f t="shared" si="510"/>
        <v>Lactuca</v>
      </c>
      <c r="K1092" s="76" t="str">
        <f t="shared" si="510"/>
        <v>inermis</v>
      </c>
      <c r="L1092" s="77">
        <f t="shared" si="510"/>
        <v>13</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2019</v>
      </c>
      <c r="B1093" s="72" t="str">
        <f t="shared" si="517"/>
        <v>Nov</v>
      </c>
      <c r="C1093" s="73">
        <f t="shared" ref="C1093:C1156" si="535">IF(AND(D1093=0, E1093=0), IF(TEXT(C1092,"dd")=TEXT(EOMONTH(DATE(A1092,MONTH(DATEVALUE(B1092&amp;"1")),C1092),0), "dd"), 1, C1092+1), C1092)</f>
        <v>24</v>
      </c>
      <c r="D1093" s="74">
        <f t="shared" si="518"/>
        <v>4</v>
      </c>
      <c r="E1093" s="75">
        <f t="shared" si="519"/>
        <v>30</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Lacine13_20191124_04_00</v>
      </c>
      <c r="I1093" s="69">
        <f t="shared" ref="I1093:N1108" si="537">I1092</f>
        <v>1</v>
      </c>
      <c r="J1093" s="76" t="str">
        <f t="shared" si="537"/>
        <v>Lactuca</v>
      </c>
      <c r="K1093" s="76" t="str">
        <f t="shared" si="537"/>
        <v>inermis</v>
      </c>
      <c r="L1093" s="77">
        <f t="shared" si="537"/>
        <v>13</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2019</v>
      </c>
      <c r="B1094" s="72" t="str">
        <f t="shared" si="517"/>
        <v>Nov</v>
      </c>
      <c r="C1094" s="73">
        <f t="shared" si="535"/>
        <v>24</v>
      </c>
      <c r="D1094" s="74">
        <f t="shared" si="518"/>
        <v>4</v>
      </c>
      <c r="E1094" s="75">
        <f t="shared" si="519"/>
        <v>31</v>
      </c>
      <c r="F1094" s="79"/>
      <c r="G1094" s="82"/>
      <c r="H1094" s="68" t="str">
        <f t="shared" si="536"/>
        <v>Lacine13_20191124_04_00</v>
      </c>
      <c r="I1094" s="69">
        <f t="shared" si="537"/>
        <v>1</v>
      </c>
      <c r="J1094" s="76" t="str">
        <f t="shared" si="537"/>
        <v>Lactuca</v>
      </c>
      <c r="K1094" s="76" t="str">
        <f t="shared" si="537"/>
        <v>inermis</v>
      </c>
      <c r="L1094" s="77">
        <f t="shared" si="537"/>
        <v>13</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2019</v>
      </c>
      <c r="B1095" s="72" t="str">
        <f t="shared" si="517"/>
        <v>Nov</v>
      </c>
      <c r="C1095" s="73">
        <f t="shared" si="535"/>
        <v>24</v>
      </c>
      <c r="D1095" s="74">
        <f t="shared" si="518"/>
        <v>4</v>
      </c>
      <c r="E1095" s="75">
        <f t="shared" si="519"/>
        <v>32</v>
      </c>
      <c r="F1095" s="79"/>
      <c r="G1095" s="82"/>
      <c r="H1095" s="68" t="str">
        <f t="shared" si="536"/>
        <v>Lacine13_20191124_04_00</v>
      </c>
      <c r="I1095" s="69">
        <f t="shared" si="537"/>
        <v>1</v>
      </c>
      <c r="J1095" s="76" t="str">
        <f t="shared" si="537"/>
        <v>Lactuca</v>
      </c>
      <c r="K1095" s="76" t="str">
        <f t="shared" si="537"/>
        <v>inermis</v>
      </c>
      <c r="L1095" s="77">
        <f t="shared" si="537"/>
        <v>13</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2019</v>
      </c>
      <c r="B1096" s="72" t="str">
        <f t="shared" si="517"/>
        <v>Nov</v>
      </c>
      <c r="C1096" s="73">
        <f t="shared" si="535"/>
        <v>24</v>
      </c>
      <c r="D1096" s="74">
        <f t="shared" si="518"/>
        <v>4</v>
      </c>
      <c r="E1096" s="75">
        <f t="shared" si="519"/>
        <v>33</v>
      </c>
      <c r="F1096" s="79"/>
      <c r="G1096" s="82"/>
      <c r="H1096" s="68" t="str">
        <f t="shared" si="536"/>
        <v>Lacine13_20191124_04_00</v>
      </c>
      <c r="I1096" s="69">
        <f t="shared" si="537"/>
        <v>1</v>
      </c>
      <c r="J1096" s="76" t="str">
        <f t="shared" si="537"/>
        <v>Lactuca</v>
      </c>
      <c r="K1096" s="76" t="str">
        <f t="shared" si="537"/>
        <v>inermis</v>
      </c>
      <c r="L1096" s="77">
        <f t="shared" si="537"/>
        <v>13</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2019</v>
      </c>
      <c r="B1097" s="72" t="str">
        <f t="shared" si="517"/>
        <v>Nov</v>
      </c>
      <c r="C1097" s="73">
        <f t="shared" si="535"/>
        <v>24</v>
      </c>
      <c r="D1097" s="74">
        <f t="shared" si="518"/>
        <v>4</v>
      </c>
      <c r="E1097" s="75">
        <f t="shared" si="519"/>
        <v>34</v>
      </c>
      <c r="F1097" s="79"/>
      <c r="G1097" s="82"/>
      <c r="H1097" s="68" t="str">
        <f t="shared" si="536"/>
        <v>Lacine13_20191124_04_00</v>
      </c>
      <c r="I1097" s="69">
        <f t="shared" si="537"/>
        <v>1</v>
      </c>
      <c r="J1097" s="76" t="str">
        <f t="shared" si="537"/>
        <v>Lactuca</v>
      </c>
      <c r="K1097" s="76" t="str">
        <f t="shared" si="537"/>
        <v>inermis</v>
      </c>
      <c r="L1097" s="77">
        <f t="shared" si="537"/>
        <v>13</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2019</v>
      </c>
      <c r="B1098" s="72" t="str">
        <f t="shared" si="517"/>
        <v>Nov</v>
      </c>
      <c r="C1098" s="73">
        <f t="shared" si="535"/>
        <v>24</v>
      </c>
      <c r="D1098" s="74">
        <f t="shared" si="518"/>
        <v>4</v>
      </c>
      <c r="E1098" s="75">
        <f t="shared" si="519"/>
        <v>35</v>
      </c>
      <c r="F1098" s="79"/>
      <c r="G1098" s="82"/>
      <c r="H1098" s="68" t="str">
        <f t="shared" si="536"/>
        <v>Lacine13_20191124_04_00</v>
      </c>
      <c r="I1098" s="69">
        <f t="shared" si="537"/>
        <v>1</v>
      </c>
      <c r="J1098" s="76" t="str">
        <f t="shared" si="537"/>
        <v>Lactuca</v>
      </c>
      <c r="K1098" s="76" t="str">
        <f t="shared" si="537"/>
        <v>inermis</v>
      </c>
      <c r="L1098" s="77">
        <f t="shared" si="537"/>
        <v>13</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2019</v>
      </c>
      <c r="B1099" s="72" t="str">
        <f t="shared" si="517"/>
        <v>Nov</v>
      </c>
      <c r="C1099" s="73">
        <f t="shared" si="535"/>
        <v>24</v>
      </c>
      <c r="D1099" s="74">
        <f t="shared" si="518"/>
        <v>4</v>
      </c>
      <c r="E1099" s="75">
        <f t="shared" si="519"/>
        <v>36</v>
      </c>
      <c r="F1099" s="79"/>
      <c r="G1099" s="82"/>
      <c r="H1099" s="68" t="str">
        <f t="shared" si="536"/>
        <v>Lacine13_20191124_04_00</v>
      </c>
      <c r="I1099" s="69">
        <f t="shared" si="537"/>
        <v>1</v>
      </c>
      <c r="J1099" s="76" t="str">
        <f t="shared" si="537"/>
        <v>Lactuca</v>
      </c>
      <c r="K1099" s="76" t="str">
        <f t="shared" si="537"/>
        <v>inermis</v>
      </c>
      <c r="L1099" s="77">
        <f t="shared" si="537"/>
        <v>13</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2019</v>
      </c>
      <c r="B1100" s="72" t="str">
        <f t="shared" si="517"/>
        <v>Nov</v>
      </c>
      <c r="C1100" s="73">
        <f t="shared" si="535"/>
        <v>24</v>
      </c>
      <c r="D1100" s="74">
        <f t="shared" si="518"/>
        <v>4</v>
      </c>
      <c r="E1100" s="75">
        <f t="shared" si="519"/>
        <v>37</v>
      </c>
      <c r="F1100" s="79"/>
      <c r="G1100" s="82"/>
      <c r="H1100" s="68" t="str">
        <f t="shared" si="536"/>
        <v>Lacine13_20191124_04_00</v>
      </c>
      <c r="I1100" s="69">
        <f t="shared" si="537"/>
        <v>1</v>
      </c>
      <c r="J1100" s="76" t="str">
        <f t="shared" si="537"/>
        <v>Lactuca</v>
      </c>
      <c r="K1100" s="76" t="str">
        <f t="shared" si="537"/>
        <v>inermis</v>
      </c>
      <c r="L1100" s="77">
        <f t="shared" si="537"/>
        <v>13</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2019</v>
      </c>
      <c r="B1101" s="72" t="str">
        <f t="shared" si="517"/>
        <v>Nov</v>
      </c>
      <c r="C1101" s="73">
        <f t="shared" si="535"/>
        <v>24</v>
      </c>
      <c r="D1101" s="74">
        <f t="shared" si="518"/>
        <v>4</v>
      </c>
      <c r="E1101" s="75">
        <f t="shared" si="519"/>
        <v>38</v>
      </c>
      <c r="F1101" s="79"/>
      <c r="G1101" s="82"/>
      <c r="H1101" s="68" t="str">
        <f t="shared" si="536"/>
        <v>Lacine13_20191124_04_00</v>
      </c>
      <c r="I1101" s="69">
        <f t="shared" si="537"/>
        <v>1</v>
      </c>
      <c r="J1101" s="76" t="str">
        <f t="shared" si="537"/>
        <v>Lactuca</v>
      </c>
      <c r="K1101" s="76" t="str">
        <f t="shared" si="537"/>
        <v>inermis</v>
      </c>
      <c r="L1101" s="77">
        <f t="shared" si="537"/>
        <v>13</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2019</v>
      </c>
      <c r="B1102" s="72" t="str">
        <f t="shared" si="517"/>
        <v>Nov</v>
      </c>
      <c r="C1102" s="73">
        <f t="shared" si="535"/>
        <v>24</v>
      </c>
      <c r="D1102" s="74">
        <f t="shared" si="518"/>
        <v>4</v>
      </c>
      <c r="E1102" s="75">
        <f t="shared" si="519"/>
        <v>39</v>
      </c>
      <c r="F1102" s="79"/>
      <c r="G1102" s="82"/>
      <c r="H1102" s="68" t="str">
        <f t="shared" si="536"/>
        <v>Lacine13_20191124_04_00</v>
      </c>
      <c r="I1102" s="69">
        <f t="shared" si="537"/>
        <v>1</v>
      </c>
      <c r="J1102" s="76" t="str">
        <f t="shared" si="537"/>
        <v>Lactuca</v>
      </c>
      <c r="K1102" s="76" t="str">
        <f t="shared" si="537"/>
        <v>inermis</v>
      </c>
      <c r="L1102" s="77">
        <f t="shared" si="537"/>
        <v>13</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2019</v>
      </c>
      <c r="B1103" s="72" t="str">
        <f t="shared" si="517"/>
        <v>Nov</v>
      </c>
      <c r="C1103" s="73">
        <f t="shared" si="535"/>
        <v>24</v>
      </c>
      <c r="D1103" s="74">
        <f t="shared" si="518"/>
        <v>4</v>
      </c>
      <c r="E1103" s="75">
        <f t="shared" si="519"/>
        <v>40</v>
      </c>
      <c r="F1103" s="79"/>
      <c r="G1103" s="82"/>
      <c r="H1103" s="68" t="str">
        <f t="shared" si="536"/>
        <v>Lacine13_20191124_04_00</v>
      </c>
      <c r="I1103" s="69">
        <f t="shared" si="537"/>
        <v>1</v>
      </c>
      <c r="J1103" s="76" t="str">
        <f t="shared" si="537"/>
        <v>Lactuca</v>
      </c>
      <c r="K1103" s="76" t="str">
        <f t="shared" si="537"/>
        <v>inermis</v>
      </c>
      <c r="L1103" s="77">
        <f t="shared" si="537"/>
        <v>13</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2019</v>
      </c>
      <c r="B1104" s="72" t="str">
        <f t="shared" si="517"/>
        <v>Nov</v>
      </c>
      <c r="C1104" s="73">
        <f t="shared" si="535"/>
        <v>24</v>
      </c>
      <c r="D1104" s="74">
        <f t="shared" si="518"/>
        <v>4</v>
      </c>
      <c r="E1104" s="75">
        <f t="shared" si="519"/>
        <v>41</v>
      </c>
      <c r="F1104" s="79"/>
      <c r="G1104" s="82"/>
      <c r="H1104" s="68" t="str">
        <f t="shared" si="536"/>
        <v>Lacine13_20191124_04_00</v>
      </c>
      <c r="I1104" s="69">
        <f t="shared" si="537"/>
        <v>1</v>
      </c>
      <c r="J1104" s="76" t="str">
        <f t="shared" si="537"/>
        <v>Lactuca</v>
      </c>
      <c r="K1104" s="76" t="str">
        <f t="shared" si="537"/>
        <v>inermis</v>
      </c>
      <c r="L1104" s="77">
        <f t="shared" si="537"/>
        <v>13</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2019</v>
      </c>
      <c r="B1105" s="72" t="str">
        <f t="shared" si="517"/>
        <v>Nov</v>
      </c>
      <c r="C1105" s="73">
        <f t="shared" si="535"/>
        <v>24</v>
      </c>
      <c r="D1105" s="74">
        <f t="shared" si="518"/>
        <v>4</v>
      </c>
      <c r="E1105" s="75">
        <f t="shared" si="519"/>
        <v>42</v>
      </c>
      <c r="F1105" s="79"/>
      <c r="G1105" s="82"/>
      <c r="H1105" s="68" t="str">
        <f t="shared" si="536"/>
        <v>Lacine13_20191124_04_00</v>
      </c>
      <c r="I1105" s="69">
        <f t="shared" si="537"/>
        <v>1</v>
      </c>
      <c r="J1105" s="76" t="str">
        <f t="shared" si="537"/>
        <v>Lactuca</v>
      </c>
      <c r="K1105" s="76" t="str">
        <f t="shared" si="537"/>
        <v>inermis</v>
      </c>
      <c r="L1105" s="77">
        <f t="shared" si="537"/>
        <v>13</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2019</v>
      </c>
      <c r="B1106" s="72" t="str">
        <f t="shared" si="517"/>
        <v>Nov</v>
      </c>
      <c r="C1106" s="73">
        <f t="shared" si="535"/>
        <v>24</v>
      </c>
      <c r="D1106" s="74">
        <f t="shared" si="518"/>
        <v>4</v>
      </c>
      <c r="E1106" s="75">
        <f t="shared" si="519"/>
        <v>43</v>
      </c>
      <c r="F1106" s="79"/>
      <c r="G1106" s="82"/>
      <c r="H1106" s="68" t="str">
        <f t="shared" si="536"/>
        <v>Lacine13_20191124_04_00</v>
      </c>
      <c r="I1106" s="69">
        <f t="shared" si="537"/>
        <v>1</v>
      </c>
      <c r="J1106" s="76" t="str">
        <f t="shared" si="537"/>
        <v>Lactuca</v>
      </c>
      <c r="K1106" s="76" t="str">
        <f t="shared" si="537"/>
        <v>inermis</v>
      </c>
      <c r="L1106" s="77">
        <f t="shared" si="537"/>
        <v>13</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2019</v>
      </c>
      <c r="B1107" s="72" t="str">
        <f t="shared" si="517"/>
        <v>Nov</v>
      </c>
      <c r="C1107" s="73">
        <f t="shared" si="535"/>
        <v>24</v>
      </c>
      <c r="D1107" s="74">
        <f t="shared" si="518"/>
        <v>4</v>
      </c>
      <c r="E1107" s="75">
        <f t="shared" si="519"/>
        <v>44</v>
      </c>
      <c r="F1107" s="79"/>
      <c r="G1107" s="82"/>
      <c r="H1107" s="68" t="str">
        <f t="shared" si="536"/>
        <v>Lacine13_20191124_04_00</v>
      </c>
      <c r="I1107" s="69">
        <f t="shared" si="537"/>
        <v>1</v>
      </c>
      <c r="J1107" s="76" t="str">
        <f t="shared" si="537"/>
        <v>Lactuca</v>
      </c>
      <c r="K1107" s="76" t="str">
        <f t="shared" si="537"/>
        <v>inermis</v>
      </c>
      <c r="L1107" s="77">
        <f t="shared" si="537"/>
        <v>13</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2019</v>
      </c>
      <c r="B1108" s="72" t="str">
        <f t="shared" si="517"/>
        <v>Nov</v>
      </c>
      <c r="C1108" s="73">
        <f t="shared" si="535"/>
        <v>24</v>
      </c>
      <c r="D1108" s="74">
        <f t="shared" si="518"/>
        <v>4</v>
      </c>
      <c r="E1108" s="75">
        <f t="shared" si="519"/>
        <v>45</v>
      </c>
      <c r="F1108" s="79"/>
      <c r="G1108" s="82"/>
      <c r="H1108" s="68" t="str">
        <f t="shared" si="536"/>
        <v>Lacine13_20191124_04_00</v>
      </c>
      <c r="I1108" s="69">
        <f t="shared" si="537"/>
        <v>1</v>
      </c>
      <c r="J1108" s="76" t="str">
        <f t="shared" si="537"/>
        <v>Lactuca</v>
      </c>
      <c r="K1108" s="76" t="str">
        <f t="shared" si="537"/>
        <v>inermis</v>
      </c>
      <c r="L1108" s="77">
        <f t="shared" si="537"/>
        <v>13</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2019</v>
      </c>
      <c r="B1109" s="72" t="str">
        <f t="shared" si="517"/>
        <v>Nov</v>
      </c>
      <c r="C1109" s="73">
        <f t="shared" si="535"/>
        <v>24</v>
      </c>
      <c r="D1109" s="74">
        <f t="shared" si="518"/>
        <v>4</v>
      </c>
      <c r="E1109" s="75">
        <f t="shared" si="519"/>
        <v>46</v>
      </c>
      <c r="F1109" s="79"/>
      <c r="G1109" s="82"/>
      <c r="H1109" s="68" t="str">
        <f t="shared" si="536"/>
        <v>Lacine13_20191124_04_00</v>
      </c>
      <c r="I1109" s="69">
        <f t="shared" ref="I1109:N1124" si="538">I1108</f>
        <v>1</v>
      </c>
      <c r="J1109" s="76" t="str">
        <f t="shared" si="538"/>
        <v>Lactuca</v>
      </c>
      <c r="K1109" s="76" t="str">
        <f t="shared" si="538"/>
        <v>inermis</v>
      </c>
      <c r="L1109" s="77">
        <f t="shared" si="538"/>
        <v>13</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2019</v>
      </c>
      <c r="B1110" s="72" t="str">
        <f t="shared" si="517"/>
        <v>Nov</v>
      </c>
      <c r="C1110" s="73">
        <f t="shared" si="535"/>
        <v>24</v>
      </c>
      <c r="D1110" s="74">
        <f t="shared" si="518"/>
        <v>4</v>
      </c>
      <c r="E1110" s="75">
        <f t="shared" si="519"/>
        <v>47</v>
      </c>
      <c r="F1110" s="79"/>
      <c r="G1110" s="82"/>
      <c r="H1110" s="68" t="str">
        <f t="shared" si="536"/>
        <v>Lacine13_20191124_04_00</v>
      </c>
      <c r="I1110" s="69">
        <f t="shared" si="538"/>
        <v>1</v>
      </c>
      <c r="J1110" s="76" t="str">
        <f t="shared" si="538"/>
        <v>Lactuca</v>
      </c>
      <c r="K1110" s="76" t="str">
        <f t="shared" si="538"/>
        <v>inermis</v>
      </c>
      <c r="L1110" s="77">
        <f t="shared" si="538"/>
        <v>13</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2019</v>
      </c>
      <c r="B1111" s="72" t="str">
        <f t="shared" si="517"/>
        <v>Nov</v>
      </c>
      <c r="C1111" s="73">
        <f t="shared" si="535"/>
        <v>24</v>
      </c>
      <c r="D1111" s="74">
        <f t="shared" si="518"/>
        <v>4</v>
      </c>
      <c r="E1111" s="75">
        <f t="shared" si="519"/>
        <v>48</v>
      </c>
      <c r="F1111" s="79"/>
      <c r="G1111" s="82"/>
      <c r="H1111" s="68" t="str">
        <f t="shared" si="536"/>
        <v>Lacine13_20191124_04_00</v>
      </c>
      <c r="I1111" s="69">
        <f t="shared" si="538"/>
        <v>1</v>
      </c>
      <c r="J1111" s="76" t="str">
        <f t="shared" si="538"/>
        <v>Lactuca</v>
      </c>
      <c r="K1111" s="76" t="str">
        <f t="shared" si="538"/>
        <v>inermis</v>
      </c>
      <c r="L1111" s="77">
        <f t="shared" si="538"/>
        <v>13</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2019</v>
      </c>
      <c r="B1112" s="72" t="str">
        <f t="shared" si="517"/>
        <v>Nov</v>
      </c>
      <c r="C1112" s="73">
        <f t="shared" si="535"/>
        <v>24</v>
      </c>
      <c r="D1112" s="74">
        <f t="shared" si="518"/>
        <v>4</v>
      </c>
      <c r="E1112" s="75">
        <f t="shared" si="519"/>
        <v>49</v>
      </c>
      <c r="F1112" s="79"/>
      <c r="G1112" s="82"/>
      <c r="H1112" s="68" t="str">
        <f t="shared" si="536"/>
        <v>Lacine13_20191124_04_00</v>
      </c>
      <c r="I1112" s="69">
        <f t="shared" si="538"/>
        <v>1</v>
      </c>
      <c r="J1112" s="76" t="str">
        <f t="shared" si="538"/>
        <v>Lactuca</v>
      </c>
      <c r="K1112" s="76" t="str">
        <f t="shared" si="538"/>
        <v>inermis</v>
      </c>
      <c r="L1112" s="77">
        <f t="shared" si="538"/>
        <v>13</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2019</v>
      </c>
      <c r="B1113" s="72" t="str">
        <f t="shared" si="517"/>
        <v>Nov</v>
      </c>
      <c r="C1113" s="73">
        <f t="shared" si="535"/>
        <v>24</v>
      </c>
      <c r="D1113" s="74">
        <f t="shared" si="518"/>
        <v>4</v>
      </c>
      <c r="E1113" s="75">
        <f t="shared" si="519"/>
        <v>50</v>
      </c>
      <c r="F1113" s="79"/>
      <c r="G1113" s="82"/>
      <c r="H1113" s="68" t="str">
        <f t="shared" si="536"/>
        <v>Lacine13_20191124_04_00</v>
      </c>
      <c r="I1113" s="69">
        <f t="shared" si="538"/>
        <v>1</v>
      </c>
      <c r="J1113" s="76" t="str">
        <f t="shared" si="538"/>
        <v>Lactuca</v>
      </c>
      <c r="K1113" s="76" t="str">
        <f t="shared" si="538"/>
        <v>inermis</v>
      </c>
      <c r="L1113" s="77">
        <f t="shared" si="538"/>
        <v>13</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2019</v>
      </c>
      <c r="B1114" s="72" t="str">
        <f t="shared" si="517"/>
        <v>Nov</v>
      </c>
      <c r="C1114" s="73">
        <f t="shared" si="535"/>
        <v>24</v>
      </c>
      <c r="D1114" s="74">
        <f t="shared" si="518"/>
        <v>4</v>
      </c>
      <c r="E1114" s="75">
        <f t="shared" si="519"/>
        <v>51</v>
      </c>
      <c r="F1114" s="79"/>
      <c r="G1114" s="82"/>
      <c r="H1114" s="68" t="str">
        <f t="shared" si="536"/>
        <v>Lacine13_20191124_04_00</v>
      </c>
      <c r="I1114" s="69">
        <f t="shared" si="538"/>
        <v>1</v>
      </c>
      <c r="J1114" s="76" t="str">
        <f t="shared" si="538"/>
        <v>Lactuca</v>
      </c>
      <c r="K1114" s="76" t="str">
        <f t="shared" si="538"/>
        <v>inermis</v>
      </c>
      <c r="L1114" s="77">
        <f t="shared" si="538"/>
        <v>13</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2019</v>
      </c>
      <c r="B1115" s="72" t="str">
        <f t="shared" si="517"/>
        <v>Nov</v>
      </c>
      <c r="C1115" s="73">
        <f t="shared" si="535"/>
        <v>24</v>
      </c>
      <c r="D1115" s="74">
        <f t="shared" si="518"/>
        <v>4</v>
      </c>
      <c r="E1115" s="75">
        <f t="shared" si="519"/>
        <v>52</v>
      </c>
      <c r="F1115" s="79"/>
      <c r="G1115" s="82"/>
      <c r="H1115" s="68" t="str">
        <f t="shared" si="536"/>
        <v>Lacine13_20191124_04_00</v>
      </c>
      <c r="I1115" s="69">
        <f t="shared" si="538"/>
        <v>1</v>
      </c>
      <c r="J1115" s="76" t="str">
        <f t="shared" si="538"/>
        <v>Lactuca</v>
      </c>
      <c r="K1115" s="76" t="str">
        <f t="shared" si="538"/>
        <v>inermis</v>
      </c>
      <c r="L1115" s="77">
        <f t="shared" si="538"/>
        <v>13</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2019</v>
      </c>
      <c r="B1116" s="72" t="str">
        <f t="shared" si="517"/>
        <v>Nov</v>
      </c>
      <c r="C1116" s="73">
        <f t="shared" si="535"/>
        <v>24</v>
      </c>
      <c r="D1116" s="74">
        <f t="shared" si="518"/>
        <v>4</v>
      </c>
      <c r="E1116" s="75">
        <f t="shared" si="519"/>
        <v>53</v>
      </c>
      <c r="F1116" s="79"/>
      <c r="G1116" s="82"/>
      <c r="H1116" s="68" t="str">
        <f t="shared" si="536"/>
        <v>Lacine13_20191124_04_00</v>
      </c>
      <c r="I1116" s="69">
        <f t="shared" si="538"/>
        <v>1</v>
      </c>
      <c r="J1116" s="76" t="str">
        <f t="shared" si="538"/>
        <v>Lactuca</v>
      </c>
      <c r="K1116" s="76" t="str">
        <f t="shared" si="538"/>
        <v>inermis</v>
      </c>
      <c r="L1116" s="77">
        <f t="shared" si="538"/>
        <v>13</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2019</v>
      </c>
      <c r="B1117" s="72" t="str">
        <f t="shared" si="517"/>
        <v>Nov</v>
      </c>
      <c r="C1117" s="73">
        <f t="shared" si="535"/>
        <v>24</v>
      </c>
      <c r="D1117" s="74">
        <f t="shared" si="518"/>
        <v>4</v>
      </c>
      <c r="E1117" s="75">
        <f t="shared" si="519"/>
        <v>54</v>
      </c>
      <c r="F1117" s="79"/>
      <c r="G1117" s="82"/>
      <c r="H1117" s="68" t="str">
        <f t="shared" si="536"/>
        <v>Lacine13_20191124_04_00</v>
      </c>
      <c r="I1117" s="69">
        <f t="shared" si="538"/>
        <v>1</v>
      </c>
      <c r="J1117" s="76" t="str">
        <f t="shared" si="538"/>
        <v>Lactuca</v>
      </c>
      <c r="K1117" s="76" t="str">
        <f t="shared" si="538"/>
        <v>inermis</v>
      </c>
      <c r="L1117" s="77">
        <f t="shared" si="538"/>
        <v>13</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2019</v>
      </c>
      <c r="B1118" s="72" t="str">
        <f t="shared" si="517"/>
        <v>Nov</v>
      </c>
      <c r="C1118" s="73">
        <f t="shared" si="535"/>
        <v>24</v>
      </c>
      <c r="D1118" s="74">
        <f t="shared" si="518"/>
        <v>4</v>
      </c>
      <c r="E1118" s="75">
        <f t="shared" si="519"/>
        <v>55</v>
      </c>
      <c r="F1118" s="79"/>
      <c r="G1118" s="82"/>
      <c r="H1118" s="68" t="str">
        <f t="shared" si="536"/>
        <v>Lacine13_20191124_04_00</v>
      </c>
      <c r="I1118" s="69">
        <f t="shared" si="538"/>
        <v>1</v>
      </c>
      <c r="J1118" s="76" t="str">
        <f t="shared" si="538"/>
        <v>Lactuca</v>
      </c>
      <c r="K1118" s="76" t="str">
        <f t="shared" si="538"/>
        <v>inermis</v>
      </c>
      <c r="L1118" s="77">
        <f t="shared" si="538"/>
        <v>13</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2019</v>
      </c>
      <c r="B1119" s="72" t="str">
        <f t="shared" si="517"/>
        <v>Nov</v>
      </c>
      <c r="C1119" s="73">
        <f t="shared" si="535"/>
        <v>24</v>
      </c>
      <c r="D1119" s="74">
        <f t="shared" si="518"/>
        <v>4</v>
      </c>
      <c r="E1119" s="75">
        <f t="shared" si="519"/>
        <v>56</v>
      </c>
      <c r="F1119" s="79"/>
      <c r="G1119" s="82"/>
      <c r="H1119" s="68" t="str">
        <f t="shared" si="536"/>
        <v>Lacine13_20191124_04_00</v>
      </c>
      <c r="I1119" s="69">
        <f t="shared" si="538"/>
        <v>1</v>
      </c>
      <c r="J1119" s="76" t="str">
        <f t="shared" si="538"/>
        <v>Lactuca</v>
      </c>
      <c r="K1119" s="76" t="str">
        <f t="shared" si="538"/>
        <v>inermis</v>
      </c>
      <c r="L1119" s="77">
        <f t="shared" si="538"/>
        <v>13</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2019</v>
      </c>
      <c r="B1120" s="72" t="str">
        <f t="shared" si="517"/>
        <v>Nov</v>
      </c>
      <c r="C1120" s="73">
        <f t="shared" si="535"/>
        <v>24</v>
      </c>
      <c r="D1120" s="74">
        <f t="shared" si="518"/>
        <v>4</v>
      </c>
      <c r="E1120" s="75">
        <f t="shared" si="519"/>
        <v>57</v>
      </c>
      <c r="F1120" s="79"/>
      <c r="G1120" s="82"/>
      <c r="H1120" s="68" t="str">
        <f t="shared" si="536"/>
        <v>Lacine13_20191124_04_00</v>
      </c>
      <c r="I1120" s="69">
        <f t="shared" si="538"/>
        <v>1</v>
      </c>
      <c r="J1120" s="76" t="str">
        <f t="shared" si="538"/>
        <v>Lactuca</v>
      </c>
      <c r="K1120" s="76" t="str">
        <f t="shared" si="538"/>
        <v>inermis</v>
      </c>
      <c r="L1120" s="77">
        <f t="shared" si="538"/>
        <v>13</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2019</v>
      </c>
      <c r="B1121" s="72" t="str">
        <f t="shared" si="517"/>
        <v>Nov</v>
      </c>
      <c r="C1121" s="73">
        <f t="shared" si="535"/>
        <v>24</v>
      </c>
      <c r="D1121" s="74">
        <f t="shared" si="518"/>
        <v>4</v>
      </c>
      <c r="E1121" s="75">
        <f t="shared" si="519"/>
        <v>58</v>
      </c>
      <c r="F1121" s="79"/>
      <c r="G1121" s="82"/>
      <c r="H1121" s="68" t="str">
        <f t="shared" si="536"/>
        <v>Lacine13_20191124_04_00</v>
      </c>
      <c r="I1121" s="69">
        <f t="shared" si="538"/>
        <v>1</v>
      </c>
      <c r="J1121" s="76" t="str">
        <f t="shared" si="538"/>
        <v>Lactuca</v>
      </c>
      <c r="K1121" s="76" t="str">
        <f t="shared" si="538"/>
        <v>inermis</v>
      </c>
      <c r="L1121" s="77">
        <f t="shared" si="538"/>
        <v>13</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2019</v>
      </c>
      <c r="B1122" s="72" t="str">
        <f t="shared" si="517"/>
        <v>Nov</v>
      </c>
      <c r="C1122" s="73">
        <f t="shared" si="535"/>
        <v>24</v>
      </c>
      <c r="D1122" s="74">
        <f t="shared" si="518"/>
        <v>4</v>
      </c>
      <c r="E1122" s="75">
        <f t="shared" si="519"/>
        <v>59</v>
      </c>
      <c r="F1122" s="79"/>
      <c r="G1122" s="82"/>
      <c r="H1122" s="68" t="str">
        <f t="shared" si="536"/>
        <v>Lacine13_20191124_04_00</v>
      </c>
      <c r="I1122" s="69">
        <f t="shared" si="538"/>
        <v>1</v>
      </c>
      <c r="J1122" s="76" t="str">
        <f t="shared" si="538"/>
        <v>Lactuca</v>
      </c>
      <c r="K1122" s="76" t="str">
        <f t="shared" si="538"/>
        <v>inermis</v>
      </c>
      <c r="L1122" s="77">
        <f t="shared" si="538"/>
        <v>13</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2019</v>
      </c>
      <c r="B1123" s="72" t="str">
        <f t="shared" si="517"/>
        <v>Nov</v>
      </c>
      <c r="C1123" s="73">
        <f t="shared" si="535"/>
        <v>24</v>
      </c>
      <c r="D1123" s="74">
        <f t="shared" si="518"/>
        <v>5</v>
      </c>
      <c r="E1123" s="75">
        <f t="shared" si="519"/>
        <v>0</v>
      </c>
      <c r="F1123" s="79"/>
      <c r="G1123" s="82"/>
      <c r="H1123" s="68" t="str">
        <f t="shared" si="536"/>
        <v>Lacine13_20191124_05_00</v>
      </c>
      <c r="I1123" s="69">
        <f t="shared" si="538"/>
        <v>1</v>
      </c>
      <c r="J1123" s="76" t="str">
        <f t="shared" si="538"/>
        <v>Lactuca</v>
      </c>
      <c r="K1123" s="76" t="str">
        <f t="shared" si="538"/>
        <v>inermis</v>
      </c>
      <c r="L1123" s="77">
        <f t="shared" si="538"/>
        <v>13</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2019</v>
      </c>
      <c r="B1124" s="72" t="str">
        <f t="shared" si="517"/>
        <v>Nov</v>
      </c>
      <c r="C1124" s="73">
        <f t="shared" si="535"/>
        <v>24</v>
      </c>
      <c r="D1124" s="74">
        <f t="shared" si="518"/>
        <v>5</v>
      </c>
      <c r="E1124" s="75">
        <f t="shared" si="519"/>
        <v>1</v>
      </c>
      <c r="F1124" s="79"/>
      <c r="G1124" s="82"/>
      <c r="H1124" s="68" t="str">
        <f t="shared" si="536"/>
        <v>Lacine13_20191124_05_00</v>
      </c>
      <c r="I1124" s="69">
        <f t="shared" si="538"/>
        <v>1</v>
      </c>
      <c r="J1124" s="76" t="str">
        <f t="shared" si="538"/>
        <v>Lactuca</v>
      </c>
      <c r="K1124" s="76" t="str">
        <f t="shared" si="538"/>
        <v>inermis</v>
      </c>
      <c r="L1124" s="77">
        <f t="shared" si="538"/>
        <v>13</v>
      </c>
      <c r="M1124" s="77">
        <f t="shared" si="538"/>
        <v>1</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2019</v>
      </c>
      <c r="B1125" s="72" t="str">
        <f t="shared" si="517"/>
        <v>Nov</v>
      </c>
      <c r="C1125" s="73">
        <f t="shared" si="535"/>
        <v>24</v>
      </c>
      <c r="D1125" s="74">
        <f t="shared" si="518"/>
        <v>5</v>
      </c>
      <c r="E1125" s="75">
        <f t="shared" si="519"/>
        <v>2</v>
      </c>
      <c r="F1125" s="79"/>
      <c r="G1125" s="82"/>
      <c r="H1125" s="68" t="str">
        <f t="shared" si="536"/>
        <v>Lacine13_20191124_05_00</v>
      </c>
      <c r="I1125" s="69">
        <f t="shared" ref="I1125:N1140" si="539">I1124</f>
        <v>1</v>
      </c>
      <c r="J1125" s="76" t="str">
        <f t="shared" si="539"/>
        <v>Lactuca</v>
      </c>
      <c r="K1125" s="76" t="str">
        <f t="shared" si="539"/>
        <v>inermis</v>
      </c>
      <c r="L1125" s="77">
        <f t="shared" si="539"/>
        <v>13</v>
      </c>
      <c r="M1125" s="77">
        <f t="shared" si="539"/>
        <v>1</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2019</v>
      </c>
      <c r="B1126" s="72" t="str">
        <f t="shared" si="517"/>
        <v>Nov</v>
      </c>
      <c r="C1126" s="73">
        <f t="shared" si="535"/>
        <v>24</v>
      </c>
      <c r="D1126" s="74">
        <f t="shared" si="518"/>
        <v>5</v>
      </c>
      <c r="E1126" s="75">
        <f t="shared" si="519"/>
        <v>3</v>
      </c>
      <c r="F1126" s="79"/>
      <c r="G1126" s="82"/>
      <c r="H1126" s="68" t="str">
        <f t="shared" si="536"/>
        <v>Lacine13_20191124_05_00</v>
      </c>
      <c r="I1126" s="69">
        <f t="shared" si="539"/>
        <v>1</v>
      </c>
      <c r="J1126" s="76" t="str">
        <f t="shared" si="539"/>
        <v>Lactuca</v>
      </c>
      <c r="K1126" s="76" t="str">
        <f t="shared" si="539"/>
        <v>inermis</v>
      </c>
      <c r="L1126" s="77">
        <f t="shared" si="539"/>
        <v>13</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2019</v>
      </c>
      <c r="B1127" s="72" t="str">
        <f t="shared" si="517"/>
        <v>Nov</v>
      </c>
      <c r="C1127" s="73">
        <f t="shared" si="535"/>
        <v>24</v>
      </c>
      <c r="D1127" s="74">
        <f t="shared" si="518"/>
        <v>5</v>
      </c>
      <c r="E1127" s="75">
        <f t="shared" si="519"/>
        <v>4</v>
      </c>
      <c r="F1127" s="79"/>
      <c r="G1127" s="82"/>
      <c r="H1127" s="68" t="str">
        <f t="shared" si="536"/>
        <v>Lacine13_20191124_05_00</v>
      </c>
      <c r="I1127" s="69">
        <f t="shared" si="539"/>
        <v>1</v>
      </c>
      <c r="J1127" s="76" t="str">
        <f t="shared" si="539"/>
        <v>Lactuca</v>
      </c>
      <c r="K1127" s="76" t="str">
        <f t="shared" si="539"/>
        <v>inermis</v>
      </c>
      <c r="L1127" s="77">
        <f t="shared" si="539"/>
        <v>13</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2019</v>
      </c>
      <c r="B1128" s="72" t="str">
        <f t="shared" si="517"/>
        <v>Nov</v>
      </c>
      <c r="C1128" s="73">
        <f t="shared" si="535"/>
        <v>24</v>
      </c>
      <c r="D1128" s="74">
        <f t="shared" si="518"/>
        <v>5</v>
      </c>
      <c r="E1128" s="75">
        <f t="shared" si="519"/>
        <v>5</v>
      </c>
      <c r="F1128" s="79"/>
      <c r="G1128" s="82"/>
      <c r="H1128" s="68" t="str">
        <f t="shared" si="536"/>
        <v>Lacine13_20191124_05_00</v>
      </c>
      <c r="I1128" s="69">
        <f t="shared" si="539"/>
        <v>1</v>
      </c>
      <c r="J1128" s="76" t="str">
        <f t="shared" si="539"/>
        <v>Lactuca</v>
      </c>
      <c r="K1128" s="76" t="str">
        <f t="shared" si="539"/>
        <v>inermis</v>
      </c>
      <c r="L1128" s="77">
        <f t="shared" si="539"/>
        <v>13</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2019</v>
      </c>
      <c r="B1129" s="72" t="str">
        <f t="shared" si="517"/>
        <v>Nov</v>
      </c>
      <c r="C1129" s="73">
        <f t="shared" si="535"/>
        <v>24</v>
      </c>
      <c r="D1129" s="74">
        <f t="shared" si="518"/>
        <v>5</v>
      </c>
      <c r="E1129" s="75">
        <f t="shared" si="519"/>
        <v>6</v>
      </c>
      <c r="F1129" s="79"/>
      <c r="G1129" s="82"/>
      <c r="H1129" s="68" t="str">
        <f t="shared" si="536"/>
        <v>Lacine13_20191124_05_00</v>
      </c>
      <c r="I1129" s="69">
        <f t="shared" si="539"/>
        <v>1</v>
      </c>
      <c r="J1129" s="76" t="str">
        <f t="shared" si="539"/>
        <v>Lactuca</v>
      </c>
      <c r="K1129" s="76" t="str">
        <f t="shared" si="539"/>
        <v>inermis</v>
      </c>
      <c r="L1129" s="77">
        <f t="shared" si="539"/>
        <v>13</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2019</v>
      </c>
      <c r="B1130" s="72" t="str">
        <f t="shared" si="517"/>
        <v>Nov</v>
      </c>
      <c r="C1130" s="73">
        <f t="shared" si="535"/>
        <v>24</v>
      </c>
      <c r="D1130" s="74">
        <f t="shared" si="518"/>
        <v>5</v>
      </c>
      <c r="E1130" s="75">
        <f t="shared" si="519"/>
        <v>7</v>
      </c>
      <c r="F1130" s="79"/>
      <c r="G1130" s="82"/>
      <c r="H1130" s="68" t="str">
        <f t="shared" si="536"/>
        <v>Lacine13_20191124_05_00</v>
      </c>
      <c r="I1130" s="69">
        <f t="shared" si="539"/>
        <v>1</v>
      </c>
      <c r="J1130" s="76" t="str">
        <f t="shared" si="539"/>
        <v>Lactuca</v>
      </c>
      <c r="K1130" s="76" t="str">
        <f t="shared" si="539"/>
        <v>inermis</v>
      </c>
      <c r="L1130" s="77">
        <f t="shared" si="539"/>
        <v>13</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2019</v>
      </c>
      <c r="B1131" s="72" t="str">
        <f t="shared" si="517"/>
        <v>Nov</v>
      </c>
      <c r="C1131" s="73">
        <f t="shared" si="535"/>
        <v>24</v>
      </c>
      <c r="D1131" s="74">
        <f t="shared" si="518"/>
        <v>5</v>
      </c>
      <c r="E1131" s="75">
        <f t="shared" si="519"/>
        <v>8</v>
      </c>
      <c r="F1131" s="79"/>
      <c r="G1131" s="82"/>
      <c r="H1131" s="68" t="str">
        <f t="shared" si="536"/>
        <v>Lacine13_20191124_05_00</v>
      </c>
      <c r="I1131" s="69">
        <f t="shared" si="539"/>
        <v>1</v>
      </c>
      <c r="J1131" s="76" t="str">
        <f t="shared" si="539"/>
        <v>Lactuca</v>
      </c>
      <c r="K1131" s="76" t="str">
        <f t="shared" si="539"/>
        <v>inermis</v>
      </c>
      <c r="L1131" s="77">
        <f t="shared" si="539"/>
        <v>13</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2019</v>
      </c>
      <c r="B1132" s="72" t="str">
        <f t="shared" si="517"/>
        <v>Nov</v>
      </c>
      <c r="C1132" s="73">
        <f t="shared" si="535"/>
        <v>24</v>
      </c>
      <c r="D1132" s="74">
        <f t="shared" si="518"/>
        <v>5</v>
      </c>
      <c r="E1132" s="75">
        <f t="shared" si="519"/>
        <v>9</v>
      </c>
      <c r="F1132" s="79"/>
      <c r="G1132" s="82"/>
      <c r="H1132" s="68" t="str">
        <f t="shared" si="536"/>
        <v>Lacine13_20191124_05_00</v>
      </c>
      <c r="I1132" s="69">
        <f t="shared" si="539"/>
        <v>1</v>
      </c>
      <c r="J1132" s="76" t="str">
        <f t="shared" si="539"/>
        <v>Lactuca</v>
      </c>
      <c r="K1132" s="76" t="str">
        <f t="shared" si="539"/>
        <v>inermis</v>
      </c>
      <c r="L1132" s="77">
        <f t="shared" si="539"/>
        <v>13</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2019</v>
      </c>
      <c r="B1133" s="72" t="str">
        <f t="shared" si="517"/>
        <v>Nov</v>
      </c>
      <c r="C1133" s="73">
        <f t="shared" si="535"/>
        <v>24</v>
      </c>
      <c r="D1133" s="74">
        <f t="shared" si="518"/>
        <v>5</v>
      </c>
      <c r="E1133" s="75">
        <f t="shared" si="519"/>
        <v>10</v>
      </c>
      <c r="F1133" s="79"/>
      <c r="G1133" s="82"/>
      <c r="H1133" s="68" t="str">
        <f t="shared" si="536"/>
        <v>Lacine13_20191124_05_00</v>
      </c>
      <c r="I1133" s="69">
        <f t="shared" si="539"/>
        <v>1</v>
      </c>
      <c r="J1133" s="76" t="str">
        <f t="shared" si="539"/>
        <v>Lactuca</v>
      </c>
      <c r="K1133" s="76" t="str">
        <f t="shared" si="539"/>
        <v>inermis</v>
      </c>
      <c r="L1133" s="77">
        <f t="shared" si="539"/>
        <v>13</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2019</v>
      </c>
      <c r="B1134" s="72" t="str">
        <f t="shared" si="517"/>
        <v>Nov</v>
      </c>
      <c r="C1134" s="73">
        <f t="shared" si="535"/>
        <v>24</v>
      </c>
      <c r="D1134" s="74">
        <f t="shared" si="518"/>
        <v>5</v>
      </c>
      <c r="E1134" s="75">
        <f t="shared" si="519"/>
        <v>11</v>
      </c>
      <c r="F1134" s="79"/>
      <c r="G1134" s="82"/>
      <c r="H1134" s="68" t="str">
        <f t="shared" si="536"/>
        <v>Lacine13_20191124_05_00</v>
      </c>
      <c r="I1134" s="69">
        <f t="shared" si="539"/>
        <v>1</v>
      </c>
      <c r="J1134" s="76" t="str">
        <f t="shared" si="539"/>
        <v>Lactuca</v>
      </c>
      <c r="K1134" s="76" t="str">
        <f t="shared" si="539"/>
        <v>inermis</v>
      </c>
      <c r="L1134" s="77">
        <f t="shared" si="539"/>
        <v>13</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2019</v>
      </c>
      <c r="B1135" s="72" t="str">
        <f t="shared" si="517"/>
        <v>Nov</v>
      </c>
      <c r="C1135" s="73">
        <f t="shared" si="535"/>
        <v>24</v>
      </c>
      <c r="D1135" s="74">
        <f t="shared" si="518"/>
        <v>5</v>
      </c>
      <c r="E1135" s="75">
        <f t="shared" si="519"/>
        <v>12</v>
      </c>
      <c r="F1135" s="79"/>
      <c r="G1135" s="82"/>
      <c r="H1135" s="68" t="str">
        <f t="shared" si="536"/>
        <v>Lacine13_20191124_05_00</v>
      </c>
      <c r="I1135" s="69">
        <f t="shared" si="539"/>
        <v>1</v>
      </c>
      <c r="J1135" s="76" t="str">
        <f t="shared" si="539"/>
        <v>Lactuca</v>
      </c>
      <c r="K1135" s="76" t="str">
        <f t="shared" si="539"/>
        <v>inermis</v>
      </c>
      <c r="L1135" s="77">
        <f t="shared" si="539"/>
        <v>13</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2019</v>
      </c>
      <c r="B1136" s="72" t="str">
        <f t="shared" si="517"/>
        <v>Nov</v>
      </c>
      <c r="C1136" s="73">
        <f t="shared" si="535"/>
        <v>24</v>
      </c>
      <c r="D1136" s="74">
        <f t="shared" si="518"/>
        <v>5</v>
      </c>
      <c r="E1136" s="75">
        <f t="shared" si="519"/>
        <v>13</v>
      </c>
      <c r="F1136" s="79"/>
      <c r="G1136" s="82"/>
      <c r="H1136" s="68" t="str">
        <f t="shared" si="536"/>
        <v>Lacine13_20191124_05_00</v>
      </c>
      <c r="I1136" s="69">
        <f t="shared" si="539"/>
        <v>1</v>
      </c>
      <c r="J1136" s="76" t="str">
        <f t="shared" si="539"/>
        <v>Lactuca</v>
      </c>
      <c r="K1136" s="76" t="str">
        <f t="shared" si="539"/>
        <v>inermis</v>
      </c>
      <c r="L1136" s="77">
        <f t="shared" si="539"/>
        <v>13</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2019</v>
      </c>
      <c r="B1137" s="72" t="str">
        <f t="shared" si="517"/>
        <v>Nov</v>
      </c>
      <c r="C1137" s="73">
        <f t="shared" si="535"/>
        <v>24</v>
      </c>
      <c r="D1137" s="74">
        <f t="shared" si="518"/>
        <v>5</v>
      </c>
      <c r="E1137" s="75">
        <f t="shared" si="519"/>
        <v>14</v>
      </c>
      <c r="F1137" s="79"/>
      <c r="G1137" s="82"/>
      <c r="H1137" s="68" t="str">
        <f t="shared" si="536"/>
        <v>Lacine13_20191124_05_00</v>
      </c>
      <c r="I1137" s="69">
        <f t="shared" si="539"/>
        <v>1</v>
      </c>
      <c r="J1137" s="76" t="str">
        <f t="shared" si="539"/>
        <v>Lactuca</v>
      </c>
      <c r="K1137" s="76" t="str">
        <f t="shared" si="539"/>
        <v>inermis</v>
      </c>
      <c r="L1137" s="77">
        <f t="shared" si="539"/>
        <v>13</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2019</v>
      </c>
      <c r="B1138" s="72" t="str">
        <f t="shared" si="517"/>
        <v>Nov</v>
      </c>
      <c r="C1138" s="73">
        <f t="shared" si="535"/>
        <v>24</v>
      </c>
      <c r="D1138" s="74">
        <f t="shared" si="518"/>
        <v>5</v>
      </c>
      <c r="E1138" s="75">
        <f t="shared" si="519"/>
        <v>15</v>
      </c>
      <c r="F1138" s="79"/>
      <c r="G1138" s="82"/>
      <c r="H1138" s="68" t="str">
        <f t="shared" si="536"/>
        <v>Lacine13_20191124_05_00</v>
      </c>
      <c r="I1138" s="69">
        <f t="shared" si="539"/>
        <v>1</v>
      </c>
      <c r="J1138" s="76" t="str">
        <f t="shared" si="539"/>
        <v>Lactuca</v>
      </c>
      <c r="K1138" s="76" t="str">
        <f t="shared" si="539"/>
        <v>inermis</v>
      </c>
      <c r="L1138" s="77">
        <f t="shared" si="539"/>
        <v>13</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2019</v>
      </c>
      <c r="B1139" s="72" t="str">
        <f t="shared" si="517"/>
        <v>Nov</v>
      </c>
      <c r="C1139" s="73">
        <f t="shared" si="535"/>
        <v>24</v>
      </c>
      <c r="D1139" s="74">
        <f t="shared" si="518"/>
        <v>5</v>
      </c>
      <c r="E1139" s="75">
        <f t="shared" si="519"/>
        <v>16</v>
      </c>
      <c r="F1139" s="79"/>
      <c r="G1139" s="82"/>
      <c r="H1139" s="68" t="str">
        <f t="shared" si="536"/>
        <v>Lacine13_20191124_05_00</v>
      </c>
      <c r="I1139" s="69">
        <f t="shared" si="539"/>
        <v>1</v>
      </c>
      <c r="J1139" s="76" t="str">
        <f t="shared" si="539"/>
        <v>Lactuca</v>
      </c>
      <c r="K1139" s="76" t="str">
        <f t="shared" si="539"/>
        <v>inermis</v>
      </c>
      <c r="L1139" s="77">
        <f t="shared" si="539"/>
        <v>13</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2019</v>
      </c>
      <c r="B1140" s="72" t="str">
        <f t="shared" si="517"/>
        <v>Nov</v>
      </c>
      <c r="C1140" s="73">
        <f t="shared" si="535"/>
        <v>24</v>
      </c>
      <c r="D1140" s="74">
        <f t="shared" si="518"/>
        <v>5</v>
      </c>
      <c r="E1140" s="75">
        <f t="shared" si="519"/>
        <v>17</v>
      </c>
      <c r="F1140" s="79"/>
      <c r="G1140" s="82"/>
      <c r="H1140" s="68" t="str">
        <f t="shared" si="536"/>
        <v>Lacine13_20191124_05_00</v>
      </c>
      <c r="I1140" s="69">
        <f t="shared" si="539"/>
        <v>1</v>
      </c>
      <c r="J1140" s="76" t="str">
        <f t="shared" si="539"/>
        <v>Lactuca</v>
      </c>
      <c r="K1140" s="76" t="str">
        <f t="shared" si="539"/>
        <v>inermis</v>
      </c>
      <c r="L1140" s="77">
        <f t="shared" si="539"/>
        <v>13</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2019</v>
      </c>
      <c r="B1141" s="72" t="str">
        <f t="shared" si="517"/>
        <v>Nov</v>
      </c>
      <c r="C1141" s="73">
        <f t="shared" si="535"/>
        <v>24</v>
      </c>
      <c r="D1141" s="74">
        <f t="shared" si="518"/>
        <v>5</v>
      </c>
      <c r="E1141" s="75">
        <f t="shared" si="519"/>
        <v>18</v>
      </c>
      <c r="F1141" s="79"/>
      <c r="G1141" s="82"/>
      <c r="H1141" s="68" t="str">
        <f t="shared" si="536"/>
        <v>Lacine13_20191124_05_00</v>
      </c>
      <c r="I1141" s="69">
        <f t="shared" ref="I1141:N1156" si="540">I1140</f>
        <v>1</v>
      </c>
      <c r="J1141" s="76" t="str">
        <f t="shared" si="540"/>
        <v>Lactuca</v>
      </c>
      <c r="K1141" s="76" t="str">
        <f t="shared" si="540"/>
        <v>inermis</v>
      </c>
      <c r="L1141" s="77">
        <f t="shared" si="540"/>
        <v>13</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2019</v>
      </c>
      <c r="B1142" s="72" t="str">
        <f t="shared" si="517"/>
        <v>Nov</v>
      </c>
      <c r="C1142" s="73">
        <f t="shared" si="535"/>
        <v>24</v>
      </c>
      <c r="D1142" s="74">
        <f t="shared" si="518"/>
        <v>5</v>
      </c>
      <c r="E1142" s="75">
        <f t="shared" si="519"/>
        <v>19</v>
      </c>
      <c r="F1142" s="79"/>
      <c r="G1142" s="82"/>
      <c r="H1142" s="68" t="str">
        <f t="shared" si="536"/>
        <v>Lacine13_20191124_05_00</v>
      </c>
      <c r="I1142" s="69">
        <f t="shared" si="540"/>
        <v>1</v>
      </c>
      <c r="J1142" s="76" t="str">
        <f t="shared" si="540"/>
        <v>Lactuca</v>
      </c>
      <c r="K1142" s="76" t="str">
        <f t="shared" si="540"/>
        <v>inermis</v>
      </c>
      <c r="L1142" s="77">
        <f t="shared" si="540"/>
        <v>13</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2019</v>
      </c>
      <c r="B1143" s="72" t="str">
        <f t="shared" si="517"/>
        <v>Nov</v>
      </c>
      <c r="C1143" s="73">
        <f t="shared" si="535"/>
        <v>24</v>
      </c>
      <c r="D1143" s="74">
        <f t="shared" si="518"/>
        <v>5</v>
      </c>
      <c r="E1143" s="75">
        <f t="shared" si="519"/>
        <v>20</v>
      </c>
      <c r="F1143" s="79"/>
      <c r="G1143" s="82"/>
      <c r="H1143" s="68" t="str">
        <f t="shared" si="536"/>
        <v>Lacine13_20191124_05_00</v>
      </c>
      <c r="I1143" s="69">
        <f t="shared" si="540"/>
        <v>1</v>
      </c>
      <c r="J1143" s="76" t="str">
        <f t="shared" si="540"/>
        <v>Lactuca</v>
      </c>
      <c r="K1143" s="76" t="str">
        <f t="shared" si="540"/>
        <v>inermis</v>
      </c>
      <c r="L1143" s="77">
        <f t="shared" si="540"/>
        <v>13</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2019</v>
      </c>
      <c r="B1144" s="72" t="str">
        <f t="shared" si="517"/>
        <v>Nov</v>
      </c>
      <c r="C1144" s="73">
        <f t="shared" si="535"/>
        <v>24</v>
      </c>
      <c r="D1144" s="74">
        <f t="shared" si="518"/>
        <v>5</v>
      </c>
      <c r="E1144" s="75">
        <f t="shared" si="519"/>
        <v>21</v>
      </c>
      <c r="F1144" s="79"/>
      <c r="G1144" s="82"/>
      <c r="H1144" s="68" t="str">
        <f t="shared" si="536"/>
        <v>Lacine13_20191124_05_00</v>
      </c>
      <c r="I1144" s="69">
        <f t="shared" si="540"/>
        <v>1</v>
      </c>
      <c r="J1144" s="76" t="str">
        <f t="shared" si="540"/>
        <v>Lactuca</v>
      </c>
      <c r="K1144" s="76" t="str">
        <f t="shared" si="540"/>
        <v>inermis</v>
      </c>
      <c r="L1144" s="77">
        <f t="shared" si="540"/>
        <v>13</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2019</v>
      </c>
      <c r="B1145" s="72" t="str">
        <f t="shared" si="517"/>
        <v>Nov</v>
      </c>
      <c r="C1145" s="73">
        <f t="shared" si="535"/>
        <v>24</v>
      </c>
      <c r="D1145" s="74">
        <f t="shared" si="518"/>
        <v>5</v>
      </c>
      <c r="E1145" s="75">
        <f t="shared" si="519"/>
        <v>22</v>
      </c>
      <c r="F1145" s="79"/>
      <c r="G1145" s="82"/>
      <c r="H1145" s="68" t="str">
        <f t="shared" si="536"/>
        <v>Lacine13_20191124_05_00</v>
      </c>
      <c r="I1145" s="69">
        <f t="shared" si="540"/>
        <v>1</v>
      </c>
      <c r="J1145" s="76" t="str">
        <f t="shared" si="540"/>
        <v>Lactuca</v>
      </c>
      <c r="K1145" s="76" t="str">
        <f t="shared" si="540"/>
        <v>inermis</v>
      </c>
      <c r="L1145" s="77">
        <f t="shared" si="540"/>
        <v>13</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2019</v>
      </c>
      <c r="B1146" s="72" t="str">
        <f t="shared" si="517"/>
        <v>Nov</v>
      </c>
      <c r="C1146" s="73">
        <f t="shared" si="535"/>
        <v>24</v>
      </c>
      <c r="D1146" s="74">
        <f t="shared" si="518"/>
        <v>5</v>
      </c>
      <c r="E1146" s="75">
        <f t="shared" si="519"/>
        <v>23</v>
      </c>
      <c r="F1146" s="79"/>
      <c r="G1146" s="82"/>
      <c r="H1146" s="68" t="str">
        <f t="shared" si="536"/>
        <v>Lacine13_20191124_05_00</v>
      </c>
      <c r="I1146" s="69">
        <f t="shared" si="540"/>
        <v>1</v>
      </c>
      <c r="J1146" s="76" t="str">
        <f t="shared" si="540"/>
        <v>Lactuca</v>
      </c>
      <c r="K1146" s="76" t="str">
        <f t="shared" si="540"/>
        <v>inermis</v>
      </c>
      <c r="L1146" s="77">
        <f t="shared" si="540"/>
        <v>13</v>
      </c>
      <c r="M1146" s="77">
        <f t="shared" si="540"/>
        <v>1</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2019</v>
      </c>
      <c r="B1147" s="72" t="str">
        <f t="shared" si="517"/>
        <v>Nov</v>
      </c>
      <c r="C1147" s="73">
        <f t="shared" si="535"/>
        <v>24</v>
      </c>
      <c r="D1147" s="74">
        <f t="shared" si="518"/>
        <v>5</v>
      </c>
      <c r="E1147" s="75">
        <f t="shared" si="519"/>
        <v>24</v>
      </c>
      <c r="F1147" s="79"/>
      <c r="G1147" s="82"/>
      <c r="H1147" s="68" t="str">
        <f t="shared" si="536"/>
        <v>Lacine13_20191124_05_00</v>
      </c>
      <c r="I1147" s="69">
        <f t="shared" si="540"/>
        <v>1</v>
      </c>
      <c r="J1147" s="76" t="str">
        <f t="shared" si="540"/>
        <v>Lactuca</v>
      </c>
      <c r="K1147" s="76" t="str">
        <f t="shared" si="540"/>
        <v>inermis</v>
      </c>
      <c r="L1147" s="77">
        <f t="shared" si="540"/>
        <v>13</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2019</v>
      </c>
      <c r="B1148" s="72" t="str">
        <f t="shared" si="517"/>
        <v>Nov</v>
      </c>
      <c r="C1148" s="73">
        <f t="shared" si="535"/>
        <v>24</v>
      </c>
      <c r="D1148" s="74">
        <f t="shared" si="518"/>
        <v>5</v>
      </c>
      <c r="E1148" s="75">
        <f t="shared" si="519"/>
        <v>25</v>
      </c>
      <c r="F1148" s="79"/>
      <c r="G1148" s="82"/>
      <c r="H1148" s="68" t="str">
        <f t="shared" si="536"/>
        <v>Lacine13_20191124_05_00</v>
      </c>
      <c r="I1148" s="69">
        <f t="shared" si="540"/>
        <v>1</v>
      </c>
      <c r="J1148" s="76" t="str">
        <f t="shared" si="540"/>
        <v>Lactuca</v>
      </c>
      <c r="K1148" s="76" t="str">
        <f t="shared" si="540"/>
        <v>inermis</v>
      </c>
      <c r="L1148" s="77">
        <f t="shared" si="540"/>
        <v>13</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2019</v>
      </c>
      <c r="B1149" s="72" t="str">
        <f t="shared" si="517"/>
        <v>Nov</v>
      </c>
      <c r="C1149" s="73">
        <f t="shared" si="535"/>
        <v>24</v>
      </c>
      <c r="D1149" s="74">
        <f t="shared" si="518"/>
        <v>5</v>
      </c>
      <c r="E1149" s="75">
        <f t="shared" si="519"/>
        <v>26</v>
      </c>
      <c r="F1149" s="79"/>
      <c r="G1149" s="82"/>
      <c r="H1149" s="68" t="str">
        <f t="shared" si="536"/>
        <v>Lacine13_20191124_05_00</v>
      </c>
      <c r="I1149" s="69">
        <f t="shared" si="540"/>
        <v>1</v>
      </c>
      <c r="J1149" s="76" t="str">
        <f t="shared" si="540"/>
        <v>Lactuca</v>
      </c>
      <c r="K1149" s="76" t="str">
        <f t="shared" si="540"/>
        <v>inermis</v>
      </c>
      <c r="L1149" s="77">
        <f t="shared" si="540"/>
        <v>13</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2019</v>
      </c>
      <c r="B1150" s="72" t="str">
        <f t="shared" si="517"/>
        <v>Nov</v>
      </c>
      <c r="C1150" s="73">
        <f t="shared" si="535"/>
        <v>24</v>
      </c>
      <c r="D1150" s="74">
        <f t="shared" si="518"/>
        <v>5</v>
      </c>
      <c r="E1150" s="75">
        <f t="shared" si="519"/>
        <v>27</v>
      </c>
      <c r="F1150" s="79"/>
      <c r="G1150" s="82"/>
      <c r="H1150" s="68" t="str">
        <f t="shared" si="536"/>
        <v>Lacine13_20191124_05_00</v>
      </c>
      <c r="I1150" s="69">
        <f t="shared" si="540"/>
        <v>1</v>
      </c>
      <c r="J1150" s="76" t="str">
        <f t="shared" si="540"/>
        <v>Lactuca</v>
      </c>
      <c r="K1150" s="76" t="str">
        <f t="shared" si="540"/>
        <v>inermis</v>
      </c>
      <c r="L1150" s="77">
        <f t="shared" si="540"/>
        <v>13</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2019</v>
      </c>
      <c r="B1151" s="72" t="str">
        <f t="shared" si="517"/>
        <v>Nov</v>
      </c>
      <c r="C1151" s="73">
        <f t="shared" si="535"/>
        <v>24</v>
      </c>
      <c r="D1151" s="74">
        <f t="shared" si="518"/>
        <v>5</v>
      </c>
      <c r="E1151" s="75">
        <f t="shared" si="519"/>
        <v>28</v>
      </c>
      <c r="F1151" s="79"/>
      <c r="G1151" s="82"/>
      <c r="H1151" s="68" t="str">
        <f t="shared" si="536"/>
        <v>Lacine13_20191124_05_00</v>
      </c>
      <c r="I1151" s="69">
        <f t="shared" si="540"/>
        <v>1</v>
      </c>
      <c r="J1151" s="76" t="str">
        <f t="shared" si="540"/>
        <v>Lactuca</v>
      </c>
      <c r="K1151" s="76" t="str">
        <f t="shared" si="540"/>
        <v>inermis</v>
      </c>
      <c r="L1151" s="77">
        <f t="shared" si="540"/>
        <v>13</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2019</v>
      </c>
      <c r="B1152" s="72" t="str">
        <f t="shared" si="517"/>
        <v>Nov</v>
      </c>
      <c r="C1152" s="73">
        <f t="shared" si="535"/>
        <v>24</v>
      </c>
      <c r="D1152" s="74">
        <f t="shared" si="518"/>
        <v>5</v>
      </c>
      <c r="E1152" s="75">
        <f t="shared" si="519"/>
        <v>29</v>
      </c>
      <c r="F1152" s="79"/>
      <c r="G1152" s="82"/>
      <c r="H1152" s="68" t="str">
        <f t="shared" si="536"/>
        <v>Lacine13_20191124_05_00</v>
      </c>
      <c r="I1152" s="69">
        <f t="shared" si="540"/>
        <v>1</v>
      </c>
      <c r="J1152" s="76" t="str">
        <f t="shared" si="540"/>
        <v>Lactuca</v>
      </c>
      <c r="K1152" s="76" t="str">
        <f t="shared" si="540"/>
        <v>inermis</v>
      </c>
      <c r="L1152" s="77">
        <f t="shared" si="540"/>
        <v>13</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2019</v>
      </c>
      <c r="B1153" s="72" t="str">
        <f t="shared" si="517"/>
        <v>Nov</v>
      </c>
      <c r="C1153" s="73">
        <f t="shared" si="535"/>
        <v>24</v>
      </c>
      <c r="D1153" s="74">
        <f t="shared" si="518"/>
        <v>5</v>
      </c>
      <c r="E1153" s="75">
        <f t="shared" si="519"/>
        <v>30</v>
      </c>
      <c r="F1153" s="79"/>
      <c r="G1153" s="82"/>
      <c r="H1153" s="68" t="str">
        <f t="shared" si="536"/>
        <v>Lacine13_20191124_05_00</v>
      </c>
      <c r="I1153" s="69">
        <f t="shared" si="540"/>
        <v>1</v>
      </c>
      <c r="J1153" s="76" t="str">
        <f t="shared" si="540"/>
        <v>Lactuca</v>
      </c>
      <c r="K1153" s="76" t="str">
        <f t="shared" si="540"/>
        <v>inermis</v>
      </c>
      <c r="L1153" s="77">
        <f t="shared" si="540"/>
        <v>13</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2019</v>
      </c>
      <c r="B1154" s="72" t="str">
        <f t="shared" si="517"/>
        <v>Nov</v>
      </c>
      <c r="C1154" s="73">
        <f t="shared" si="535"/>
        <v>24</v>
      </c>
      <c r="D1154" s="74">
        <f t="shared" si="518"/>
        <v>5</v>
      </c>
      <c r="E1154" s="75">
        <f t="shared" si="519"/>
        <v>31</v>
      </c>
      <c r="F1154" s="79"/>
      <c r="G1154" s="82"/>
      <c r="H1154" s="68" t="str">
        <f t="shared" si="536"/>
        <v>Lacine13_20191124_05_00</v>
      </c>
      <c r="I1154" s="69">
        <f t="shared" si="540"/>
        <v>1</v>
      </c>
      <c r="J1154" s="76" t="str">
        <f t="shared" si="540"/>
        <v>Lactuca</v>
      </c>
      <c r="K1154" s="76" t="str">
        <f t="shared" si="540"/>
        <v>inermis</v>
      </c>
      <c r="L1154" s="77">
        <f t="shared" si="540"/>
        <v>13</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2019</v>
      </c>
      <c r="B1155" s="72" t="str">
        <f t="shared" si="517"/>
        <v>Nov</v>
      </c>
      <c r="C1155" s="73">
        <f t="shared" si="535"/>
        <v>24</v>
      </c>
      <c r="D1155" s="74">
        <f t="shared" si="518"/>
        <v>5</v>
      </c>
      <c r="E1155" s="75">
        <f t="shared" si="519"/>
        <v>32</v>
      </c>
      <c r="F1155" s="79"/>
      <c r="G1155" s="82"/>
      <c r="H1155" s="68" t="str">
        <f t="shared" si="536"/>
        <v>Lacine13_20191124_05_00</v>
      </c>
      <c r="I1155" s="69">
        <f t="shared" si="540"/>
        <v>1</v>
      </c>
      <c r="J1155" s="76" t="str">
        <f t="shared" si="540"/>
        <v>Lactuca</v>
      </c>
      <c r="K1155" s="76" t="str">
        <f t="shared" si="540"/>
        <v>inermis</v>
      </c>
      <c r="L1155" s="77">
        <f t="shared" si="540"/>
        <v>13</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2019</v>
      </c>
      <c r="B1156" s="72" t="str">
        <f t="shared" ref="B1156:B1219" si="547">IF(C1155-C1156&gt;0, TEXT(DATE(2016,(MONTH(DATEVALUE(B1155&amp;"1"))+1),1),"mmm"), B1155)</f>
        <v>Nov</v>
      </c>
      <c r="C1156" s="73">
        <f t="shared" si="535"/>
        <v>24</v>
      </c>
      <c r="D1156" s="74">
        <f t="shared" ref="D1156:D1219" si="548">IF(IF(E1155=59,D1155+1,D1155)=24,0,IF(E1155=59,D1155+1,D1155))</f>
        <v>5</v>
      </c>
      <c r="E1156" s="75">
        <f t="shared" ref="E1156:E1219" si="549">IF(E1155&lt;59,E1155+1,0)</f>
        <v>33</v>
      </c>
      <c r="F1156" s="79"/>
      <c r="G1156" s="82"/>
      <c r="H1156" s="68" t="str">
        <f t="shared" si="536"/>
        <v>Lacine13_20191124_05_00</v>
      </c>
      <c r="I1156" s="69">
        <f t="shared" si="540"/>
        <v>1</v>
      </c>
      <c r="J1156" s="76" t="str">
        <f t="shared" si="540"/>
        <v>Lactuca</v>
      </c>
      <c r="K1156" s="76" t="str">
        <f t="shared" si="540"/>
        <v>inermis</v>
      </c>
      <c r="L1156" s="77">
        <f t="shared" si="540"/>
        <v>13</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2019</v>
      </c>
      <c r="B1157" s="72" t="str">
        <f t="shared" si="547"/>
        <v>Nov</v>
      </c>
      <c r="C1157" s="73">
        <f t="shared" ref="C1157:C1220" si="565">IF(AND(D1157=0, E1157=0), IF(TEXT(C1156,"dd")=TEXT(EOMONTH(DATE(A1156,MONTH(DATEVALUE(B1156&amp;"1")),C1156),0), "dd"), 1, C1156+1), C1156)</f>
        <v>24</v>
      </c>
      <c r="D1157" s="74">
        <f t="shared" si="548"/>
        <v>5</v>
      </c>
      <c r="E1157" s="75">
        <f t="shared" si="549"/>
        <v>34</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Lacine13_20191124_05_00</v>
      </c>
      <c r="I1157" s="69">
        <f t="shared" ref="I1157:N1172" si="567">I1156</f>
        <v>1</v>
      </c>
      <c r="J1157" s="76" t="str">
        <f t="shared" si="567"/>
        <v>Lactuca</v>
      </c>
      <c r="K1157" s="76" t="str">
        <f t="shared" si="567"/>
        <v>inermis</v>
      </c>
      <c r="L1157" s="77">
        <f t="shared" si="567"/>
        <v>13</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2019</v>
      </c>
      <c r="B1158" s="72" t="str">
        <f t="shared" si="547"/>
        <v>Nov</v>
      </c>
      <c r="C1158" s="73">
        <f t="shared" si="565"/>
        <v>24</v>
      </c>
      <c r="D1158" s="74">
        <f t="shared" si="548"/>
        <v>5</v>
      </c>
      <c r="E1158" s="75">
        <f t="shared" si="549"/>
        <v>35</v>
      </c>
      <c r="F1158" s="79"/>
      <c r="G1158" s="82"/>
      <c r="H1158" s="68" t="str">
        <f t="shared" si="566"/>
        <v>Lacine13_20191124_05_00</v>
      </c>
      <c r="I1158" s="69">
        <f t="shared" si="567"/>
        <v>1</v>
      </c>
      <c r="J1158" s="76" t="str">
        <f t="shared" si="567"/>
        <v>Lactuca</v>
      </c>
      <c r="K1158" s="76" t="str">
        <f t="shared" si="567"/>
        <v>inermis</v>
      </c>
      <c r="L1158" s="77">
        <f t="shared" si="567"/>
        <v>13</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2019</v>
      </c>
      <c r="B1159" s="72" t="str">
        <f t="shared" si="547"/>
        <v>Nov</v>
      </c>
      <c r="C1159" s="73">
        <f t="shared" si="565"/>
        <v>24</v>
      </c>
      <c r="D1159" s="74">
        <f t="shared" si="548"/>
        <v>5</v>
      </c>
      <c r="E1159" s="75">
        <f t="shared" si="549"/>
        <v>36</v>
      </c>
      <c r="F1159" s="79"/>
      <c r="G1159" s="82"/>
      <c r="H1159" s="68" t="str">
        <f t="shared" si="566"/>
        <v>Lacine13_20191124_05_00</v>
      </c>
      <c r="I1159" s="69">
        <f t="shared" si="567"/>
        <v>1</v>
      </c>
      <c r="J1159" s="76" t="str">
        <f t="shared" si="567"/>
        <v>Lactuca</v>
      </c>
      <c r="K1159" s="76" t="str">
        <f t="shared" si="567"/>
        <v>inermis</v>
      </c>
      <c r="L1159" s="77">
        <f t="shared" si="567"/>
        <v>13</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2019</v>
      </c>
      <c r="B1160" s="72" t="str">
        <f t="shared" si="547"/>
        <v>Nov</v>
      </c>
      <c r="C1160" s="73">
        <f t="shared" si="565"/>
        <v>24</v>
      </c>
      <c r="D1160" s="74">
        <f t="shared" si="548"/>
        <v>5</v>
      </c>
      <c r="E1160" s="75">
        <f t="shared" si="549"/>
        <v>37</v>
      </c>
      <c r="F1160" s="79"/>
      <c r="G1160" s="82"/>
      <c r="H1160" s="68" t="str">
        <f t="shared" si="566"/>
        <v>Lacine13_20191124_05_00</v>
      </c>
      <c r="I1160" s="69">
        <f t="shared" si="567"/>
        <v>1</v>
      </c>
      <c r="J1160" s="76" t="str">
        <f t="shared" si="567"/>
        <v>Lactuca</v>
      </c>
      <c r="K1160" s="76" t="str">
        <f t="shared" si="567"/>
        <v>inermis</v>
      </c>
      <c r="L1160" s="77">
        <f t="shared" si="567"/>
        <v>13</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2019</v>
      </c>
      <c r="B1161" s="72" t="str">
        <f t="shared" si="547"/>
        <v>Nov</v>
      </c>
      <c r="C1161" s="73">
        <f t="shared" si="565"/>
        <v>24</v>
      </c>
      <c r="D1161" s="74">
        <f t="shared" si="548"/>
        <v>5</v>
      </c>
      <c r="E1161" s="75">
        <f t="shared" si="549"/>
        <v>38</v>
      </c>
      <c r="F1161" s="79"/>
      <c r="G1161" s="82"/>
      <c r="H1161" s="68" t="str">
        <f t="shared" si="566"/>
        <v>Lacine13_20191124_05_00</v>
      </c>
      <c r="I1161" s="69">
        <f t="shared" si="567"/>
        <v>1</v>
      </c>
      <c r="J1161" s="76" t="str">
        <f t="shared" si="567"/>
        <v>Lactuca</v>
      </c>
      <c r="K1161" s="76" t="str">
        <f t="shared" si="567"/>
        <v>inermis</v>
      </c>
      <c r="L1161" s="77">
        <f t="shared" si="567"/>
        <v>13</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2019</v>
      </c>
      <c r="B1162" s="72" t="str">
        <f t="shared" si="547"/>
        <v>Nov</v>
      </c>
      <c r="C1162" s="73">
        <f t="shared" si="565"/>
        <v>24</v>
      </c>
      <c r="D1162" s="74">
        <f t="shared" si="548"/>
        <v>5</v>
      </c>
      <c r="E1162" s="75">
        <f t="shared" si="549"/>
        <v>39</v>
      </c>
      <c r="F1162" s="79"/>
      <c r="G1162" s="82"/>
      <c r="H1162" s="68" t="str">
        <f t="shared" si="566"/>
        <v>Lacine13_20191124_05_00</v>
      </c>
      <c r="I1162" s="69">
        <f t="shared" si="567"/>
        <v>1</v>
      </c>
      <c r="J1162" s="76" t="str">
        <f t="shared" si="567"/>
        <v>Lactuca</v>
      </c>
      <c r="K1162" s="76" t="str">
        <f t="shared" si="567"/>
        <v>inermis</v>
      </c>
      <c r="L1162" s="77">
        <f t="shared" si="567"/>
        <v>13</v>
      </c>
      <c r="M1162" s="77">
        <f t="shared" si="567"/>
        <v>1</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2019</v>
      </c>
      <c r="B1163" s="72" t="str">
        <f t="shared" si="547"/>
        <v>Nov</v>
      </c>
      <c r="C1163" s="73">
        <f t="shared" si="565"/>
        <v>24</v>
      </c>
      <c r="D1163" s="74">
        <f t="shared" si="548"/>
        <v>5</v>
      </c>
      <c r="E1163" s="75">
        <f t="shared" si="549"/>
        <v>40</v>
      </c>
      <c r="F1163" s="79"/>
      <c r="G1163" s="82"/>
      <c r="H1163" s="68" t="str">
        <f t="shared" si="566"/>
        <v>Lacine13_20191124_05_00</v>
      </c>
      <c r="I1163" s="69">
        <f t="shared" si="567"/>
        <v>1</v>
      </c>
      <c r="J1163" s="76" t="str">
        <f t="shared" si="567"/>
        <v>Lactuca</v>
      </c>
      <c r="K1163" s="76" t="str">
        <f t="shared" si="567"/>
        <v>inermis</v>
      </c>
      <c r="L1163" s="77">
        <f t="shared" si="567"/>
        <v>13</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2019</v>
      </c>
      <c r="B1164" s="72" t="str">
        <f t="shared" si="547"/>
        <v>Nov</v>
      </c>
      <c r="C1164" s="73">
        <f t="shared" si="565"/>
        <v>24</v>
      </c>
      <c r="D1164" s="74">
        <f t="shared" si="548"/>
        <v>5</v>
      </c>
      <c r="E1164" s="75">
        <f t="shared" si="549"/>
        <v>41</v>
      </c>
      <c r="F1164" s="79"/>
      <c r="G1164" s="82"/>
      <c r="H1164" s="68" t="str">
        <f t="shared" si="566"/>
        <v>Lacine13_20191124_05_00</v>
      </c>
      <c r="I1164" s="69">
        <f t="shared" si="567"/>
        <v>1</v>
      </c>
      <c r="J1164" s="76" t="str">
        <f t="shared" si="567"/>
        <v>Lactuca</v>
      </c>
      <c r="K1164" s="76" t="str">
        <f t="shared" si="567"/>
        <v>inermis</v>
      </c>
      <c r="L1164" s="77">
        <f t="shared" si="567"/>
        <v>13</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2019</v>
      </c>
      <c r="B1165" s="72" t="str">
        <f t="shared" si="547"/>
        <v>Nov</v>
      </c>
      <c r="C1165" s="73">
        <f t="shared" si="565"/>
        <v>24</v>
      </c>
      <c r="D1165" s="74">
        <f t="shared" si="548"/>
        <v>5</v>
      </c>
      <c r="E1165" s="75">
        <f t="shared" si="549"/>
        <v>42</v>
      </c>
      <c r="F1165" s="79"/>
      <c r="G1165" s="82"/>
      <c r="H1165" s="68" t="str">
        <f t="shared" si="566"/>
        <v>Lacine13_20191124_05_00</v>
      </c>
      <c r="I1165" s="69">
        <f t="shared" si="567"/>
        <v>1</v>
      </c>
      <c r="J1165" s="76" t="str">
        <f t="shared" si="567"/>
        <v>Lactuca</v>
      </c>
      <c r="K1165" s="76" t="str">
        <f t="shared" si="567"/>
        <v>inermis</v>
      </c>
      <c r="L1165" s="77">
        <f t="shared" si="567"/>
        <v>13</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2019</v>
      </c>
      <c r="B1166" s="72" t="str">
        <f t="shared" si="547"/>
        <v>Nov</v>
      </c>
      <c r="C1166" s="73">
        <f t="shared" si="565"/>
        <v>24</v>
      </c>
      <c r="D1166" s="74">
        <f t="shared" si="548"/>
        <v>5</v>
      </c>
      <c r="E1166" s="75">
        <f t="shared" si="549"/>
        <v>43</v>
      </c>
      <c r="F1166" s="79"/>
      <c r="G1166" s="82"/>
      <c r="H1166" s="68" t="str">
        <f t="shared" si="566"/>
        <v>Lacine13_20191124_05_00</v>
      </c>
      <c r="I1166" s="69">
        <f t="shared" si="567"/>
        <v>1</v>
      </c>
      <c r="J1166" s="76" t="str">
        <f t="shared" si="567"/>
        <v>Lactuca</v>
      </c>
      <c r="K1166" s="76" t="str">
        <f t="shared" si="567"/>
        <v>inermis</v>
      </c>
      <c r="L1166" s="77">
        <f t="shared" si="567"/>
        <v>13</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2019</v>
      </c>
      <c r="B1167" s="72" t="str">
        <f t="shared" si="547"/>
        <v>Nov</v>
      </c>
      <c r="C1167" s="73">
        <f t="shared" si="565"/>
        <v>24</v>
      </c>
      <c r="D1167" s="74">
        <f t="shared" si="548"/>
        <v>5</v>
      </c>
      <c r="E1167" s="75">
        <f t="shared" si="549"/>
        <v>44</v>
      </c>
      <c r="F1167" s="79"/>
      <c r="G1167" s="82"/>
      <c r="H1167" s="68" t="str">
        <f t="shared" si="566"/>
        <v>Lacine13_20191124_05_00</v>
      </c>
      <c r="I1167" s="69">
        <f t="shared" si="567"/>
        <v>1</v>
      </c>
      <c r="J1167" s="76" t="str">
        <f t="shared" si="567"/>
        <v>Lactuca</v>
      </c>
      <c r="K1167" s="76" t="str">
        <f t="shared" si="567"/>
        <v>inermis</v>
      </c>
      <c r="L1167" s="77">
        <f t="shared" si="567"/>
        <v>13</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2019</v>
      </c>
      <c r="B1168" s="72" t="str">
        <f t="shared" si="547"/>
        <v>Nov</v>
      </c>
      <c r="C1168" s="73">
        <f t="shared" si="565"/>
        <v>24</v>
      </c>
      <c r="D1168" s="74">
        <f t="shared" si="548"/>
        <v>5</v>
      </c>
      <c r="E1168" s="75">
        <f t="shared" si="549"/>
        <v>45</v>
      </c>
      <c r="F1168" s="79"/>
      <c r="G1168" s="82"/>
      <c r="H1168" s="68" t="str">
        <f t="shared" si="566"/>
        <v>Lacine13_20191124_05_00</v>
      </c>
      <c r="I1168" s="69">
        <f t="shared" si="567"/>
        <v>1</v>
      </c>
      <c r="J1168" s="76" t="str">
        <f t="shared" si="567"/>
        <v>Lactuca</v>
      </c>
      <c r="K1168" s="76" t="str">
        <f t="shared" si="567"/>
        <v>inermis</v>
      </c>
      <c r="L1168" s="77">
        <f t="shared" si="567"/>
        <v>13</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2019</v>
      </c>
      <c r="B1169" s="72" t="str">
        <f t="shared" si="547"/>
        <v>Nov</v>
      </c>
      <c r="C1169" s="73">
        <f t="shared" si="565"/>
        <v>24</v>
      </c>
      <c r="D1169" s="74">
        <f t="shared" si="548"/>
        <v>5</v>
      </c>
      <c r="E1169" s="75">
        <f t="shared" si="549"/>
        <v>46</v>
      </c>
      <c r="F1169" s="79"/>
      <c r="G1169" s="82"/>
      <c r="H1169" s="68" t="str">
        <f t="shared" si="566"/>
        <v>Lacine13_20191124_05_00</v>
      </c>
      <c r="I1169" s="69">
        <f t="shared" si="567"/>
        <v>1</v>
      </c>
      <c r="J1169" s="76" t="str">
        <f t="shared" si="567"/>
        <v>Lactuca</v>
      </c>
      <c r="K1169" s="76" t="str">
        <f t="shared" si="567"/>
        <v>inermis</v>
      </c>
      <c r="L1169" s="77">
        <f t="shared" si="567"/>
        <v>13</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2019</v>
      </c>
      <c r="B1170" s="72" t="str">
        <f t="shared" si="547"/>
        <v>Nov</v>
      </c>
      <c r="C1170" s="73">
        <f t="shared" si="565"/>
        <v>24</v>
      </c>
      <c r="D1170" s="74">
        <f t="shared" si="548"/>
        <v>5</v>
      </c>
      <c r="E1170" s="75">
        <f t="shared" si="549"/>
        <v>47</v>
      </c>
      <c r="F1170" s="79"/>
      <c r="G1170" s="82"/>
      <c r="H1170" s="68" t="str">
        <f t="shared" si="566"/>
        <v>Lacine13_20191124_05_00</v>
      </c>
      <c r="I1170" s="69">
        <f t="shared" si="567"/>
        <v>1</v>
      </c>
      <c r="J1170" s="76" t="str">
        <f t="shared" si="567"/>
        <v>Lactuca</v>
      </c>
      <c r="K1170" s="76" t="str">
        <f t="shared" si="567"/>
        <v>inermis</v>
      </c>
      <c r="L1170" s="77">
        <f t="shared" si="567"/>
        <v>13</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2019</v>
      </c>
      <c r="B1171" s="72" t="str">
        <f t="shared" si="547"/>
        <v>Nov</v>
      </c>
      <c r="C1171" s="73">
        <f t="shared" si="565"/>
        <v>24</v>
      </c>
      <c r="D1171" s="74">
        <f t="shared" si="548"/>
        <v>5</v>
      </c>
      <c r="E1171" s="75">
        <f t="shared" si="549"/>
        <v>48</v>
      </c>
      <c r="F1171" s="79"/>
      <c r="G1171" s="82"/>
      <c r="H1171" s="68" t="str">
        <f t="shared" si="566"/>
        <v>Lacine13_20191124_05_00</v>
      </c>
      <c r="I1171" s="69">
        <f t="shared" si="567"/>
        <v>1</v>
      </c>
      <c r="J1171" s="76" t="str">
        <f t="shared" si="567"/>
        <v>Lactuca</v>
      </c>
      <c r="K1171" s="76" t="str">
        <f t="shared" si="567"/>
        <v>inermis</v>
      </c>
      <c r="L1171" s="77">
        <f t="shared" si="567"/>
        <v>13</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2019</v>
      </c>
      <c r="B1172" s="72" t="str">
        <f t="shared" si="547"/>
        <v>Nov</v>
      </c>
      <c r="C1172" s="73">
        <f t="shared" si="565"/>
        <v>24</v>
      </c>
      <c r="D1172" s="74">
        <f t="shared" si="548"/>
        <v>5</v>
      </c>
      <c r="E1172" s="75">
        <f t="shared" si="549"/>
        <v>49</v>
      </c>
      <c r="F1172" s="79"/>
      <c r="G1172" s="82"/>
      <c r="H1172" s="68" t="str">
        <f t="shared" si="566"/>
        <v>Lacine13_20191124_05_00</v>
      </c>
      <c r="I1172" s="69">
        <f t="shared" si="567"/>
        <v>1</v>
      </c>
      <c r="J1172" s="76" t="str">
        <f t="shared" si="567"/>
        <v>Lactuca</v>
      </c>
      <c r="K1172" s="76" t="str">
        <f t="shared" si="567"/>
        <v>inermis</v>
      </c>
      <c r="L1172" s="77">
        <f t="shared" si="567"/>
        <v>13</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2019</v>
      </c>
      <c r="B1173" s="72" t="str">
        <f t="shared" si="547"/>
        <v>Nov</v>
      </c>
      <c r="C1173" s="73">
        <f t="shared" si="565"/>
        <v>24</v>
      </c>
      <c r="D1173" s="74">
        <f t="shared" si="548"/>
        <v>5</v>
      </c>
      <c r="E1173" s="75">
        <f t="shared" si="549"/>
        <v>50</v>
      </c>
      <c r="F1173" s="79"/>
      <c r="G1173" s="82"/>
      <c r="H1173" s="68" t="str">
        <f t="shared" si="566"/>
        <v>Lacine13_20191124_05_00</v>
      </c>
      <c r="I1173" s="69">
        <f t="shared" ref="I1173:N1188" si="568">I1172</f>
        <v>1</v>
      </c>
      <c r="J1173" s="76" t="str">
        <f t="shared" si="568"/>
        <v>Lactuca</v>
      </c>
      <c r="K1173" s="76" t="str">
        <f t="shared" si="568"/>
        <v>inermis</v>
      </c>
      <c r="L1173" s="77">
        <f t="shared" si="568"/>
        <v>13</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2019</v>
      </c>
      <c r="B1174" s="72" t="str">
        <f t="shared" si="547"/>
        <v>Nov</v>
      </c>
      <c r="C1174" s="73">
        <f t="shared" si="565"/>
        <v>24</v>
      </c>
      <c r="D1174" s="74">
        <f t="shared" si="548"/>
        <v>5</v>
      </c>
      <c r="E1174" s="75">
        <f t="shared" si="549"/>
        <v>51</v>
      </c>
      <c r="F1174" s="79"/>
      <c r="G1174" s="82"/>
      <c r="H1174" s="68" t="str">
        <f t="shared" si="566"/>
        <v>Lacine13_20191124_05_00</v>
      </c>
      <c r="I1174" s="69">
        <f t="shared" si="568"/>
        <v>1</v>
      </c>
      <c r="J1174" s="76" t="str">
        <f t="shared" si="568"/>
        <v>Lactuca</v>
      </c>
      <c r="K1174" s="76" t="str">
        <f t="shared" si="568"/>
        <v>inermis</v>
      </c>
      <c r="L1174" s="77">
        <f t="shared" si="568"/>
        <v>13</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2019</v>
      </c>
      <c r="B1175" s="72" t="str">
        <f t="shared" si="547"/>
        <v>Nov</v>
      </c>
      <c r="C1175" s="73">
        <f t="shared" si="565"/>
        <v>24</v>
      </c>
      <c r="D1175" s="74">
        <f t="shared" si="548"/>
        <v>5</v>
      </c>
      <c r="E1175" s="75">
        <f t="shared" si="549"/>
        <v>52</v>
      </c>
      <c r="F1175" s="79"/>
      <c r="G1175" s="82"/>
      <c r="H1175" s="68" t="str">
        <f t="shared" si="566"/>
        <v>Lacine13_20191124_05_00</v>
      </c>
      <c r="I1175" s="69">
        <f t="shared" si="568"/>
        <v>1</v>
      </c>
      <c r="J1175" s="76" t="str">
        <f t="shared" si="568"/>
        <v>Lactuca</v>
      </c>
      <c r="K1175" s="76" t="str">
        <f t="shared" si="568"/>
        <v>inermis</v>
      </c>
      <c r="L1175" s="77">
        <f t="shared" si="568"/>
        <v>13</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2019</v>
      </c>
      <c r="B1176" s="72" t="str">
        <f t="shared" si="547"/>
        <v>Nov</v>
      </c>
      <c r="C1176" s="73">
        <f t="shared" si="565"/>
        <v>24</v>
      </c>
      <c r="D1176" s="74">
        <f t="shared" si="548"/>
        <v>5</v>
      </c>
      <c r="E1176" s="75">
        <f t="shared" si="549"/>
        <v>53</v>
      </c>
      <c r="F1176" s="79"/>
      <c r="G1176" s="82"/>
      <c r="H1176" s="68" t="str">
        <f t="shared" si="566"/>
        <v>Lacine13_20191124_05_00</v>
      </c>
      <c r="I1176" s="69">
        <f t="shared" si="568"/>
        <v>1</v>
      </c>
      <c r="J1176" s="76" t="str">
        <f t="shared" si="568"/>
        <v>Lactuca</v>
      </c>
      <c r="K1176" s="76" t="str">
        <f t="shared" si="568"/>
        <v>inermis</v>
      </c>
      <c r="L1176" s="77">
        <f t="shared" si="568"/>
        <v>13</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2019</v>
      </c>
      <c r="B1177" s="72" t="str">
        <f t="shared" si="547"/>
        <v>Nov</v>
      </c>
      <c r="C1177" s="73">
        <f t="shared" si="565"/>
        <v>24</v>
      </c>
      <c r="D1177" s="74">
        <f t="shared" si="548"/>
        <v>5</v>
      </c>
      <c r="E1177" s="75">
        <f t="shared" si="549"/>
        <v>54</v>
      </c>
      <c r="F1177" s="79"/>
      <c r="G1177" s="82"/>
      <c r="H1177" s="68" t="str">
        <f t="shared" si="566"/>
        <v>Lacine13_20191124_05_00</v>
      </c>
      <c r="I1177" s="69">
        <f t="shared" si="568"/>
        <v>1</v>
      </c>
      <c r="J1177" s="76" t="str">
        <f t="shared" si="568"/>
        <v>Lactuca</v>
      </c>
      <c r="K1177" s="76" t="str">
        <f t="shared" si="568"/>
        <v>inermis</v>
      </c>
      <c r="L1177" s="77">
        <f t="shared" si="568"/>
        <v>13</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2019</v>
      </c>
      <c r="B1178" s="72" t="str">
        <f t="shared" si="547"/>
        <v>Nov</v>
      </c>
      <c r="C1178" s="73">
        <f t="shared" si="565"/>
        <v>24</v>
      </c>
      <c r="D1178" s="74">
        <f t="shared" si="548"/>
        <v>5</v>
      </c>
      <c r="E1178" s="75">
        <f t="shared" si="549"/>
        <v>55</v>
      </c>
      <c r="F1178" s="79"/>
      <c r="G1178" s="82"/>
      <c r="H1178" s="68" t="str">
        <f t="shared" si="566"/>
        <v>Lacine13_20191124_05_00</v>
      </c>
      <c r="I1178" s="69">
        <f t="shared" si="568"/>
        <v>1</v>
      </c>
      <c r="J1178" s="76" t="str">
        <f t="shared" si="568"/>
        <v>Lactuca</v>
      </c>
      <c r="K1178" s="76" t="str">
        <f t="shared" si="568"/>
        <v>inermis</v>
      </c>
      <c r="L1178" s="77">
        <f t="shared" si="568"/>
        <v>13</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2019</v>
      </c>
      <c r="B1179" s="72" t="str">
        <f t="shared" si="547"/>
        <v>Nov</v>
      </c>
      <c r="C1179" s="73">
        <f t="shared" si="565"/>
        <v>24</v>
      </c>
      <c r="D1179" s="74">
        <f t="shared" si="548"/>
        <v>5</v>
      </c>
      <c r="E1179" s="75">
        <f t="shared" si="549"/>
        <v>56</v>
      </c>
      <c r="F1179" s="79"/>
      <c r="G1179" s="82"/>
      <c r="H1179" s="68" t="str">
        <f t="shared" si="566"/>
        <v>Lacine13_20191124_05_00</v>
      </c>
      <c r="I1179" s="69">
        <f t="shared" si="568"/>
        <v>1</v>
      </c>
      <c r="J1179" s="76" t="str">
        <f t="shared" si="568"/>
        <v>Lactuca</v>
      </c>
      <c r="K1179" s="76" t="str">
        <f t="shared" si="568"/>
        <v>inermis</v>
      </c>
      <c r="L1179" s="77">
        <f t="shared" si="568"/>
        <v>13</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2019</v>
      </c>
      <c r="B1180" s="72" t="str">
        <f t="shared" si="547"/>
        <v>Nov</v>
      </c>
      <c r="C1180" s="73">
        <f t="shared" si="565"/>
        <v>24</v>
      </c>
      <c r="D1180" s="74">
        <f t="shared" si="548"/>
        <v>5</v>
      </c>
      <c r="E1180" s="75">
        <f t="shared" si="549"/>
        <v>57</v>
      </c>
      <c r="F1180" s="79"/>
      <c r="G1180" s="82"/>
      <c r="H1180" s="68" t="str">
        <f t="shared" si="566"/>
        <v>Lacine13_20191124_05_00</v>
      </c>
      <c r="I1180" s="69">
        <f t="shared" si="568"/>
        <v>1</v>
      </c>
      <c r="J1180" s="76" t="str">
        <f t="shared" si="568"/>
        <v>Lactuca</v>
      </c>
      <c r="K1180" s="76" t="str">
        <f t="shared" si="568"/>
        <v>inermis</v>
      </c>
      <c r="L1180" s="77">
        <f t="shared" si="568"/>
        <v>13</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2019</v>
      </c>
      <c r="B1181" s="72" t="str">
        <f t="shared" si="547"/>
        <v>Nov</v>
      </c>
      <c r="C1181" s="73">
        <f t="shared" si="565"/>
        <v>24</v>
      </c>
      <c r="D1181" s="74">
        <f t="shared" si="548"/>
        <v>5</v>
      </c>
      <c r="E1181" s="75">
        <f t="shared" si="549"/>
        <v>58</v>
      </c>
      <c r="F1181" s="79"/>
      <c r="G1181" s="82"/>
      <c r="H1181" s="68" t="str">
        <f t="shared" si="566"/>
        <v>Lacine13_20191124_05_00</v>
      </c>
      <c r="I1181" s="69">
        <f t="shared" si="568"/>
        <v>1</v>
      </c>
      <c r="J1181" s="76" t="str">
        <f t="shared" si="568"/>
        <v>Lactuca</v>
      </c>
      <c r="K1181" s="76" t="str">
        <f t="shared" si="568"/>
        <v>inermis</v>
      </c>
      <c r="L1181" s="77">
        <f t="shared" si="568"/>
        <v>13</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2019</v>
      </c>
      <c r="B1182" s="72" t="str">
        <f t="shared" si="547"/>
        <v>Nov</v>
      </c>
      <c r="C1182" s="73">
        <f t="shared" si="565"/>
        <v>24</v>
      </c>
      <c r="D1182" s="74">
        <f t="shared" si="548"/>
        <v>5</v>
      </c>
      <c r="E1182" s="75">
        <f t="shared" si="549"/>
        <v>59</v>
      </c>
      <c r="F1182" s="79"/>
      <c r="G1182" s="82"/>
      <c r="H1182" s="68" t="str">
        <f t="shared" si="566"/>
        <v>Lacine13_20191124_05_00</v>
      </c>
      <c r="I1182" s="69">
        <f t="shared" si="568"/>
        <v>1</v>
      </c>
      <c r="J1182" s="76" t="str">
        <f t="shared" si="568"/>
        <v>Lactuca</v>
      </c>
      <c r="K1182" s="76" t="str">
        <f t="shared" si="568"/>
        <v>inermis</v>
      </c>
      <c r="L1182" s="77">
        <f t="shared" si="568"/>
        <v>13</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2019</v>
      </c>
      <c r="B1183" s="72" t="str">
        <f t="shared" si="547"/>
        <v>Nov</v>
      </c>
      <c r="C1183" s="73">
        <f t="shared" si="565"/>
        <v>24</v>
      </c>
      <c r="D1183" s="74">
        <f t="shared" si="548"/>
        <v>6</v>
      </c>
      <c r="E1183" s="75">
        <f t="shared" si="549"/>
        <v>0</v>
      </c>
      <c r="F1183" s="79"/>
      <c r="G1183" s="82"/>
      <c r="H1183" s="68" t="str">
        <f t="shared" si="566"/>
        <v>Lacine13_20191124_06_00</v>
      </c>
      <c r="I1183" s="69">
        <f t="shared" si="568"/>
        <v>1</v>
      </c>
      <c r="J1183" s="76" t="str">
        <f t="shared" si="568"/>
        <v>Lactuca</v>
      </c>
      <c r="K1183" s="76" t="str">
        <f t="shared" si="568"/>
        <v>inermis</v>
      </c>
      <c r="L1183" s="77">
        <f t="shared" si="568"/>
        <v>13</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2019</v>
      </c>
      <c r="B1184" s="72" t="str">
        <f t="shared" si="547"/>
        <v>Nov</v>
      </c>
      <c r="C1184" s="73">
        <f t="shared" si="565"/>
        <v>24</v>
      </c>
      <c r="D1184" s="74">
        <f t="shared" si="548"/>
        <v>6</v>
      </c>
      <c r="E1184" s="75">
        <f t="shared" si="549"/>
        <v>1</v>
      </c>
      <c r="F1184" s="79"/>
      <c r="G1184" s="82"/>
      <c r="H1184" s="68" t="str">
        <f t="shared" si="566"/>
        <v>Lacine13_20191124_06_00</v>
      </c>
      <c r="I1184" s="69">
        <f t="shared" si="568"/>
        <v>1</v>
      </c>
      <c r="J1184" s="76" t="str">
        <f t="shared" si="568"/>
        <v>Lactuca</v>
      </c>
      <c r="K1184" s="76" t="str">
        <f t="shared" si="568"/>
        <v>inermis</v>
      </c>
      <c r="L1184" s="77">
        <f t="shared" si="568"/>
        <v>13</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2019</v>
      </c>
      <c r="B1185" s="72" t="str">
        <f t="shared" si="547"/>
        <v>Nov</v>
      </c>
      <c r="C1185" s="73">
        <f t="shared" si="565"/>
        <v>24</v>
      </c>
      <c r="D1185" s="74">
        <f t="shared" si="548"/>
        <v>6</v>
      </c>
      <c r="E1185" s="75">
        <f t="shared" si="549"/>
        <v>2</v>
      </c>
      <c r="F1185" s="79"/>
      <c r="G1185" s="82"/>
      <c r="H1185" s="68" t="str">
        <f t="shared" si="566"/>
        <v>Lacine13_20191124_06_00</v>
      </c>
      <c r="I1185" s="69">
        <f t="shared" si="568"/>
        <v>1</v>
      </c>
      <c r="J1185" s="76" t="str">
        <f t="shared" si="568"/>
        <v>Lactuca</v>
      </c>
      <c r="K1185" s="76" t="str">
        <f t="shared" si="568"/>
        <v>inermis</v>
      </c>
      <c r="L1185" s="77">
        <f t="shared" si="568"/>
        <v>13</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2019</v>
      </c>
      <c r="B1186" s="72" t="str">
        <f t="shared" si="547"/>
        <v>Nov</v>
      </c>
      <c r="C1186" s="73">
        <f t="shared" si="565"/>
        <v>24</v>
      </c>
      <c r="D1186" s="74">
        <f t="shared" si="548"/>
        <v>6</v>
      </c>
      <c r="E1186" s="75">
        <f t="shared" si="549"/>
        <v>3</v>
      </c>
      <c r="F1186" s="79"/>
      <c r="G1186" s="82"/>
      <c r="H1186" s="68" t="str">
        <f t="shared" si="566"/>
        <v>Lacine13_20191124_06_00</v>
      </c>
      <c r="I1186" s="69">
        <f t="shared" si="568"/>
        <v>1</v>
      </c>
      <c r="J1186" s="76" t="str">
        <f t="shared" si="568"/>
        <v>Lactuca</v>
      </c>
      <c r="K1186" s="76" t="str">
        <f t="shared" si="568"/>
        <v>inermis</v>
      </c>
      <c r="L1186" s="77">
        <f t="shared" si="568"/>
        <v>13</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2019</v>
      </c>
      <c r="B1187" s="72" t="str">
        <f t="shared" si="547"/>
        <v>Nov</v>
      </c>
      <c r="C1187" s="73">
        <f t="shared" si="565"/>
        <v>24</v>
      </c>
      <c r="D1187" s="74">
        <f t="shared" si="548"/>
        <v>6</v>
      </c>
      <c r="E1187" s="75">
        <f t="shared" si="549"/>
        <v>4</v>
      </c>
      <c r="F1187" s="79"/>
      <c r="G1187" s="82"/>
      <c r="H1187" s="68" t="str">
        <f t="shared" si="566"/>
        <v>Lacine13_20191124_06_00</v>
      </c>
      <c r="I1187" s="69">
        <f t="shared" si="568"/>
        <v>1</v>
      </c>
      <c r="J1187" s="76" t="str">
        <f t="shared" si="568"/>
        <v>Lactuca</v>
      </c>
      <c r="K1187" s="76" t="str">
        <f t="shared" si="568"/>
        <v>inermis</v>
      </c>
      <c r="L1187" s="77">
        <f t="shared" si="568"/>
        <v>13</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2019</v>
      </c>
      <c r="B1188" s="72" t="str">
        <f t="shared" si="547"/>
        <v>Nov</v>
      </c>
      <c r="C1188" s="73">
        <f t="shared" si="565"/>
        <v>24</v>
      </c>
      <c r="D1188" s="74">
        <f t="shared" si="548"/>
        <v>6</v>
      </c>
      <c r="E1188" s="75">
        <f t="shared" si="549"/>
        <v>5</v>
      </c>
      <c r="F1188" s="79"/>
      <c r="G1188" s="82"/>
      <c r="H1188" s="68" t="str">
        <f t="shared" si="566"/>
        <v>Lacine13_20191124_06_00</v>
      </c>
      <c r="I1188" s="69">
        <f t="shared" si="568"/>
        <v>1</v>
      </c>
      <c r="J1188" s="76" t="str">
        <f t="shared" si="568"/>
        <v>Lactuca</v>
      </c>
      <c r="K1188" s="76" t="str">
        <f t="shared" si="568"/>
        <v>inermis</v>
      </c>
      <c r="L1188" s="77">
        <f t="shared" si="568"/>
        <v>13</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2019</v>
      </c>
      <c r="B1189" s="72" t="str">
        <f t="shared" si="547"/>
        <v>Nov</v>
      </c>
      <c r="C1189" s="73">
        <f t="shared" si="565"/>
        <v>24</v>
      </c>
      <c r="D1189" s="74">
        <f t="shared" si="548"/>
        <v>6</v>
      </c>
      <c r="E1189" s="75">
        <f t="shared" si="549"/>
        <v>6</v>
      </c>
      <c r="F1189" s="79"/>
      <c r="G1189" s="82"/>
      <c r="H1189" s="68" t="str">
        <f t="shared" si="566"/>
        <v>Lacine13_20191124_06_00</v>
      </c>
      <c r="I1189" s="69">
        <f t="shared" ref="I1189:N1204" si="569">I1188</f>
        <v>1</v>
      </c>
      <c r="J1189" s="76" t="str">
        <f t="shared" si="569"/>
        <v>Lactuca</v>
      </c>
      <c r="K1189" s="76" t="str">
        <f t="shared" si="569"/>
        <v>inermis</v>
      </c>
      <c r="L1189" s="77">
        <f t="shared" si="569"/>
        <v>13</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2019</v>
      </c>
      <c r="B1190" s="72" t="str">
        <f t="shared" si="547"/>
        <v>Nov</v>
      </c>
      <c r="C1190" s="73">
        <f t="shared" si="565"/>
        <v>24</v>
      </c>
      <c r="D1190" s="74">
        <f t="shared" si="548"/>
        <v>6</v>
      </c>
      <c r="E1190" s="75">
        <f t="shared" si="549"/>
        <v>7</v>
      </c>
      <c r="F1190" s="79"/>
      <c r="G1190" s="82"/>
      <c r="H1190" s="68" t="str">
        <f t="shared" si="566"/>
        <v>Lacine13_20191124_06_00</v>
      </c>
      <c r="I1190" s="69">
        <f t="shared" si="569"/>
        <v>1</v>
      </c>
      <c r="J1190" s="76" t="str">
        <f t="shared" si="569"/>
        <v>Lactuca</v>
      </c>
      <c r="K1190" s="76" t="str">
        <f t="shared" si="569"/>
        <v>inermis</v>
      </c>
      <c r="L1190" s="77">
        <f t="shared" si="569"/>
        <v>13</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2019</v>
      </c>
      <c r="B1191" s="72" t="str">
        <f t="shared" si="547"/>
        <v>Nov</v>
      </c>
      <c r="C1191" s="73">
        <f t="shared" si="565"/>
        <v>24</v>
      </c>
      <c r="D1191" s="74">
        <f t="shared" si="548"/>
        <v>6</v>
      </c>
      <c r="E1191" s="75">
        <f t="shared" si="549"/>
        <v>8</v>
      </c>
      <c r="F1191" s="79"/>
      <c r="G1191" s="82"/>
      <c r="H1191" s="68" t="str">
        <f t="shared" si="566"/>
        <v>Lacine13_20191124_06_00</v>
      </c>
      <c r="I1191" s="69">
        <f t="shared" si="569"/>
        <v>1</v>
      </c>
      <c r="J1191" s="76" t="str">
        <f t="shared" si="569"/>
        <v>Lactuca</v>
      </c>
      <c r="K1191" s="76" t="str">
        <f t="shared" si="569"/>
        <v>inermis</v>
      </c>
      <c r="L1191" s="77">
        <f t="shared" si="569"/>
        <v>13</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2019</v>
      </c>
      <c r="B1192" s="72" t="str">
        <f t="shared" si="547"/>
        <v>Nov</v>
      </c>
      <c r="C1192" s="73">
        <f t="shared" si="565"/>
        <v>24</v>
      </c>
      <c r="D1192" s="74">
        <f t="shared" si="548"/>
        <v>6</v>
      </c>
      <c r="E1192" s="75">
        <f t="shared" si="549"/>
        <v>9</v>
      </c>
      <c r="F1192" s="79"/>
      <c r="G1192" s="82"/>
      <c r="H1192" s="68" t="str">
        <f t="shared" si="566"/>
        <v>Lacine13_20191124_06_00</v>
      </c>
      <c r="I1192" s="69">
        <f t="shared" si="569"/>
        <v>1</v>
      </c>
      <c r="J1192" s="76" t="str">
        <f t="shared" si="569"/>
        <v>Lactuca</v>
      </c>
      <c r="K1192" s="76" t="str">
        <f t="shared" si="569"/>
        <v>inermis</v>
      </c>
      <c r="L1192" s="77">
        <f t="shared" si="569"/>
        <v>13</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2019</v>
      </c>
      <c r="B1193" s="72" t="str">
        <f t="shared" si="547"/>
        <v>Nov</v>
      </c>
      <c r="C1193" s="73">
        <f t="shared" si="565"/>
        <v>24</v>
      </c>
      <c r="D1193" s="74">
        <f t="shared" si="548"/>
        <v>6</v>
      </c>
      <c r="E1193" s="75">
        <f t="shared" si="549"/>
        <v>10</v>
      </c>
      <c r="F1193" s="79"/>
      <c r="G1193" s="82"/>
      <c r="H1193" s="68" t="str">
        <f t="shared" si="566"/>
        <v>Lacine13_20191124_06_00</v>
      </c>
      <c r="I1193" s="69">
        <f t="shared" si="569"/>
        <v>1</v>
      </c>
      <c r="J1193" s="76" t="str">
        <f t="shared" si="569"/>
        <v>Lactuca</v>
      </c>
      <c r="K1193" s="76" t="str">
        <f t="shared" si="569"/>
        <v>inermis</v>
      </c>
      <c r="L1193" s="77">
        <f t="shared" si="569"/>
        <v>13</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2019</v>
      </c>
      <c r="B1194" s="72" t="str">
        <f t="shared" si="547"/>
        <v>Nov</v>
      </c>
      <c r="C1194" s="73">
        <f t="shared" si="565"/>
        <v>24</v>
      </c>
      <c r="D1194" s="74">
        <f t="shared" si="548"/>
        <v>6</v>
      </c>
      <c r="E1194" s="75">
        <f t="shared" si="549"/>
        <v>11</v>
      </c>
      <c r="F1194" s="79"/>
      <c r="G1194" s="82"/>
      <c r="H1194" s="68" t="str">
        <f t="shared" si="566"/>
        <v>Lacine13_20191124_06_00</v>
      </c>
      <c r="I1194" s="69">
        <f t="shared" si="569"/>
        <v>1</v>
      </c>
      <c r="J1194" s="76" t="str">
        <f t="shared" si="569"/>
        <v>Lactuca</v>
      </c>
      <c r="K1194" s="76" t="str">
        <f t="shared" si="569"/>
        <v>inermis</v>
      </c>
      <c r="L1194" s="77">
        <f t="shared" si="569"/>
        <v>13</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2019</v>
      </c>
      <c r="B1195" s="72" t="str">
        <f t="shared" si="547"/>
        <v>Nov</v>
      </c>
      <c r="C1195" s="73">
        <f t="shared" si="565"/>
        <v>24</v>
      </c>
      <c r="D1195" s="74">
        <f t="shared" si="548"/>
        <v>6</v>
      </c>
      <c r="E1195" s="75">
        <f t="shared" si="549"/>
        <v>12</v>
      </c>
      <c r="F1195" s="79"/>
      <c r="G1195" s="82"/>
      <c r="H1195" s="68" t="str">
        <f t="shared" si="566"/>
        <v>Lacine13_20191124_06_00</v>
      </c>
      <c r="I1195" s="69">
        <f t="shared" si="569"/>
        <v>1</v>
      </c>
      <c r="J1195" s="76" t="str">
        <f t="shared" si="569"/>
        <v>Lactuca</v>
      </c>
      <c r="K1195" s="76" t="str">
        <f t="shared" si="569"/>
        <v>inermis</v>
      </c>
      <c r="L1195" s="77">
        <f t="shared" si="569"/>
        <v>13</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2019</v>
      </c>
      <c r="B1196" s="72" t="str">
        <f t="shared" si="547"/>
        <v>Nov</v>
      </c>
      <c r="C1196" s="73">
        <f t="shared" si="565"/>
        <v>24</v>
      </c>
      <c r="D1196" s="74">
        <f t="shared" si="548"/>
        <v>6</v>
      </c>
      <c r="E1196" s="75">
        <f t="shared" si="549"/>
        <v>13</v>
      </c>
      <c r="F1196" s="79"/>
      <c r="G1196" s="82"/>
      <c r="H1196" s="68" t="str">
        <f t="shared" si="566"/>
        <v>Lacine13_20191124_06_00</v>
      </c>
      <c r="I1196" s="69">
        <f t="shared" si="569"/>
        <v>1</v>
      </c>
      <c r="J1196" s="76" t="str">
        <f t="shared" si="569"/>
        <v>Lactuca</v>
      </c>
      <c r="K1196" s="76" t="str">
        <f t="shared" si="569"/>
        <v>inermis</v>
      </c>
      <c r="L1196" s="77">
        <f t="shared" si="569"/>
        <v>13</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2019</v>
      </c>
      <c r="B1197" s="72" t="str">
        <f t="shared" si="547"/>
        <v>Nov</v>
      </c>
      <c r="C1197" s="73">
        <f t="shared" si="565"/>
        <v>24</v>
      </c>
      <c r="D1197" s="74">
        <f t="shared" si="548"/>
        <v>6</v>
      </c>
      <c r="E1197" s="75">
        <f t="shared" si="549"/>
        <v>14</v>
      </c>
      <c r="F1197" s="79"/>
      <c r="G1197" s="82"/>
      <c r="H1197" s="68" t="str">
        <f t="shared" si="566"/>
        <v>Lacine13_20191124_06_00</v>
      </c>
      <c r="I1197" s="69">
        <f t="shared" si="569"/>
        <v>1</v>
      </c>
      <c r="J1197" s="76" t="str">
        <f t="shared" si="569"/>
        <v>Lactuca</v>
      </c>
      <c r="K1197" s="76" t="str">
        <f t="shared" si="569"/>
        <v>inermis</v>
      </c>
      <c r="L1197" s="77">
        <f t="shared" si="569"/>
        <v>13</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2019</v>
      </c>
      <c r="B1198" s="72" t="str">
        <f t="shared" si="547"/>
        <v>Nov</v>
      </c>
      <c r="C1198" s="73">
        <f t="shared" si="565"/>
        <v>24</v>
      </c>
      <c r="D1198" s="74">
        <f t="shared" si="548"/>
        <v>6</v>
      </c>
      <c r="E1198" s="75">
        <f t="shared" si="549"/>
        <v>15</v>
      </c>
      <c r="F1198" s="79"/>
      <c r="G1198" s="82"/>
      <c r="H1198" s="68" t="str">
        <f t="shared" si="566"/>
        <v>Lacine13_20191124_06_00</v>
      </c>
      <c r="I1198" s="69">
        <f t="shared" si="569"/>
        <v>1</v>
      </c>
      <c r="J1198" s="76" t="str">
        <f t="shared" si="569"/>
        <v>Lactuca</v>
      </c>
      <c r="K1198" s="76" t="str">
        <f t="shared" si="569"/>
        <v>inermis</v>
      </c>
      <c r="L1198" s="77">
        <f t="shared" si="569"/>
        <v>13</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2019</v>
      </c>
      <c r="B1199" s="72" t="str">
        <f t="shared" si="547"/>
        <v>Nov</v>
      </c>
      <c r="C1199" s="73">
        <f t="shared" si="565"/>
        <v>24</v>
      </c>
      <c r="D1199" s="74">
        <f t="shared" si="548"/>
        <v>6</v>
      </c>
      <c r="E1199" s="75">
        <f t="shared" si="549"/>
        <v>16</v>
      </c>
      <c r="F1199" s="79"/>
      <c r="G1199" s="82"/>
      <c r="H1199" s="68" t="str">
        <f t="shared" si="566"/>
        <v>Lacine13_20191124_06_00</v>
      </c>
      <c r="I1199" s="69">
        <f t="shared" si="569"/>
        <v>1</v>
      </c>
      <c r="J1199" s="76" t="str">
        <f t="shared" si="569"/>
        <v>Lactuca</v>
      </c>
      <c r="K1199" s="76" t="str">
        <f t="shared" si="569"/>
        <v>inermis</v>
      </c>
      <c r="L1199" s="77">
        <f t="shared" si="569"/>
        <v>13</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2019</v>
      </c>
      <c r="B1200" s="72" t="str">
        <f t="shared" si="547"/>
        <v>Nov</v>
      </c>
      <c r="C1200" s="73">
        <f t="shared" si="565"/>
        <v>24</v>
      </c>
      <c r="D1200" s="74">
        <f t="shared" si="548"/>
        <v>6</v>
      </c>
      <c r="E1200" s="75">
        <f t="shared" si="549"/>
        <v>17</v>
      </c>
      <c r="F1200" s="79"/>
      <c r="G1200" s="82"/>
      <c r="H1200" s="68" t="str">
        <f t="shared" si="566"/>
        <v>Lacine13_20191124_06_00</v>
      </c>
      <c r="I1200" s="69">
        <f t="shared" si="569"/>
        <v>1</v>
      </c>
      <c r="J1200" s="76" t="str">
        <f t="shared" si="569"/>
        <v>Lactuca</v>
      </c>
      <c r="K1200" s="76" t="str">
        <f t="shared" si="569"/>
        <v>inermis</v>
      </c>
      <c r="L1200" s="77">
        <f t="shared" si="569"/>
        <v>13</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2019</v>
      </c>
      <c r="B1201" s="72" t="str">
        <f t="shared" si="547"/>
        <v>Nov</v>
      </c>
      <c r="C1201" s="73">
        <f t="shared" si="565"/>
        <v>24</v>
      </c>
      <c r="D1201" s="74">
        <f t="shared" si="548"/>
        <v>6</v>
      </c>
      <c r="E1201" s="75">
        <f t="shared" si="549"/>
        <v>18</v>
      </c>
      <c r="F1201" s="79"/>
      <c r="G1201" s="82"/>
      <c r="H1201" s="68" t="str">
        <f t="shared" si="566"/>
        <v>Lacine13_20191124_06_00</v>
      </c>
      <c r="I1201" s="69">
        <f t="shared" si="569"/>
        <v>1</v>
      </c>
      <c r="J1201" s="76" t="str">
        <f t="shared" si="569"/>
        <v>Lactuca</v>
      </c>
      <c r="K1201" s="76" t="str">
        <f t="shared" si="569"/>
        <v>inermis</v>
      </c>
      <c r="L1201" s="77">
        <f t="shared" si="569"/>
        <v>13</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2019</v>
      </c>
      <c r="B1202" s="72" t="str">
        <f t="shared" si="547"/>
        <v>Nov</v>
      </c>
      <c r="C1202" s="73">
        <f t="shared" si="565"/>
        <v>24</v>
      </c>
      <c r="D1202" s="74">
        <f t="shared" si="548"/>
        <v>6</v>
      </c>
      <c r="E1202" s="75">
        <f t="shared" si="549"/>
        <v>19</v>
      </c>
      <c r="F1202" s="79"/>
      <c r="G1202" s="82"/>
      <c r="H1202" s="68" t="str">
        <f t="shared" si="566"/>
        <v>Lacine13_20191124_06_00</v>
      </c>
      <c r="I1202" s="69">
        <f t="shared" si="569"/>
        <v>1</v>
      </c>
      <c r="J1202" s="76" t="str">
        <f t="shared" si="569"/>
        <v>Lactuca</v>
      </c>
      <c r="K1202" s="76" t="str">
        <f t="shared" si="569"/>
        <v>inermis</v>
      </c>
      <c r="L1202" s="77">
        <f t="shared" si="569"/>
        <v>13</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2019</v>
      </c>
      <c r="B1203" s="72" t="str">
        <f t="shared" si="547"/>
        <v>Nov</v>
      </c>
      <c r="C1203" s="73">
        <f t="shared" si="565"/>
        <v>24</v>
      </c>
      <c r="D1203" s="74">
        <f t="shared" si="548"/>
        <v>6</v>
      </c>
      <c r="E1203" s="75">
        <f t="shared" si="549"/>
        <v>20</v>
      </c>
      <c r="F1203" s="79"/>
      <c r="G1203" s="82"/>
      <c r="H1203" s="68" t="str">
        <f t="shared" si="566"/>
        <v>Lacine13_20191124_06_00</v>
      </c>
      <c r="I1203" s="69">
        <f t="shared" si="569"/>
        <v>1</v>
      </c>
      <c r="J1203" s="76" t="str">
        <f t="shared" si="569"/>
        <v>Lactuca</v>
      </c>
      <c r="K1203" s="76" t="str">
        <f t="shared" si="569"/>
        <v>inermis</v>
      </c>
      <c r="L1203" s="77">
        <f t="shared" si="569"/>
        <v>13</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2019</v>
      </c>
      <c r="B1204" s="72" t="str">
        <f t="shared" si="547"/>
        <v>Nov</v>
      </c>
      <c r="C1204" s="73">
        <f t="shared" si="565"/>
        <v>24</v>
      </c>
      <c r="D1204" s="74">
        <f t="shared" si="548"/>
        <v>6</v>
      </c>
      <c r="E1204" s="75">
        <f t="shared" si="549"/>
        <v>21</v>
      </c>
      <c r="F1204" s="79"/>
      <c r="G1204" s="82"/>
      <c r="H1204" s="68" t="str">
        <f t="shared" si="566"/>
        <v>Lacine13_20191124_06_00</v>
      </c>
      <c r="I1204" s="69">
        <f t="shared" si="569"/>
        <v>1</v>
      </c>
      <c r="J1204" s="76" t="str">
        <f t="shared" si="569"/>
        <v>Lactuca</v>
      </c>
      <c r="K1204" s="76" t="str">
        <f t="shared" si="569"/>
        <v>inermis</v>
      </c>
      <c r="L1204" s="77">
        <f t="shared" si="569"/>
        <v>13</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2019</v>
      </c>
      <c r="B1205" s="72" t="str">
        <f t="shared" si="547"/>
        <v>Nov</v>
      </c>
      <c r="C1205" s="73">
        <f t="shared" si="565"/>
        <v>24</v>
      </c>
      <c r="D1205" s="74">
        <f t="shared" si="548"/>
        <v>6</v>
      </c>
      <c r="E1205" s="75">
        <f t="shared" si="549"/>
        <v>22</v>
      </c>
      <c r="F1205" s="79"/>
      <c r="G1205" s="82"/>
      <c r="H1205" s="68" t="str">
        <f t="shared" si="566"/>
        <v>Lacine13_20191124_06_00</v>
      </c>
      <c r="I1205" s="69">
        <f t="shared" ref="I1205:N1220" si="570">I1204</f>
        <v>1</v>
      </c>
      <c r="J1205" s="76" t="str">
        <f t="shared" si="570"/>
        <v>Lactuca</v>
      </c>
      <c r="K1205" s="76" t="str">
        <f t="shared" si="570"/>
        <v>inermis</v>
      </c>
      <c r="L1205" s="77">
        <f t="shared" si="570"/>
        <v>13</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2019</v>
      </c>
      <c r="B1206" s="72" t="str">
        <f t="shared" si="547"/>
        <v>Nov</v>
      </c>
      <c r="C1206" s="73">
        <f t="shared" si="565"/>
        <v>24</v>
      </c>
      <c r="D1206" s="74">
        <f t="shared" si="548"/>
        <v>6</v>
      </c>
      <c r="E1206" s="75">
        <f t="shared" si="549"/>
        <v>23</v>
      </c>
      <c r="F1206" s="79"/>
      <c r="G1206" s="82"/>
      <c r="H1206" s="68" t="str">
        <f t="shared" si="566"/>
        <v>Lacine13_20191124_06_00</v>
      </c>
      <c r="I1206" s="69">
        <f t="shared" si="570"/>
        <v>1</v>
      </c>
      <c r="J1206" s="76" t="str">
        <f t="shared" si="570"/>
        <v>Lactuca</v>
      </c>
      <c r="K1206" s="76" t="str">
        <f t="shared" si="570"/>
        <v>inermis</v>
      </c>
      <c r="L1206" s="77">
        <f t="shared" si="570"/>
        <v>13</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2019</v>
      </c>
      <c r="B1207" s="72" t="str">
        <f t="shared" si="547"/>
        <v>Nov</v>
      </c>
      <c r="C1207" s="73">
        <f t="shared" si="565"/>
        <v>24</v>
      </c>
      <c r="D1207" s="74">
        <f t="shared" si="548"/>
        <v>6</v>
      </c>
      <c r="E1207" s="75">
        <f t="shared" si="549"/>
        <v>24</v>
      </c>
      <c r="F1207" s="79"/>
      <c r="G1207" s="82"/>
      <c r="H1207" s="68" t="str">
        <f t="shared" si="566"/>
        <v>Lacine13_20191124_06_00</v>
      </c>
      <c r="I1207" s="69">
        <f t="shared" si="570"/>
        <v>1</v>
      </c>
      <c r="J1207" s="76" t="str">
        <f t="shared" si="570"/>
        <v>Lactuca</v>
      </c>
      <c r="K1207" s="76" t="str">
        <f t="shared" si="570"/>
        <v>inermis</v>
      </c>
      <c r="L1207" s="77">
        <f t="shared" si="570"/>
        <v>13</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2019</v>
      </c>
      <c r="B1208" s="72" t="str">
        <f t="shared" si="547"/>
        <v>Nov</v>
      </c>
      <c r="C1208" s="73">
        <f t="shared" si="565"/>
        <v>24</v>
      </c>
      <c r="D1208" s="74">
        <f t="shared" si="548"/>
        <v>6</v>
      </c>
      <c r="E1208" s="75">
        <f t="shared" si="549"/>
        <v>25</v>
      </c>
      <c r="F1208" s="79"/>
      <c r="G1208" s="82"/>
      <c r="H1208" s="68" t="str">
        <f t="shared" si="566"/>
        <v>Lacine13_20191124_06_00</v>
      </c>
      <c r="I1208" s="69">
        <f t="shared" si="570"/>
        <v>1</v>
      </c>
      <c r="J1208" s="76" t="str">
        <f t="shared" si="570"/>
        <v>Lactuca</v>
      </c>
      <c r="K1208" s="76" t="str">
        <f t="shared" si="570"/>
        <v>inermis</v>
      </c>
      <c r="L1208" s="77">
        <f t="shared" si="570"/>
        <v>13</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2019</v>
      </c>
      <c r="B1209" s="72" t="str">
        <f t="shared" si="547"/>
        <v>Nov</v>
      </c>
      <c r="C1209" s="73">
        <f t="shared" si="565"/>
        <v>24</v>
      </c>
      <c r="D1209" s="74">
        <f t="shared" si="548"/>
        <v>6</v>
      </c>
      <c r="E1209" s="75">
        <f t="shared" si="549"/>
        <v>26</v>
      </c>
      <c r="F1209" s="79"/>
      <c r="G1209" s="82"/>
      <c r="H1209" s="68" t="str">
        <f t="shared" si="566"/>
        <v>Lacine13_20191124_06_00</v>
      </c>
      <c r="I1209" s="69">
        <f t="shared" si="570"/>
        <v>1</v>
      </c>
      <c r="J1209" s="76" t="str">
        <f t="shared" si="570"/>
        <v>Lactuca</v>
      </c>
      <c r="K1209" s="76" t="str">
        <f t="shared" si="570"/>
        <v>inermis</v>
      </c>
      <c r="L1209" s="77">
        <f t="shared" si="570"/>
        <v>13</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2019</v>
      </c>
      <c r="B1210" s="72" t="str">
        <f t="shared" si="547"/>
        <v>Nov</v>
      </c>
      <c r="C1210" s="73">
        <f t="shared" si="565"/>
        <v>24</v>
      </c>
      <c r="D1210" s="74">
        <f t="shared" si="548"/>
        <v>6</v>
      </c>
      <c r="E1210" s="75">
        <f t="shared" si="549"/>
        <v>27</v>
      </c>
      <c r="F1210" s="79"/>
      <c r="G1210" s="82"/>
      <c r="H1210" s="68" t="str">
        <f t="shared" si="566"/>
        <v>Lacine13_20191124_06_00</v>
      </c>
      <c r="I1210" s="69">
        <f t="shared" si="570"/>
        <v>1</v>
      </c>
      <c r="J1210" s="76" t="str">
        <f t="shared" si="570"/>
        <v>Lactuca</v>
      </c>
      <c r="K1210" s="76" t="str">
        <f t="shared" si="570"/>
        <v>inermis</v>
      </c>
      <c r="L1210" s="77">
        <f t="shared" si="570"/>
        <v>13</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2019</v>
      </c>
      <c r="B1211" s="72" t="str">
        <f t="shared" si="547"/>
        <v>Nov</v>
      </c>
      <c r="C1211" s="73">
        <f t="shared" si="565"/>
        <v>24</v>
      </c>
      <c r="D1211" s="74">
        <f t="shared" si="548"/>
        <v>6</v>
      </c>
      <c r="E1211" s="75">
        <f t="shared" si="549"/>
        <v>28</v>
      </c>
      <c r="F1211" s="79"/>
      <c r="G1211" s="82"/>
      <c r="H1211" s="68" t="str">
        <f t="shared" si="566"/>
        <v>Lacine13_20191124_06_00</v>
      </c>
      <c r="I1211" s="69">
        <f t="shared" si="570"/>
        <v>1</v>
      </c>
      <c r="J1211" s="76" t="str">
        <f t="shared" si="570"/>
        <v>Lactuca</v>
      </c>
      <c r="K1211" s="76" t="str">
        <f t="shared" si="570"/>
        <v>inermis</v>
      </c>
      <c r="L1211" s="77">
        <f t="shared" si="570"/>
        <v>13</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2019</v>
      </c>
      <c r="B1212" s="72" t="str">
        <f t="shared" si="547"/>
        <v>Nov</v>
      </c>
      <c r="C1212" s="73">
        <f t="shared" si="565"/>
        <v>24</v>
      </c>
      <c r="D1212" s="74">
        <f t="shared" si="548"/>
        <v>6</v>
      </c>
      <c r="E1212" s="75">
        <f t="shared" si="549"/>
        <v>29</v>
      </c>
      <c r="F1212" s="79"/>
      <c r="G1212" s="82"/>
      <c r="H1212" s="68" t="str">
        <f t="shared" si="566"/>
        <v>Lacine13_20191124_06_00</v>
      </c>
      <c r="I1212" s="69">
        <f t="shared" si="570"/>
        <v>1</v>
      </c>
      <c r="J1212" s="76" t="str">
        <f t="shared" si="570"/>
        <v>Lactuca</v>
      </c>
      <c r="K1212" s="76" t="str">
        <f t="shared" si="570"/>
        <v>inermis</v>
      </c>
      <c r="L1212" s="77">
        <f t="shared" si="570"/>
        <v>13</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2019</v>
      </c>
      <c r="B1213" s="72" t="str">
        <f t="shared" si="547"/>
        <v>Nov</v>
      </c>
      <c r="C1213" s="73">
        <f t="shared" si="565"/>
        <v>24</v>
      </c>
      <c r="D1213" s="74">
        <f t="shared" si="548"/>
        <v>6</v>
      </c>
      <c r="E1213" s="75">
        <f t="shared" si="549"/>
        <v>30</v>
      </c>
      <c r="F1213" s="79"/>
      <c r="G1213" s="82"/>
      <c r="H1213" s="68" t="str">
        <f t="shared" si="566"/>
        <v>Lacine13_20191124_06_00</v>
      </c>
      <c r="I1213" s="69">
        <f t="shared" si="570"/>
        <v>1</v>
      </c>
      <c r="J1213" s="76" t="str">
        <f t="shared" si="570"/>
        <v>Lactuca</v>
      </c>
      <c r="K1213" s="76" t="str">
        <f t="shared" si="570"/>
        <v>inermis</v>
      </c>
      <c r="L1213" s="77">
        <f t="shared" si="570"/>
        <v>13</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2019</v>
      </c>
      <c r="B1214" s="72" t="str">
        <f t="shared" si="547"/>
        <v>Nov</v>
      </c>
      <c r="C1214" s="73">
        <f t="shared" si="565"/>
        <v>24</v>
      </c>
      <c r="D1214" s="74">
        <f t="shared" si="548"/>
        <v>6</v>
      </c>
      <c r="E1214" s="75">
        <f t="shared" si="549"/>
        <v>31</v>
      </c>
      <c r="F1214" s="79"/>
      <c r="G1214" s="82"/>
      <c r="H1214" s="68" t="str">
        <f t="shared" si="566"/>
        <v>Lacine13_20191124_06_00</v>
      </c>
      <c r="I1214" s="69">
        <f t="shared" si="570"/>
        <v>1</v>
      </c>
      <c r="J1214" s="76" t="str">
        <f t="shared" si="570"/>
        <v>Lactuca</v>
      </c>
      <c r="K1214" s="76" t="str">
        <f t="shared" si="570"/>
        <v>inermis</v>
      </c>
      <c r="L1214" s="77">
        <f t="shared" si="570"/>
        <v>13</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2019</v>
      </c>
      <c r="B1215" s="72" t="str">
        <f t="shared" si="547"/>
        <v>Nov</v>
      </c>
      <c r="C1215" s="73">
        <f t="shared" si="565"/>
        <v>24</v>
      </c>
      <c r="D1215" s="74">
        <f t="shared" si="548"/>
        <v>6</v>
      </c>
      <c r="E1215" s="75">
        <f t="shared" si="549"/>
        <v>32</v>
      </c>
      <c r="F1215" s="79"/>
      <c r="G1215" s="82"/>
      <c r="H1215" s="68" t="str">
        <f t="shared" si="566"/>
        <v>Lacine13_20191124_06_00</v>
      </c>
      <c r="I1215" s="69">
        <f t="shared" si="570"/>
        <v>1</v>
      </c>
      <c r="J1215" s="76" t="str">
        <f t="shared" si="570"/>
        <v>Lactuca</v>
      </c>
      <c r="K1215" s="76" t="str">
        <f t="shared" si="570"/>
        <v>inermis</v>
      </c>
      <c r="L1215" s="77">
        <f t="shared" si="570"/>
        <v>13</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2019</v>
      </c>
      <c r="B1216" s="72" t="str">
        <f t="shared" si="547"/>
        <v>Nov</v>
      </c>
      <c r="C1216" s="73">
        <f t="shared" si="565"/>
        <v>24</v>
      </c>
      <c r="D1216" s="74">
        <f t="shared" si="548"/>
        <v>6</v>
      </c>
      <c r="E1216" s="75">
        <f t="shared" si="549"/>
        <v>33</v>
      </c>
      <c r="F1216" s="79"/>
      <c r="G1216" s="82"/>
      <c r="H1216" s="68" t="str">
        <f t="shared" si="566"/>
        <v>Lacine13_20191124_06_00</v>
      </c>
      <c r="I1216" s="69">
        <f t="shared" si="570"/>
        <v>1</v>
      </c>
      <c r="J1216" s="76" t="str">
        <f t="shared" si="570"/>
        <v>Lactuca</v>
      </c>
      <c r="K1216" s="76" t="str">
        <f t="shared" si="570"/>
        <v>inermis</v>
      </c>
      <c r="L1216" s="77">
        <f t="shared" si="570"/>
        <v>13</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2019</v>
      </c>
      <c r="B1217" s="72" t="str">
        <f t="shared" si="547"/>
        <v>Nov</v>
      </c>
      <c r="C1217" s="73">
        <f t="shared" si="565"/>
        <v>24</v>
      </c>
      <c r="D1217" s="74">
        <f t="shared" si="548"/>
        <v>6</v>
      </c>
      <c r="E1217" s="75">
        <f t="shared" si="549"/>
        <v>34</v>
      </c>
      <c r="F1217" s="79"/>
      <c r="G1217" s="82"/>
      <c r="H1217" s="68" t="str">
        <f t="shared" si="566"/>
        <v>Lacine13_20191124_06_00</v>
      </c>
      <c r="I1217" s="69">
        <f t="shared" si="570"/>
        <v>1</v>
      </c>
      <c r="J1217" s="76" t="str">
        <f t="shared" si="570"/>
        <v>Lactuca</v>
      </c>
      <c r="K1217" s="76" t="str">
        <f t="shared" si="570"/>
        <v>inermis</v>
      </c>
      <c r="L1217" s="77">
        <f t="shared" si="570"/>
        <v>13</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2019</v>
      </c>
      <c r="B1218" s="72" t="str">
        <f t="shared" si="547"/>
        <v>Nov</v>
      </c>
      <c r="C1218" s="73">
        <f t="shared" si="565"/>
        <v>24</v>
      </c>
      <c r="D1218" s="74">
        <f t="shared" si="548"/>
        <v>6</v>
      </c>
      <c r="E1218" s="75">
        <f t="shared" si="549"/>
        <v>35</v>
      </c>
      <c r="F1218" s="79"/>
      <c r="G1218" s="82"/>
      <c r="H1218" s="68" t="str">
        <f t="shared" si="566"/>
        <v>Lacine13_20191124_06_00</v>
      </c>
      <c r="I1218" s="69">
        <f t="shared" si="570"/>
        <v>1</v>
      </c>
      <c r="J1218" s="76" t="str">
        <f t="shared" si="570"/>
        <v>Lactuca</v>
      </c>
      <c r="K1218" s="76" t="str">
        <f t="shared" si="570"/>
        <v>inermis</v>
      </c>
      <c r="L1218" s="77">
        <f t="shared" si="570"/>
        <v>13</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2019</v>
      </c>
      <c r="B1219" s="72" t="str">
        <f t="shared" si="547"/>
        <v>Nov</v>
      </c>
      <c r="C1219" s="73">
        <f t="shared" si="565"/>
        <v>24</v>
      </c>
      <c r="D1219" s="74">
        <f t="shared" si="548"/>
        <v>6</v>
      </c>
      <c r="E1219" s="75">
        <f t="shared" si="549"/>
        <v>36</v>
      </c>
      <c r="F1219" s="79"/>
      <c r="G1219" s="82"/>
      <c r="H1219" s="68" t="str">
        <f t="shared" si="566"/>
        <v>Lacine13_20191124_06_00</v>
      </c>
      <c r="I1219" s="69">
        <f t="shared" si="570"/>
        <v>1</v>
      </c>
      <c r="J1219" s="76" t="str">
        <f t="shared" si="570"/>
        <v>Lactuca</v>
      </c>
      <c r="K1219" s="76" t="str">
        <f t="shared" si="570"/>
        <v>inermis</v>
      </c>
      <c r="L1219" s="77">
        <f t="shared" si="570"/>
        <v>13</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2019</v>
      </c>
      <c r="B1220" s="72" t="str">
        <f t="shared" ref="B1220:B1283" si="577">IF(C1219-C1220&gt;0, TEXT(DATE(2016,(MONTH(DATEVALUE(B1219&amp;"1"))+1),1),"mmm"), B1219)</f>
        <v>Nov</v>
      </c>
      <c r="C1220" s="73">
        <f t="shared" si="565"/>
        <v>24</v>
      </c>
      <c r="D1220" s="74">
        <f t="shared" ref="D1220:D1283" si="578">IF(IF(E1219=59,D1219+1,D1219)=24,0,IF(E1219=59,D1219+1,D1219))</f>
        <v>6</v>
      </c>
      <c r="E1220" s="75">
        <f t="shared" ref="E1220:E1283" si="579">IF(E1219&lt;59,E1219+1,0)</f>
        <v>37</v>
      </c>
      <c r="F1220" s="79"/>
      <c r="G1220" s="82"/>
      <c r="H1220" s="68" t="str">
        <f t="shared" si="566"/>
        <v>Lacine13_20191124_06_00</v>
      </c>
      <c r="I1220" s="69">
        <f t="shared" si="570"/>
        <v>1</v>
      </c>
      <c r="J1220" s="76" t="str">
        <f t="shared" si="570"/>
        <v>Lactuca</v>
      </c>
      <c r="K1220" s="76" t="str">
        <f t="shared" si="570"/>
        <v>inermis</v>
      </c>
      <c r="L1220" s="77">
        <f t="shared" si="570"/>
        <v>13</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2019</v>
      </c>
      <c r="B1221" s="72" t="str">
        <f t="shared" si="577"/>
        <v>Nov</v>
      </c>
      <c r="C1221" s="73">
        <f t="shared" ref="C1221:C1284" si="595">IF(AND(D1221=0, E1221=0), IF(TEXT(C1220,"dd")=TEXT(EOMONTH(DATE(A1220,MONTH(DATEVALUE(B1220&amp;"1")),C1220),0), "dd"), 1, C1220+1), C1220)</f>
        <v>24</v>
      </c>
      <c r="D1221" s="74">
        <f t="shared" si="578"/>
        <v>6</v>
      </c>
      <c r="E1221" s="75">
        <f t="shared" si="579"/>
        <v>38</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Lacine13_20191124_06_00</v>
      </c>
      <c r="I1221" s="69">
        <f t="shared" ref="I1221:N1236" si="597">I1220</f>
        <v>1</v>
      </c>
      <c r="J1221" s="76" t="str">
        <f t="shared" si="597"/>
        <v>Lactuca</v>
      </c>
      <c r="K1221" s="76" t="str">
        <f t="shared" si="597"/>
        <v>inermis</v>
      </c>
      <c r="L1221" s="77">
        <f t="shared" si="597"/>
        <v>13</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2019</v>
      </c>
      <c r="B1222" s="72" t="str">
        <f t="shared" si="577"/>
        <v>Nov</v>
      </c>
      <c r="C1222" s="73">
        <f t="shared" si="595"/>
        <v>24</v>
      </c>
      <c r="D1222" s="74">
        <f t="shared" si="578"/>
        <v>6</v>
      </c>
      <c r="E1222" s="75">
        <f t="shared" si="579"/>
        <v>39</v>
      </c>
      <c r="F1222" s="79"/>
      <c r="G1222" s="82"/>
      <c r="H1222" s="68" t="str">
        <f t="shared" si="596"/>
        <v>Lacine13_20191124_06_00</v>
      </c>
      <c r="I1222" s="69">
        <f t="shared" si="597"/>
        <v>1</v>
      </c>
      <c r="J1222" s="76" t="str">
        <f t="shared" si="597"/>
        <v>Lactuca</v>
      </c>
      <c r="K1222" s="76" t="str">
        <f t="shared" si="597"/>
        <v>inermis</v>
      </c>
      <c r="L1222" s="77">
        <f t="shared" si="597"/>
        <v>13</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2019</v>
      </c>
      <c r="B1223" s="72" t="str">
        <f t="shared" si="577"/>
        <v>Nov</v>
      </c>
      <c r="C1223" s="73">
        <f t="shared" si="595"/>
        <v>24</v>
      </c>
      <c r="D1223" s="74">
        <f t="shared" si="578"/>
        <v>6</v>
      </c>
      <c r="E1223" s="75">
        <f t="shared" si="579"/>
        <v>40</v>
      </c>
      <c r="F1223" s="79"/>
      <c r="G1223" s="82"/>
      <c r="H1223" s="68" t="str">
        <f t="shared" si="596"/>
        <v>Lacine13_20191124_06_00</v>
      </c>
      <c r="I1223" s="69">
        <f t="shared" si="597"/>
        <v>1</v>
      </c>
      <c r="J1223" s="76" t="str">
        <f t="shared" si="597"/>
        <v>Lactuca</v>
      </c>
      <c r="K1223" s="76" t="str">
        <f t="shared" si="597"/>
        <v>inermis</v>
      </c>
      <c r="L1223" s="77">
        <f t="shared" si="597"/>
        <v>13</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2019</v>
      </c>
      <c r="B1224" s="72" t="str">
        <f t="shared" si="577"/>
        <v>Nov</v>
      </c>
      <c r="C1224" s="73">
        <f t="shared" si="595"/>
        <v>24</v>
      </c>
      <c r="D1224" s="74">
        <f t="shared" si="578"/>
        <v>6</v>
      </c>
      <c r="E1224" s="75">
        <f t="shared" si="579"/>
        <v>41</v>
      </c>
      <c r="F1224" s="79"/>
      <c r="G1224" s="82"/>
      <c r="H1224" s="68" t="str">
        <f t="shared" si="596"/>
        <v>Lacine13_20191124_06_00</v>
      </c>
      <c r="I1224" s="69">
        <f t="shared" si="597"/>
        <v>1</v>
      </c>
      <c r="J1224" s="76" t="str">
        <f t="shared" si="597"/>
        <v>Lactuca</v>
      </c>
      <c r="K1224" s="76" t="str">
        <f t="shared" si="597"/>
        <v>inermis</v>
      </c>
      <c r="L1224" s="77">
        <f t="shared" si="597"/>
        <v>13</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2019</v>
      </c>
      <c r="B1225" s="72" t="str">
        <f t="shared" si="577"/>
        <v>Nov</v>
      </c>
      <c r="C1225" s="73">
        <f t="shared" si="595"/>
        <v>24</v>
      </c>
      <c r="D1225" s="74">
        <f t="shared" si="578"/>
        <v>6</v>
      </c>
      <c r="E1225" s="75">
        <f t="shared" si="579"/>
        <v>42</v>
      </c>
      <c r="F1225" s="79"/>
      <c r="G1225" s="82"/>
      <c r="H1225" s="68" t="str">
        <f t="shared" si="596"/>
        <v>Lacine13_20191124_06_00</v>
      </c>
      <c r="I1225" s="69">
        <f t="shared" si="597"/>
        <v>1</v>
      </c>
      <c r="J1225" s="76" t="str">
        <f t="shared" si="597"/>
        <v>Lactuca</v>
      </c>
      <c r="K1225" s="76" t="str">
        <f t="shared" si="597"/>
        <v>inermis</v>
      </c>
      <c r="L1225" s="77">
        <f t="shared" si="597"/>
        <v>13</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2019</v>
      </c>
      <c r="B1226" s="72" t="str">
        <f t="shared" si="577"/>
        <v>Nov</v>
      </c>
      <c r="C1226" s="73">
        <f t="shared" si="595"/>
        <v>24</v>
      </c>
      <c r="D1226" s="74">
        <f t="shared" si="578"/>
        <v>6</v>
      </c>
      <c r="E1226" s="75">
        <f t="shared" si="579"/>
        <v>43</v>
      </c>
      <c r="F1226" s="79"/>
      <c r="G1226" s="82"/>
      <c r="H1226" s="68" t="str">
        <f t="shared" si="596"/>
        <v>Lacine13_20191124_06_00</v>
      </c>
      <c r="I1226" s="69">
        <f t="shared" si="597"/>
        <v>1</v>
      </c>
      <c r="J1226" s="76" t="str">
        <f t="shared" si="597"/>
        <v>Lactuca</v>
      </c>
      <c r="K1226" s="76" t="str">
        <f t="shared" si="597"/>
        <v>inermis</v>
      </c>
      <c r="L1226" s="77">
        <f t="shared" si="597"/>
        <v>13</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2019</v>
      </c>
      <c r="B1227" s="72" t="str">
        <f t="shared" si="577"/>
        <v>Nov</v>
      </c>
      <c r="C1227" s="73">
        <f t="shared" si="595"/>
        <v>24</v>
      </c>
      <c r="D1227" s="74">
        <f t="shared" si="578"/>
        <v>6</v>
      </c>
      <c r="E1227" s="75">
        <f t="shared" si="579"/>
        <v>44</v>
      </c>
      <c r="F1227" s="79"/>
      <c r="G1227" s="82"/>
      <c r="H1227" s="68" t="str">
        <f t="shared" si="596"/>
        <v>Lacine13_20191124_06_00</v>
      </c>
      <c r="I1227" s="69">
        <f t="shared" si="597"/>
        <v>1</v>
      </c>
      <c r="J1227" s="76" t="str">
        <f t="shared" si="597"/>
        <v>Lactuca</v>
      </c>
      <c r="K1227" s="76" t="str">
        <f t="shared" si="597"/>
        <v>inermis</v>
      </c>
      <c r="L1227" s="77">
        <f t="shared" si="597"/>
        <v>13</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2019</v>
      </c>
      <c r="B1228" s="72" t="str">
        <f t="shared" si="577"/>
        <v>Nov</v>
      </c>
      <c r="C1228" s="73">
        <f t="shared" si="595"/>
        <v>24</v>
      </c>
      <c r="D1228" s="74">
        <f t="shared" si="578"/>
        <v>6</v>
      </c>
      <c r="E1228" s="75">
        <f t="shared" si="579"/>
        <v>45</v>
      </c>
      <c r="F1228" s="79"/>
      <c r="G1228" s="82"/>
      <c r="H1228" s="68" t="str">
        <f t="shared" si="596"/>
        <v>Lacine13_20191124_06_00</v>
      </c>
      <c r="I1228" s="69">
        <f t="shared" si="597"/>
        <v>1</v>
      </c>
      <c r="J1228" s="76" t="str">
        <f t="shared" si="597"/>
        <v>Lactuca</v>
      </c>
      <c r="K1228" s="76" t="str">
        <f t="shared" si="597"/>
        <v>inermis</v>
      </c>
      <c r="L1228" s="77">
        <f t="shared" si="597"/>
        <v>13</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2019</v>
      </c>
      <c r="B1229" s="72" t="str">
        <f t="shared" si="577"/>
        <v>Nov</v>
      </c>
      <c r="C1229" s="73">
        <f t="shared" si="595"/>
        <v>24</v>
      </c>
      <c r="D1229" s="74">
        <f t="shared" si="578"/>
        <v>6</v>
      </c>
      <c r="E1229" s="75">
        <f t="shared" si="579"/>
        <v>46</v>
      </c>
      <c r="F1229" s="79"/>
      <c r="G1229" s="82"/>
      <c r="H1229" s="68" t="str">
        <f t="shared" si="596"/>
        <v>Lacine13_20191124_06_00</v>
      </c>
      <c r="I1229" s="69">
        <f t="shared" si="597"/>
        <v>1</v>
      </c>
      <c r="J1229" s="76" t="str">
        <f t="shared" si="597"/>
        <v>Lactuca</v>
      </c>
      <c r="K1229" s="76" t="str">
        <f t="shared" si="597"/>
        <v>inermis</v>
      </c>
      <c r="L1229" s="77">
        <f t="shared" si="597"/>
        <v>13</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2019</v>
      </c>
      <c r="B1230" s="72" t="str">
        <f t="shared" si="577"/>
        <v>Nov</v>
      </c>
      <c r="C1230" s="73">
        <f t="shared" si="595"/>
        <v>24</v>
      </c>
      <c r="D1230" s="74">
        <f t="shared" si="578"/>
        <v>6</v>
      </c>
      <c r="E1230" s="75">
        <f t="shared" si="579"/>
        <v>47</v>
      </c>
      <c r="F1230" s="79"/>
      <c r="G1230" s="82"/>
      <c r="H1230" s="68" t="str">
        <f t="shared" si="596"/>
        <v>Lacine13_20191124_06_00</v>
      </c>
      <c r="I1230" s="69">
        <f t="shared" si="597"/>
        <v>1</v>
      </c>
      <c r="J1230" s="76" t="str">
        <f t="shared" si="597"/>
        <v>Lactuca</v>
      </c>
      <c r="K1230" s="76" t="str">
        <f t="shared" si="597"/>
        <v>inermis</v>
      </c>
      <c r="L1230" s="77">
        <f t="shared" si="597"/>
        <v>13</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2019</v>
      </c>
      <c r="B1231" s="72" t="str">
        <f t="shared" si="577"/>
        <v>Nov</v>
      </c>
      <c r="C1231" s="73">
        <f t="shared" si="595"/>
        <v>24</v>
      </c>
      <c r="D1231" s="74">
        <f t="shared" si="578"/>
        <v>6</v>
      </c>
      <c r="E1231" s="75">
        <f t="shared" si="579"/>
        <v>48</v>
      </c>
      <c r="F1231" s="79"/>
      <c r="G1231" s="82"/>
      <c r="H1231" s="68" t="str">
        <f t="shared" si="596"/>
        <v>Lacine13_20191124_06_00</v>
      </c>
      <c r="I1231" s="69">
        <f t="shared" si="597"/>
        <v>1</v>
      </c>
      <c r="J1231" s="76" t="str">
        <f t="shared" si="597"/>
        <v>Lactuca</v>
      </c>
      <c r="K1231" s="76" t="str">
        <f t="shared" si="597"/>
        <v>inermis</v>
      </c>
      <c r="L1231" s="77">
        <f t="shared" si="597"/>
        <v>13</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2019</v>
      </c>
      <c r="B1232" s="72" t="str">
        <f t="shared" si="577"/>
        <v>Nov</v>
      </c>
      <c r="C1232" s="73">
        <f t="shared" si="595"/>
        <v>24</v>
      </c>
      <c r="D1232" s="74">
        <f t="shared" si="578"/>
        <v>6</v>
      </c>
      <c r="E1232" s="75">
        <f t="shared" si="579"/>
        <v>49</v>
      </c>
      <c r="F1232" s="79"/>
      <c r="G1232" s="82"/>
      <c r="H1232" s="68" t="str">
        <f t="shared" si="596"/>
        <v>Lacine13_20191124_06_00</v>
      </c>
      <c r="I1232" s="69">
        <f t="shared" si="597"/>
        <v>1</v>
      </c>
      <c r="J1232" s="76" t="str">
        <f t="shared" si="597"/>
        <v>Lactuca</v>
      </c>
      <c r="K1232" s="76" t="str">
        <f t="shared" si="597"/>
        <v>inermis</v>
      </c>
      <c r="L1232" s="77">
        <f t="shared" si="597"/>
        <v>13</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2019</v>
      </c>
      <c r="B1233" s="72" t="str">
        <f t="shared" si="577"/>
        <v>Nov</v>
      </c>
      <c r="C1233" s="73">
        <f t="shared" si="595"/>
        <v>24</v>
      </c>
      <c r="D1233" s="74">
        <f t="shared" si="578"/>
        <v>6</v>
      </c>
      <c r="E1233" s="75">
        <f t="shared" si="579"/>
        <v>50</v>
      </c>
      <c r="F1233" s="79"/>
      <c r="G1233" s="82"/>
      <c r="H1233" s="68" t="str">
        <f t="shared" si="596"/>
        <v>Lacine13_20191124_06_00</v>
      </c>
      <c r="I1233" s="69">
        <f t="shared" si="597"/>
        <v>1</v>
      </c>
      <c r="J1233" s="76" t="str">
        <f t="shared" si="597"/>
        <v>Lactuca</v>
      </c>
      <c r="K1233" s="76" t="str">
        <f t="shared" si="597"/>
        <v>inermis</v>
      </c>
      <c r="L1233" s="77">
        <f t="shared" si="597"/>
        <v>13</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2019</v>
      </c>
      <c r="B1234" s="72" t="str">
        <f t="shared" si="577"/>
        <v>Nov</v>
      </c>
      <c r="C1234" s="73">
        <f t="shared" si="595"/>
        <v>24</v>
      </c>
      <c r="D1234" s="74">
        <f t="shared" si="578"/>
        <v>6</v>
      </c>
      <c r="E1234" s="75">
        <f t="shared" si="579"/>
        <v>51</v>
      </c>
      <c r="F1234" s="79"/>
      <c r="G1234" s="82"/>
      <c r="H1234" s="68" t="str">
        <f t="shared" si="596"/>
        <v>Lacine13_20191124_06_00</v>
      </c>
      <c r="I1234" s="69">
        <f t="shared" si="597"/>
        <v>1</v>
      </c>
      <c r="J1234" s="76" t="str">
        <f t="shared" si="597"/>
        <v>Lactuca</v>
      </c>
      <c r="K1234" s="76" t="str">
        <f t="shared" si="597"/>
        <v>inermis</v>
      </c>
      <c r="L1234" s="77">
        <f t="shared" si="597"/>
        <v>13</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2019</v>
      </c>
      <c r="B1235" s="72" t="str">
        <f t="shared" si="577"/>
        <v>Nov</v>
      </c>
      <c r="C1235" s="73">
        <f t="shared" si="595"/>
        <v>24</v>
      </c>
      <c r="D1235" s="74">
        <f t="shared" si="578"/>
        <v>6</v>
      </c>
      <c r="E1235" s="75">
        <f t="shared" si="579"/>
        <v>52</v>
      </c>
      <c r="F1235" s="79"/>
      <c r="G1235" s="82"/>
      <c r="H1235" s="68" t="str">
        <f t="shared" si="596"/>
        <v>Lacine13_20191124_06_00</v>
      </c>
      <c r="I1235" s="69">
        <f t="shared" si="597"/>
        <v>1</v>
      </c>
      <c r="J1235" s="76" t="str">
        <f t="shared" si="597"/>
        <v>Lactuca</v>
      </c>
      <c r="K1235" s="76" t="str">
        <f t="shared" si="597"/>
        <v>inermis</v>
      </c>
      <c r="L1235" s="77">
        <f t="shared" si="597"/>
        <v>13</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2019</v>
      </c>
      <c r="B1236" s="72" t="str">
        <f t="shared" si="577"/>
        <v>Nov</v>
      </c>
      <c r="C1236" s="73">
        <f t="shared" si="595"/>
        <v>24</v>
      </c>
      <c r="D1236" s="74">
        <f t="shared" si="578"/>
        <v>6</v>
      </c>
      <c r="E1236" s="75">
        <f t="shared" si="579"/>
        <v>53</v>
      </c>
      <c r="F1236" s="79"/>
      <c r="G1236" s="82"/>
      <c r="H1236" s="68" t="str">
        <f t="shared" si="596"/>
        <v>Lacine13_20191124_06_00</v>
      </c>
      <c r="I1236" s="69">
        <f t="shared" si="597"/>
        <v>1</v>
      </c>
      <c r="J1236" s="76" t="str">
        <f t="shared" si="597"/>
        <v>Lactuca</v>
      </c>
      <c r="K1236" s="76" t="str">
        <f t="shared" si="597"/>
        <v>inermis</v>
      </c>
      <c r="L1236" s="77">
        <f t="shared" si="597"/>
        <v>13</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2019</v>
      </c>
      <c r="B1237" s="72" t="str">
        <f t="shared" si="577"/>
        <v>Nov</v>
      </c>
      <c r="C1237" s="73">
        <f t="shared" si="595"/>
        <v>24</v>
      </c>
      <c r="D1237" s="74">
        <f t="shared" si="578"/>
        <v>6</v>
      </c>
      <c r="E1237" s="75">
        <f t="shared" si="579"/>
        <v>54</v>
      </c>
      <c r="F1237" s="79"/>
      <c r="G1237" s="82"/>
      <c r="H1237" s="68" t="str">
        <f t="shared" si="596"/>
        <v>Lacine13_20191124_06_00</v>
      </c>
      <c r="I1237" s="69">
        <f t="shared" ref="I1237:N1252" si="598">I1236</f>
        <v>1</v>
      </c>
      <c r="J1237" s="76" t="str">
        <f t="shared" si="598"/>
        <v>Lactuca</v>
      </c>
      <c r="K1237" s="76" t="str">
        <f t="shared" si="598"/>
        <v>inermis</v>
      </c>
      <c r="L1237" s="77">
        <f t="shared" si="598"/>
        <v>13</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2019</v>
      </c>
      <c r="B1238" s="72" t="str">
        <f t="shared" si="577"/>
        <v>Nov</v>
      </c>
      <c r="C1238" s="73">
        <f t="shared" si="595"/>
        <v>24</v>
      </c>
      <c r="D1238" s="74">
        <f t="shared" si="578"/>
        <v>6</v>
      </c>
      <c r="E1238" s="75">
        <f t="shared" si="579"/>
        <v>55</v>
      </c>
      <c r="F1238" s="79"/>
      <c r="G1238" s="82"/>
      <c r="H1238" s="68" t="str">
        <f t="shared" si="596"/>
        <v>Lacine13_20191124_06_00</v>
      </c>
      <c r="I1238" s="69">
        <f t="shared" si="598"/>
        <v>1</v>
      </c>
      <c r="J1238" s="76" t="str">
        <f t="shared" si="598"/>
        <v>Lactuca</v>
      </c>
      <c r="K1238" s="76" t="str">
        <f t="shared" si="598"/>
        <v>inermis</v>
      </c>
      <c r="L1238" s="77">
        <f t="shared" si="598"/>
        <v>13</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2019</v>
      </c>
      <c r="B1239" s="72" t="str">
        <f t="shared" si="577"/>
        <v>Nov</v>
      </c>
      <c r="C1239" s="73">
        <f t="shared" si="595"/>
        <v>24</v>
      </c>
      <c r="D1239" s="74">
        <f t="shared" si="578"/>
        <v>6</v>
      </c>
      <c r="E1239" s="75">
        <f t="shared" si="579"/>
        <v>56</v>
      </c>
      <c r="F1239" s="79"/>
      <c r="G1239" s="82"/>
      <c r="H1239" s="68" t="str">
        <f t="shared" si="596"/>
        <v>Lacine13_20191124_06_00</v>
      </c>
      <c r="I1239" s="69">
        <f t="shared" si="598"/>
        <v>1</v>
      </c>
      <c r="J1239" s="76" t="str">
        <f t="shared" si="598"/>
        <v>Lactuca</v>
      </c>
      <c r="K1239" s="76" t="str">
        <f t="shared" si="598"/>
        <v>inermis</v>
      </c>
      <c r="L1239" s="77">
        <f t="shared" si="598"/>
        <v>13</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2019</v>
      </c>
      <c r="B1240" s="72" t="str">
        <f t="shared" si="577"/>
        <v>Nov</v>
      </c>
      <c r="C1240" s="73">
        <f t="shared" si="595"/>
        <v>24</v>
      </c>
      <c r="D1240" s="74">
        <f t="shared" si="578"/>
        <v>6</v>
      </c>
      <c r="E1240" s="75">
        <f t="shared" si="579"/>
        <v>57</v>
      </c>
      <c r="F1240" s="79"/>
      <c r="G1240" s="82"/>
      <c r="H1240" s="68" t="str">
        <f t="shared" si="596"/>
        <v>Lacine13_20191124_06_00</v>
      </c>
      <c r="I1240" s="69">
        <f t="shared" si="598"/>
        <v>1</v>
      </c>
      <c r="J1240" s="76" t="str">
        <f t="shared" si="598"/>
        <v>Lactuca</v>
      </c>
      <c r="K1240" s="76" t="str">
        <f t="shared" si="598"/>
        <v>inermis</v>
      </c>
      <c r="L1240" s="77">
        <f t="shared" si="598"/>
        <v>13</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2019</v>
      </c>
      <c r="B1241" s="72" t="str">
        <f t="shared" si="577"/>
        <v>Nov</v>
      </c>
      <c r="C1241" s="73">
        <f t="shared" si="595"/>
        <v>24</v>
      </c>
      <c r="D1241" s="74">
        <f t="shared" si="578"/>
        <v>6</v>
      </c>
      <c r="E1241" s="75">
        <f t="shared" si="579"/>
        <v>58</v>
      </c>
      <c r="F1241" s="79"/>
      <c r="G1241" s="82"/>
      <c r="H1241" s="68" t="str">
        <f t="shared" si="596"/>
        <v>Lacine13_20191124_06_00</v>
      </c>
      <c r="I1241" s="69">
        <f t="shared" si="598"/>
        <v>1</v>
      </c>
      <c r="J1241" s="76" t="str">
        <f t="shared" si="598"/>
        <v>Lactuca</v>
      </c>
      <c r="K1241" s="76" t="str">
        <f t="shared" si="598"/>
        <v>inermis</v>
      </c>
      <c r="L1241" s="77">
        <f t="shared" si="598"/>
        <v>13</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2019</v>
      </c>
      <c r="B1242" s="72" t="str">
        <f t="shared" si="577"/>
        <v>Nov</v>
      </c>
      <c r="C1242" s="73">
        <f t="shared" si="595"/>
        <v>24</v>
      </c>
      <c r="D1242" s="74">
        <f t="shared" si="578"/>
        <v>6</v>
      </c>
      <c r="E1242" s="75">
        <f t="shared" si="579"/>
        <v>59</v>
      </c>
      <c r="F1242" s="79"/>
      <c r="G1242" s="82"/>
      <c r="H1242" s="68" t="str">
        <f t="shared" si="596"/>
        <v>Lacine13_20191124_06_00</v>
      </c>
      <c r="I1242" s="69">
        <f t="shared" si="598"/>
        <v>1</v>
      </c>
      <c r="J1242" s="76" t="str">
        <f t="shared" si="598"/>
        <v>Lactuca</v>
      </c>
      <c r="K1242" s="76" t="str">
        <f t="shared" si="598"/>
        <v>inermis</v>
      </c>
      <c r="L1242" s="77">
        <f t="shared" si="598"/>
        <v>13</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2019</v>
      </c>
      <c r="B1243" s="72" t="str">
        <f t="shared" si="577"/>
        <v>Nov</v>
      </c>
      <c r="C1243" s="73">
        <f t="shared" si="595"/>
        <v>24</v>
      </c>
      <c r="D1243" s="74">
        <f t="shared" si="578"/>
        <v>7</v>
      </c>
      <c r="E1243" s="75">
        <f t="shared" si="579"/>
        <v>0</v>
      </c>
      <c r="F1243" s="79"/>
      <c r="G1243" s="82"/>
      <c r="H1243" s="68" t="str">
        <f t="shared" si="596"/>
        <v>Lacine13_20191124_07_00</v>
      </c>
      <c r="I1243" s="69">
        <f t="shared" si="598"/>
        <v>1</v>
      </c>
      <c r="J1243" s="76" t="str">
        <f t="shared" si="598"/>
        <v>Lactuca</v>
      </c>
      <c r="K1243" s="76" t="str">
        <f t="shared" si="598"/>
        <v>inermis</v>
      </c>
      <c r="L1243" s="77">
        <f t="shared" si="598"/>
        <v>13</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2019</v>
      </c>
      <c r="B1244" s="72" t="str">
        <f t="shared" si="577"/>
        <v>Nov</v>
      </c>
      <c r="C1244" s="73">
        <f t="shared" si="595"/>
        <v>24</v>
      </c>
      <c r="D1244" s="74">
        <f t="shared" si="578"/>
        <v>7</v>
      </c>
      <c r="E1244" s="75">
        <f t="shared" si="579"/>
        <v>1</v>
      </c>
      <c r="F1244" s="79"/>
      <c r="G1244" s="82"/>
      <c r="H1244" s="68" t="str">
        <f t="shared" si="596"/>
        <v>Lacine13_20191124_07_00</v>
      </c>
      <c r="I1244" s="69">
        <f t="shared" si="598"/>
        <v>1</v>
      </c>
      <c r="J1244" s="76" t="str">
        <f t="shared" si="598"/>
        <v>Lactuca</v>
      </c>
      <c r="K1244" s="76" t="str">
        <f t="shared" si="598"/>
        <v>inermis</v>
      </c>
      <c r="L1244" s="77">
        <f t="shared" si="598"/>
        <v>13</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2019</v>
      </c>
      <c r="B1245" s="72" t="str">
        <f t="shared" si="577"/>
        <v>Nov</v>
      </c>
      <c r="C1245" s="73">
        <f t="shared" si="595"/>
        <v>24</v>
      </c>
      <c r="D1245" s="74">
        <f t="shared" si="578"/>
        <v>7</v>
      </c>
      <c r="E1245" s="75">
        <f t="shared" si="579"/>
        <v>2</v>
      </c>
      <c r="F1245" s="79"/>
      <c r="G1245" s="82"/>
      <c r="H1245" s="68" t="str">
        <f t="shared" si="596"/>
        <v>Lacine13_20191124_07_00</v>
      </c>
      <c r="I1245" s="69">
        <f t="shared" si="598"/>
        <v>1</v>
      </c>
      <c r="J1245" s="76" t="str">
        <f t="shared" si="598"/>
        <v>Lactuca</v>
      </c>
      <c r="K1245" s="76" t="str">
        <f t="shared" si="598"/>
        <v>inermis</v>
      </c>
      <c r="L1245" s="77">
        <f t="shared" si="598"/>
        <v>13</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2019</v>
      </c>
      <c r="B1246" s="72" t="str">
        <f t="shared" si="577"/>
        <v>Nov</v>
      </c>
      <c r="C1246" s="73">
        <f t="shared" si="595"/>
        <v>24</v>
      </c>
      <c r="D1246" s="74">
        <f t="shared" si="578"/>
        <v>7</v>
      </c>
      <c r="E1246" s="75">
        <f t="shared" si="579"/>
        <v>3</v>
      </c>
      <c r="F1246" s="79"/>
      <c r="G1246" s="82"/>
      <c r="H1246" s="68" t="str">
        <f t="shared" si="596"/>
        <v>Lacine13_20191124_07_00</v>
      </c>
      <c r="I1246" s="69">
        <f t="shared" si="598"/>
        <v>1</v>
      </c>
      <c r="J1246" s="76" t="str">
        <f t="shared" si="598"/>
        <v>Lactuca</v>
      </c>
      <c r="K1246" s="76" t="str">
        <f t="shared" si="598"/>
        <v>inermis</v>
      </c>
      <c r="L1246" s="77">
        <f t="shared" si="598"/>
        <v>13</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2019</v>
      </c>
      <c r="B1247" s="72" t="str">
        <f t="shared" si="577"/>
        <v>Nov</v>
      </c>
      <c r="C1247" s="73">
        <f t="shared" si="595"/>
        <v>24</v>
      </c>
      <c r="D1247" s="74">
        <f t="shared" si="578"/>
        <v>7</v>
      </c>
      <c r="E1247" s="75">
        <f t="shared" si="579"/>
        <v>4</v>
      </c>
      <c r="F1247" s="79"/>
      <c r="G1247" s="82"/>
      <c r="H1247" s="68" t="str">
        <f t="shared" si="596"/>
        <v>Lacine13_20191124_07_00</v>
      </c>
      <c r="I1247" s="69">
        <f t="shared" si="598"/>
        <v>1</v>
      </c>
      <c r="J1247" s="76" t="str">
        <f t="shared" si="598"/>
        <v>Lactuca</v>
      </c>
      <c r="K1247" s="76" t="str">
        <f t="shared" si="598"/>
        <v>inermis</v>
      </c>
      <c r="L1247" s="77">
        <f t="shared" si="598"/>
        <v>13</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2019</v>
      </c>
      <c r="B1248" s="72" t="str">
        <f t="shared" si="577"/>
        <v>Nov</v>
      </c>
      <c r="C1248" s="73">
        <f t="shared" si="595"/>
        <v>24</v>
      </c>
      <c r="D1248" s="74">
        <f t="shared" si="578"/>
        <v>7</v>
      </c>
      <c r="E1248" s="75">
        <f t="shared" si="579"/>
        <v>5</v>
      </c>
      <c r="F1248" s="79"/>
      <c r="G1248" s="82"/>
      <c r="H1248" s="68" t="str">
        <f t="shared" si="596"/>
        <v>Lacine13_20191124_07_00</v>
      </c>
      <c r="I1248" s="69">
        <f t="shared" si="598"/>
        <v>1</v>
      </c>
      <c r="J1248" s="76" t="str">
        <f t="shared" si="598"/>
        <v>Lactuca</v>
      </c>
      <c r="K1248" s="76" t="str">
        <f t="shared" si="598"/>
        <v>inermis</v>
      </c>
      <c r="L1248" s="77">
        <f t="shared" si="598"/>
        <v>13</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2019</v>
      </c>
      <c r="B1249" s="72" t="str">
        <f t="shared" si="577"/>
        <v>Nov</v>
      </c>
      <c r="C1249" s="73">
        <f t="shared" si="595"/>
        <v>24</v>
      </c>
      <c r="D1249" s="74">
        <f t="shared" si="578"/>
        <v>7</v>
      </c>
      <c r="E1249" s="75">
        <f t="shared" si="579"/>
        <v>6</v>
      </c>
      <c r="F1249" s="79"/>
      <c r="G1249" s="82"/>
      <c r="H1249" s="68" t="str">
        <f t="shared" si="596"/>
        <v>Lacine13_20191124_07_00</v>
      </c>
      <c r="I1249" s="69">
        <f t="shared" si="598"/>
        <v>1</v>
      </c>
      <c r="J1249" s="76" t="str">
        <f t="shared" si="598"/>
        <v>Lactuca</v>
      </c>
      <c r="K1249" s="76" t="str">
        <f t="shared" si="598"/>
        <v>inermis</v>
      </c>
      <c r="L1249" s="77">
        <f t="shared" si="598"/>
        <v>13</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2019</v>
      </c>
      <c r="B1250" s="72" t="str">
        <f t="shared" si="577"/>
        <v>Nov</v>
      </c>
      <c r="C1250" s="73">
        <f t="shared" si="595"/>
        <v>24</v>
      </c>
      <c r="D1250" s="74">
        <f t="shared" si="578"/>
        <v>7</v>
      </c>
      <c r="E1250" s="75">
        <f t="shared" si="579"/>
        <v>7</v>
      </c>
      <c r="F1250" s="79"/>
      <c r="G1250" s="82"/>
      <c r="H1250" s="68" t="str">
        <f t="shared" si="596"/>
        <v>Lacine13_20191124_07_00</v>
      </c>
      <c r="I1250" s="69">
        <f t="shared" si="598"/>
        <v>1</v>
      </c>
      <c r="J1250" s="76" t="str">
        <f t="shared" si="598"/>
        <v>Lactuca</v>
      </c>
      <c r="K1250" s="76" t="str">
        <f t="shared" si="598"/>
        <v>inermis</v>
      </c>
      <c r="L1250" s="77">
        <f t="shared" si="598"/>
        <v>13</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2019</v>
      </c>
      <c r="B1251" s="72" t="str">
        <f t="shared" si="577"/>
        <v>Nov</v>
      </c>
      <c r="C1251" s="73">
        <f t="shared" si="595"/>
        <v>24</v>
      </c>
      <c r="D1251" s="74">
        <f t="shared" si="578"/>
        <v>7</v>
      </c>
      <c r="E1251" s="75">
        <f t="shared" si="579"/>
        <v>8</v>
      </c>
      <c r="F1251" s="79"/>
      <c r="G1251" s="82"/>
      <c r="H1251" s="68" t="str">
        <f t="shared" si="596"/>
        <v>Lacine13_20191124_07_00</v>
      </c>
      <c r="I1251" s="69">
        <f t="shared" si="598"/>
        <v>1</v>
      </c>
      <c r="J1251" s="76" t="str">
        <f t="shared" si="598"/>
        <v>Lactuca</v>
      </c>
      <c r="K1251" s="76" t="str">
        <f t="shared" si="598"/>
        <v>inermis</v>
      </c>
      <c r="L1251" s="77">
        <f t="shared" si="598"/>
        <v>13</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2019</v>
      </c>
      <c r="B1252" s="72" t="str">
        <f t="shared" si="577"/>
        <v>Nov</v>
      </c>
      <c r="C1252" s="73">
        <f t="shared" si="595"/>
        <v>24</v>
      </c>
      <c r="D1252" s="74">
        <f t="shared" si="578"/>
        <v>7</v>
      </c>
      <c r="E1252" s="75">
        <f t="shared" si="579"/>
        <v>9</v>
      </c>
      <c r="F1252" s="79"/>
      <c r="G1252" s="82"/>
      <c r="H1252" s="68" t="str">
        <f t="shared" si="596"/>
        <v>Lacine13_20191124_07_00</v>
      </c>
      <c r="I1252" s="69">
        <f t="shared" si="598"/>
        <v>1</v>
      </c>
      <c r="J1252" s="76" t="str">
        <f t="shared" si="598"/>
        <v>Lactuca</v>
      </c>
      <c r="K1252" s="76" t="str">
        <f t="shared" si="598"/>
        <v>inermis</v>
      </c>
      <c r="L1252" s="77">
        <f t="shared" si="598"/>
        <v>13</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2019</v>
      </c>
      <c r="B1253" s="72" t="str">
        <f t="shared" si="577"/>
        <v>Nov</v>
      </c>
      <c r="C1253" s="73">
        <f t="shared" si="595"/>
        <v>24</v>
      </c>
      <c r="D1253" s="74">
        <f t="shared" si="578"/>
        <v>7</v>
      </c>
      <c r="E1253" s="75">
        <f t="shared" si="579"/>
        <v>10</v>
      </c>
      <c r="F1253" s="79"/>
      <c r="G1253" s="82"/>
      <c r="H1253" s="68" t="str">
        <f t="shared" si="596"/>
        <v>Lacine13_20191124_07_00</v>
      </c>
      <c r="I1253" s="69">
        <f t="shared" ref="I1253:N1268" si="599">I1252</f>
        <v>1</v>
      </c>
      <c r="J1253" s="76" t="str">
        <f t="shared" si="599"/>
        <v>Lactuca</v>
      </c>
      <c r="K1253" s="76" t="str">
        <f t="shared" si="599"/>
        <v>inermis</v>
      </c>
      <c r="L1253" s="77">
        <f t="shared" si="599"/>
        <v>13</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x14ac:dyDescent="0.35">
      <c r="A1254" s="72">
        <f t="shared" si="576"/>
        <v>2019</v>
      </c>
      <c r="B1254" s="72" t="str">
        <f t="shared" si="577"/>
        <v>Nov</v>
      </c>
      <c r="C1254" s="73">
        <f t="shared" si="595"/>
        <v>24</v>
      </c>
      <c r="D1254" s="74">
        <f t="shared" si="578"/>
        <v>7</v>
      </c>
      <c r="E1254" s="75">
        <f t="shared" si="579"/>
        <v>11</v>
      </c>
      <c r="F1254" s="79">
        <v>12</v>
      </c>
      <c r="G1254" s="82"/>
      <c r="H1254" s="68" t="str">
        <f t="shared" si="596"/>
        <v>Lacine13_20191124_07_00</v>
      </c>
      <c r="I1254" s="69">
        <f t="shared" si="599"/>
        <v>1</v>
      </c>
      <c r="J1254" s="76" t="str">
        <f t="shared" si="599"/>
        <v>Lactuca</v>
      </c>
      <c r="K1254" s="76" t="str">
        <f t="shared" si="599"/>
        <v>inermis</v>
      </c>
      <c r="L1254" s="77">
        <f t="shared" si="599"/>
        <v>13</v>
      </c>
      <c r="M1254" s="77">
        <f t="shared" si="599"/>
        <v>1</v>
      </c>
      <c r="N1254" s="71">
        <f t="shared" si="599"/>
        <v>0</v>
      </c>
      <c r="O1254" s="44"/>
      <c r="P1254" s="45">
        <f t="shared" si="580"/>
        <v>1</v>
      </c>
      <c r="Q1254" s="46" t="str">
        <f t="shared" si="581"/>
        <v>07:11:12</v>
      </c>
      <c r="R1254" s="47" t="str">
        <f t="shared" si="582"/>
        <v>11:12</v>
      </c>
      <c r="S1254" s="48">
        <f t="shared" si="571"/>
        <v>151</v>
      </c>
      <c r="T1254" s="47" t="str">
        <f t="shared" si="583"/>
        <v>07</v>
      </c>
      <c r="U1254" s="49">
        <v>13</v>
      </c>
      <c r="V1254" s="50">
        <v>43</v>
      </c>
      <c r="W1254" s="51" t="str">
        <f t="shared" si="584"/>
        <v>13:43</v>
      </c>
      <c r="X1254" s="52" t="s">
        <v>59</v>
      </c>
      <c r="Y1254" s="124" t="s">
        <v>89</v>
      </c>
      <c r="Z1254" s="124" t="s">
        <v>92</v>
      </c>
      <c r="AA1254" s="47" t="s">
        <v>82</v>
      </c>
      <c r="AB1254" s="47" t="str">
        <f t="shared" si="585"/>
        <v>NA</v>
      </c>
      <c r="AC1254" s="53">
        <f t="shared" si="586"/>
        <v>0</v>
      </c>
      <c r="AD1254" s="54">
        <f t="shared" si="587"/>
        <v>1</v>
      </c>
      <c r="AE1254" s="54"/>
      <c r="AF1254" s="54"/>
      <c r="AG1254" s="55" t="str">
        <f t="shared" si="588"/>
        <v/>
      </c>
      <c r="AH1254" s="56" t="str">
        <f t="shared" si="589"/>
        <v/>
      </c>
      <c r="AI1254" s="55"/>
      <c r="AJ1254" s="56" t="str">
        <f t="shared" si="590"/>
        <v/>
      </c>
      <c r="AK1254" s="55"/>
      <c r="AL1254" s="56" t="str">
        <f t="shared" si="591"/>
        <v/>
      </c>
      <c r="AM1254" s="55">
        <v>1</v>
      </c>
      <c r="AN1254" s="56">
        <f t="shared" si="592"/>
        <v>151</v>
      </c>
      <c r="AO1254" s="55"/>
      <c r="AP1254" s="56" t="str">
        <f t="shared" si="593"/>
        <v/>
      </c>
      <c r="AQ1254" s="55"/>
      <c r="AR1254" s="56" t="str">
        <f t="shared" si="594"/>
        <v/>
      </c>
      <c r="AS1254" s="57" t="s">
        <v>75</v>
      </c>
      <c r="AT1254" s="58"/>
      <c r="AU1254" s="58"/>
      <c r="AV1254" s="59"/>
      <c r="AW1254" s="60">
        <v>1</v>
      </c>
      <c r="AX1254" s="61">
        <f t="shared" si="573"/>
        <v>1</v>
      </c>
      <c r="AY1254" s="60">
        <v>1</v>
      </c>
      <c r="AZ1254" s="61">
        <f t="shared" si="575"/>
        <v>1</v>
      </c>
    </row>
    <row r="1255" spans="1:52" s="3" customFormat="1" hidden="1" x14ac:dyDescent="0.35">
      <c r="A1255" s="72">
        <f t="shared" si="576"/>
        <v>2019</v>
      </c>
      <c r="B1255" s="72" t="str">
        <f t="shared" si="577"/>
        <v>Nov</v>
      </c>
      <c r="C1255" s="73">
        <f t="shared" si="595"/>
        <v>24</v>
      </c>
      <c r="D1255" s="74">
        <f t="shared" si="578"/>
        <v>7</v>
      </c>
      <c r="E1255" s="75">
        <f t="shared" si="579"/>
        <v>12</v>
      </c>
      <c r="F1255" s="79"/>
      <c r="G1255" s="82"/>
      <c r="H1255" s="68" t="str">
        <f t="shared" si="596"/>
        <v>Lacine13_20191124_07_00</v>
      </c>
      <c r="I1255" s="69">
        <f t="shared" si="599"/>
        <v>1</v>
      </c>
      <c r="J1255" s="76" t="str">
        <f t="shared" si="599"/>
        <v>Lactuca</v>
      </c>
      <c r="K1255" s="76" t="str">
        <f t="shared" si="599"/>
        <v>inermis</v>
      </c>
      <c r="L1255" s="77">
        <f t="shared" si="599"/>
        <v>13</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2019</v>
      </c>
      <c r="B1256" s="72" t="str">
        <f t="shared" si="577"/>
        <v>Nov</v>
      </c>
      <c r="C1256" s="73">
        <f t="shared" si="595"/>
        <v>24</v>
      </c>
      <c r="D1256" s="74">
        <f t="shared" si="578"/>
        <v>7</v>
      </c>
      <c r="E1256" s="75">
        <f t="shared" si="579"/>
        <v>13</v>
      </c>
      <c r="F1256" s="79"/>
      <c r="G1256" s="82"/>
      <c r="H1256" s="68" t="str">
        <f t="shared" si="596"/>
        <v>Lacine13_20191124_07_00</v>
      </c>
      <c r="I1256" s="69">
        <f t="shared" si="599"/>
        <v>1</v>
      </c>
      <c r="J1256" s="76" t="str">
        <f t="shared" si="599"/>
        <v>Lactuca</v>
      </c>
      <c r="K1256" s="76" t="str">
        <f t="shared" si="599"/>
        <v>inermis</v>
      </c>
      <c r="L1256" s="77">
        <f t="shared" si="599"/>
        <v>13</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2019</v>
      </c>
      <c r="B1257" s="72" t="str">
        <f t="shared" si="577"/>
        <v>Nov</v>
      </c>
      <c r="C1257" s="73">
        <f t="shared" si="595"/>
        <v>24</v>
      </c>
      <c r="D1257" s="74">
        <f t="shared" si="578"/>
        <v>7</v>
      </c>
      <c r="E1257" s="75">
        <f t="shared" si="579"/>
        <v>14</v>
      </c>
      <c r="F1257" s="79"/>
      <c r="G1257" s="82"/>
      <c r="H1257" s="68" t="str">
        <f t="shared" si="596"/>
        <v>Lacine13_20191124_07_00</v>
      </c>
      <c r="I1257" s="69">
        <f t="shared" si="599"/>
        <v>1</v>
      </c>
      <c r="J1257" s="76" t="str">
        <f t="shared" si="599"/>
        <v>Lactuca</v>
      </c>
      <c r="K1257" s="76" t="str">
        <f t="shared" si="599"/>
        <v>inermis</v>
      </c>
      <c r="L1257" s="77">
        <f t="shared" si="599"/>
        <v>13</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2019</v>
      </c>
      <c r="B1258" s="72" t="str">
        <f t="shared" si="577"/>
        <v>Nov</v>
      </c>
      <c r="C1258" s="73">
        <f t="shared" si="595"/>
        <v>24</v>
      </c>
      <c r="D1258" s="74">
        <f t="shared" si="578"/>
        <v>7</v>
      </c>
      <c r="E1258" s="75">
        <f t="shared" si="579"/>
        <v>15</v>
      </c>
      <c r="F1258" s="79"/>
      <c r="G1258" s="82"/>
      <c r="H1258" s="68" t="str">
        <f t="shared" si="596"/>
        <v>Lacine13_20191124_07_00</v>
      </c>
      <c r="I1258" s="69">
        <f t="shared" si="599"/>
        <v>1</v>
      </c>
      <c r="J1258" s="76" t="str">
        <f t="shared" si="599"/>
        <v>Lactuca</v>
      </c>
      <c r="K1258" s="76" t="str">
        <f t="shared" si="599"/>
        <v>inermis</v>
      </c>
      <c r="L1258" s="77">
        <f t="shared" si="599"/>
        <v>13</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2019</v>
      </c>
      <c r="B1259" s="72" t="str">
        <f t="shared" si="577"/>
        <v>Nov</v>
      </c>
      <c r="C1259" s="73">
        <f t="shared" si="595"/>
        <v>24</v>
      </c>
      <c r="D1259" s="74">
        <f t="shared" si="578"/>
        <v>7</v>
      </c>
      <c r="E1259" s="75">
        <f t="shared" si="579"/>
        <v>16</v>
      </c>
      <c r="F1259" s="79"/>
      <c r="G1259" s="82"/>
      <c r="H1259" s="68" t="str">
        <f t="shared" si="596"/>
        <v>Lacine13_20191124_07_00</v>
      </c>
      <c r="I1259" s="69">
        <f t="shared" si="599"/>
        <v>1</v>
      </c>
      <c r="J1259" s="76" t="str">
        <f t="shared" si="599"/>
        <v>Lactuca</v>
      </c>
      <c r="K1259" s="76" t="str">
        <f t="shared" si="599"/>
        <v>inermis</v>
      </c>
      <c r="L1259" s="77">
        <f t="shared" si="599"/>
        <v>13</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2019</v>
      </c>
      <c r="B1260" s="72" t="str">
        <f t="shared" si="577"/>
        <v>Nov</v>
      </c>
      <c r="C1260" s="73">
        <f t="shared" si="595"/>
        <v>24</v>
      </c>
      <c r="D1260" s="74">
        <f t="shared" si="578"/>
        <v>7</v>
      </c>
      <c r="E1260" s="75">
        <f t="shared" si="579"/>
        <v>17</v>
      </c>
      <c r="F1260" s="79"/>
      <c r="G1260" s="82"/>
      <c r="H1260" s="68" t="str">
        <f t="shared" si="596"/>
        <v>Lacine13_20191124_07_00</v>
      </c>
      <c r="I1260" s="69">
        <f t="shared" si="599"/>
        <v>1</v>
      </c>
      <c r="J1260" s="76" t="str">
        <f t="shared" si="599"/>
        <v>Lactuca</v>
      </c>
      <c r="K1260" s="76" t="str">
        <f t="shared" si="599"/>
        <v>inermis</v>
      </c>
      <c r="L1260" s="77">
        <f t="shared" si="599"/>
        <v>13</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2019</v>
      </c>
      <c r="B1261" s="72" t="str">
        <f t="shared" si="577"/>
        <v>Nov</v>
      </c>
      <c r="C1261" s="73">
        <f t="shared" si="595"/>
        <v>24</v>
      </c>
      <c r="D1261" s="74">
        <f t="shared" si="578"/>
        <v>7</v>
      </c>
      <c r="E1261" s="75">
        <f t="shared" si="579"/>
        <v>18</v>
      </c>
      <c r="F1261" s="79"/>
      <c r="G1261" s="82"/>
      <c r="H1261" s="68" t="str">
        <f t="shared" si="596"/>
        <v>Lacine13_20191124_07_00</v>
      </c>
      <c r="I1261" s="69">
        <f t="shared" si="599"/>
        <v>1</v>
      </c>
      <c r="J1261" s="76" t="str">
        <f t="shared" si="599"/>
        <v>Lactuca</v>
      </c>
      <c r="K1261" s="76" t="str">
        <f t="shared" si="599"/>
        <v>inermis</v>
      </c>
      <c r="L1261" s="77">
        <f t="shared" si="599"/>
        <v>13</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2019</v>
      </c>
      <c r="B1262" s="72" t="str">
        <f t="shared" si="577"/>
        <v>Nov</v>
      </c>
      <c r="C1262" s="73">
        <f t="shared" si="595"/>
        <v>24</v>
      </c>
      <c r="D1262" s="74">
        <f t="shared" si="578"/>
        <v>7</v>
      </c>
      <c r="E1262" s="75">
        <f t="shared" si="579"/>
        <v>19</v>
      </c>
      <c r="F1262" s="79"/>
      <c r="G1262" s="82"/>
      <c r="H1262" s="68" t="str">
        <f t="shared" si="596"/>
        <v>Lacine13_20191124_07_00</v>
      </c>
      <c r="I1262" s="69">
        <f t="shared" si="599"/>
        <v>1</v>
      </c>
      <c r="J1262" s="76" t="str">
        <f t="shared" si="599"/>
        <v>Lactuca</v>
      </c>
      <c r="K1262" s="76" t="str">
        <f t="shared" si="599"/>
        <v>inermis</v>
      </c>
      <c r="L1262" s="77">
        <f t="shared" si="599"/>
        <v>13</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x14ac:dyDescent="0.35">
      <c r="A1263" s="72">
        <f t="shared" si="576"/>
        <v>2019</v>
      </c>
      <c r="B1263" s="72" t="str">
        <f t="shared" si="577"/>
        <v>Nov</v>
      </c>
      <c r="C1263" s="73">
        <f t="shared" si="595"/>
        <v>24</v>
      </c>
      <c r="D1263" s="74">
        <f t="shared" si="578"/>
        <v>7</v>
      </c>
      <c r="E1263" s="75">
        <f t="shared" si="579"/>
        <v>20</v>
      </c>
      <c r="F1263" s="79">
        <v>54</v>
      </c>
      <c r="G1263" s="82"/>
      <c r="H1263" s="68" t="str">
        <f t="shared" si="596"/>
        <v>Lacine13_20191124_07_00</v>
      </c>
      <c r="I1263" s="69">
        <f t="shared" si="599"/>
        <v>1</v>
      </c>
      <c r="J1263" s="76" t="str">
        <f t="shared" si="599"/>
        <v>Lactuca</v>
      </c>
      <c r="K1263" s="76" t="str">
        <f t="shared" si="599"/>
        <v>inermis</v>
      </c>
      <c r="L1263" s="77">
        <f t="shared" si="599"/>
        <v>13</v>
      </c>
      <c r="M1263" s="77">
        <f t="shared" si="599"/>
        <v>1</v>
      </c>
      <c r="N1263" s="71">
        <f t="shared" si="599"/>
        <v>0</v>
      </c>
      <c r="O1263" s="44"/>
      <c r="P1263" s="45">
        <f t="shared" si="580"/>
        <v>1</v>
      </c>
      <c r="Q1263" s="46" t="str">
        <f t="shared" si="581"/>
        <v>07:20:54</v>
      </c>
      <c r="R1263" s="47" t="str">
        <f t="shared" si="582"/>
        <v>20:54</v>
      </c>
      <c r="S1263" s="48">
        <f t="shared" si="571"/>
        <v>235</v>
      </c>
      <c r="T1263" s="47" t="str">
        <f t="shared" si="583"/>
        <v>07</v>
      </c>
      <c r="U1263" s="49">
        <v>24</v>
      </c>
      <c r="V1263" s="50">
        <v>49</v>
      </c>
      <c r="W1263" s="51" t="str">
        <f t="shared" si="584"/>
        <v>24:49</v>
      </c>
      <c r="X1263" s="52" t="s">
        <v>59</v>
      </c>
      <c r="Y1263" s="124" t="s">
        <v>89</v>
      </c>
      <c r="Z1263" s="124" t="s">
        <v>92</v>
      </c>
      <c r="AA1263" s="47" t="s">
        <v>82</v>
      </c>
      <c r="AB1263" s="47" t="str">
        <f t="shared" si="585"/>
        <v>NA</v>
      </c>
      <c r="AC1263" s="53">
        <f t="shared" si="586"/>
        <v>0</v>
      </c>
      <c r="AD1263" s="54">
        <v>2</v>
      </c>
      <c r="AE1263" s="54"/>
      <c r="AF1263" s="54"/>
      <c r="AG1263" s="55">
        <v>1</v>
      </c>
      <c r="AH1263" s="56">
        <v>5</v>
      </c>
      <c r="AI1263" s="55"/>
      <c r="AJ1263" s="56" t="str">
        <f t="shared" si="590"/>
        <v/>
      </c>
      <c r="AK1263" s="55"/>
      <c r="AL1263" s="56" t="str">
        <f t="shared" si="591"/>
        <v/>
      </c>
      <c r="AM1263" s="55">
        <v>1</v>
      </c>
      <c r="AN1263" s="56">
        <v>230</v>
      </c>
      <c r="AO1263" s="55"/>
      <c r="AP1263" s="56" t="str">
        <f t="shared" si="593"/>
        <v/>
      </c>
      <c r="AQ1263" s="55"/>
      <c r="AR1263" s="56" t="str">
        <f t="shared" si="594"/>
        <v/>
      </c>
      <c r="AS1263" s="57" t="s">
        <v>76</v>
      </c>
      <c r="AT1263" s="58"/>
      <c r="AU1263" s="58"/>
      <c r="AV1263" s="59"/>
      <c r="AW1263" s="60">
        <v>1</v>
      </c>
      <c r="AX1263" s="61">
        <v>1</v>
      </c>
      <c r="AY1263" s="60">
        <v>1</v>
      </c>
      <c r="AZ1263" s="61">
        <v>1</v>
      </c>
    </row>
    <row r="1264" spans="1:52" s="3" customFormat="1" hidden="1" x14ac:dyDescent="0.35">
      <c r="A1264" s="72">
        <f t="shared" si="576"/>
        <v>2019</v>
      </c>
      <c r="B1264" s="72" t="str">
        <f t="shared" si="577"/>
        <v>Nov</v>
      </c>
      <c r="C1264" s="73">
        <f t="shared" si="595"/>
        <v>24</v>
      </c>
      <c r="D1264" s="74">
        <f t="shared" si="578"/>
        <v>7</v>
      </c>
      <c r="E1264" s="75">
        <f t="shared" si="579"/>
        <v>21</v>
      </c>
      <c r="F1264" s="79"/>
      <c r="G1264" s="82"/>
      <c r="H1264" s="68" t="str">
        <f t="shared" si="596"/>
        <v>Lacine13_20191124_07_00</v>
      </c>
      <c r="I1264" s="69">
        <f t="shared" si="599"/>
        <v>1</v>
      </c>
      <c r="J1264" s="76" t="str">
        <f t="shared" si="599"/>
        <v>Lactuca</v>
      </c>
      <c r="K1264" s="76" t="str">
        <f t="shared" si="599"/>
        <v>inermis</v>
      </c>
      <c r="L1264" s="77">
        <f t="shared" si="599"/>
        <v>13</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2019</v>
      </c>
      <c r="B1265" s="72" t="str">
        <f t="shared" si="577"/>
        <v>Nov</v>
      </c>
      <c r="C1265" s="73">
        <f t="shared" si="595"/>
        <v>24</v>
      </c>
      <c r="D1265" s="74">
        <f t="shared" si="578"/>
        <v>7</v>
      </c>
      <c r="E1265" s="75">
        <f t="shared" si="579"/>
        <v>22</v>
      </c>
      <c r="F1265" s="79"/>
      <c r="G1265" s="82"/>
      <c r="H1265" s="68" t="str">
        <f t="shared" si="596"/>
        <v>Lacine13_20191124_07_00</v>
      </c>
      <c r="I1265" s="69">
        <f t="shared" si="599"/>
        <v>1</v>
      </c>
      <c r="J1265" s="76" t="str">
        <f t="shared" si="599"/>
        <v>Lactuca</v>
      </c>
      <c r="K1265" s="76" t="str">
        <f t="shared" si="599"/>
        <v>inermis</v>
      </c>
      <c r="L1265" s="77">
        <f t="shared" si="599"/>
        <v>13</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2019</v>
      </c>
      <c r="B1266" s="72" t="str">
        <f t="shared" si="577"/>
        <v>Nov</v>
      </c>
      <c r="C1266" s="73">
        <f t="shared" si="595"/>
        <v>24</v>
      </c>
      <c r="D1266" s="74">
        <f t="shared" si="578"/>
        <v>7</v>
      </c>
      <c r="E1266" s="75">
        <f t="shared" si="579"/>
        <v>23</v>
      </c>
      <c r="F1266" s="79"/>
      <c r="G1266" s="82"/>
      <c r="H1266" s="68" t="str">
        <f t="shared" si="596"/>
        <v>Lacine13_20191124_07_00</v>
      </c>
      <c r="I1266" s="69">
        <f t="shared" si="599"/>
        <v>1</v>
      </c>
      <c r="J1266" s="76" t="str">
        <f t="shared" si="599"/>
        <v>Lactuca</v>
      </c>
      <c r="K1266" s="76" t="str">
        <f t="shared" si="599"/>
        <v>inermis</v>
      </c>
      <c r="L1266" s="77">
        <f t="shared" si="599"/>
        <v>13</v>
      </c>
      <c r="M1266" s="77">
        <f t="shared" si="599"/>
        <v>1</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2019</v>
      </c>
      <c r="B1267" s="72" t="str">
        <f t="shared" si="577"/>
        <v>Nov</v>
      </c>
      <c r="C1267" s="73">
        <f t="shared" si="595"/>
        <v>24</v>
      </c>
      <c r="D1267" s="74">
        <f t="shared" si="578"/>
        <v>7</v>
      </c>
      <c r="E1267" s="75">
        <f t="shared" si="579"/>
        <v>24</v>
      </c>
      <c r="F1267" s="79"/>
      <c r="G1267" s="82"/>
      <c r="H1267" s="68" t="str">
        <f t="shared" si="596"/>
        <v>Lacine13_20191124_07_00</v>
      </c>
      <c r="I1267" s="69">
        <f t="shared" si="599"/>
        <v>1</v>
      </c>
      <c r="J1267" s="76" t="str">
        <f t="shared" si="599"/>
        <v>Lactuca</v>
      </c>
      <c r="K1267" s="76" t="str">
        <f t="shared" si="599"/>
        <v>inermis</v>
      </c>
      <c r="L1267" s="77">
        <f t="shared" si="599"/>
        <v>13</v>
      </c>
      <c r="M1267" s="77">
        <f t="shared" si="599"/>
        <v>1</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2019</v>
      </c>
      <c r="B1268" s="72" t="str">
        <f t="shared" si="577"/>
        <v>Nov</v>
      </c>
      <c r="C1268" s="73">
        <f t="shared" si="595"/>
        <v>24</v>
      </c>
      <c r="D1268" s="74">
        <f t="shared" si="578"/>
        <v>7</v>
      </c>
      <c r="E1268" s="75">
        <f t="shared" si="579"/>
        <v>25</v>
      </c>
      <c r="F1268" s="79"/>
      <c r="G1268" s="82"/>
      <c r="H1268" s="68" t="str">
        <f t="shared" si="596"/>
        <v>Lacine13_20191124_07_00</v>
      </c>
      <c r="I1268" s="69">
        <f t="shared" si="599"/>
        <v>1</v>
      </c>
      <c r="J1268" s="76" t="str">
        <f t="shared" si="599"/>
        <v>Lactuca</v>
      </c>
      <c r="K1268" s="76" t="str">
        <f t="shared" si="599"/>
        <v>inermis</v>
      </c>
      <c r="L1268" s="77">
        <f t="shared" si="599"/>
        <v>13</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x14ac:dyDescent="0.35">
      <c r="A1269" s="72">
        <f t="shared" si="576"/>
        <v>2019</v>
      </c>
      <c r="B1269" s="72" t="str">
        <f t="shared" si="577"/>
        <v>Nov</v>
      </c>
      <c r="C1269" s="73">
        <f t="shared" si="595"/>
        <v>24</v>
      </c>
      <c r="D1269" s="74">
        <f t="shared" si="578"/>
        <v>7</v>
      </c>
      <c r="E1269" s="75">
        <f t="shared" si="579"/>
        <v>26</v>
      </c>
      <c r="F1269" s="79">
        <v>37</v>
      </c>
      <c r="G1269" s="82"/>
      <c r="H1269" s="68" t="str">
        <f t="shared" si="596"/>
        <v>Lacine13_20191124_07_00</v>
      </c>
      <c r="I1269" s="69">
        <f t="shared" ref="I1269:N1284" si="600">I1268</f>
        <v>1</v>
      </c>
      <c r="J1269" s="76" t="str">
        <f t="shared" si="600"/>
        <v>Lactuca</v>
      </c>
      <c r="K1269" s="76" t="str">
        <f t="shared" si="600"/>
        <v>inermis</v>
      </c>
      <c r="L1269" s="77">
        <f t="shared" si="600"/>
        <v>13</v>
      </c>
      <c r="M1269" s="77">
        <f t="shared" si="600"/>
        <v>1</v>
      </c>
      <c r="N1269" s="71">
        <f t="shared" si="600"/>
        <v>0</v>
      </c>
      <c r="O1269" s="44"/>
      <c r="P1269" s="45">
        <f t="shared" si="580"/>
        <v>1</v>
      </c>
      <c r="Q1269" s="46" t="str">
        <f t="shared" si="581"/>
        <v>07:26:37</v>
      </c>
      <c r="R1269" s="47" t="str">
        <f t="shared" si="582"/>
        <v>26:37</v>
      </c>
      <c r="S1269" s="48">
        <f t="shared" si="571"/>
        <v>40</v>
      </c>
      <c r="T1269" s="47" t="str">
        <f t="shared" si="583"/>
        <v>07</v>
      </c>
      <c r="U1269" s="49">
        <v>27</v>
      </c>
      <c r="V1269" s="50">
        <v>17</v>
      </c>
      <c r="W1269" s="51" t="str">
        <f t="shared" si="584"/>
        <v>27:17</v>
      </c>
      <c r="X1269" s="52" t="s">
        <v>59</v>
      </c>
      <c r="Y1269" s="124" t="s">
        <v>89</v>
      </c>
      <c r="Z1269" s="124" t="s">
        <v>92</v>
      </c>
      <c r="AA1269" s="47" t="s">
        <v>82</v>
      </c>
      <c r="AB1269" s="47" t="str">
        <f t="shared" si="585"/>
        <v>NA</v>
      </c>
      <c r="AC1269" s="53">
        <f t="shared" si="586"/>
        <v>0</v>
      </c>
      <c r="AD1269" s="54">
        <f t="shared" si="587"/>
        <v>1</v>
      </c>
      <c r="AE1269" s="54"/>
      <c r="AF1269" s="54"/>
      <c r="AG1269" s="55" t="str">
        <f t="shared" si="588"/>
        <v/>
      </c>
      <c r="AH1269" s="56" t="str">
        <f t="shared" si="589"/>
        <v/>
      </c>
      <c r="AI1269" s="55"/>
      <c r="AJ1269" s="56" t="str">
        <f t="shared" si="590"/>
        <v/>
      </c>
      <c r="AK1269" s="55"/>
      <c r="AL1269" s="56" t="str">
        <f t="shared" si="591"/>
        <v/>
      </c>
      <c r="AM1269" s="55">
        <v>1</v>
      </c>
      <c r="AN1269" s="56">
        <f t="shared" si="592"/>
        <v>40</v>
      </c>
      <c r="AO1269" s="55"/>
      <c r="AP1269" s="56" t="str">
        <f t="shared" si="593"/>
        <v/>
      </c>
      <c r="AQ1269" s="55"/>
      <c r="AR1269" s="56" t="str">
        <f t="shared" si="594"/>
        <v/>
      </c>
      <c r="AS1269" s="57"/>
      <c r="AT1269" s="58"/>
      <c r="AU1269" s="58"/>
      <c r="AV1269" s="59"/>
      <c r="AW1269" s="60">
        <v>1</v>
      </c>
      <c r="AX1269" s="61">
        <f t="shared" si="573"/>
        <v>1</v>
      </c>
      <c r="AY1269" s="60">
        <v>1</v>
      </c>
      <c r="AZ1269" s="61">
        <f t="shared" si="575"/>
        <v>1</v>
      </c>
    </row>
    <row r="1270" spans="1:52" s="3" customFormat="1" hidden="1" x14ac:dyDescent="0.35">
      <c r="A1270" s="72">
        <f t="shared" si="576"/>
        <v>2019</v>
      </c>
      <c r="B1270" s="72" t="str">
        <f t="shared" si="577"/>
        <v>Nov</v>
      </c>
      <c r="C1270" s="73">
        <f t="shared" si="595"/>
        <v>24</v>
      </c>
      <c r="D1270" s="74">
        <f t="shared" si="578"/>
        <v>7</v>
      </c>
      <c r="E1270" s="75">
        <f t="shared" si="579"/>
        <v>27</v>
      </c>
      <c r="F1270" s="79"/>
      <c r="G1270" s="82"/>
      <c r="H1270" s="68" t="str">
        <f t="shared" si="596"/>
        <v>Lacine13_20191124_07_00</v>
      </c>
      <c r="I1270" s="69">
        <f t="shared" si="600"/>
        <v>1</v>
      </c>
      <c r="J1270" s="76" t="str">
        <f t="shared" si="600"/>
        <v>Lactuca</v>
      </c>
      <c r="K1270" s="76" t="str">
        <f t="shared" si="600"/>
        <v>inermis</v>
      </c>
      <c r="L1270" s="77">
        <f t="shared" si="600"/>
        <v>13</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2019</v>
      </c>
      <c r="B1271" s="72" t="str">
        <f t="shared" si="577"/>
        <v>Nov</v>
      </c>
      <c r="C1271" s="73">
        <f t="shared" si="595"/>
        <v>24</v>
      </c>
      <c r="D1271" s="74">
        <f t="shared" si="578"/>
        <v>7</v>
      </c>
      <c r="E1271" s="75">
        <f t="shared" si="579"/>
        <v>28</v>
      </c>
      <c r="F1271" s="79"/>
      <c r="G1271" s="82"/>
      <c r="H1271" s="68" t="str">
        <f t="shared" si="596"/>
        <v>Lacine13_20191124_07_00</v>
      </c>
      <c r="I1271" s="69">
        <f t="shared" si="600"/>
        <v>1</v>
      </c>
      <c r="J1271" s="76" t="str">
        <f t="shared" si="600"/>
        <v>Lactuca</v>
      </c>
      <c r="K1271" s="76" t="str">
        <f t="shared" si="600"/>
        <v>inermis</v>
      </c>
      <c r="L1271" s="77">
        <f t="shared" si="600"/>
        <v>13</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2019</v>
      </c>
      <c r="B1272" s="72" t="str">
        <f t="shared" si="577"/>
        <v>Nov</v>
      </c>
      <c r="C1272" s="73">
        <f t="shared" si="595"/>
        <v>24</v>
      </c>
      <c r="D1272" s="74">
        <f t="shared" si="578"/>
        <v>7</v>
      </c>
      <c r="E1272" s="75">
        <f t="shared" si="579"/>
        <v>29</v>
      </c>
      <c r="F1272" s="79"/>
      <c r="G1272" s="82"/>
      <c r="H1272" s="68" t="str">
        <f t="shared" si="596"/>
        <v>Lacine13_20191124_07_00</v>
      </c>
      <c r="I1272" s="69">
        <f t="shared" si="600"/>
        <v>1</v>
      </c>
      <c r="J1272" s="76" t="str">
        <f t="shared" si="600"/>
        <v>Lactuca</v>
      </c>
      <c r="K1272" s="76" t="str">
        <f t="shared" si="600"/>
        <v>inermis</v>
      </c>
      <c r="L1272" s="77">
        <f t="shared" si="600"/>
        <v>13</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2019</v>
      </c>
      <c r="B1273" s="72" t="str">
        <f t="shared" si="577"/>
        <v>Nov</v>
      </c>
      <c r="C1273" s="73">
        <f t="shared" si="595"/>
        <v>24</v>
      </c>
      <c r="D1273" s="74">
        <f t="shared" si="578"/>
        <v>7</v>
      </c>
      <c r="E1273" s="75">
        <f t="shared" si="579"/>
        <v>30</v>
      </c>
      <c r="F1273" s="79"/>
      <c r="G1273" s="82"/>
      <c r="H1273" s="68" t="str">
        <f t="shared" si="596"/>
        <v>Lacine13_20191124_07_00</v>
      </c>
      <c r="I1273" s="69">
        <f t="shared" si="600"/>
        <v>1</v>
      </c>
      <c r="J1273" s="76" t="str">
        <f t="shared" si="600"/>
        <v>Lactuca</v>
      </c>
      <c r="K1273" s="76" t="str">
        <f t="shared" si="600"/>
        <v>inermis</v>
      </c>
      <c r="L1273" s="77">
        <f t="shared" si="600"/>
        <v>13</v>
      </c>
      <c r="M1273" s="77">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2019</v>
      </c>
      <c r="B1274" s="72" t="str">
        <f t="shared" si="577"/>
        <v>Nov</v>
      </c>
      <c r="C1274" s="73">
        <f t="shared" si="595"/>
        <v>24</v>
      </c>
      <c r="D1274" s="74">
        <f t="shared" si="578"/>
        <v>7</v>
      </c>
      <c r="E1274" s="75">
        <f t="shared" si="579"/>
        <v>31</v>
      </c>
      <c r="F1274" s="79"/>
      <c r="G1274" s="82"/>
      <c r="H1274" s="68" t="str">
        <f t="shared" si="596"/>
        <v>Lacine13_20191124_07_00</v>
      </c>
      <c r="I1274" s="69">
        <f t="shared" si="600"/>
        <v>1</v>
      </c>
      <c r="J1274" s="76" t="str">
        <f t="shared" si="600"/>
        <v>Lactuca</v>
      </c>
      <c r="K1274" s="76" t="str">
        <f t="shared" si="600"/>
        <v>inermis</v>
      </c>
      <c r="L1274" s="77">
        <f t="shared" si="600"/>
        <v>13</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2019</v>
      </c>
      <c r="B1275" s="72" t="str">
        <f t="shared" si="577"/>
        <v>Nov</v>
      </c>
      <c r="C1275" s="73">
        <f t="shared" si="595"/>
        <v>24</v>
      </c>
      <c r="D1275" s="74">
        <f t="shared" si="578"/>
        <v>7</v>
      </c>
      <c r="E1275" s="75">
        <f t="shared" si="579"/>
        <v>32</v>
      </c>
      <c r="F1275" s="79"/>
      <c r="G1275" s="82"/>
      <c r="H1275" s="68" t="str">
        <f t="shared" si="596"/>
        <v>Lacine13_20191124_07_00</v>
      </c>
      <c r="I1275" s="69">
        <f t="shared" si="600"/>
        <v>1</v>
      </c>
      <c r="J1275" s="76" t="str">
        <f t="shared" si="600"/>
        <v>Lactuca</v>
      </c>
      <c r="K1275" s="76" t="str">
        <f t="shared" si="600"/>
        <v>inermis</v>
      </c>
      <c r="L1275" s="77">
        <f t="shared" si="600"/>
        <v>13</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2019</v>
      </c>
      <c r="B1276" s="72" t="str">
        <f t="shared" si="577"/>
        <v>Nov</v>
      </c>
      <c r="C1276" s="73">
        <f t="shared" si="595"/>
        <v>24</v>
      </c>
      <c r="D1276" s="74">
        <f t="shared" si="578"/>
        <v>7</v>
      </c>
      <c r="E1276" s="75">
        <f t="shared" si="579"/>
        <v>33</v>
      </c>
      <c r="F1276" s="79"/>
      <c r="G1276" s="82"/>
      <c r="H1276" s="68" t="str">
        <f t="shared" si="596"/>
        <v>Lacine13_20191124_07_00</v>
      </c>
      <c r="I1276" s="69">
        <f t="shared" si="600"/>
        <v>1</v>
      </c>
      <c r="J1276" s="76" t="str">
        <f t="shared" si="600"/>
        <v>Lactuca</v>
      </c>
      <c r="K1276" s="76" t="str">
        <f t="shared" si="600"/>
        <v>inermis</v>
      </c>
      <c r="L1276" s="77">
        <f t="shared" si="600"/>
        <v>13</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2019</v>
      </c>
      <c r="B1277" s="72" t="str">
        <f t="shared" si="577"/>
        <v>Nov</v>
      </c>
      <c r="C1277" s="73">
        <f t="shared" si="595"/>
        <v>24</v>
      </c>
      <c r="D1277" s="74">
        <f t="shared" si="578"/>
        <v>7</v>
      </c>
      <c r="E1277" s="75">
        <f t="shared" si="579"/>
        <v>34</v>
      </c>
      <c r="F1277" s="79"/>
      <c r="G1277" s="82"/>
      <c r="H1277" s="68" t="str">
        <f t="shared" si="596"/>
        <v>Lacine13_20191124_07_00</v>
      </c>
      <c r="I1277" s="69">
        <f t="shared" si="600"/>
        <v>1</v>
      </c>
      <c r="J1277" s="76" t="str">
        <f t="shared" si="600"/>
        <v>Lactuca</v>
      </c>
      <c r="K1277" s="76" t="str">
        <f t="shared" si="600"/>
        <v>inermis</v>
      </c>
      <c r="L1277" s="77">
        <f t="shared" si="600"/>
        <v>13</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2019</v>
      </c>
      <c r="B1278" s="72" t="str">
        <f t="shared" si="577"/>
        <v>Nov</v>
      </c>
      <c r="C1278" s="73">
        <f t="shared" si="595"/>
        <v>24</v>
      </c>
      <c r="D1278" s="74">
        <f t="shared" si="578"/>
        <v>7</v>
      </c>
      <c r="E1278" s="75">
        <f t="shared" si="579"/>
        <v>35</v>
      </c>
      <c r="F1278" s="79"/>
      <c r="G1278" s="82"/>
      <c r="H1278" s="68" t="str">
        <f t="shared" si="596"/>
        <v>Lacine13_20191124_07_00</v>
      </c>
      <c r="I1278" s="69">
        <f t="shared" si="600"/>
        <v>1</v>
      </c>
      <c r="J1278" s="76" t="str">
        <f t="shared" si="600"/>
        <v>Lactuca</v>
      </c>
      <c r="K1278" s="76" t="str">
        <f t="shared" si="600"/>
        <v>inermis</v>
      </c>
      <c r="L1278" s="77">
        <f t="shared" si="600"/>
        <v>13</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2019</v>
      </c>
      <c r="B1279" s="72" t="str">
        <f t="shared" si="577"/>
        <v>Nov</v>
      </c>
      <c r="C1279" s="73">
        <f t="shared" si="595"/>
        <v>24</v>
      </c>
      <c r="D1279" s="74">
        <f t="shared" si="578"/>
        <v>7</v>
      </c>
      <c r="E1279" s="75">
        <f t="shared" si="579"/>
        <v>36</v>
      </c>
      <c r="F1279" s="79"/>
      <c r="G1279" s="82"/>
      <c r="H1279" s="68" t="str">
        <f t="shared" si="596"/>
        <v>Lacine13_20191124_07_00</v>
      </c>
      <c r="I1279" s="69">
        <f t="shared" si="600"/>
        <v>1</v>
      </c>
      <c r="J1279" s="76" t="str">
        <f t="shared" si="600"/>
        <v>Lactuca</v>
      </c>
      <c r="K1279" s="76" t="str">
        <f t="shared" si="600"/>
        <v>inermis</v>
      </c>
      <c r="L1279" s="77">
        <f t="shared" si="600"/>
        <v>13</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2019</v>
      </c>
      <c r="B1280" s="72" t="str">
        <f t="shared" si="577"/>
        <v>Nov</v>
      </c>
      <c r="C1280" s="73">
        <f t="shared" si="595"/>
        <v>24</v>
      </c>
      <c r="D1280" s="74">
        <f t="shared" si="578"/>
        <v>7</v>
      </c>
      <c r="E1280" s="75">
        <f t="shared" si="579"/>
        <v>37</v>
      </c>
      <c r="F1280" s="79"/>
      <c r="G1280" s="82"/>
      <c r="H1280" s="68" t="str">
        <f t="shared" si="596"/>
        <v>Lacine13_20191124_07_00</v>
      </c>
      <c r="I1280" s="69">
        <f t="shared" si="600"/>
        <v>1</v>
      </c>
      <c r="J1280" s="76" t="str">
        <f t="shared" si="600"/>
        <v>Lactuca</v>
      </c>
      <c r="K1280" s="76" t="str">
        <f t="shared" si="600"/>
        <v>inermis</v>
      </c>
      <c r="L1280" s="77">
        <f t="shared" si="600"/>
        <v>13</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2019</v>
      </c>
      <c r="B1281" s="72" t="str">
        <f t="shared" si="577"/>
        <v>Nov</v>
      </c>
      <c r="C1281" s="73">
        <f t="shared" si="595"/>
        <v>24</v>
      </c>
      <c r="D1281" s="74">
        <f t="shared" si="578"/>
        <v>7</v>
      </c>
      <c r="E1281" s="75">
        <f t="shared" si="579"/>
        <v>38</v>
      </c>
      <c r="F1281" s="79"/>
      <c r="G1281" s="82"/>
      <c r="H1281" s="68" t="str">
        <f t="shared" si="596"/>
        <v>Lacine13_20191124_07_00</v>
      </c>
      <c r="I1281" s="69">
        <f t="shared" si="600"/>
        <v>1</v>
      </c>
      <c r="J1281" s="76" t="str">
        <f t="shared" si="600"/>
        <v>Lactuca</v>
      </c>
      <c r="K1281" s="76" t="str">
        <f t="shared" si="600"/>
        <v>inermis</v>
      </c>
      <c r="L1281" s="77">
        <f t="shared" si="600"/>
        <v>13</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2019</v>
      </c>
      <c r="B1282" s="72" t="str">
        <f t="shared" si="577"/>
        <v>Nov</v>
      </c>
      <c r="C1282" s="73">
        <f t="shared" si="595"/>
        <v>24</v>
      </c>
      <c r="D1282" s="74">
        <f t="shared" si="578"/>
        <v>7</v>
      </c>
      <c r="E1282" s="75">
        <f t="shared" si="579"/>
        <v>39</v>
      </c>
      <c r="F1282" s="79"/>
      <c r="G1282" s="82"/>
      <c r="H1282" s="68" t="str">
        <f t="shared" si="596"/>
        <v>Lacine13_20191124_07_00</v>
      </c>
      <c r="I1282" s="69">
        <f t="shared" si="600"/>
        <v>1</v>
      </c>
      <c r="J1282" s="76" t="str">
        <f t="shared" si="600"/>
        <v>Lactuca</v>
      </c>
      <c r="K1282" s="76" t="str">
        <f t="shared" si="600"/>
        <v>inermis</v>
      </c>
      <c r="L1282" s="77">
        <f t="shared" si="600"/>
        <v>13</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2019</v>
      </c>
      <c r="B1283" s="72" t="str">
        <f t="shared" si="577"/>
        <v>Nov</v>
      </c>
      <c r="C1283" s="73">
        <f t="shared" si="595"/>
        <v>24</v>
      </c>
      <c r="D1283" s="74">
        <f t="shared" si="578"/>
        <v>7</v>
      </c>
      <c r="E1283" s="75">
        <f t="shared" si="579"/>
        <v>40</v>
      </c>
      <c r="F1283" s="79"/>
      <c r="G1283" s="82"/>
      <c r="H1283" s="68" t="str">
        <f t="shared" si="596"/>
        <v>Lacine13_20191124_07_00</v>
      </c>
      <c r="I1283" s="69">
        <f t="shared" si="600"/>
        <v>1</v>
      </c>
      <c r="J1283" s="76" t="str">
        <f t="shared" si="600"/>
        <v>Lactuca</v>
      </c>
      <c r="K1283" s="76" t="str">
        <f t="shared" si="600"/>
        <v>inermis</v>
      </c>
      <c r="L1283" s="77">
        <f t="shared" si="600"/>
        <v>13</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2019</v>
      </c>
      <c r="B1284" s="72" t="str">
        <f t="shared" ref="B1284:B1347" si="607">IF(C1283-C1284&gt;0, TEXT(DATE(2016,(MONTH(DATEVALUE(B1283&amp;"1"))+1),1),"mmm"), B1283)</f>
        <v>Nov</v>
      </c>
      <c r="C1284" s="73">
        <f t="shared" si="595"/>
        <v>24</v>
      </c>
      <c r="D1284" s="74">
        <f t="shared" ref="D1284:D1347" si="608">IF(IF(E1283=59,D1283+1,D1283)=24,0,IF(E1283=59,D1283+1,D1283))</f>
        <v>7</v>
      </c>
      <c r="E1284" s="75">
        <f t="shared" ref="E1284:E1347" si="609">IF(E1283&lt;59,E1283+1,0)</f>
        <v>41</v>
      </c>
      <c r="F1284" s="79"/>
      <c r="G1284" s="82"/>
      <c r="H1284" s="68" t="str">
        <f t="shared" si="596"/>
        <v>Lacine13_20191124_07_00</v>
      </c>
      <c r="I1284" s="69">
        <f t="shared" si="600"/>
        <v>1</v>
      </c>
      <c r="J1284" s="76" t="str">
        <f t="shared" si="600"/>
        <v>Lactuca</v>
      </c>
      <c r="K1284" s="76" t="str">
        <f t="shared" si="600"/>
        <v>inermis</v>
      </c>
      <c r="L1284" s="77">
        <f t="shared" si="600"/>
        <v>13</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x14ac:dyDescent="0.35">
      <c r="A1285" s="72">
        <f t="shared" si="606"/>
        <v>2019</v>
      </c>
      <c r="B1285" s="72" t="str">
        <f t="shared" si="607"/>
        <v>Nov</v>
      </c>
      <c r="C1285" s="73">
        <f t="shared" ref="C1285:C1348" si="625">IF(AND(D1285=0, E1285=0), IF(TEXT(C1284,"dd")=TEXT(EOMONTH(DATE(A1284,MONTH(DATEVALUE(B1284&amp;"1")),C1284),0), "dd"), 1, C1284+1), C1284)</f>
        <v>24</v>
      </c>
      <c r="D1285" s="74">
        <f t="shared" si="608"/>
        <v>7</v>
      </c>
      <c r="E1285" s="75">
        <f t="shared" si="609"/>
        <v>42</v>
      </c>
      <c r="F1285" s="79">
        <v>17</v>
      </c>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Lacine13_20191124_07_00</v>
      </c>
      <c r="I1285" s="69">
        <f t="shared" ref="I1285:N1300" si="627">I1284</f>
        <v>1</v>
      </c>
      <c r="J1285" s="76" t="str">
        <f t="shared" si="627"/>
        <v>Lactuca</v>
      </c>
      <c r="K1285" s="76" t="str">
        <f t="shared" si="627"/>
        <v>inermis</v>
      </c>
      <c r="L1285" s="77">
        <f t="shared" si="627"/>
        <v>13</v>
      </c>
      <c r="M1285" s="77">
        <f t="shared" si="627"/>
        <v>1</v>
      </c>
      <c r="N1285" s="71">
        <f t="shared" si="627"/>
        <v>0</v>
      </c>
      <c r="O1285" s="44"/>
      <c r="P1285" s="45">
        <f t="shared" si="610"/>
        <v>1</v>
      </c>
      <c r="Q1285" s="46" t="str">
        <f t="shared" si="611"/>
        <v>07:42:17</v>
      </c>
      <c r="R1285" s="47" t="str">
        <f t="shared" si="612"/>
        <v>42:17</v>
      </c>
      <c r="S1285" s="48">
        <f t="shared" si="601"/>
        <v>6</v>
      </c>
      <c r="T1285" s="47" t="str">
        <f t="shared" si="613"/>
        <v>07</v>
      </c>
      <c r="U1285" s="49">
        <v>42</v>
      </c>
      <c r="V1285" s="50">
        <v>23</v>
      </c>
      <c r="W1285" s="51" t="str">
        <f t="shared" si="614"/>
        <v>42:23</v>
      </c>
      <c r="X1285" s="52" t="s">
        <v>59</v>
      </c>
      <c r="Y1285" s="124" t="s">
        <v>89</v>
      </c>
      <c r="Z1285" s="124" t="s">
        <v>92</v>
      </c>
      <c r="AA1285" s="47" t="s">
        <v>82</v>
      </c>
      <c r="AB1285" s="47" t="str">
        <f t="shared" si="615"/>
        <v>NA</v>
      </c>
      <c r="AC1285" s="53">
        <f t="shared" si="616"/>
        <v>0</v>
      </c>
      <c r="AD1285" s="54">
        <f t="shared" si="617"/>
        <v>1</v>
      </c>
      <c r="AE1285" s="54"/>
      <c r="AF1285" s="54"/>
      <c r="AG1285" s="55">
        <v>1</v>
      </c>
      <c r="AH1285" s="56">
        <f t="shared" si="619"/>
        <v>6</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t="s">
        <v>77</v>
      </c>
      <c r="AT1285" s="58"/>
      <c r="AU1285" s="58"/>
      <c r="AV1285" s="59"/>
      <c r="AW1285" s="60">
        <f t="shared" si="602"/>
        <v>0</v>
      </c>
      <c r="AX1285" s="61" t="str">
        <f t="shared" si="603"/>
        <v/>
      </c>
      <c r="AY1285" s="60">
        <f t="shared" si="604"/>
        <v>0</v>
      </c>
      <c r="AZ1285" s="61" t="str">
        <f t="shared" si="605"/>
        <v/>
      </c>
    </row>
    <row r="1286" spans="1:52" s="3" customFormat="1" hidden="1" x14ac:dyDescent="0.35">
      <c r="A1286" s="72">
        <f t="shared" si="606"/>
        <v>2019</v>
      </c>
      <c r="B1286" s="72" t="str">
        <f t="shared" si="607"/>
        <v>Nov</v>
      </c>
      <c r="C1286" s="73">
        <f t="shared" si="625"/>
        <v>24</v>
      </c>
      <c r="D1286" s="74">
        <f t="shared" si="608"/>
        <v>7</v>
      </c>
      <c r="E1286" s="75">
        <f t="shared" si="609"/>
        <v>43</v>
      </c>
      <c r="F1286" s="79"/>
      <c r="G1286" s="82"/>
      <c r="H1286" s="68" t="str">
        <f t="shared" si="626"/>
        <v>Lacine13_20191124_07_00</v>
      </c>
      <c r="I1286" s="69">
        <f t="shared" si="627"/>
        <v>1</v>
      </c>
      <c r="J1286" s="76" t="str">
        <f t="shared" si="627"/>
        <v>Lactuca</v>
      </c>
      <c r="K1286" s="76" t="str">
        <f t="shared" si="627"/>
        <v>inermis</v>
      </c>
      <c r="L1286" s="77">
        <f t="shared" si="627"/>
        <v>13</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2019</v>
      </c>
      <c r="B1287" s="72" t="str">
        <f t="shared" si="607"/>
        <v>Nov</v>
      </c>
      <c r="C1287" s="73">
        <f t="shared" si="625"/>
        <v>24</v>
      </c>
      <c r="D1287" s="74">
        <f t="shared" si="608"/>
        <v>7</v>
      </c>
      <c r="E1287" s="75">
        <f t="shared" si="609"/>
        <v>44</v>
      </c>
      <c r="F1287" s="79"/>
      <c r="G1287" s="82"/>
      <c r="H1287" s="68" t="str">
        <f t="shared" si="626"/>
        <v>Lacine13_20191124_07_00</v>
      </c>
      <c r="I1287" s="69">
        <f t="shared" si="627"/>
        <v>1</v>
      </c>
      <c r="J1287" s="76" t="str">
        <f t="shared" si="627"/>
        <v>Lactuca</v>
      </c>
      <c r="K1287" s="76" t="str">
        <f t="shared" si="627"/>
        <v>inermis</v>
      </c>
      <c r="L1287" s="77">
        <f t="shared" si="627"/>
        <v>13</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2019</v>
      </c>
      <c r="B1288" s="72" t="str">
        <f t="shared" si="607"/>
        <v>Nov</v>
      </c>
      <c r="C1288" s="73">
        <f t="shared" si="625"/>
        <v>24</v>
      </c>
      <c r="D1288" s="74">
        <f t="shared" si="608"/>
        <v>7</v>
      </c>
      <c r="E1288" s="75">
        <f t="shared" si="609"/>
        <v>45</v>
      </c>
      <c r="F1288" s="79"/>
      <c r="G1288" s="82"/>
      <c r="H1288" s="68" t="str">
        <f t="shared" si="626"/>
        <v>Lacine13_20191124_07_00</v>
      </c>
      <c r="I1288" s="69">
        <f t="shared" si="627"/>
        <v>1</v>
      </c>
      <c r="J1288" s="76" t="str">
        <f t="shared" si="627"/>
        <v>Lactuca</v>
      </c>
      <c r="K1288" s="76" t="str">
        <f t="shared" si="627"/>
        <v>inermis</v>
      </c>
      <c r="L1288" s="77">
        <f t="shared" si="627"/>
        <v>13</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x14ac:dyDescent="0.35">
      <c r="A1289" s="72">
        <f t="shared" si="606"/>
        <v>2019</v>
      </c>
      <c r="B1289" s="72" t="str">
        <f t="shared" si="607"/>
        <v>Nov</v>
      </c>
      <c r="C1289" s="73">
        <f t="shared" si="625"/>
        <v>24</v>
      </c>
      <c r="D1289" s="74">
        <f t="shared" si="608"/>
        <v>7</v>
      </c>
      <c r="E1289" s="75">
        <f t="shared" si="609"/>
        <v>46</v>
      </c>
      <c r="F1289" s="79">
        <v>19</v>
      </c>
      <c r="G1289" s="82"/>
      <c r="H1289" s="68" t="str">
        <f t="shared" si="626"/>
        <v>Lacine13_20191124_07_00</v>
      </c>
      <c r="I1289" s="69">
        <f t="shared" si="627"/>
        <v>1</v>
      </c>
      <c r="J1289" s="76" t="str">
        <f t="shared" si="627"/>
        <v>Lactuca</v>
      </c>
      <c r="K1289" s="76" t="str">
        <f t="shared" si="627"/>
        <v>inermis</v>
      </c>
      <c r="L1289" s="77">
        <f t="shared" si="627"/>
        <v>13</v>
      </c>
      <c r="M1289" s="77">
        <f t="shared" si="627"/>
        <v>1</v>
      </c>
      <c r="N1289" s="71">
        <f t="shared" si="627"/>
        <v>0</v>
      </c>
      <c r="O1289" s="44"/>
      <c r="P1289" s="45">
        <f t="shared" si="610"/>
        <v>1</v>
      </c>
      <c r="Q1289" s="46" t="str">
        <f t="shared" si="611"/>
        <v>07:46:19</v>
      </c>
      <c r="R1289" s="47" t="str">
        <f t="shared" si="612"/>
        <v>46:19</v>
      </c>
      <c r="S1289" s="48">
        <f t="shared" si="601"/>
        <v>9</v>
      </c>
      <c r="T1289" s="47" t="str">
        <f t="shared" si="613"/>
        <v>07</v>
      </c>
      <c r="U1289" s="49">
        <v>46</v>
      </c>
      <c r="V1289" s="50">
        <v>28</v>
      </c>
      <c r="W1289" s="51" t="str">
        <f t="shared" si="614"/>
        <v>46:28</v>
      </c>
      <c r="X1289" s="52" t="s">
        <v>59</v>
      </c>
      <c r="Y1289" s="124" t="s">
        <v>87</v>
      </c>
      <c r="Z1289" s="124"/>
      <c r="AA1289" s="47" t="s">
        <v>82</v>
      </c>
      <c r="AB1289" s="47" t="str">
        <f t="shared" si="615"/>
        <v>NA</v>
      </c>
      <c r="AC1289" s="53">
        <f t="shared" si="616"/>
        <v>0</v>
      </c>
      <c r="AD1289" s="54">
        <f t="shared" si="617"/>
        <v>1</v>
      </c>
      <c r="AE1289" s="54"/>
      <c r="AF1289" s="54"/>
      <c r="AG1289" s="55" t="str">
        <f t="shared" si="618"/>
        <v/>
      </c>
      <c r="AH1289" s="56" t="str">
        <f t="shared" si="619"/>
        <v/>
      </c>
      <c r="AI1289" s="55"/>
      <c r="AJ1289" s="56" t="str">
        <f t="shared" si="620"/>
        <v/>
      </c>
      <c r="AK1289" s="55"/>
      <c r="AL1289" s="56" t="str">
        <f t="shared" si="621"/>
        <v/>
      </c>
      <c r="AM1289" s="55">
        <v>1</v>
      </c>
      <c r="AN1289" s="56">
        <f t="shared" si="622"/>
        <v>9</v>
      </c>
      <c r="AO1289" s="55"/>
      <c r="AP1289" s="56" t="str">
        <f t="shared" si="623"/>
        <v/>
      </c>
      <c r="AQ1289" s="55"/>
      <c r="AR1289" s="56" t="str">
        <f t="shared" si="624"/>
        <v/>
      </c>
      <c r="AS1289" s="57"/>
      <c r="AT1289" s="58"/>
      <c r="AU1289" s="58"/>
      <c r="AV1289" s="59"/>
      <c r="AW1289" s="60">
        <v>1</v>
      </c>
      <c r="AX1289" s="61">
        <f t="shared" si="603"/>
        <v>1</v>
      </c>
      <c r="AY1289" s="60">
        <v>1</v>
      </c>
      <c r="AZ1289" s="61">
        <f t="shared" si="605"/>
        <v>1</v>
      </c>
    </row>
    <row r="1290" spans="1:52" s="3" customFormat="1" hidden="1" x14ac:dyDescent="0.35">
      <c r="A1290" s="72">
        <f t="shared" si="606"/>
        <v>2019</v>
      </c>
      <c r="B1290" s="72" t="str">
        <f t="shared" si="607"/>
        <v>Nov</v>
      </c>
      <c r="C1290" s="73">
        <f t="shared" si="625"/>
        <v>24</v>
      </c>
      <c r="D1290" s="74">
        <f t="shared" si="608"/>
        <v>7</v>
      </c>
      <c r="E1290" s="75">
        <f t="shared" si="609"/>
        <v>47</v>
      </c>
      <c r="F1290" s="79"/>
      <c r="G1290" s="82"/>
      <c r="H1290" s="68" t="str">
        <f t="shared" si="626"/>
        <v>Lacine13_20191124_07_00</v>
      </c>
      <c r="I1290" s="69">
        <f t="shared" si="627"/>
        <v>1</v>
      </c>
      <c r="J1290" s="76" t="str">
        <f t="shared" si="627"/>
        <v>Lactuca</v>
      </c>
      <c r="K1290" s="76" t="str">
        <f t="shared" si="627"/>
        <v>inermis</v>
      </c>
      <c r="L1290" s="77">
        <f t="shared" si="627"/>
        <v>13</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2019</v>
      </c>
      <c r="B1291" s="72" t="str">
        <f t="shared" si="607"/>
        <v>Nov</v>
      </c>
      <c r="C1291" s="73">
        <f t="shared" si="625"/>
        <v>24</v>
      </c>
      <c r="D1291" s="74">
        <f t="shared" si="608"/>
        <v>7</v>
      </c>
      <c r="E1291" s="75">
        <f t="shared" si="609"/>
        <v>48</v>
      </c>
      <c r="F1291" s="79"/>
      <c r="G1291" s="82"/>
      <c r="H1291" s="68" t="str">
        <f t="shared" si="626"/>
        <v>Lacine13_20191124_07_00</v>
      </c>
      <c r="I1291" s="69">
        <f t="shared" si="627"/>
        <v>1</v>
      </c>
      <c r="J1291" s="76" t="str">
        <f t="shared" si="627"/>
        <v>Lactuca</v>
      </c>
      <c r="K1291" s="76" t="str">
        <f t="shared" si="627"/>
        <v>inermis</v>
      </c>
      <c r="L1291" s="77">
        <f t="shared" si="627"/>
        <v>13</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2019</v>
      </c>
      <c r="B1292" s="72" t="str">
        <f t="shared" si="607"/>
        <v>Nov</v>
      </c>
      <c r="C1292" s="73">
        <f t="shared" si="625"/>
        <v>24</v>
      </c>
      <c r="D1292" s="74">
        <f t="shared" si="608"/>
        <v>7</v>
      </c>
      <c r="E1292" s="75">
        <f t="shared" si="609"/>
        <v>49</v>
      </c>
      <c r="F1292" s="79"/>
      <c r="G1292" s="82"/>
      <c r="H1292" s="68" t="str">
        <f t="shared" si="626"/>
        <v>Lacine13_20191124_07_00</v>
      </c>
      <c r="I1292" s="69">
        <f t="shared" si="627"/>
        <v>1</v>
      </c>
      <c r="J1292" s="76" t="str">
        <f t="shared" si="627"/>
        <v>Lactuca</v>
      </c>
      <c r="K1292" s="76" t="str">
        <f t="shared" si="627"/>
        <v>inermis</v>
      </c>
      <c r="L1292" s="77">
        <f t="shared" si="627"/>
        <v>13</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2019</v>
      </c>
      <c r="B1293" s="72" t="str">
        <f t="shared" si="607"/>
        <v>Nov</v>
      </c>
      <c r="C1293" s="73">
        <f t="shared" si="625"/>
        <v>24</v>
      </c>
      <c r="D1293" s="74">
        <f t="shared" si="608"/>
        <v>7</v>
      </c>
      <c r="E1293" s="75">
        <f t="shared" si="609"/>
        <v>50</v>
      </c>
      <c r="F1293" s="79"/>
      <c r="G1293" s="82"/>
      <c r="H1293" s="68" t="str">
        <f t="shared" si="626"/>
        <v>Lacine13_20191124_07_00</v>
      </c>
      <c r="I1293" s="69">
        <f t="shared" si="627"/>
        <v>1</v>
      </c>
      <c r="J1293" s="76" t="str">
        <f t="shared" si="627"/>
        <v>Lactuca</v>
      </c>
      <c r="K1293" s="76" t="str">
        <f t="shared" si="627"/>
        <v>inermis</v>
      </c>
      <c r="L1293" s="77">
        <f t="shared" si="627"/>
        <v>13</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2019</v>
      </c>
      <c r="B1294" s="72" t="str">
        <f t="shared" si="607"/>
        <v>Nov</v>
      </c>
      <c r="C1294" s="73">
        <f t="shared" si="625"/>
        <v>24</v>
      </c>
      <c r="D1294" s="74">
        <f t="shared" si="608"/>
        <v>7</v>
      </c>
      <c r="E1294" s="75">
        <f t="shared" si="609"/>
        <v>51</v>
      </c>
      <c r="F1294" s="79"/>
      <c r="G1294" s="82"/>
      <c r="H1294" s="68" t="str">
        <f t="shared" si="626"/>
        <v>Lacine13_20191124_07_00</v>
      </c>
      <c r="I1294" s="69">
        <f t="shared" si="627"/>
        <v>1</v>
      </c>
      <c r="J1294" s="76" t="str">
        <f t="shared" si="627"/>
        <v>Lactuca</v>
      </c>
      <c r="K1294" s="76" t="str">
        <f t="shared" si="627"/>
        <v>inermis</v>
      </c>
      <c r="L1294" s="77">
        <f t="shared" si="627"/>
        <v>13</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2019</v>
      </c>
      <c r="B1295" s="72" t="str">
        <f t="shared" si="607"/>
        <v>Nov</v>
      </c>
      <c r="C1295" s="73">
        <f t="shared" si="625"/>
        <v>24</v>
      </c>
      <c r="D1295" s="74">
        <f t="shared" si="608"/>
        <v>7</v>
      </c>
      <c r="E1295" s="75">
        <f t="shared" si="609"/>
        <v>52</v>
      </c>
      <c r="F1295" s="79"/>
      <c r="G1295" s="82"/>
      <c r="H1295" s="68" t="str">
        <f t="shared" si="626"/>
        <v>Lacine13_20191124_07_00</v>
      </c>
      <c r="I1295" s="69">
        <f t="shared" si="627"/>
        <v>1</v>
      </c>
      <c r="J1295" s="76" t="str">
        <f t="shared" si="627"/>
        <v>Lactuca</v>
      </c>
      <c r="K1295" s="76" t="str">
        <f t="shared" si="627"/>
        <v>inermis</v>
      </c>
      <c r="L1295" s="77">
        <f t="shared" si="627"/>
        <v>13</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x14ac:dyDescent="0.35">
      <c r="A1296" s="72">
        <f t="shared" si="606"/>
        <v>2019</v>
      </c>
      <c r="B1296" s="72" t="str">
        <f t="shared" si="607"/>
        <v>Nov</v>
      </c>
      <c r="C1296" s="73">
        <f t="shared" si="625"/>
        <v>24</v>
      </c>
      <c r="D1296" s="74">
        <f t="shared" si="608"/>
        <v>7</v>
      </c>
      <c r="E1296" s="75">
        <f t="shared" si="609"/>
        <v>53</v>
      </c>
      <c r="F1296" s="79">
        <v>14</v>
      </c>
      <c r="G1296" s="82"/>
      <c r="H1296" s="68" t="str">
        <f t="shared" si="626"/>
        <v>Lacine13_20191124_07_00</v>
      </c>
      <c r="I1296" s="69">
        <f t="shared" si="627"/>
        <v>1</v>
      </c>
      <c r="J1296" s="76" t="str">
        <f t="shared" si="627"/>
        <v>Lactuca</v>
      </c>
      <c r="K1296" s="76" t="str">
        <f t="shared" si="627"/>
        <v>inermis</v>
      </c>
      <c r="L1296" s="77">
        <f t="shared" si="627"/>
        <v>13</v>
      </c>
      <c r="M1296" s="77">
        <f t="shared" si="627"/>
        <v>1</v>
      </c>
      <c r="N1296" s="71">
        <f t="shared" si="627"/>
        <v>0</v>
      </c>
      <c r="O1296" s="44"/>
      <c r="P1296" s="45">
        <f t="shared" si="610"/>
        <v>1</v>
      </c>
      <c r="Q1296" s="46" t="str">
        <f t="shared" si="611"/>
        <v>07:53:14</v>
      </c>
      <c r="R1296" s="47" t="str">
        <f t="shared" si="612"/>
        <v>53:14</v>
      </c>
      <c r="S1296" s="48">
        <f t="shared" si="601"/>
        <v>90</v>
      </c>
      <c r="T1296" s="47" t="str">
        <f t="shared" si="613"/>
        <v>07</v>
      </c>
      <c r="U1296" s="49">
        <v>54</v>
      </c>
      <c r="V1296" s="50">
        <v>44</v>
      </c>
      <c r="W1296" s="51" t="str">
        <f t="shared" si="614"/>
        <v>54:44</v>
      </c>
      <c r="X1296" s="52" t="s">
        <v>59</v>
      </c>
      <c r="Y1296" s="124" t="s">
        <v>89</v>
      </c>
      <c r="Z1296" s="124" t="s">
        <v>92</v>
      </c>
      <c r="AA1296" s="47" t="s">
        <v>82</v>
      </c>
      <c r="AB1296" s="47" t="str">
        <f t="shared" si="615"/>
        <v>NA</v>
      </c>
      <c r="AC1296" s="53">
        <f t="shared" si="616"/>
        <v>0</v>
      </c>
      <c r="AD1296" s="54">
        <f t="shared" si="617"/>
        <v>1</v>
      </c>
      <c r="AE1296" s="54"/>
      <c r="AF1296" s="54"/>
      <c r="AG1296" s="55" t="str">
        <f t="shared" si="618"/>
        <v/>
      </c>
      <c r="AH1296" s="56" t="str">
        <f t="shared" si="619"/>
        <v/>
      </c>
      <c r="AI1296" s="55"/>
      <c r="AJ1296" s="56" t="str">
        <f t="shared" si="620"/>
        <v/>
      </c>
      <c r="AK1296" s="55"/>
      <c r="AL1296" s="56" t="str">
        <f t="shared" si="621"/>
        <v/>
      </c>
      <c r="AM1296" s="55">
        <v>1</v>
      </c>
      <c r="AN1296" s="56">
        <f t="shared" si="622"/>
        <v>90</v>
      </c>
      <c r="AO1296" s="55"/>
      <c r="AP1296" s="56" t="str">
        <f t="shared" si="623"/>
        <v/>
      </c>
      <c r="AQ1296" s="55"/>
      <c r="AR1296" s="56" t="str">
        <f t="shared" si="624"/>
        <v/>
      </c>
      <c r="AS1296" s="57"/>
      <c r="AT1296" s="58"/>
      <c r="AU1296" s="58"/>
      <c r="AV1296" s="59"/>
      <c r="AW1296" s="60">
        <v>1</v>
      </c>
      <c r="AX1296" s="61">
        <f t="shared" si="603"/>
        <v>1</v>
      </c>
      <c r="AY1296" s="60">
        <v>1</v>
      </c>
      <c r="AZ1296" s="61">
        <f t="shared" si="605"/>
        <v>1</v>
      </c>
    </row>
    <row r="1297" spans="1:52" s="3" customFormat="1" x14ac:dyDescent="0.35">
      <c r="A1297" s="72">
        <f t="shared" si="606"/>
        <v>2019</v>
      </c>
      <c r="B1297" s="72" t="str">
        <f t="shared" si="607"/>
        <v>Nov</v>
      </c>
      <c r="C1297" s="73">
        <f t="shared" si="625"/>
        <v>24</v>
      </c>
      <c r="D1297" s="74">
        <f t="shared" si="608"/>
        <v>7</v>
      </c>
      <c r="E1297" s="75">
        <f t="shared" si="609"/>
        <v>54</v>
      </c>
      <c r="F1297" s="79">
        <v>10</v>
      </c>
      <c r="G1297" s="82"/>
      <c r="H1297" s="68" t="str">
        <f t="shared" si="626"/>
        <v>Lacine13_20191124_07_00</v>
      </c>
      <c r="I1297" s="69">
        <f t="shared" si="627"/>
        <v>1</v>
      </c>
      <c r="J1297" s="76" t="str">
        <f t="shared" si="627"/>
        <v>Lactuca</v>
      </c>
      <c r="K1297" s="76" t="str">
        <f t="shared" si="627"/>
        <v>inermis</v>
      </c>
      <c r="L1297" s="77">
        <f t="shared" si="627"/>
        <v>13</v>
      </c>
      <c r="M1297" s="77">
        <f t="shared" si="627"/>
        <v>1</v>
      </c>
      <c r="N1297" s="71">
        <f t="shared" si="627"/>
        <v>0</v>
      </c>
      <c r="O1297" s="44"/>
      <c r="P1297" s="45">
        <f t="shared" si="610"/>
        <v>1</v>
      </c>
      <c r="Q1297" s="46" t="str">
        <f t="shared" si="611"/>
        <v>07:54:10</v>
      </c>
      <c r="R1297" s="47" t="str">
        <f t="shared" si="612"/>
        <v>54:10</v>
      </c>
      <c r="S1297" s="48">
        <f t="shared" si="601"/>
        <v>2</v>
      </c>
      <c r="T1297" s="47" t="str">
        <f t="shared" si="613"/>
        <v>07</v>
      </c>
      <c r="U1297" s="49">
        <v>54</v>
      </c>
      <c r="V1297" s="50">
        <v>12</v>
      </c>
      <c r="W1297" s="51" t="str">
        <f t="shared" si="614"/>
        <v>54:12</v>
      </c>
      <c r="X1297" s="52" t="s">
        <v>78</v>
      </c>
      <c r="Y1297" s="124" t="s">
        <v>87</v>
      </c>
      <c r="Z1297" s="124"/>
      <c r="AA1297" s="47" t="s">
        <v>82</v>
      </c>
      <c r="AB1297" s="47" t="str">
        <f t="shared" si="615"/>
        <v>NA</v>
      </c>
      <c r="AC1297" s="53">
        <f t="shared" si="616"/>
        <v>0</v>
      </c>
      <c r="AD1297" s="54">
        <f t="shared" si="617"/>
        <v>1</v>
      </c>
      <c r="AE1297" s="54"/>
      <c r="AF1297" s="54"/>
      <c r="AG1297" s="55">
        <v>1</v>
      </c>
      <c r="AH1297" s="56">
        <f t="shared" si="619"/>
        <v>2</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f t="shared" si="602"/>
        <v>0</v>
      </c>
      <c r="AX1297" s="61" t="str">
        <f t="shared" si="603"/>
        <v/>
      </c>
      <c r="AY1297" s="60">
        <f t="shared" si="604"/>
        <v>0</v>
      </c>
      <c r="AZ1297" s="61" t="str">
        <f t="shared" si="605"/>
        <v/>
      </c>
    </row>
    <row r="1298" spans="1:52" s="3" customFormat="1" x14ac:dyDescent="0.35">
      <c r="A1298" s="72">
        <f t="shared" si="606"/>
        <v>2019</v>
      </c>
      <c r="B1298" s="72" t="str">
        <f t="shared" si="607"/>
        <v>Nov</v>
      </c>
      <c r="C1298" s="73">
        <f t="shared" si="625"/>
        <v>24</v>
      </c>
      <c r="D1298" s="74">
        <f t="shared" si="608"/>
        <v>7</v>
      </c>
      <c r="E1298" s="75">
        <f t="shared" si="609"/>
        <v>55</v>
      </c>
      <c r="F1298" s="79">
        <v>31</v>
      </c>
      <c r="G1298" s="82"/>
      <c r="H1298" s="68" t="str">
        <f t="shared" si="626"/>
        <v>Lacine13_20191124_07_00</v>
      </c>
      <c r="I1298" s="69">
        <f t="shared" si="627"/>
        <v>1</v>
      </c>
      <c r="J1298" s="76" t="str">
        <f t="shared" si="627"/>
        <v>Lactuca</v>
      </c>
      <c r="K1298" s="76" t="str">
        <f t="shared" si="627"/>
        <v>inermis</v>
      </c>
      <c r="L1298" s="77">
        <f t="shared" si="627"/>
        <v>13</v>
      </c>
      <c r="M1298" s="77">
        <f t="shared" si="627"/>
        <v>1</v>
      </c>
      <c r="N1298" s="71">
        <f t="shared" si="627"/>
        <v>0</v>
      </c>
      <c r="O1298" s="44"/>
      <c r="P1298" s="45">
        <f t="shared" si="610"/>
        <v>1</v>
      </c>
      <c r="Q1298" s="46" t="str">
        <f t="shared" si="611"/>
        <v>07:55:31</v>
      </c>
      <c r="R1298" s="47" t="str">
        <f t="shared" si="612"/>
        <v>55:31</v>
      </c>
      <c r="S1298" s="48">
        <f t="shared" si="601"/>
        <v>18</v>
      </c>
      <c r="T1298" s="47" t="str">
        <f t="shared" si="613"/>
        <v>07</v>
      </c>
      <c r="U1298" s="49">
        <v>55</v>
      </c>
      <c r="V1298" s="50">
        <v>49</v>
      </c>
      <c r="W1298" s="51" t="str">
        <f t="shared" si="614"/>
        <v>55:49</v>
      </c>
      <c r="X1298" s="52" t="s">
        <v>59</v>
      </c>
      <c r="Y1298" s="124" t="s">
        <v>86</v>
      </c>
      <c r="Z1298" s="124"/>
      <c r="AA1298" s="47" t="s">
        <v>82</v>
      </c>
      <c r="AB1298" s="47" t="str">
        <f t="shared" si="615"/>
        <v>NA</v>
      </c>
      <c r="AC1298" s="53">
        <f t="shared" si="616"/>
        <v>0</v>
      </c>
      <c r="AD1298" s="54">
        <v>2</v>
      </c>
      <c r="AE1298" s="54"/>
      <c r="AF1298" s="54"/>
      <c r="AG1298" s="55" t="str">
        <f t="shared" si="618"/>
        <v/>
      </c>
      <c r="AH1298" s="56" t="str">
        <f t="shared" si="619"/>
        <v/>
      </c>
      <c r="AI1298" s="55"/>
      <c r="AJ1298" s="56" t="str">
        <f t="shared" si="620"/>
        <v/>
      </c>
      <c r="AK1298" s="55"/>
      <c r="AL1298" s="56" t="str">
        <f t="shared" si="621"/>
        <v/>
      </c>
      <c r="AM1298" s="55">
        <v>1</v>
      </c>
      <c r="AN1298" s="56">
        <f t="shared" si="622"/>
        <v>18</v>
      </c>
      <c r="AO1298" s="55"/>
      <c r="AP1298" s="56" t="str">
        <f t="shared" si="623"/>
        <v/>
      </c>
      <c r="AQ1298" s="55"/>
      <c r="AR1298" s="56" t="str">
        <f t="shared" si="624"/>
        <v/>
      </c>
      <c r="AS1298" s="57" t="s">
        <v>79</v>
      </c>
      <c r="AT1298" s="58"/>
      <c r="AU1298" s="58"/>
      <c r="AV1298" s="59"/>
      <c r="AW1298" s="60">
        <v>1</v>
      </c>
      <c r="AX1298" s="61">
        <v>1</v>
      </c>
      <c r="AY1298" s="60">
        <v>1</v>
      </c>
      <c r="AZ1298" s="61">
        <v>1</v>
      </c>
    </row>
    <row r="1299" spans="1:52" s="3" customFormat="1" x14ac:dyDescent="0.35">
      <c r="A1299" s="72">
        <f t="shared" si="606"/>
        <v>2019</v>
      </c>
      <c r="B1299" s="72" t="str">
        <f t="shared" si="607"/>
        <v>Nov</v>
      </c>
      <c r="C1299" s="73">
        <f t="shared" si="625"/>
        <v>24</v>
      </c>
      <c r="D1299" s="74">
        <f t="shared" si="608"/>
        <v>7</v>
      </c>
      <c r="E1299" s="75">
        <f t="shared" si="609"/>
        <v>56</v>
      </c>
      <c r="F1299" s="79">
        <v>38</v>
      </c>
      <c r="G1299" s="82"/>
      <c r="H1299" s="68" t="str">
        <f t="shared" si="626"/>
        <v>Lacine13_20191124_07_00</v>
      </c>
      <c r="I1299" s="69">
        <f t="shared" si="627"/>
        <v>1</v>
      </c>
      <c r="J1299" s="76" t="str">
        <f t="shared" si="627"/>
        <v>Lactuca</v>
      </c>
      <c r="K1299" s="76" t="str">
        <f t="shared" si="627"/>
        <v>inermis</v>
      </c>
      <c r="L1299" s="77">
        <f t="shared" si="627"/>
        <v>13</v>
      </c>
      <c r="M1299" s="77">
        <f t="shared" si="627"/>
        <v>1</v>
      </c>
      <c r="N1299" s="71">
        <f t="shared" si="627"/>
        <v>0</v>
      </c>
      <c r="O1299" s="44"/>
      <c r="P1299" s="45">
        <f t="shared" si="610"/>
        <v>1</v>
      </c>
      <c r="Q1299" s="46" t="str">
        <f t="shared" si="611"/>
        <v>07:56:38</v>
      </c>
      <c r="R1299" s="47" t="str">
        <f t="shared" si="612"/>
        <v>56:38</v>
      </c>
      <c r="S1299" s="48">
        <f t="shared" si="601"/>
        <v>7</v>
      </c>
      <c r="T1299" s="47" t="str">
        <f t="shared" si="613"/>
        <v>07</v>
      </c>
      <c r="U1299" s="49">
        <v>56</v>
      </c>
      <c r="V1299" s="50">
        <v>45</v>
      </c>
      <c r="W1299" s="51" t="str">
        <f t="shared" si="614"/>
        <v>56:45</v>
      </c>
      <c r="X1299" s="52" t="s">
        <v>59</v>
      </c>
      <c r="Y1299" s="124" t="s">
        <v>89</v>
      </c>
      <c r="Z1299" s="124" t="s">
        <v>92</v>
      </c>
      <c r="AA1299" s="47" t="s">
        <v>82</v>
      </c>
      <c r="AB1299" s="47" t="str">
        <f t="shared" si="615"/>
        <v>NA</v>
      </c>
      <c r="AC1299" s="53">
        <f t="shared" si="616"/>
        <v>0</v>
      </c>
      <c r="AD1299" s="54">
        <f t="shared" si="617"/>
        <v>1</v>
      </c>
      <c r="AE1299" s="54"/>
      <c r="AF1299" s="54"/>
      <c r="AG1299" s="55" t="str">
        <f t="shared" si="618"/>
        <v/>
      </c>
      <c r="AH1299" s="56" t="str">
        <f t="shared" si="619"/>
        <v/>
      </c>
      <c r="AI1299" s="55"/>
      <c r="AJ1299" s="56" t="str">
        <f t="shared" si="620"/>
        <v/>
      </c>
      <c r="AK1299" s="55"/>
      <c r="AL1299" s="56" t="str">
        <f t="shared" si="621"/>
        <v/>
      </c>
      <c r="AM1299" s="55">
        <v>1</v>
      </c>
      <c r="AN1299" s="56">
        <f t="shared" si="622"/>
        <v>7</v>
      </c>
      <c r="AO1299" s="55"/>
      <c r="AP1299" s="56" t="str">
        <f t="shared" si="623"/>
        <v/>
      </c>
      <c r="AQ1299" s="55"/>
      <c r="AR1299" s="56" t="str">
        <f t="shared" si="624"/>
        <v/>
      </c>
      <c r="AS1299" s="57"/>
      <c r="AT1299" s="58"/>
      <c r="AU1299" s="58"/>
      <c r="AV1299" s="59"/>
      <c r="AW1299" s="60">
        <v>1</v>
      </c>
      <c r="AX1299" s="61">
        <f t="shared" si="603"/>
        <v>1</v>
      </c>
      <c r="AY1299" s="60">
        <v>1</v>
      </c>
      <c r="AZ1299" s="61">
        <f t="shared" si="605"/>
        <v>1</v>
      </c>
    </row>
    <row r="1300" spans="1:52" s="3" customFormat="1" hidden="1" x14ac:dyDescent="0.35">
      <c r="A1300" s="72">
        <f t="shared" si="606"/>
        <v>2019</v>
      </c>
      <c r="B1300" s="72" t="str">
        <f t="shared" si="607"/>
        <v>Nov</v>
      </c>
      <c r="C1300" s="73">
        <f t="shared" si="625"/>
        <v>24</v>
      </c>
      <c r="D1300" s="74">
        <f t="shared" si="608"/>
        <v>7</v>
      </c>
      <c r="E1300" s="75">
        <f t="shared" si="609"/>
        <v>57</v>
      </c>
      <c r="F1300" s="79"/>
      <c r="G1300" s="82"/>
      <c r="H1300" s="68" t="str">
        <f t="shared" si="626"/>
        <v>Lacine13_20191124_07_00</v>
      </c>
      <c r="I1300" s="69">
        <f t="shared" si="627"/>
        <v>1</v>
      </c>
      <c r="J1300" s="76" t="str">
        <f t="shared" si="627"/>
        <v>Lactuca</v>
      </c>
      <c r="K1300" s="76" t="str">
        <f t="shared" si="627"/>
        <v>inermis</v>
      </c>
      <c r="L1300" s="77">
        <f t="shared" si="627"/>
        <v>13</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2019</v>
      </c>
      <c r="B1301" s="72" t="str">
        <f t="shared" si="607"/>
        <v>Nov</v>
      </c>
      <c r="C1301" s="73">
        <f t="shared" si="625"/>
        <v>24</v>
      </c>
      <c r="D1301" s="74">
        <f t="shared" si="608"/>
        <v>7</v>
      </c>
      <c r="E1301" s="75">
        <f t="shared" si="609"/>
        <v>58</v>
      </c>
      <c r="F1301" s="79"/>
      <c r="G1301" s="82"/>
      <c r="H1301" s="68" t="str">
        <f t="shared" si="626"/>
        <v>Lacine13_20191124_07_00</v>
      </c>
      <c r="I1301" s="69">
        <f t="shared" ref="I1301:N1316" si="628">I1300</f>
        <v>1</v>
      </c>
      <c r="J1301" s="76" t="str">
        <f t="shared" si="628"/>
        <v>Lactuca</v>
      </c>
      <c r="K1301" s="76" t="str">
        <f t="shared" si="628"/>
        <v>inermis</v>
      </c>
      <c r="L1301" s="77">
        <f t="shared" si="628"/>
        <v>13</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2019</v>
      </c>
      <c r="B1302" s="72" t="str">
        <f t="shared" si="607"/>
        <v>Nov</v>
      </c>
      <c r="C1302" s="73">
        <f t="shared" si="625"/>
        <v>24</v>
      </c>
      <c r="D1302" s="74">
        <f t="shared" si="608"/>
        <v>7</v>
      </c>
      <c r="E1302" s="75">
        <f t="shared" si="609"/>
        <v>59</v>
      </c>
      <c r="F1302" s="79"/>
      <c r="G1302" s="82"/>
      <c r="H1302" s="68" t="str">
        <f t="shared" si="626"/>
        <v>Lacine13_20191124_07_00</v>
      </c>
      <c r="I1302" s="69">
        <f t="shared" si="628"/>
        <v>1</v>
      </c>
      <c r="J1302" s="76" t="str">
        <f t="shared" si="628"/>
        <v>Lactuca</v>
      </c>
      <c r="K1302" s="76" t="str">
        <f t="shared" si="628"/>
        <v>inermis</v>
      </c>
      <c r="L1302" s="77">
        <f t="shared" si="628"/>
        <v>13</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2019</v>
      </c>
      <c r="B1303" s="72" t="str">
        <f t="shared" si="607"/>
        <v>Nov</v>
      </c>
      <c r="C1303" s="73">
        <f t="shared" si="625"/>
        <v>24</v>
      </c>
      <c r="D1303" s="74">
        <f t="shared" si="608"/>
        <v>8</v>
      </c>
      <c r="E1303" s="75">
        <f t="shared" si="609"/>
        <v>0</v>
      </c>
      <c r="F1303" s="79"/>
      <c r="G1303" s="82"/>
      <c r="H1303" s="68" t="str">
        <f t="shared" si="626"/>
        <v>Lacine13_20191124_08_00</v>
      </c>
      <c r="I1303" s="69">
        <f t="shared" si="628"/>
        <v>1</v>
      </c>
      <c r="J1303" s="76" t="str">
        <f t="shared" si="628"/>
        <v>Lactuca</v>
      </c>
      <c r="K1303" s="76" t="str">
        <f t="shared" si="628"/>
        <v>inermis</v>
      </c>
      <c r="L1303" s="77">
        <f t="shared" si="628"/>
        <v>13</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2019</v>
      </c>
      <c r="B1304" s="72" t="str">
        <f t="shared" si="607"/>
        <v>Nov</v>
      </c>
      <c r="C1304" s="73">
        <f t="shared" si="625"/>
        <v>24</v>
      </c>
      <c r="D1304" s="74">
        <f t="shared" si="608"/>
        <v>8</v>
      </c>
      <c r="E1304" s="75">
        <f t="shared" si="609"/>
        <v>1</v>
      </c>
      <c r="F1304" s="79"/>
      <c r="G1304" s="82"/>
      <c r="H1304" s="68" t="str">
        <f t="shared" si="626"/>
        <v>Lacine13_20191124_08_00</v>
      </c>
      <c r="I1304" s="69">
        <f t="shared" si="628"/>
        <v>1</v>
      </c>
      <c r="J1304" s="76" t="str">
        <f t="shared" si="628"/>
        <v>Lactuca</v>
      </c>
      <c r="K1304" s="76" t="str">
        <f t="shared" si="628"/>
        <v>inermis</v>
      </c>
      <c r="L1304" s="77">
        <f t="shared" si="628"/>
        <v>13</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x14ac:dyDescent="0.35">
      <c r="A1305" s="72">
        <f t="shared" si="606"/>
        <v>2019</v>
      </c>
      <c r="B1305" s="72" t="str">
        <f t="shared" si="607"/>
        <v>Nov</v>
      </c>
      <c r="C1305" s="73">
        <f t="shared" si="625"/>
        <v>24</v>
      </c>
      <c r="D1305" s="74">
        <f t="shared" si="608"/>
        <v>8</v>
      </c>
      <c r="E1305" s="75">
        <f t="shared" si="609"/>
        <v>2</v>
      </c>
      <c r="F1305" s="79">
        <v>11</v>
      </c>
      <c r="G1305" s="82"/>
      <c r="H1305" s="68" t="str">
        <f t="shared" si="626"/>
        <v>Lacine13_20191124_08_00</v>
      </c>
      <c r="I1305" s="69">
        <f t="shared" si="628"/>
        <v>1</v>
      </c>
      <c r="J1305" s="76" t="str">
        <f t="shared" si="628"/>
        <v>Lactuca</v>
      </c>
      <c r="K1305" s="76" t="str">
        <f t="shared" si="628"/>
        <v>inermis</v>
      </c>
      <c r="L1305" s="77">
        <f t="shared" si="628"/>
        <v>13</v>
      </c>
      <c r="M1305" s="77">
        <f t="shared" si="628"/>
        <v>1</v>
      </c>
      <c r="N1305" s="71">
        <f t="shared" si="628"/>
        <v>0</v>
      </c>
      <c r="O1305" s="44"/>
      <c r="P1305" s="45">
        <f t="shared" si="610"/>
        <v>1</v>
      </c>
      <c r="Q1305" s="46" t="str">
        <f t="shared" si="611"/>
        <v>08:02:11</v>
      </c>
      <c r="R1305" s="47" t="str">
        <f t="shared" si="612"/>
        <v>02:11</v>
      </c>
      <c r="S1305" s="48">
        <f t="shared" si="601"/>
        <v>12</v>
      </c>
      <c r="T1305" s="47" t="str">
        <f t="shared" si="613"/>
        <v>08</v>
      </c>
      <c r="U1305" s="49">
        <v>2</v>
      </c>
      <c r="V1305" s="50">
        <v>23</v>
      </c>
      <c r="W1305" s="51" t="str">
        <f t="shared" si="614"/>
        <v>02:23</v>
      </c>
      <c r="X1305" s="52" t="s">
        <v>59</v>
      </c>
      <c r="Y1305" s="124" t="s">
        <v>89</v>
      </c>
      <c r="Z1305" s="124" t="s">
        <v>92</v>
      </c>
      <c r="AA1305" s="47" t="s">
        <v>82</v>
      </c>
      <c r="AB1305" s="47" t="str">
        <f t="shared" si="615"/>
        <v>NA</v>
      </c>
      <c r="AC1305" s="53">
        <f t="shared" si="616"/>
        <v>0</v>
      </c>
      <c r="AD1305" s="54">
        <f t="shared" si="617"/>
        <v>1</v>
      </c>
      <c r="AE1305" s="54"/>
      <c r="AF1305" s="54"/>
      <c r="AG1305" s="55" t="str">
        <f t="shared" si="618"/>
        <v/>
      </c>
      <c r="AH1305" s="56" t="str">
        <f t="shared" si="619"/>
        <v/>
      </c>
      <c r="AI1305" s="55"/>
      <c r="AJ1305" s="56" t="str">
        <f t="shared" si="620"/>
        <v/>
      </c>
      <c r="AK1305" s="55"/>
      <c r="AL1305" s="56" t="str">
        <f t="shared" si="621"/>
        <v/>
      </c>
      <c r="AM1305" s="55">
        <v>1</v>
      </c>
      <c r="AN1305" s="56">
        <f t="shared" si="622"/>
        <v>12</v>
      </c>
      <c r="AO1305" s="55"/>
      <c r="AP1305" s="56" t="str">
        <f t="shared" si="623"/>
        <v/>
      </c>
      <c r="AQ1305" s="55"/>
      <c r="AR1305" s="56" t="str">
        <f t="shared" si="624"/>
        <v/>
      </c>
      <c r="AS1305" s="57"/>
      <c r="AT1305" s="58"/>
      <c r="AU1305" s="58"/>
      <c r="AV1305" s="59"/>
      <c r="AW1305" s="60">
        <v>1</v>
      </c>
      <c r="AX1305" s="61">
        <f t="shared" si="603"/>
        <v>1</v>
      </c>
      <c r="AY1305" s="60">
        <v>1</v>
      </c>
      <c r="AZ1305" s="61">
        <f t="shared" si="605"/>
        <v>1</v>
      </c>
    </row>
    <row r="1306" spans="1:52" s="3" customFormat="1" x14ac:dyDescent="0.35">
      <c r="A1306" s="72">
        <f t="shared" si="606"/>
        <v>2019</v>
      </c>
      <c r="B1306" s="72" t="str">
        <f t="shared" si="607"/>
        <v>Nov</v>
      </c>
      <c r="C1306" s="73">
        <f t="shared" si="625"/>
        <v>24</v>
      </c>
      <c r="D1306" s="74">
        <f t="shared" si="608"/>
        <v>8</v>
      </c>
      <c r="E1306" s="75">
        <f t="shared" si="609"/>
        <v>3</v>
      </c>
      <c r="F1306" s="79">
        <v>0</v>
      </c>
      <c r="G1306" s="82"/>
      <c r="H1306" s="68" t="str">
        <f t="shared" si="626"/>
        <v>Lacine13_20191124_08_00</v>
      </c>
      <c r="I1306" s="69">
        <f t="shared" si="628"/>
        <v>1</v>
      </c>
      <c r="J1306" s="76" t="str">
        <f t="shared" si="628"/>
        <v>Lactuca</v>
      </c>
      <c r="K1306" s="76" t="str">
        <f t="shared" si="628"/>
        <v>inermis</v>
      </c>
      <c r="L1306" s="77">
        <f t="shared" si="628"/>
        <v>13</v>
      </c>
      <c r="M1306" s="77">
        <f t="shared" si="628"/>
        <v>1</v>
      </c>
      <c r="N1306" s="71">
        <f t="shared" si="628"/>
        <v>0</v>
      </c>
      <c r="O1306" s="44"/>
      <c r="P1306" s="45">
        <f t="shared" si="610"/>
        <v>1</v>
      </c>
      <c r="Q1306" s="46" t="str">
        <f t="shared" si="611"/>
        <v>08:03:00</v>
      </c>
      <c r="R1306" s="47" t="str">
        <f t="shared" si="612"/>
        <v>03:00</v>
      </c>
      <c r="S1306" s="48">
        <f t="shared" si="601"/>
        <v>6</v>
      </c>
      <c r="T1306" s="47" t="str">
        <f t="shared" si="613"/>
        <v>08</v>
      </c>
      <c r="U1306" s="49">
        <v>3</v>
      </c>
      <c r="V1306" s="50">
        <v>6</v>
      </c>
      <c r="W1306" s="51" t="str">
        <f t="shared" si="614"/>
        <v>03:06</v>
      </c>
      <c r="X1306" s="52" t="s">
        <v>59</v>
      </c>
      <c r="Y1306" s="124" t="s">
        <v>89</v>
      </c>
      <c r="Z1306" s="124" t="s">
        <v>92</v>
      </c>
      <c r="AA1306" s="47" t="s">
        <v>82</v>
      </c>
      <c r="AB1306" s="47" t="str">
        <f t="shared" si="615"/>
        <v>NA</v>
      </c>
      <c r="AC1306" s="53">
        <f t="shared" si="616"/>
        <v>0</v>
      </c>
      <c r="AD1306" s="54">
        <f t="shared" si="617"/>
        <v>1</v>
      </c>
      <c r="AE1306" s="54"/>
      <c r="AF1306" s="54"/>
      <c r="AG1306" s="55" t="str">
        <f t="shared" si="618"/>
        <v/>
      </c>
      <c r="AH1306" s="56" t="str">
        <f t="shared" si="619"/>
        <v/>
      </c>
      <c r="AI1306" s="55"/>
      <c r="AJ1306" s="56" t="str">
        <f t="shared" si="620"/>
        <v/>
      </c>
      <c r="AK1306" s="55"/>
      <c r="AL1306" s="56" t="str">
        <f t="shared" si="621"/>
        <v/>
      </c>
      <c r="AM1306" s="55">
        <v>1</v>
      </c>
      <c r="AN1306" s="56">
        <f t="shared" si="622"/>
        <v>6</v>
      </c>
      <c r="AO1306" s="55"/>
      <c r="AP1306" s="56" t="str">
        <f t="shared" si="623"/>
        <v/>
      </c>
      <c r="AQ1306" s="55"/>
      <c r="AR1306" s="56" t="str">
        <f t="shared" si="624"/>
        <v/>
      </c>
      <c r="AS1306" s="57"/>
      <c r="AT1306" s="58"/>
      <c r="AU1306" s="58"/>
      <c r="AV1306" s="59"/>
      <c r="AW1306" s="60">
        <v>1</v>
      </c>
      <c r="AX1306" s="61">
        <f t="shared" si="603"/>
        <v>1</v>
      </c>
      <c r="AY1306" s="60">
        <v>1</v>
      </c>
      <c r="AZ1306" s="61">
        <f t="shared" si="605"/>
        <v>1</v>
      </c>
    </row>
    <row r="1307" spans="1:52" s="3" customFormat="1" hidden="1" x14ac:dyDescent="0.35">
      <c r="A1307" s="72">
        <f t="shared" si="606"/>
        <v>2019</v>
      </c>
      <c r="B1307" s="72" t="str">
        <f t="shared" si="607"/>
        <v>Nov</v>
      </c>
      <c r="C1307" s="73">
        <f t="shared" si="625"/>
        <v>24</v>
      </c>
      <c r="D1307" s="74">
        <f t="shared" si="608"/>
        <v>8</v>
      </c>
      <c r="E1307" s="75">
        <f t="shared" si="609"/>
        <v>4</v>
      </c>
      <c r="F1307" s="79"/>
      <c r="G1307" s="82"/>
      <c r="H1307" s="68" t="str">
        <f t="shared" si="626"/>
        <v>Lacine13_20191124_08_00</v>
      </c>
      <c r="I1307" s="69">
        <f t="shared" si="628"/>
        <v>1</v>
      </c>
      <c r="J1307" s="76" t="str">
        <f t="shared" si="628"/>
        <v>Lactuca</v>
      </c>
      <c r="K1307" s="76" t="str">
        <f t="shared" si="628"/>
        <v>inermis</v>
      </c>
      <c r="L1307" s="77">
        <f t="shared" si="628"/>
        <v>13</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2019</v>
      </c>
      <c r="B1308" s="72" t="str">
        <f t="shared" si="607"/>
        <v>Nov</v>
      </c>
      <c r="C1308" s="73">
        <f t="shared" si="625"/>
        <v>24</v>
      </c>
      <c r="D1308" s="74">
        <f t="shared" si="608"/>
        <v>8</v>
      </c>
      <c r="E1308" s="75">
        <f t="shared" si="609"/>
        <v>5</v>
      </c>
      <c r="F1308" s="79"/>
      <c r="G1308" s="82"/>
      <c r="H1308" s="68" t="str">
        <f t="shared" si="626"/>
        <v>Lacine13_20191124_08_00</v>
      </c>
      <c r="I1308" s="69">
        <f t="shared" si="628"/>
        <v>1</v>
      </c>
      <c r="J1308" s="76" t="str">
        <f t="shared" si="628"/>
        <v>Lactuca</v>
      </c>
      <c r="K1308" s="76" t="str">
        <f t="shared" si="628"/>
        <v>inermis</v>
      </c>
      <c r="L1308" s="77">
        <f t="shared" si="628"/>
        <v>13</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2019</v>
      </c>
      <c r="B1309" s="72" t="str">
        <f t="shared" si="607"/>
        <v>Nov</v>
      </c>
      <c r="C1309" s="73">
        <f t="shared" si="625"/>
        <v>24</v>
      </c>
      <c r="D1309" s="74">
        <f t="shared" si="608"/>
        <v>8</v>
      </c>
      <c r="E1309" s="75">
        <f t="shared" si="609"/>
        <v>6</v>
      </c>
      <c r="F1309" s="79"/>
      <c r="G1309" s="82"/>
      <c r="H1309" s="68" t="str">
        <f t="shared" si="626"/>
        <v>Lacine13_20191124_08_00</v>
      </c>
      <c r="I1309" s="69">
        <f t="shared" si="628"/>
        <v>1</v>
      </c>
      <c r="J1309" s="76" t="str">
        <f t="shared" si="628"/>
        <v>Lactuca</v>
      </c>
      <c r="K1309" s="76" t="str">
        <f t="shared" si="628"/>
        <v>inermis</v>
      </c>
      <c r="L1309" s="77">
        <f t="shared" si="628"/>
        <v>13</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2019</v>
      </c>
      <c r="B1310" s="72" t="str">
        <f t="shared" si="607"/>
        <v>Nov</v>
      </c>
      <c r="C1310" s="73">
        <f t="shared" si="625"/>
        <v>24</v>
      </c>
      <c r="D1310" s="74">
        <f t="shared" si="608"/>
        <v>8</v>
      </c>
      <c r="E1310" s="75">
        <f t="shared" si="609"/>
        <v>7</v>
      </c>
      <c r="F1310" s="79"/>
      <c r="G1310" s="82"/>
      <c r="H1310" s="68" t="str">
        <f t="shared" si="626"/>
        <v>Lacine13_20191124_08_00</v>
      </c>
      <c r="I1310" s="69">
        <f t="shared" si="628"/>
        <v>1</v>
      </c>
      <c r="J1310" s="76" t="str">
        <f t="shared" si="628"/>
        <v>Lactuca</v>
      </c>
      <c r="K1310" s="76" t="str">
        <f t="shared" si="628"/>
        <v>inermis</v>
      </c>
      <c r="L1310" s="77">
        <f t="shared" si="628"/>
        <v>13</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2019</v>
      </c>
      <c r="B1311" s="72" t="str">
        <f t="shared" si="607"/>
        <v>Nov</v>
      </c>
      <c r="C1311" s="73">
        <f t="shared" si="625"/>
        <v>24</v>
      </c>
      <c r="D1311" s="74">
        <f t="shared" si="608"/>
        <v>8</v>
      </c>
      <c r="E1311" s="75">
        <f t="shared" si="609"/>
        <v>8</v>
      </c>
      <c r="F1311" s="79"/>
      <c r="G1311" s="82"/>
      <c r="H1311" s="68" t="str">
        <f t="shared" si="626"/>
        <v>Lacine13_20191124_08_00</v>
      </c>
      <c r="I1311" s="69">
        <f t="shared" si="628"/>
        <v>1</v>
      </c>
      <c r="J1311" s="76" t="str">
        <f t="shared" si="628"/>
        <v>Lactuca</v>
      </c>
      <c r="K1311" s="76" t="str">
        <f t="shared" si="628"/>
        <v>inermis</v>
      </c>
      <c r="L1311" s="77">
        <f t="shared" si="628"/>
        <v>13</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2019</v>
      </c>
      <c r="B1312" s="72" t="str">
        <f t="shared" si="607"/>
        <v>Nov</v>
      </c>
      <c r="C1312" s="73">
        <f t="shared" si="625"/>
        <v>24</v>
      </c>
      <c r="D1312" s="74">
        <f t="shared" si="608"/>
        <v>8</v>
      </c>
      <c r="E1312" s="75">
        <f t="shared" si="609"/>
        <v>9</v>
      </c>
      <c r="F1312" s="79"/>
      <c r="G1312" s="82"/>
      <c r="H1312" s="68" t="str">
        <f t="shared" si="626"/>
        <v>Lacine13_20191124_08_00</v>
      </c>
      <c r="I1312" s="69">
        <f t="shared" si="628"/>
        <v>1</v>
      </c>
      <c r="J1312" s="76" t="str">
        <f t="shared" si="628"/>
        <v>Lactuca</v>
      </c>
      <c r="K1312" s="76" t="str">
        <f t="shared" si="628"/>
        <v>inermis</v>
      </c>
      <c r="L1312" s="77">
        <f t="shared" si="628"/>
        <v>13</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2019</v>
      </c>
      <c r="B1313" s="72" t="str">
        <f t="shared" si="607"/>
        <v>Nov</v>
      </c>
      <c r="C1313" s="73">
        <f t="shared" si="625"/>
        <v>24</v>
      </c>
      <c r="D1313" s="74">
        <f t="shared" si="608"/>
        <v>8</v>
      </c>
      <c r="E1313" s="75">
        <f t="shared" si="609"/>
        <v>10</v>
      </c>
      <c r="F1313" s="79"/>
      <c r="G1313" s="82"/>
      <c r="H1313" s="68" t="str">
        <f t="shared" si="626"/>
        <v>Lacine13_20191124_08_00</v>
      </c>
      <c r="I1313" s="69">
        <f t="shared" si="628"/>
        <v>1</v>
      </c>
      <c r="J1313" s="76" t="str">
        <f t="shared" si="628"/>
        <v>Lactuca</v>
      </c>
      <c r="K1313" s="76" t="str">
        <f t="shared" si="628"/>
        <v>inermis</v>
      </c>
      <c r="L1313" s="77">
        <f t="shared" si="628"/>
        <v>13</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2019</v>
      </c>
      <c r="B1314" s="72" t="str">
        <f t="shared" si="607"/>
        <v>Nov</v>
      </c>
      <c r="C1314" s="73">
        <f t="shared" si="625"/>
        <v>24</v>
      </c>
      <c r="D1314" s="74">
        <f t="shared" si="608"/>
        <v>8</v>
      </c>
      <c r="E1314" s="75">
        <f t="shared" si="609"/>
        <v>11</v>
      </c>
      <c r="F1314" s="79"/>
      <c r="G1314" s="82"/>
      <c r="H1314" s="68" t="str">
        <f t="shared" si="626"/>
        <v>Lacine13_20191124_08_00</v>
      </c>
      <c r="I1314" s="69">
        <f t="shared" si="628"/>
        <v>1</v>
      </c>
      <c r="J1314" s="76" t="str">
        <f t="shared" si="628"/>
        <v>Lactuca</v>
      </c>
      <c r="K1314" s="76" t="str">
        <f t="shared" si="628"/>
        <v>inermis</v>
      </c>
      <c r="L1314" s="77">
        <f t="shared" si="628"/>
        <v>13</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2019</v>
      </c>
      <c r="B1315" s="72" t="str">
        <f t="shared" si="607"/>
        <v>Nov</v>
      </c>
      <c r="C1315" s="73">
        <f t="shared" si="625"/>
        <v>24</v>
      </c>
      <c r="D1315" s="74">
        <f t="shared" si="608"/>
        <v>8</v>
      </c>
      <c r="E1315" s="75">
        <f t="shared" si="609"/>
        <v>12</v>
      </c>
      <c r="F1315" s="79"/>
      <c r="G1315" s="82"/>
      <c r="H1315" s="68" t="str">
        <f t="shared" si="626"/>
        <v>Lacine13_20191124_08_00</v>
      </c>
      <c r="I1315" s="69">
        <f t="shared" si="628"/>
        <v>1</v>
      </c>
      <c r="J1315" s="76" t="str">
        <f t="shared" si="628"/>
        <v>Lactuca</v>
      </c>
      <c r="K1315" s="76" t="str">
        <f t="shared" si="628"/>
        <v>inermis</v>
      </c>
      <c r="L1315" s="77">
        <f t="shared" si="628"/>
        <v>13</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x14ac:dyDescent="0.35">
      <c r="A1316" s="72">
        <f t="shared" si="606"/>
        <v>2019</v>
      </c>
      <c r="B1316" s="72" t="str">
        <f t="shared" si="607"/>
        <v>Nov</v>
      </c>
      <c r="C1316" s="73">
        <f t="shared" si="625"/>
        <v>24</v>
      </c>
      <c r="D1316" s="74">
        <f t="shared" si="608"/>
        <v>8</v>
      </c>
      <c r="E1316" s="75">
        <f t="shared" si="609"/>
        <v>13</v>
      </c>
      <c r="F1316" s="79">
        <v>39</v>
      </c>
      <c r="G1316" s="82"/>
      <c r="H1316" s="68" t="str">
        <f t="shared" si="626"/>
        <v>Lacine13_20191124_08_00</v>
      </c>
      <c r="I1316" s="69">
        <f t="shared" si="628"/>
        <v>1</v>
      </c>
      <c r="J1316" s="76" t="str">
        <f t="shared" si="628"/>
        <v>Lactuca</v>
      </c>
      <c r="K1316" s="76" t="str">
        <f t="shared" si="628"/>
        <v>inermis</v>
      </c>
      <c r="L1316" s="77">
        <f t="shared" si="628"/>
        <v>13</v>
      </c>
      <c r="M1316" s="77">
        <f t="shared" si="628"/>
        <v>1</v>
      </c>
      <c r="N1316" s="71">
        <f t="shared" si="628"/>
        <v>0</v>
      </c>
      <c r="O1316" s="44"/>
      <c r="P1316" s="45">
        <f t="shared" si="610"/>
        <v>1</v>
      </c>
      <c r="Q1316" s="46" t="str">
        <f t="shared" si="611"/>
        <v>08:13:39</v>
      </c>
      <c r="R1316" s="47" t="str">
        <f t="shared" si="612"/>
        <v>13:39</v>
      </c>
      <c r="S1316" s="48">
        <f t="shared" si="601"/>
        <v>4</v>
      </c>
      <c r="T1316" s="47" t="str">
        <f t="shared" si="613"/>
        <v>08</v>
      </c>
      <c r="U1316" s="49">
        <v>13</v>
      </c>
      <c r="V1316" s="50">
        <v>43</v>
      </c>
      <c r="W1316" s="51" t="str">
        <f t="shared" si="614"/>
        <v>13:43</v>
      </c>
      <c r="X1316" s="52" t="s">
        <v>59</v>
      </c>
      <c r="Y1316" s="124" t="s">
        <v>87</v>
      </c>
      <c r="Z1316" s="124"/>
      <c r="AA1316" s="47" t="s">
        <v>82</v>
      </c>
      <c r="AB1316" s="47" t="str">
        <f t="shared" si="615"/>
        <v>NA</v>
      </c>
      <c r="AC1316" s="53">
        <f t="shared" si="616"/>
        <v>0</v>
      </c>
      <c r="AD1316" s="54">
        <f t="shared" si="617"/>
        <v>1</v>
      </c>
      <c r="AE1316" s="54"/>
      <c r="AF1316" s="54"/>
      <c r="AG1316" s="55" t="str">
        <f t="shared" si="618"/>
        <v/>
      </c>
      <c r="AH1316" s="56" t="str">
        <f t="shared" si="619"/>
        <v/>
      </c>
      <c r="AI1316" s="55"/>
      <c r="AJ1316" s="56" t="str">
        <f t="shared" si="620"/>
        <v/>
      </c>
      <c r="AK1316" s="55"/>
      <c r="AL1316" s="56" t="str">
        <f t="shared" si="621"/>
        <v/>
      </c>
      <c r="AM1316" s="55">
        <v>1</v>
      </c>
      <c r="AN1316" s="56">
        <f t="shared" si="622"/>
        <v>4</v>
      </c>
      <c r="AO1316" s="55"/>
      <c r="AP1316" s="56" t="str">
        <f t="shared" si="623"/>
        <v/>
      </c>
      <c r="AQ1316" s="55"/>
      <c r="AR1316" s="56" t="str">
        <f t="shared" si="624"/>
        <v/>
      </c>
      <c r="AS1316" s="57" t="s">
        <v>64</v>
      </c>
      <c r="AT1316" s="58"/>
      <c r="AU1316" s="58"/>
      <c r="AV1316" s="59"/>
      <c r="AW1316" s="60">
        <v>1</v>
      </c>
      <c r="AX1316" s="61">
        <f t="shared" si="603"/>
        <v>1</v>
      </c>
      <c r="AY1316" s="60">
        <v>1</v>
      </c>
      <c r="AZ1316" s="61">
        <f t="shared" si="605"/>
        <v>1</v>
      </c>
    </row>
    <row r="1317" spans="1:52" s="3" customFormat="1" x14ac:dyDescent="0.35">
      <c r="A1317" s="72">
        <f t="shared" si="606"/>
        <v>2019</v>
      </c>
      <c r="B1317" s="72" t="str">
        <f t="shared" si="607"/>
        <v>Nov</v>
      </c>
      <c r="C1317" s="73">
        <f t="shared" si="625"/>
        <v>24</v>
      </c>
      <c r="D1317" s="74">
        <f t="shared" si="608"/>
        <v>8</v>
      </c>
      <c r="E1317" s="75">
        <v>13</v>
      </c>
      <c r="F1317" s="79">
        <v>40</v>
      </c>
      <c r="G1317" s="82"/>
      <c r="H1317" s="68" t="str">
        <f t="shared" si="626"/>
        <v>Lacine13_20191124_08_00</v>
      </c>
      <c r="I1317" s="69">
        <f t="shared" ref="I1317:N1332" si="629">I1316</f>
        <v>1</v>
      </c>
      <c r="J1317" s="76" t="str">
        <f t="shared" si="629"/>
        <v>Lactuca</v>
      </c>
      <c r="K1317" s="76" t="str">
        <f t="shared" si="629"/>
        <v>inermis</v>
      </c>
      <c r="L1317" s="77">
        <f t="shared" si="629"/>
        <v>13</v>
      </c>
      <c r="M1317" s="77">
        <f t="shared" si="629"/>
        <v>1</v>
      </c>
      <c r="N1317" s="71">
        <f t="shared" si="629"/>
        <v>0</v>
      </c>
      <c r="O1317" s="44"/>
      <c r="P1317" s="45">
        <f t="shared" si="610"/>
        <v>1</v>
      </c>
      <c r="Q1317" s="46" t="str">
        <f t="shared" si="611"/>
        <v>08:13:40</v>
      </c>
      <c r="R1317" s="47" t="str">
        <f t="shared" si="612"/>
        <v>13:40</v>
      </c>
      <c r="S1317" s="48">
        <f t="shared" si="601"/>
        <v>17</v>
      </c>
      <c r="T1317" s="47" t="str">
        <f t="shared" si="613"/>
        <v>08</v>
      </c>
      <c r="U1317" s="49">
        <v>13</v>
      </c>
      <c r="V1317" s="50">
        <v>57</v>
      </c>
      <c r="W1317" s="51" t="str">
        <f t="shared" si="614"/>
        <v>13:57</v>
      </c>
      <c r="X1317" s="52" t="s">
        <v>78</v>
      </c>
      <c r="Y1317" s="124" t="s">
        <v>91</v>
      </c>
      <c r="Z1317" s="124" t="s">
        <v>92</v>
      </c>
      <c r="AA1317" s="47" t="s">
        <v>82</v>
      </c>
      <c r="AB1317" s="47" t="str">
        <f t="shared" si="615"/>
        <v>NA</v>
      </c>
      <c r="AC1317" s="53">
        <f t="shared" si="616"/>
        <v>0</v>
      </c>
      <c r="AD1317" s="54">
        <v>2</v>
      </c>
      <c r="AE1317" s="54"/>
      <c r="AF1317" s="54"/>
      <c r="AG1317" s="55" t="str">
        <f t="shared" si="618"/>
        <v/>
      </c>
      <c r="AH1317" s="56" t="str">
        <f t="shared" si="619"/>
        <v/>
      </c>
      <c r="AI1317" s="55"/>
      <c r="AJ1317" s="56" t="str">
        <f t="shared" si="620"/>
        <v/>
      </c>
      <c r="AK1317" s="55"/>
      <c r="AL1317" s="56" t="str">
        <f t="shared" si="621"/>
        <v/>
      </c>
      <c r="AM1317" s="55">
        <v>1</v>
      </c>
      <c r="AN1317" s="56">
        <f t="shared" si="622"/>
        <v>17</v>
      </c>
      <c r="AO1317" s="55"/>
      <c r="AP1317" s="56" t="str">
        <f t="shared" si="623"/>
        <v/>
      </c>
      <c r="AQ1317" s="55"/>
      <c r="AR1317" s="56" t="str">
        <f t="shared" si="624"/>
        <v/>
      </c>
      <c r="AS1317" s="57"/>
      <c r="AT1317" s="58"/>
      <c r="AU1317" s="58"/>
      <c r="AV1317" s="59"/>
      <c r="AW1317" s="60">
        <v>1</v>
      </c>
      <c r="AX1317" s="61">
        <v>1</v>
      </c>
      <c r="AY1317" s="60">
        <v>1</v>
      </c>
      <c r="AZ1317" s="61">
        <v>1</v>
      </c>
    </row>
    <row r="1318" spans="1:52" s="3" customFormat="1" hidden="1" x14ac:dyDescent="0.35">
      <c r="A1318" s="72">
        <f t="shared" si="606"/>
        <v>2019</v>
      </c>
      <c r="B1318" s="72" t="str">
        <f t="shared" si="607"/>
        <v>Nov</v>
      </c>
      <c r="C1318" s="73">
        <f t="shared" si="625"/>
        <v>24</v>
      </c>
      <c r="D1318" s="74">
        <f t="shared" si="608"/>
        <v>8</v>
      </c>
      <c r="E1318" s="75">
        <f t="shared" si="609"/>
        <v>14</v>
      </c>
      <c r="F1318" s="79"/>
      <c r="G1318" s="82"/>
      <c r="H1318" s="68" t="str">
        <f t="shared" si="626"/>
        <v>Lacine13_20191124_08_00</v>
      </c>
      <c r="I1318" s="69">
        <f t="shared" si="629"/>
        <v>1</v>
      </c>
      <c r="J1318" s="76" t="str">
        <f t="shared" si="629"/>
        <v>Lactuca</v>
      </c>
      <c r="K1318" s="76" t="str">
        <f t="shared" si="629"/>
        <v>inermis</v>
      </c>
      <c r="L1318" s="77">
        <f t="shared" si="629"/>
        <v>13</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2019</v>
      </c>
      <c r="B1319" s="72" t="str">
        <f t="shared" si="607"/>
        <v>Nov</v>
      </c>
      <c r="C1319" s="73">
        <f t="shared" si="625"/>
        <v>24</v>
      </c>
      <c r="D1319" s="74">
        <f t="shared" si="608"/>
        <v>8</v>
      </c>
      <c r="E1319" s="75">
        <f t="shared" si="609"/>
        <v>15</v>
      </c>
      <c r="F1319" s="79"/>
      <c r="G1319" s="82"/>
      <c r="H1319" s="68" t="str">
        <f t="shared" si="626"/>
        <v>Lacine13_20191124_08_00</v>
      </c>
      <c r="I1319" s="69">
        <f t="shared" si="629"/>
        <v>1</v>
      </c>
      <c r="J1319" s="76" t="str">
        <f t="shared" si="629"/>
        <v>Lactuca</v>
      </c>
      <c r="K1319" s="76" t="str">
        <f t="shared" si="629"/>
        <v>inermis</v>
      </c>
      <c r="L1319" s="77">
        <f t="shared" si="629"/>
        <v>13</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2019</v>
      </c>
      <c r="B1320" s="72" t="str">
        <f t="shared" si="607"/>
        <v>Nov</v>
      </c>
      <c r="C1320" s="73">
        <f t="shared" si="625"/>
        <v>24</v>
      </c>
      <c r="D1320" s="74">
        <f t="shared" si="608"/>
        <v>8</v>
      </c>
      <c r="E1320" s="75">
        <f t="shared" si="609"/>
        <v>16</v>
      </c>
      <c r="F1320" s="79"/>
      <c r="G1320" s="82"/>
      <c r="H1320" s="68" t="str">
        <f t="shared" si="626"/>
        <v>Lacine13_20191124_08_00</v>
      </c>
      <c r="I1320" s="69">
        <f t="shared" si="629"/>
        <v>1</v>
      </c>
      <c r="J1320" s="76" t="str">
        <f t="shared" si="629"/>
        <v>Lactuca</v>
      </c>
      <c r="K1320" s="76" t="str">
        <f t="shared" si="629"/>
        <v>inermis</v>
      </c>
      <c r="L1320" s="77">
        <f t="shared" si="629"/>
        <v>13</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2019</v>
      </c>
      <c r="B1321" s="72" t="str">
        <f t="shared" si="607"/>
        <v>Nov</v>
      </c>
      <c r="C1321" s="73">
        <f t="shared" si="625"/>
        <v>24</v>
      </c>
      <c r="D1321" s="74">
        <f t="shared" si="608"/>
        <v>8</v>
      </c>
      <c r="E1321" s="75">
        <f t="shared" si="609"/>
        <v>17</v>
      </c>
      <c r="F1321" s="79"/>
      <c r="G1321" s="82"/>
      <c r="H1321" s="68" t="str">
        <f t="shared" si="626"/>
        <v>Lacine13_20191124_08_00</v>
      </c>
      <c r="I1321" s="69">
        <f t="shared" si="629"/>
        <v>1</v>
      </c>
      <c r="J1321" s="76" t="str">
        <f t="shared" si="629"/>
        <v>Lactuca</v>
      </c>
      <c r="K1321" s="76" t="str">
        <f t="shared" si="629"/>
        <v>inermis</v>
      </c>
      <c r="L1321" s="77">
        <f t="shared" si="629"/>
        <v>13</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x14ac:dyDescent="0.35">
      <c r="A1322" s="72">
        <f t="shared" si="606"/>
        <v>2019</v>
      </c>
      <c r="B1322" s="72" t="str">
        <f t="shared" si="607"/>
        <v>Nov</v>
      </c>
      <c r="C1322" s="73">
        <f t="shared" si="625"/>
        <v>24</v>
      </c>
      <c r="D1322" s="74">
        <f t="shared" si="608"/>
        <v>8</v>
      </c>
      <c r="E1322" s="75">
        <f t="shared" si="609"/>
        <v>18</v>
      </c>
      <c r="F1322" s="79">
        <v>26</v>
      </c>
      <c r="G1322" s="82"/>
      <c r="H1322" s="68" t="str">
        <f t="shared" si="626"/>
        <v>Lacine13_20191124_08_00</v>
      </c>
      <c r="I1322" s="69">
        <f t="shared" si="629"/>
        <v>1</v>
      </c>
      <c r="J1322" s="76" t="str">
        <f t="shared" si="629"/>
        <v>Lactuca</v>
      </c>
      <c r="K1322" s="76" t="str">
        <f t="shared" si="629"/>
        <v>inermis</v>
      </c>
      <c r="L1322" s="77">
        <f t="shared" si="629"/>
        <v>13</v>
      </c>
      <c r="M1322" s="77">
        <f t="shared" si="629"/>
        <v>1</v>
      </c>
      <c r="N1322" s="71">
        <f t="shared" si="629"/>
        <v>0</v>
      </c>
      <c r="O1322" s="44"/>
      <c r="P1322" s="45">
        <f t="shared" si="610"/>
        <v>1</v>
      </c>
      <c r="Q1322" s="46" t="str">
        <f t="shared" si="611"/>
        <v>08:18:26</v>
      </c>
      <c r="R1322" s="47" t="str">
        <f t="shared" si="612"/>
        <v>18:26</v>
      </c>
      <c r="S1322" s="48">
        <f t="shared" si="601"/>
        <v>8</v>
      </c>
      <c r="T1322" s="47" t="str">
        <f t="shared" si="613"/>
        <v>08</v>
      </c>
      <c r="U1322" s="49">
        <v>18</v>
      </c>
      <c r="V1322" s="50">
        <v>34</v>
      </c>
      <c r="W1322" s="51" t="str">
        <f t="shared" si="614"/>
        <v>18:34</v>
      </c>
      <c r="X1322" s="52" t="s">
        <v>59</v>
      </c>
      <c r="Y1322" s="124" t="s">
        <v>89</v>
      </c>
      <c r="Z1322" s="124" t="s">
        <v>92</v>
      </c>
      <c r="AA1322" s="47" t="s">
        <v>82</v>
      </c>
      <c r="AB1322" s="47" t="str">
        <f t="shared" si="615"/>
        <v>NA</v>
      </c>
      <c r="AC1322" s="53">
        <f t="shared" si="616"/>
        <v>0</v>
      </c>
      <c r="AD1322" s="54">
        <f t="shared" si="617"/>
        <v>1</v>
      </c>
      <c r="AE1322" s="54"/>
      <c r="AF1322" s="54"/>
      <c r="AG1322" s="55" t="str">
        <f t="shared" si="618"/>
        <v/>
      </c>
      <c r="AH1322" s="56" t="str">
        <f t="shared" si="619"/>
        <v/>
      </c>
      <c r="AI1322" s="55"/>
      <c r="AJ1322" s="56" t="str">
        <f t="shared" si="620"/>
        <v/>
      </c>
      <c r="AK1322" s="55"/>
      <c r="AL1322" s="56" t="str">
        <f t="shared" si="621"/>
        <v/>
      </c>
      <c r="AM1322" s="55">
        <v>1</v>
      </c>
      <c r="AN1322" s="56">
        <f t="shared" si="622"/>
        <v>8</v>
      </c>
      <c r="AO1322" s="55"/>
      <c r="AP1322" s="56" t="str">
        <f t="shared" si="623"/>
        <v/>
      </c>
      <c r="AQ1322" s="55"/>
      <c r="AR1322" s="56" t="str">
        <f t="shared" si="624"/>
        <v/>
      </c>
      <c r="AS1322" s="57"/>
      <c r="AT1322" s="58"/>
      <c r="AU1322" s="58"/>
      <c r="AV1322" s="59"/>
      <c r="AW1322" s="60">
        <v>1</v>
      </c>
      <c r="AX1322" s="61">
        <f t="shared" si="603"/>
        <v>1</v>
      </c>
      <c r="AY1322" s="60">
        <v>1</v>
      </c>
      <c r="AZ1322" s="61">
        <f t="shared" si="605"/>
        <v>1</v>
      </c>
    </row>
    <row r="1323" spans="1:52" s="3" customFormat="1" x14ac:dyDescent="0.35">
      <c r="A1323" s="72">
        <f t="shared" si="606"/>
        <v>2019</v>
      </c>
      <c r="B1323" s="72" t="str">
        <f t="shared" si="607"/>
        <v>Nov</v>
      </c>
      <c r="C1323" s="73">
        <f t="shared" si="625"/>
        <v>24</v>
      </c>
      <c r="D1323" s="74">
        <f t="shared" si="608"/>
        <v>8</v>
      </c>
      <c r="E1323" s="75">
        <f t="shared" si="609"/>
        <v>19</v>
      </c>
      <c r="F1323" s="79">
        <v>38</v>
      </c>
      <c r="G1323" s="82"/>
      <c r="H1323" s="68" t="str">
        <f t="shared" si="626"/>
        <v>Lacine13_20191124_08_00</v>
      </c>
      <c r="I1323" s="69">
        <f t="shared" si="629"/>
        <v>1</v>
      </c>
      <c r="J1323" s="76" t="str">
        <f t="shared" si="629"/>
        <v>Lactuca</v>
      </c>
      <c r="K1323" s="76" t="str">
        <f t="shared" si="629"/>
        <v>inermis</v>
      </c>
      <c r="L1323" s="77">
        <f t="shared" si="629"/>
        <v>13</v>
      </c>
      <c r="M1323" s="77">
        <f t="shared" si="629"/>
        <v>1</v>
      </c>
      <c r="N1323" s="71">
        <f t="shared" si="629"/>
        <v>0</v>
      </c>
      <c r="O1323" s="44"/>
      <c r="P1323" s="45">
        <f t="shared" si="610"/>
        <v>1</v>
      </c>
      <c r="Q1323" s="46" t="str">
        <f t="shared" si="611"/>
        <v>08:19:38</v>
      </c>
      <c r="R1323" s="47" t="str">
        <f t="shared" si="612"/>
        <v>19:38</v>
      </c>
      <c r="S1323" s="48">
        <f t="shared" si="601"/>
        <v>6</v>
      </c>
      <c r="T1323" s="47" t="str">
        <f t="shared" si="613"/>
        <v>08</v>
      </c>
      <c r="U1323" s="49">
        <v>19</v>
      </c>
      <c r="V1323" s="50">
        <v>44</v>
      </c>
      <c r="W1323" s="51" t="str">
        <f t="shared" si="614"/>
        <v>19:44</v>
      </c>
      <c r="X1323" s="52" t="s">
        <v>61</v>
      </c>
      <c r="Y1323" s="124" t="s">
        <v>88</v>
      </c>
      <c r="Z1323" s="124"/>
      <c r="AA1323" s="47" t="s">
        <v>83</v>
      </c>
      <c r="AB1323" s="47" t="str">
        <f t="shared" si="615"/>
        <v>NA</v>
      </c>
      <c r="AC1323" s="53">
        <f t="shared" si="616"/>
        <v>0</v>
      </c>
      <c r="AD1323" s="54">
        <f t="shared" si="617"/>
        <v>1</v>
      </c>
      <c r="AE1323" s="54"/>
      <c r="AF1323" s="54"/>
      <c r="AG1323" s="55" t="str">
        <f t="shared" si="618"/>
        <v/>
      </c>
      <c r="AH1323" s="56" t="str">
        <f t="shared" si="619"/>
        <v/>
      </c>
      <c r="AI1323" s="55"/>
      <c r="AJ1323" s="56" t="str">
        <f t="shared" si="620"/>
        <v/>
      </c>
      <c r="AK1323" s="55"/>
      <c r="AL1323" s="56" t="str">
        <f t="shared" si="621"/>
        <v/>
      </c>
      <c r="AM1323" s="55">
        <v>1</v>
      </c>
      <c r="AN1323" s="56">
        <f t="shared" si="622"/>
        <v>6</v>
      </c>
      <c r="AO1323" s="55"/>
      <c r="AP1323" s="56" t="str">
        <f t="shared" si="623"/>
        <v/>
      </c>
      <c r="AQ1323" s="55"/>
      <c r="AR1323" s="56" t="str">
        <f t="shared" si="624"/>
        <v/>
      </c>
      <c r="AS1323" s="57" t="s">
        <v>80</v>
      </c>
      <c r="AT1323" s="58"/>
      <c r="AU1323" s="58"/>
      <c r="AV1323" s="59"/>
      <c r="AW1323" s="60">
        <v>1</v>
      </c>
      <c r="AX1323" s="61">
        <f t="shared" si="603"/>
        <v>1</v>
      </c>
      <c r="AY1323" s="60">
        <v>1</v>
      </c>
      <c r="AZ1323" s="61">
        <f t="shared" si="605"/>
        <v>1</v>
      </c>
    </row>
    <row r="1324" spans="1:52" s="3" customFormat="1" hidden="1" x14ac:dyDescent="0.35">
      <c r="A1324" s="72">
        <f t="shared" si="606"/>
        <v>2019</v>
      </c>
      <c r="B1324" s="72" t="str">
        <f t="shared" si="607"/>
        <v>Nov</v>
      </c>
      <c r="C1324" s="73">
        <f t="shared" si="625"/>
        <v>24</v>
      </c>
      <c r="D1324" s="74">
        <f t="shared" si="608"/>
        <v>8</v>
      </c>
      <c r="E1324" s="75">
        <f t="shared" si="609"/>
        <v>20</v>
      </c>
      <c r="F1324" s="79"/>
      <c r="G1324" s="82"/>
      <c r="H1324" s="68" t="str">
        <f t="shared" si="626"/>
        <v>Lacine13_20191124_08_00</v>
      </c>
      <c r="I1324" s="69">
        <f t="shared" si="629"/>
        <v>1</v>
      </c>
      <c r="J1324" s="76" t="str">
        <f t="shared" si="629"/>
        <v>Lactuca</v>
      </c>
      <c r="K1324" s="76" t="str">
        <f t="shared" si="629"/>
        <v>inermis</v>
      </c>
      <c r="L1324" s="77">
        <f t="shared" si="629"/>
        <v>13</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2019</v>
      </c>
      <c r="B1325" s="72" t="str">
        <f t="shared" si="607"/>
        <v>Nov</v>
      </c>
      <c r="C1325" s="73">
        <f t="shared" si="625"/>
        <v>24</v>
      </c>
      <c r="D1325" s="74">
        <f t="shared" si="608"/>
        <v>8</v>
      </c>
      <c r="E1325" s="75">
        <f t="shared" si="609"/>
        <v>21</v>
      </c>
      <c r="F1325" s="79"/>
      <c r="G1325" s="82"/>
      <c r="H1325" s="68" t="str">
        <f t="shared" si="626"/>
        <v>Lacine13_20191124_08_00</v>
      </c>
      <c r="I1325" s="69">
        <f t="shared" si="629"/>
        <v>1</v>
      </c>
      <c r="J1325" s="76" t="str">
        <f t="shared" si="629"/>
        <v>Lactuca</v>
      </c>
      <c r="K1325" s="76" t="str">
        <f t="shared" si="629"/>
        <v>inermis</v>
      </c>
      <c r="L1325" s="77">
        <f t="shared" si="629"/>
        <v>13</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2019</v>
      </c>
      <c r="B1326" s="72" t="str">
        <f t="shared" si="607"/>
        <v>Nov</v>
      </c>
      <c r="C1326" s="73">
        <f t="shared" si="625"/>
        <v>24</v>
      </c>
      <c r="D1326" s="74">
        <f t="shared" si="608"/>
        <v>8</v>
      </c>
      <c r="E1326" s="75">
        <f t="shared" si="609"/>
        <v>22</v>
      </c>
      <c r="F1326" s="79"/>
      <c r="G1326" s="82"/>
      <c r="H1326" s="68" t="str">
        <f t="shared" si="626"/>
        <v>Lacine13_20191124_08_00</v>
      </c>
      <c r="I1326" s="69">
        <f t="shared" si="629"/>
        <v>1</v>
      </c>
      <c r="J1326" s="76" t="str">
        <f t="shared" si="629"/>
        <v>Lactuca</v>
      </c>
      <c r="K1326" s="76" t="str">
        <f t="shared" si="629"/>
        <v>inermis</v>
      </c>
      <c r="L1326" s="77">
        <f t="shared" si="629"/>
        <v>13</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2019</v>
      </c>
      <c r="B1327" s="72" t="str">
        <f t="shared" si="607"/>
        <v>Nov</v>
      </c>
      <c r="C1327" s="73">
        <f t="shared" si="625"/>
        <v>24</v>
      </c>
      <c r="D1327" s="74">
        <f t="shared" si="608"/>
        <v>8</v>
      </c>
      <c r="E1327" s="75">
        <f t="shared" si="609"/>
        <v>23</v>
      </c>
      <c r="F1327" s="79"/>
      <c r="G1327" s="82"/>
      <c r="H1327" s="68" t="str">
        <f t="shared" si="626"/>
        <v>Lacine13_20191124_08_00</v>
      </c>
      <c r="I1327" s="69">
        <f t="shared" si="629"/>
        <v>1</v>
      </c>
      <c r="J1327" s="76" t="str">
        <f t="shared" si="629"/>
        <v>Lactuca</v>
      </c>
      <c r="K1327" s="76" t="str">
        <f t="shared" si="629"/>
        <v>inermis</v>
      </c>
      <c r="L1327" s="77">
        <f t="shared" si="629"/>
        <v>13</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2019</v>
      </c>
      <c r="B1328" s="72" t="str">
        <f t="shared" si="607"/>
        <v>Nov</v>
      </c>
      <c r="C1328" s="73">
        <f t="shared" si="625"/>
        <v>24</v>
      </c>
      <c r="D1328" s="74">
        <f t="shared" si="608"/>
        <v>8</v>
      </c>
      <c r="E1328" s="75">
        <f t="shared" si="609"/>
        <v>24</v>
      </c>
      <c r="F1328" s="79"/>
      <c r="G1328" s="82"/>
      <c r="H1328" s="68" t="str">
        <f t="shared" si="626"/>
        <v>Lacine13_20191124_08_00</v>
      </c>
      <c r="I1328" s="69">
        <f t="shared" si="629"/>
        <v>1</v>
      </c>
      <c r="J1328" s="76" t="str">
        <f t="shared" si="629"/>
        <v>Lactuca</v>
      </c>
      <c r="K1328" s="76" t="str">
        <f t="shared" si="629"/>
        <v>inermis</v>
      </c>
      <c r="L1328" s="77">
        <f t="shared" si="629"/>
        <v>13</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x14ac:dyDescent="0.35">
      <c r="A1329" s="72">
        <f t="shared" si="606"/>
        <v>2019</v>
      </c>
      <c r="B1329" s="72" t="str">
        <f t="shared" si="607"/>
        <v>Nov</v>
      </c>
      <c r="C1329" s="73">
        <f t="shared" si="625"/>
        <v>24</v>
      </c>
      <c r="D1329" s="74">
        <f t="shared" si="608"/>
        <v>8</v>
      </c>
      <c r="E1329" s="75">
        <f t="shared" si="609"/>
        <v>25</v>
      </c>
      <c r="F1329" s="79">
        <v>47</v>
      </c>
      <c r="G1329" s="82"/>
      <c r="H1329" s="68" t="str">
        <f t="shared" si="626"/>
        <v>Lacine13_20191124_08_00</v>
      </c>
      <c r="I1329" s="69">
        <f t="shared" si="629"/>
        <v>1</v>
      </c>
      <c r="J1329" s="76" t="str">
        <f t="shared" si="629"/>
        <v>Lactuca</v>
      </c>
      <c r="K1329" s="76" t="str">
        <f t="shared" si="629"/>
        <v>inermis</v>
      </c>
      <c r="L1329" s="77">
        <f t="shared" si="629"/>
        <v>13</v>
      </c>
      <c r="M1329" s="77">
        <f t="shared" si="629"/>
        <v>1</v>
      </c>
      <c r="N1329" s="71">
        <f t="shared" si="629"/>
        <v>0</v>
      </c>
      <c r="O1329" s="44"/>
      <c r="P1329" s="45">
        <f t="shared" si="610"/>
        <v>1</v>
      </c>
      <c r="Q1329" s="46" t="str">
        <f t="shared" si="611"/>
        <v>08:25:47</v>
      </c>
      <c r="R1329" s="47" t="str">
        <f t="shared" si="612"/>
        <v>25:47</v>
      </c>
      <c r="S1329" s="48">
        <f t="shared" si="601"/>
        <v>9</v>
      </c>
      <c r="T1329" s="47" t="str">
        <f t="shared" si="613"/>
        <v>08</v>
      </c>
      <c r="U1329" s="49">
        <v>25</v>
      </c>
      <c r="V1329" s="50">
        <v>56</v>
      </c>
      <c r="W1329" s="51" t="str">
        <f t="shared" si="614"/>
        <v>25:56</v>
      </c>
      <c r="X1329" s="52" t="s">
        <v>59</v>
      </c>
      <c r="Y1329" s="124" t="s">
        <v>87</v>
      </c>
      <c r="Z1329" s="124"/>
      <c r="AA1329" s="47" t="s">
        <v>82</v>
      </c>
      <c r="AB1329" s="47" t="str">
        <f t="shared" si="615"/>
        <v>NA</v>
      </c>
      <c r="AC1329" s="53">
        <f t="shared" si="616"/>
        <v>0</v>
      </c>
      <c r="AD1329" s="54">
        <f t="shared" si="617"/>
        <v>1</v>
      </c>
      <c r="AE1329" s="54"/>
      <c r="AF1329" s="54"/>
      <c r="AG1329" s="55" t="str">
        <f t="shared" si="618"/>
        <v/>
      </c>
      <c r="AH1329" s="56" t="str">
        <f t="shared" si="619"/>
        <v/>
      </c>
      <c r="AI1329" s="55"/>
      <c r="AJ1329" s="56" t="str">
        <f t="shared" si="620"/>
        <v/>
      </c>
      <c r="AK1329" s="55"/>
      <c r="AL1329" s="56" t="str">
        <f t="shared" si="621"/>
        <v/>
      </c>
      <c r="AM1329" s="55">
        <v>1</v>
      </c>
      <c r="AN1329" s="56">
        <f t="shared" si="622"/>
        <v>9</v>
      </c>
      <c r="AO1329" s="55"/>
      <c r="AP1329" s="56" t="str">
        <f t="shared" si="623"/>
        <v/>
      </c>
      <c r="AQ1329" s="55"/>
      <c r="AR1329" s="56" t="str">
        <f t="shared" si="624"/>
        <v/>
      </c>
      <c r="AS1329" s="57"/>
      <c r="AT1329" s="58"/>
      <c r="AU1329" s="58"/>
      <c r="AV1329" s="59"/>
      <c r="AW1329" s="60">
        <v>1</v>
      </c>
      <c r="AX1329" s="61">
        <f t="shared" si="603"/>
        <v>1</v>
      </c>
      <c r="AY1329" s="60">
        <v>1</v>
      </c>
      <c r="AZ1329" s="61">
        <f t="shared" si="605"/>
        <v>1</v>
      </c>
    </row>
    <row r="1330" spans="1:52" s="3" customFormat="1" x14ac:dyDescent="0.35">
      <c r="A1330" s="72">
        <f t="shared" si="606"/>
        <v>2019</v>
      </c>
      <c r="B1330" s="72" t="str">
        <f t="shared" si="607"/>
        <v>Nov</v>
      </c>
      <c r="C1330" s="73">
        <f t="shared" si="625"/>
        <v>24</v>
      </c>
      <c r="D1330" s="74">
        <f t="shared" si="608"/>
        <v>8</v>
      </c>
      <c r="E1330" s="75">
        <f t="shared" si="609"/>
        <v>26</v>
      </c>
      <c r="F1330" s="79">
        <v>38</v>
      </c>
      <c r="G1330" s="82"/>
      <c r="H1330" s="68" t="str">
        <f t="shared" si="626"/>
        <v>Lacine13_20191124_08_00</v>
      </c>
      <c r="I1330" s="69">
        <f t="shared" si="629"/>
        <v>1</v>
      </c>
      <c r="J1330" s="76" t="str">
        <f t="shared" si="629"/>
        <v>Lactuca</v>
      </c>
      <c r="K1330" s="76" t="str">
        <f t="shared" si="629"/>
        <v>inermis</v>
      </c>
      <c r="L1330" s="77">
        <f t="shared" si="629"/>
        <v>13</v>
      </c>
      <c r="M1330" s="77">
        <f t="shared" si="629"/>
        <v>1</v>
      </c>
      <c r="N1330" s="71">
        <f t="shared" si="629"/>
        <v>0</v>
      </c>
      <c r="O1330" s="44"/>
      <c r="P1330" s="45">
        <f t="shared" si="610"/>
        <v>1</v>
      </c>
      <c r="Q1330" s="46" t="str">
        <f t="shared" si="611"/>
        <v>08:26:38</v>
      </c>
      <c r="R1330" s="47" t="str">
        <f t="shared" si="612"/>
        <v>26:38</v>
      </c>
      <c r="S1330" s="48">
        <f t="shared" si="601"/>
        <v>29</v>
      </c>
      <c r="T1330" s="47" t="str">
        <f t="shared" si="613"/>
        <v>08</v>
      </c>
      <c r="U1330" s="49">
        <v>27</v>
      </c>
      <c r="V1330" s="50">
        <v>7</v>
      </c>
      <c r="W1330" s="51" t="str">
        <f t="shared" si="614"/>
        <v>27:07</v>
      </c>
      <c r="X1330" s="52" t="s">
        <v>59</v>
      </c>
      <c r="Y1330" s="124" t="s">
        <v>89</v>
      </c>
      <c r="Z1330" s="124" t="s">
        <v>92</v>
      </c>
      <c r="AA1330" s="47" t="s">
        <v>82</v>
      </c>
      <c r="AB1330" s="47" t="str">
        <f t="shared" si="615"/>
        <v>NA</v>
      </c>
      <c r="AC1330" s="53">
        <f t="shared" si="616"/>
        <v>0</v>
      </c>
      <c r="AD1330" s="54">
        <f t="shared" si="617"/>
        <v>1</v>
      </c>
      <c r="AE1330" s="54"/>
      <c r="AF1330" s="54"/>
      <c r="AG1330" s="55" t="str">
        <f t="shared" si="618"/>
        <v/>
      </c>
      <c r="AH1330" s="56" t="str">
        <f t="shared" si="619"/>
        <v/>
      </c>
      <c r="AI1330" s="55"/>
      <c r="AJ1330" s="56" t="str">
        <f t="shared" si="620"/>
        <v/>
      </c>
      <c r="AK1330" s="55"/>
      <c r="AL1330" s="56" t="str">
        <f t="shared" si="621"/>
        <v/>
      </c>
      <c r="AM1330" s="55">
        <v>1</v>
      </c>
      <c r="AN1330" s="56">
        <f t="shared" si="622"/>
        <v>29</v>
      </c>
      <c r="AO1330" s="55"/>
      <c r="AP1330" s="56" t="str">
        <f t="shared" si="623"/>
        <v/>
      </c>
      <c r="AQ1330" s="55"/>
      <c r="AR1330" s="56" t="str">
        <f t="shared" si="624"/>
        <v/>
      </c>
      <c r="AS1330" s="57" t="s">
        <v>81</v>
      </c>
      <c r="AT1330" s="58"/>
      <c r="AU1330" s="58"/>
      <c r="AV1330" s="59"/>
      <c r="AW1330" s="60">
        <v>1</v>
      </c>
      <c r="AX1330" s="61">
        <f t="shared" si="603"/>
        <v>1</v>
      </c>
      <c r="AY1330" s="60">
        <v>1</v>
      </c>
      <c r="AZ1330" s="61">
        <f t="shared" si="605"/>
        <v>1</v>
      </c>
    </row>
    <row r="1331" spans="1:52" s="3" customFormat="1" hidden="1" x14ac:dyDescent="0.35">
      <c r="A1331" s="72">
        <f t="shared" si="606"/>
        <v>2019</v>
      </c>
      <c r="B1331" s="72" t="str">
        <f t="shared" si="607"/>
        <v>Nov</v>
      </c>
      <c r="C1331" s="73">
        <f t="shared" si="625"/>
        <v>24</v>
      </c>
      <c r="D1331" s="74">
        <f t="shared" si="608"/>
        <v>8</v>
      </c>
      <c r="E1331" s="75">
        <f t="shared" si="609"/>
        <v>27</v>
      </c>
      <c r="F1331" s="79"/>
      <c r="G1331" s="82"/>
      <c r="H1331" s="68" t="str">
        <f t="shared" si="626"/>
        <v>Lacine13_20191124_08_00</v>
      </c>
      <c r="I1331" s="69">
        <f t="shared" si="629"/>
        <v>1</v>
      </c>
      <c r="J1331" s="76" t="str">
        <f t="shared" si="629"/>
        <v>Lactuca</v>
      </c>
      <c r="K1331" s="76" t="str">
        <f t="shared" si="629"/>
        <v>inermis</v>
      </c>
      <c r="L1331" s="77">
        <f t="shared" si="629"/>
        <v>13</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2019</v>
      </c>
      <c r="B1332" s="72" t="str">
        <f t="shared" si="607"/>
        <v>Nov</v>
      </c>
      <c r="C1332" s="73">
        <f t="shared" si="625"/>
        <v>24</v>
      </c>
      <c r="D1332" s="74">
        <f t="shared" si="608"/>
        <v>8</v>
      </c>
      <c r="E1332" s="75">
        <f t="shared" si="609"/>
        <v>28</v>
      </c>
      <c r="F1332" s="79"/>
      <c r="G1332" s="82"/>
      <c r="H1332" s="68" t="str">
        <f t="shared" si="626"/>
        <v>Lacine13_20191124_08_00</v>
      </c>
      <c r="I1332" s="69">
        <f t="shared" si="629"/>
        <v>1</v>
      </c>
      <c r="J1332" s="76" t="str">
        <f t="shared" si="629"/>
        <v>Lactuca</v>
      </c>
      <c r="K1332" s="76" t="str">
        <f t="shared" si="629"/>
        <v>inermis</v>
      </c>
      <c r="L1332" s="77">
        <f t="shared" si="629"/>
        <v>13</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2019</v>
      </c>
      <c r="B1333" s="72" t="str">
        <f t="shared" si="607"/>
        <v>Nov</v>
      </c>
      <c r="C1333" s="73">
        <f t="shared" si="625"/>
        <v>24</v>
      </c>
      <c r="D1333" s="74">
        <f t="shared" si="608"/>
        <v>8</v>
      </c>
      <c r="E1333" s="75">
        <f t="shared" si="609"/>
        <v>29</v>
      </c>
      <c r="F1333" s="79"/>
      <c r="G1333" s="82"/>
      <c r="H1333" s="68" t="str">
        <f t="shared" si="626"/>
        <v>Lacine13_20191124_08_00</v>
      </c>
      <c r="I1333" s="69">
        <f t="shared" ref="I1333:N1348" si="630">I1332</f>
        <v>1</v>
      </c>
      <c r="J1333" s="76" t="str">
        <f t="shared" si="630"/>
        <v>Lactuca</v>
      </c>
      <c r="K1333" s="76" t="str">
        <f t="shared" si="630"/>
        <v>inermis</v>
      </c>
      <c r="L1333" s="77">
        <f t="shared" si="630"/>
        <v>13</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2019</v>
      </c>
      <c r="B1334" s="72" t="str">
        <f t="shared" si="607"/>
        <v>Nov</v>
      </c>
      <c r="C1334" s="73">
        <f t="shared" si="625"/>
        <v>24</v>
      </c>
      <c r="D1334" s="74">
        <f t="shared" si="608"/>
        <v>8</v>
      </c>
      <c r="E1334" s="75">
        <f t="shared" si="609"/>
        <v>30</v>
      </c>
      <c r="F1334" s="79"/>
      <c r="G1334" s="82"/>
      <c r="H1334" s="68" t="str">
        <f t="shared" si="626"/>
        <v>Lacine13_20191124_08_00</v>
      </c>
      <c r="I1334" s="69">
        <f t="shared" si="630"/>
        <v>1</v>
      </c>
      <c r="J1334" s="76" t="str">
        <f t="shared" si="630"/>
        <v>Lactuca</v>
      </c>
      <c r="K1334" s="76" t="str">
        <f t="shared" si="630"/>
        <v>inermis</v>
      </c>
      <c r="L1334" s="77">
        <f t="shared" si="630"/>
        <v>13</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2019</v>
      </c>
      <c r="B1335" s="72" t="str">
        <f t="shared" si="607"/>
        <v>Nov</v>
      </c>
      <c r="C1335" s="73">
        <f t="shared" si="625"/>
        <v>24</v>
      </c>
      <c r="D1335" s="74">
        <f t="shared" si="608"/>
        <v>8</v>
      </c>
      <c r="E1335" s="75">
        <f t="shared" si="609"/>
        <v>31</v>
      </c>
      <c r="F1335" s="79"/>
      <c r="G1335" s="82"/>
      <c r="H1335" s="68" t="str">
        <f t="shared" si="626"/>
        <v>Lacine13_20191124_08_00</v>
      </c>
      <c r="I1335" s="69">
        <f t="shared" si="630"/>
        <v>1</v>
      </c>
      <c r="J1335" s="76" t="str">
        <f t="shared" si="630"/>
        <v>Lactuca</v>
      </c>
      <c r="K1335" s="76" t="str">
        <f t="shared" si="630"/>
        <v>inermis</v>
      </c>
      <c r="L1335" s="77">
        <f t="shared" si="630"/>
        <v>13</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2019</v>
      </c>
      <c r="B1336" s="72" t="str">
        <f t="shared" si="607"/>
        <v>Nov</v>
      </c>
      <c r="C1336" s="73">
        <f t="shared" si="625"/>
        <v>24</v>
      </c>
      <c r="D1336" s="74">
        <f t="shared" si="608"/>
        <v>8</v>
      </c>
      <c r="E1336" s="75">
        <f t="shared" si="609"/>
        <v>32</v>
      </c>
      <c r="F1336" s="79"/>
      <c r="G1336" s="82"/>
      <c r="H1336" s="68" t="str">
        <f t="shared" si="626"/>
        <v>Lacine13_20191124_08_00</v>
      </c>
      <c r="I1336" s="69">
        <f t="shared" si="630"/>
        <v>1</v>
      </c>
      <c r="J1336" s="76" t="str">
        <f t="shared" si="630"/>
        <v>Lactuca</v>
      </c>
      <c r="K1336" s="76" t="str">
        <f t="shared" si="630"/>
        <v>inermis</v>
      </c>
      <c r="L1336" s="77">
        <f t="shared" si="630"/>
        <v>13</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2019</v>
      </c>
      <c r="B1337" s="72" t="str">
        <f t="shared" si="607"/>
        <v>Nov</v>
      </c>
      <c r="C1337" s="73">
        <f t="shared" si="625"/>
        <v>24</v>
      </c>
      <c r="D1337" s="74">
        <f t="shared" si="608"/>
        <v>8</v>
      </c>
      <c r="E1337" s="75">
        <f t="shared" si="609"/>
        <v>33</v>
      </c>
      <c r="F1337" s="79"/>
      <c r="G1337" s="82"/>
      <c r="H1337" s="68" t="str">
        <f t="shared" si="626"/>
        <v>Lacine13_20191124_08_00</v>
      </c>
      <c r="I1337" s="69">
        <f t="shared" si="630"/>
        <v>1</v>
      </c>
      <c r="J1337" s="76" t="str">
        <f t="shared" si="630"/>
        <v>Lactuca</v>
      </c>
      <c r="K1337" s="76" t="str">
        <f t="shared" si="630"/>
        <v>inermis</v>
      </c>
      <c r="L1337" s="77">
        <f t="shared" si="630"/>
        <v>13</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2019</v>
      </c>
      <c r="B1338" s="72" t="str">
        <f t="shared" si="607"/>
        <v>Nov</v>
      </c>
      <c r="C1338" s="73">
        <f t="shared" si="625"/>
        <v>24</v>
      </c>
      <c r="D1338" s="74">
        <f t="shared" si="608"/>
        <v>8</v>
      </c>
      <c r="E1338" s="75">
        <f t="shared" si="609"/>
        <v>34</v>
      </c>
      <c r="F1338" s="79"/>
      <c r="G1338" s="82"/>
      <c r="H1338" s="68" t="str">
        <f t="shared" si="626"/>
        <v>Lacine13_20191124_08_00</v>
      </c>
      <c r="I1338" s="69">
        <f t="shared" si="630"/>
        <v>1</v>
      </c>
      <c r="J1338" s="76" t="str">
        <f t="shared" si="630"/>
        <v>Lactuca</v>
      </c>
      <c r="K1338" s="76" t="str">
        <f t="shared" si="630"/>
        <v>inermis</v>
      </c>
      <c r="L1338" s="77">
        <f t="shared" si="630"/>
        <v>13</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2019</v>
      </c>
      <c r="B1339" s="72" t="str">
        <f t="shared" si="607"/>
        <v>Nov</v>
      </c>
      <c r="C1339" s="73">
        <f t="shared" si="625"/>
        <v>24</v>
      </c>
      <c r="D1339" s="74">
        <f t="shared" si="608"/>
        <v>8</v>
      </c>
      <c r="E1339" s="75">
        <f t="shared" si="609"/>
        <v>35</v>
      </c>
      <c r="F1339" s="79"/>
      <c r="G1339" s="82"/>
      <c r="H1339" s="68" t="str">
        <f t="shared" si="626"/>
        <v>Lacine13_20191124_08_00</v>
      </c>
      <c r="I1339" s="69">
        <f t="shared" si="630"/>
        <v>1</v>
      </c>
      <c r="J1339" s="76" t="str">
        <f t="shared" si="630"/>
        <v>Lactuca</v>
      </c>
      <c r="K1339" s="76" t="str">
        <f t="shared" si="630"/>
        <v>inermis</v>
      </c>
      <c r="L1339" s="77">
        <f t="shared" si="630"/>
        <v>13</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2019</v>
      </c>
      <c r="B1340" s="72" t="str">
        <f t="shared" si="607"/>
        <v>Nov</v>
      </c>
      <c r="C1340" s="73">
        <f t="shared" si="625"/>
        <v>24</v>
      </c>
      <c r="D1340" s="74">
        <f t="shared" si="608"/>
        <v>8</v>
      </c>
      <c r="E1340" s="75">
        <f t="shared" si="609"/>
        <v>36</v>
      </c>
      <c r="F1340" s="79"/>
      <c r="G1340" s="82"/>
      <c r="H1340" s="68" t="str">
        <f t="shared" si="626"/>
        <v>Lacine13_20191124_08_00</v>
      </c>
      <c r="I1340" s="69">
        <f t="shared" si="630"/>
        <v>1</v>
      </c>
      <c r="J1340" s="76" t="str">
        <f t="shared" si="630"/>
        <v>Lactuca</v>
      </c>
      <c r="K1340" s="76" t="str">
        <f t="shared" si="630"/>
        <v>inermis</v>
      </c>
      <c r="L1340" s="77">
        <f t="shared" si="630"/>
        <v>13</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2019</v>
      </c>
      <c r="B1341" s="72" t="str">
        <f t="shared" si="607"/>
        <v>Nov</v>
      </c>
      <c r="C1341" s="73">
        <f t="shared" si="625"/>
        <v>24</v>
      </c>
      <c r="D1341" s="74">
        <f t="shared" si="608"/>
        <v>8</v>
      </c>
      <c r="E1341" s="75">
        <f t="shared" si="609"/>
        <v>37</v>
      </c>
      <c r="F1341" s="79"/>
      <c r="G1341" s="82"/>
      <c r="H1341" s="68" t="str">
        <f t="shared" si="626"/>
        <v>Lacine13_20191124_08_00</v>
      </c>
      <c r="I1341" s="69">
        <f t="shared" si="630"/>
        <v>1</v>
      </c>
      <c r="J1341" s="76" t="str">
        <f t="shared" si="630"/>
        <v>Lactuca</v>
      </c>
      <c r="K1341" s="76" t="str">
        <f t="shared" si="630"/>
        <v>inermis</v>
      </c>
      <c r="L1341" s="77">
        <f t="shared" si="630"/>
        <v>13</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2019</v>
      </c>
      <c r="B1342" s="72" t="str">
        <f t="shared" si="607"/>
        <v>Nov</v>
      </c>
      <c r="C1342" s="73">
        <f t="shared" si="625"/>
        <v>24</v>
      </c>
      <c r="D1342" s="74">
        <f t="shared" si="608"/>
        <v>8</v>
      </c>
      <c r="E1342" s="75">
        <f t="shared" si="609"/>
        <v>38</v>
      </c>
      <c r="F1342" s="79"/>
      <c r="G1342" s="82"/>
      <c r="H1342" s="68" t="str">
        <f t="shared" si="626"/>
        <v>Lacine13_20191124_08_00</v>
      </c>
      <c r="I1342" s="69">
        <f t="shared" si="630"/>
        <v>1</v>
      </c>
      <c r="J1342" s="76" t="str">
        <f t="shared" si="630"/>
        <v>Lactuca</v>
      </c>
      <c r="K1342" s="76" t="str">
        <f t="shared" si="630"/>
        <v>inermis</v>
      </c>
      <c r="L1342" s="77">
        <f t="shared" si="630"/>
        <v>13</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2019</v>
      </c>
      <c r="B1343" s="72" t="str">
        <f t="shared" si="607"/>
        <v>Nov</v>
      </c>
      <c r="C1343" s="73">
        <f t="shared" si="625"/>
        <v>24</v>
      </c>
      <c r="D1343" s="74">
        <f t="shared" si="608"/>
        <v>8</v>
      </c>
      <c r="E1343" s="75">
        <f t="shared" si="609"/>
        <v>39</v>
      </c>
      <c r="F1343" s="79"/>
      <c r="G1343" s="82"/>
      <c r="H1343" s="68" t="str">
        <f t="shared" si="626"/>
        <v>Lacine13_20191124_08_00</v>
      </c>
      <c r="I1343" s="69">
        <f t="shared" si="630"/>
        <v>1</v>
      </c>
      <c r="J1343" s="76" t="str">
        <f t="shared" si="630"/>
        <v>Lactuca</v>
      </c>
      <c r="K1343" s="76" t="str">
        <f t="shared" si="630"/>
        <v>inermis</v>
      </c>
      <c r="L1343" s="77">
        <f t="shared" si="630"/>
        <v>13</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2019</v>
      </c>
      <c r="B1344" s="72" t="str">
        <f t="shared" si="607"/>
        <v>Nov</v>
      </c>
      <c r="C1344" s="73">
        <f t="shared" si="625"/>
        <v>24</v>
      </c>
      <c r="D1344" s="74">
        <f t="shared" si="608"/>
        <v>8</v>
      </c>
      <c r="E1344" s="75">
        <f t="shared" si="609"/>
        <v>40</v>
      </c>
      <c r="F1344" s="79"/>
      <c r="G1344" s="82"/>
      <c r="H1344" s="68" t="str">
        <f t="shared" si="626"/>
        <v>Lacine13_20191124_08_00</v>
      </c>
      <c r="I1344" s="69">
        <f t="shared" si="630"/>
        <v>1</v>
      </c>
      <c r="J1344" s="76" t="str">
        <f t="shared" si="630"/>
        <v>Lactuca</v>
      </c>
      <c r="K1344" s="76" t="str">
        <f t="shared" si="630"/>
        <v>inermis</v>
      </c>
      <c r="L1344" s="77">
        <f t="shared" si="630"/>
        <v>13</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x14ac:dyDescent="0.35">
      <c r="A1345" s="72">
        <f t="shared" si="606"/>
        <v>2019</v>
      </c>
      <c r="B1345" s="72" t="str">
        <f t="shared" si="607"/>
        <v>Nov</v>
      </c>
      <c r="C1345" s="73">
        <f t="shared" si="625"/>
        <v>24</v>
      </c>
      <c r="D1345" s="74">
        <f t="shared" si="608"/>
        <v>8</v>
      </c>
      <c r="E1345" s="75">
        <f t="shared" si="609"/>
        <v>41</v>
      </c>
      <c r="F1345" s="79">
        <v>33</v>
      </c>
      <c r="G1345" s="82"/>
      <c r="H1345" s="68" t="str">
        <f t="shared" si="626"/>
        <v>Lacine13_20191124_08_00</v>
      </c>
      <c r="I1345" s="69">
        <f t="shared" si="630"/>
        <v>1</v>
      </c>
      <c r="J1345" s="76" t="str">
        <f t="shared" si="630"/>
        <v>Lactuca</v>
      </c>
      <c r="K1345" s="76" t="str">
        <f t="shared" si="630"/>
        <v>inermis</v>
      </c>
      <c r="L1345" s="77">
        <f t="shared" si="630"/>
        <v>13</v>
      </c>
      <c r="M1345" s="77">
        <f t="shared" si="630"/>
        <v>1</v>
      </c>
      <c r="N1345" s="71">
        <f t="shared" si="630"/>
        <v>0</v>
      </c>
      <c r="O1345" s="44"/>
      <c r="P1345" s="45">
        <f t="shared" si="610"/>
        <v>1</v>
      </c>
      <c r="Q1345" s="46" t="str">
        <f t="shared" si="611"/>
        <v>08:41:33</v>
      </c>
      <c r="R1345" s="47" t="str">
        <f t="shared" si="612"/>
        <v>41:33</v>
      </c>
      <c r="S1345" s="48">
        <f t="shared" si="601"/>
        <v>6</v>
      </c>
      <c r="T1345" s="47" t="str">
        <f t="shared" si="613"/>
        <v>08</v>
      </c>
      <c r="U1345" s="49">
        <v>41</v>
      </c>
      <c r="V1345" s="50">
        <v>39</v>
      </c>
      <c r="W1345" s="51" t="str">
        <f t="shared" si="614"/>
        <v>41:39</v>
      </c>
      <c r="X1345" s="52" t="s">
        <v>59</v>
      </c>
      <c r="Y1345" s="124" t="s">
        <v>87</v>
      </c>
      <c r="Z1345" s="124"/>
      <c r="AA1345" s="47" t="s">
        <v>82</v>
      </c>
      <c r="AB1345" s="47" t="str">
        <f t="shared" si="615"/>
        <v>NA</v>
      </c>
      <c r="AC1345" s="53">
        <f t="shared" si="616"/>
        <v>0</v>
      </c>
      <c r="AD1345" s="54">
        <f t="shared" si="617"/>
        <v>1</v>
      </c>
      <c r="AE1345" s="54"/>
      <c r="AF1345" s="54"/>
      <c r="AG1345" s="55" t="str">
        <f t="shared" si="618"/>
        <v/>
      </c>
      <c r="AH1345" s="56" t="str">
        <f t="shared" si="619"/>
        <v/>
      </c>
      <c r="AI1345" s="55"/>
      <c r="AJ1345" s="56" t="str">
        <f t="shared" si="620"/>
        <v/>
      </c>
      <c r="AK1345" s="55"/>
      <c r="AL1345" s="56" t="str">
        <f t="shared" si="621"/>
        <v/>
      </c>
      <c r="AM1345" s="55">
        <v>1</v>
      </c>
      <c r="AN1345" s="56">
        <f t="shared" si="622"/>
        <v>6</v>
      </c>
      <c r="AO1345" s="55"/>
      <c r="AP1345" s="56" t="str">
        <f t="shared" si="623"/>
        <v/>
      </c>
      <c r="AQ1345" s="55"/>
      <c r="AR1345" s="56" t="str">
        <f t="shared" si="624"/>
        <v/>
      </c>
      <c r="AS1345" s="57"/>
      <c r="AT1345" s="58"/>
      <c r="AU1345" s="58"/>
      <c r="AV1345" s="59"/>
      <c r="AW1345" s="60">
        <v>1</v>
      </c>
      <c r="AX1345" s="61">
        <f t="shared" si="603"/>
        <v>1</v>
      </c>
      <c r="AY1345" s="60">
        <v>1</v>
      </c>
      <c r="AZ1345" s="61">
        <f t="shared" si="605"/>
        <v>1</v>
      </c>
    </row>
    <row r="1346" spans="1:52" s="3" customFormat="1" hidden="1" x14ac:dyDescent="0.35">
      <c r="A1346" s="72">
        <f t="shared" si="606"/>
        <v>2019</v>
      </c>
      <c r="B1346" s="72" t="str">
        <f t="shared" si="607"/>
        <v>Nov</v>
      </c>
      <c r="C1346" s="73">
        <f t="shared" si="625"/>
        <v>24</v>
      </c>
      <c r="D1346" s="74">
        <f t="shared" si="608"/>
        <v>8</v>
      </c>
      <c r="E1346" s="75">
        <f t="shared" si="609"/>
        <v>42</v>
      </c>
      <c r="F1346" s="79"/>
      <c r="G1346" s="82"/>
      <c r="H1346" s="68" t="str">
        <f t="shared" si="626"/>
        <v>Lacine13_20191124_08_00</v>
      </c>
      <c r="I1346" s="69">
        <f t="shared" si="630"/>
        <v>1</v>
      </c>
      <c r="J1346" s="76" t="str">
        <f t="shared" si="630"/>
        <v>Lactuca</v>
      </c>
      <c r="K1346" s="76" t="str">
        <f t="shared" si="630"/>
        <v>inermis</v>
      </c>
      <c r="L1346" s="77">
        <f t="shared" si="630"/>
        <v>13</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2019</v>
      </c>
      <c r="B1347" s="72" t="str">
        <f t="shared" si="607"/>
        <v>Nov</v>
      </c>
      <c r="C1347" s="73">
        <f t="shared" si="625"/>
        <v>24</v>
      </c>
      <c r="D1347" s="74">
        <f t="shared" si="608"/>
        <v>8</v>
      </c>
      <c r="E1347" s="75">
        <f t="shared" si="609"/>
        <v>43</v>
      </c>
      <c r="F1347" s="79"/>
      <c r="G1347" s="82"/>
      <c r="H1347" s="68" t="str">
        <f t="shared" si="626"/>
        <v>Lacine13_20191124_08_00</v>
      </c>
      <c r="I1347" s="69">
        <f t="shared" si="630"/>
        <v>1</v>
      </c>
      <c r="J1347" s="76" t="str">
        <f t="shared" si="630"/>
        <v>Lactuca</v>
      </c>
      <c r="K1347" s="76" t="str">
        <f t="shared" si="630"/>
        <v>inermis</v>
      </c>
      <c r="L1347" s="77">
        <f t="shared" si="630"/>
        <v>13</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x14ac:dyDescent="0.35">
      <c r="A1348" s="72">
        <f t="shared" ref="A1348:A1411" si="636">A1347</f>
        <v>2019</v>
      </c>
      <c r="B1348" s="72" t="str">
        <f t="shared" ref="B1348:B1411" si="637">IF(C1347-C1348&gt;0, TEXT(DATE(2016,(MONTH(DATEVALUE(B1347&amp;"1"))+1),1),"mmm"), B1347)</f>
        <v>Nov</v>
      </c>
      <c r="C1348" s="73">
        <f t="shared" si="625"/>
        <v>24</v>
      </c>
      <c r="D1348" s="74">
        <f t="shared" ref="D1348:D1411" si="638">IF(IF(E1347=59,D1347+1,D1347)=24,0,IF(E1347=59,D1347+1,D1347))</f>
        <v>8</v>
      </c>
      <c r="E1348" s="75">
        <f t="shared" ref="E1348:E1411" si="639">IF(E1347&lt;59,E1347+1,0)</f>
        <v>44</v>
      </c>
      <c r="F1348" s="79">
        <v>58</v>
      </c>
      <c r="G1348" s="82"/>
      <c r="H1348" s="68" t="str">
        <f t="shared" si="626"/>
        <v>Lacine13_20191124_08_00</v>
      </c>
      <c r="I1348" s="69">
        <f t="shared" si="630"/>
        <v>1</v>
      </c>
      <c r="J1348" s="76" t="str">
        <f t="shared" si="630"/>
        <v>Lactuca</v>
      </c>
      <c r="K1348" s="76" t="str">
        <f t="shared" si="630"/>
        <v>inermis</v>
      </c>
      <c r="L1348" s="77">
        <f t="shared" si="630"/>
        <v>13</v>
      </c>
      <c r="M1348" s="77">
        <f t="shared" si="630"/>
        <v>1</v>
      </c>
      <c r="N1348" s="71">
        <f t="shared" si="630"/>
        <v>0</v>
      </c>
      <c r="O1348" s="44"/>
      <c r="P1348" s="45">
        <f t="shared" ref="P1348:P1411" si="640">IF(F1348="","",1)</f>
        <v>1</v>
      </c>
      <c r="Q1348" s="46" t="str">
        <f t="shared" ref="Q1348:Q1411" si="641">TEXT(IF(P1348=1,CONCATENATE($D1348,":",$E1348,":",(LEFT($F1348,2))),""),"hh:mm:ss")</f>
        <v>08:44:58</v>
      </c>
      <c r="R1348" s="47" t="str">
        <f t="shared" ref="R1348:R1411" si="642">TEXT(Q1348-TIME(0,RIGHT($H1348,2),$G$9)+(Q1348&gt;TIME(0,RIGHT($H1348,2),$G$9)),"mm:ss")</f>
        <v>44:58</v>
      </c>
      <c r="S1348" s="48">
        <f t="shared" si="631"/>
        <v>1</v>
      </c>
      <c r="T1348" s="47" t="str">
        <f t="shared" ref="T1348:T1411" si="643">TEXT(IF(P1348=1,D1348,""),"00")</f>
        <v>08</v>
      </c>
      <c r="U1348" s="49">
        <v>44</v>
      </c>
      <c r="V1348" s="50">
        <v>59</v>
      </c>
      <c r="W1348" s="51" t="str">
        <f t="shared" ref="W1348:W1411" si="644">IF(O1348=0,TEXT(TIME(T1348,U1348,V1348)-TIME(D1348,E1348,RIGHT(F1348,2))+TIME(0,LEFT(R1348,2),RIGHT(R1348,2)),"mm:ss"),TEXT(TIME(T1348,U1348,V1348)-TIME(D1348,E1348,RIGHT(F1348,2))+TIME(0,LEFT(R1348,2),RIGHT(R1348,2))-TIME(0,($G$10*O1348),0),"mm:ss"))</f>
        <v>44:59</v>
      </c>
      <c r="X1348" s="52" t="s">
        <v>59</v>
      </c>
      <c r="Y1348" s="124" t="s">
        <v>87</v>
      </c>
      <c r="Z1348" s="124"/>
      <c r="AA1348" s="47" t="s">
        <v>82</v>
      </c>
      <c r="AB1348" s="47" t="str">
        <f t="shared" ref="AB1348:AB1411" si="645">IF(AA1348&lt;&gt;0,"NA","")</f>
        <v>NA</v>
      </c>
      <c r="AC1348" s="53">
        <f t="shared" ref="AC1348:AC1411" si="646">IF(SUM(AH1348,AJ1348,AL1348,AN1348,AP1348,AR1348)=S1348,,"")</f>
        <v>0</v>
      </c>
      <c r="AD1348" s="54">
        <f t="shared" ref="AD1348:AD1411" si="647">IF(P1348=1,1,"")</f>
        <v>1</v>
      </c>
      <c r="AE1348" s="54"/>
      <c r="AF1348" s="54"/>
      <c r="AG1348" s="55">
        <v>1</v>
      </c>
      <c r="AH1348" s="56">
        <f t="shared" ref="AH1348:AH1411" si="648">IF(AG1348=1,$S1348,"")</f>
        <v>1</v>
      </c>
      <c r="AI1348" s="55"/>
      <c r="AJ1348" s="56" t="str">
        <f t="shared" ref="AJ1348:AJ1411" si="649">IF(AI1348=1,$S1348,"")</f>
        <v/>
      </c>
      <c r="AK1348" s="55"/>
      <c r="AL1348" s="56" t="str">
        <f t="shared" ref="AL1348:AL1411" si="650">IF(AK1348=1,$S1348,"")</f>
        <v/>
      </c>
      <c r="AM1348" s="55"/>
      <c r="AN1348" s="56" t="str">
        <f t="shared" ref="AN1348:AN1411" si="651">IF(AM1348=1,$S1348,"")</f>
        <v/>
      </c>
      <c r="AO1348" s="55"/>
      <c r="AP1348" s="56" t="str">
        <f t="shared" ref="AP1348:AP1411" si="652">IF(AO1348=1,$S1348,"")</f>
        <v/>
      </c>
      <c r="AQ1348" s="55"/>
      <c r="AR1348" s="56" t="str">
        <f t="shared" ref="AR1348:AR1411" si="653">IF(AQ1348=1,$S1348,"")</f>
        <v/>
      </c>
      <c r="AS1348" s="57"/>
      <c r="AT1348" s="58"/>
      <c r="AU1348" s="58"/>
      <c r="AV1348" s="59"/>
      <c r="AW1348" s="60">
        <f t="shared" si="632"/>
        <v>0</v>
      </c>
      <c r="AX1348" s="61" t="str">
        <f t="shared" si="633"/>
        <v/>
      </c>
      <c r="AY1348" s="60">
        <f t="shared" si="634"/>
        <v>0</v>
      </c>
      <c r="AZ1348" s="61" t="str">
        <f t="shared" si="635"/>
        <v/>
      </c>
    </row>
    <row r="1349" spans="1:52" s="3" customFormat="1" hidden="1" x14ac:dyDescent="0.35">
      <c r="A1349" s="72">
        <f t="shared" si="636"/>
        <v>2019</v>
      </c>
      <c r="B1349" s="72" t="str">
        <f t="shared" si="637"/>
        <v>Nov</v>
      </c>
      <c r="C1349" s="73">
        <f t="shared" ref="C1349:C1412" si="654">IF(AND(D1349=0, E1349=0), IF(TEXT(C1348,"dd")=TEXT(EOMONTH(DATE(A1348,MONTH(DATEVALUE(B1348&amp;"1")),C1348),0), "dd"), 1, C1348+1), C1348)</f>
        <v>24</v>
      </c>
      <c r="D1349" s="74">
        <f t="shared" si="638"/>
        <v>8</v>
      </c>
      <c r="E1349" s="75">
        <f t="shared" si="639"/>
        <v>45</v>
      </c>
      <c r="F1349" s="79"/>
      <c r="G1349" s="82"/>
      <c r="H1349" s="68" t="str">
        <f t="shared" ref="H1349:H1412" si="655">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Lacine13_20191124_08_00</v>
      </c>
      <c r="I1349" s="69">
        <f t="shared" ref="I1349:N1364" si="656">I1348</f>
        <v>1</v>
      </c>
      <c r="J1349" s="76" t="str">
        <f t="shared" si="656"/>
        <v>Lactuca</v>
      </c>
      <c r="K1349" s="76" t="str">
        <f t="shared" si="656"/>
        <v>inermis</v>
      </c>
      <c r="L1349" s="77">
        <f t="shared" si="656"/>
        <v>13</v>
      </c>
      <c r="M1349" s="77">
        <f t="shared" si="656"/>
        <v>1</v>
      </c>
      <c r="N1349" s="71">
        <f t="shared" si="656"/>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ref="AG1349:AG1411" si="657">IF(OR(X1349="Something small"),1,"")</f>
        <v/>
      </c>
      <c r="AH1349" s="56" t="str">
        <f t="shared" si="648"/>
        <v/>
      </c>
      <c r="AI1349" s="55"/>
      <c r="AJ1349" s="56" t="str">
        <f t="shared" si="649"/>
        <v/>
      </c>
      <c r="AK1349" s="55"/>
      <c r="AL1349" s="56" t="str">
        <f t="shared" si="650"/>
        <v/>
      </c>
      <c r="AM1349" s="55"/>
      <c r="AN1349" s="56" t="str">
        <f t="shared" si="651"/>
        <v/>
      </c>
      <c r="AO1349" s="55"/>
      <c r="AP1349" s="56" t="str">
        <f t="shared" si="652"/>
        <v/>
      </c>
      <c r="AQ1349" s="55"/>
      <c r="AR1349" s="56" t="str">
        <f t="shared" si="653"/>
        <v/>
      </c>
      <c r="AS1349" s="57"/>
      <c r="AT1349" s="58"/>
      <c r="AU1349" s="58"/>
      <c r="AV1349" s="59"/>
      <c r="AW1349" s="60" t="str">
        <f t="shared" si="632"/>
        <v/>
      </c>
      <c r="AX1349" s="61" t="str">
        <f t="shared" si="633"/>
        <v/>
      </c>
      <c r="AY1349" s="60" t="str">
        <f t="shared" si="634"/>
        <v/>
      </c>
      <c r="AZ1349" s="61" t="str">
        <f t="shared" si="635"/>
        <v/>
      </c>
    </row>
    <row r="1350" spans="1:52" s="3" customFormat="1" x14ac:dyDescent="0.35">
      <c r="A1350" s="72">
        <f t="shared" si="636"/>
        <v>2019</v>
      </c>
      <c r="B1350" s="72" t="str">
        <f t="shared" si="637"/>
        <v>Nov</v>
      </c>
      <c r="C1350" s="73">
        <f t="shared" si="654"/>
        <v>24</v>
      </c>
      <c r="D1350" s="74">
        <f t="shared" si="638"/>
        <v>8</v>
      </c>
      <c r="E1350" s="75">
        <f t="shared" si="639"/>
        <v>46</v>
      </c>
      <c r="F1350" s="79">
        <v>34</v>
      </c>
      <c r="G1350" s="82"/>
      <c r="H1350" s="68" t="str">
        <f t="shared" si="655"/>
        <v>Lacine13_20191124_08_00</v>
      </c>
      <c r="I1350" s="69">
        <f t="shared" si="656"/>
        <v>1</v>
      </c>
      <c r="J1350" s="76" t="str">
        <f t="shared" si="656"/>
        <v>Lactuca</v>
      </c>
      <c r="K1350" s="76" t="str">
        <f t="shared" si="656"/>
        <v>inermis</v>
      </c>
      <c r="L1350" s="77">
        <f t="shared" si="656"/>
        <v>13</v>
      </c>
      <c r="M1350" s="77">
        <f t="shared" si="656"/>
        <v>1</v>
      </c>
      <c r="N1350" s="71">
        <f t="shared" si="656"/>
        <v>0</v>
      </c>
      <c r="O1350" s="44"/>
      <c r="P1350" s="45">
        <f t="shared" si="640"/>
        <v>1</v>
      </c>
      <c r="Q1350" s="46" t="str">
        <f t="shared" si="641"/>
        <v>08:46:34</v>
      </c>
      <c r="R1350" s="47" t="str">
        <f t="shared" si="642"/>
        <v>46:34</v>
      </c>
      <c r="S1350" s="48">
        <f t="shared" si="631"/>
        <v>5</v>
      </c>
      <c r="T1350" s="47" t="str">
        <f t="shared" si="643"/>
        <v>08</v>
      </c>
      <c r="U1350" s="49">
        <v>46</v>
      </c>
      <c r="V1350" s="50">
        <v>39</v>
      </c>
      <c r="W1350" s="51" t="str">
        <f t="shared" si="644"/>
        <v>46:39</v>
      </c>
      <c r="X1350" s="52" t="s">
        <v>59</v>
      </c>
      <c r="Y1350" s="124" t="s">
        <v>89</v>
      </c>
      <c r="Z1350" s="124" t="s">
        <v>92</v>
      </c>
      <c r="AA1350" s="47" t="s">
        <v>82</v>
      </c>
      <c r="AB1350" s="47" t="str">
        <f t="shared" si="645"/>
        <v>NA</v>
      </c>
      <c r="AC1350" s="53">
        <f t="shared" si="646"/>
        <v>0</v>
      </c>
      <c r="AD1350" s="54">
        <f t="shared" si="647"/>
        <v>1</v>
      </c>
      <c r="AE1350" s="54"/>
      <c r="AF1350" s="54"/>
      <c r="AG1350" s="55" t="str">
        <f t="shared" si="657"/>
        <v/>
      </c>
      <c r="AH1350" s="56" t="str">
        <f t="shared" si="648"/>
        <v/>
      </c>
      <c r="AI1350" s="55"/>
      <c r="AJ1350" s="56" t="str">
        <f t="shared" si="649"/>
        <v/>
      </c>
      <c r="AK1350" s="55"/>
      <c r="AL1350" s="56" t="str">
        <f t="shared" si="650"/>
        <v/>
      </c>
      <c r="AM1350" s="55">
        <v>1</v>
      </c>
      <c r="AN1350" s="56">
        <f t="shared" si="651"/>
        <v>5</v>
      </c>
      <c r="AO1350" s="55"/>
      <c r="AP1350" s="56" t="str">
        <f t="shared" si="652"/>
        <v/>
      </c>
      <c r="AQ1350" s="55"/>
      <c r="AR1350" s="56" t="str">
        <f t="shared" si="653"/>
        <v/>
      </c>
      <c r="AS1350" s="57"/>
      <c r="AT1350" s="58"/>
      <c r="AU1350" s="58"/>
      <c r="AV1350" s="59"/>
      <c r="AW1350" s="60">
        <v>1</v>
      </c>
      <c r="AX1350" s="61">
        <f t="shared" si="633"/>
        <v>1</v>
      </c>
      <c r="AY1350" s="60">
        <v>1</v>
      </c>
      <c r="AZ1350" s="61">
        <f t="shared" si="635"/>
        <v>1</v>
      </c>
    </row>
    <row r="1351" spans="1:52" s="3" customFormat="1" hidden="1" x14ac:dyDescent="0.35">
      <c r="A1351" s="72">
        <f t="shared" si="636"/>
        <v>2019</v>
      </c>
      <c r="B1351" s="72" t="str">
        <f t="shared" si="637"/>
        <v>Nov</v>
      </c>
      <c r="C1351" s="73">
        <f t="shared" si="654"/>
        <v>24</v>
      </c>
      <c r="D1351" s="74">
        <f t="shared" si="638"/>
        <v>8</v>
      </c>
      <c r="E1351" s="75">
        <f t="shared" si="639"/>
        <v>47</v>
      </c>
      <c r="F1351" s="79"/>
      <c r="G1351" s="82"/>
      <c r="H1351" s="68" t="str">
        <f t="shared" si="655"/>
        <v>Lacine13_20191124_08_00</v>
      </c>
      <c r="I1351" s="69">
        <f t="shared" si="656"/>
        <v>1</v>
      </c>
      <c r="J1351" s="76" t="str">
        <f t="shared" si="656"/>
        <v>Lactuca</v>
      </c>
      <c r="K1351" s="76" t="str">
        <f t="shared" si="656"/>
        <v>inermis</v>
      </c>
      <c r="L1351" s="77">
        <f t="shared" si="656"/>
        <v>13</v>
      </c>
      <c r="M1351" s="77">
        <v>0</v>
      </c>
      <c r="N1351" s="71">
        <f t="shared" si="656"/>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57"/>
        <v/>
      </c>
      <c r="AH1351" s="56" t="str">
        <f t="shared" si="648"/>
        <v/>
      </c>
      <c r="AI1351" s="55"/>
      <c r="AJ1351" s="56" t="str">
        <f t="shared" si="649"/>
        <v/>
      </c>
      <c r="AK1351" s="55"/>
      <c r="AL1351" s="56" t="str">
        <f t="shared" si="650"/>
        <v/>
      </c>
      <c r="AM1351" s="55"/>
      <c r="AN1351" s="56" t="str">
        <f t="shared" si="651"/>
        <v/>
      </c>
      <c r="AO1351" s="55"/>
      <c r="AP1351" s="56" t="str">
        <f t="shared" si="652"/>
        <v/>
      </c>
      <c r="AQ1351" s="55"/>
      <c r="AR1351" s="56" t="str">
        <f t="shared" si="653"/>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2019</v>
      </c>
      <c r="B1352" s="72" t="str">
        <f t="shared" si="637"/>
        <v>Nov</v>
      </c>
      <c r="C1352" s="73">
        <f t="shared" si="654"/>
        <v>24</v>
      </c>
      <c r="D1352" s="74">
        <f t="shared" si="638"/>
        <v>8</v>
      </c>
      <c r="E1352" s="75">
        <f t="shared" si="639"/>
        <v>48</v>
      </c>
      <c r="F1352" s="79"/>
      <c r="G1352" s="82"/>
      <c r="H1352" s="68" t="str">
        <f t="shared" si="655"/>
        <v>Lacine13_20191124_08_00</v>
      </c>
      <c r="I1352" s="69">
        <f t="shared" si="656"/>
        <v>1</v>
      </c>
      <c r="J1352" s="76" t="str">
        <f t="shared" si="656"/>
        <v>Lactuca</v>
      </c>
      <c r="K1352" s="76" t="str">
        <f t="shared" si="656"/>
        <v>inermis</v>
      </c>
      <c r="L1352" s="77">
        <f t="shared" si="656"/>
        <v>13</v>
      </c>
      <c r="M1352" s="77">
        <f t="shared" si="656"/>
        <v>0</v>
      </c>
      <c r="N1352" s="71">
        <f t="shared" si="656"/>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57"/>
        <v/>
      </c>
      <c r="AH1352" s="56" t="str">
        <f t="shared" si="648"/>
        <v/>
      </c>
      <c r="AI1352" s="55"/>
      <c r="AJ1352" s="56" t="str">
        <f t="shared" si="649"/>
        <v/>
      </c>
      <c r="AK1352" s="55"/>
      <c r="AL1352" s="56" t="str">
        <f t="shared" si="650"/>
        <v/>
      </c>
      <c r="AM1352" s="55"/>
      <c r="AN1352" s="56" t="str">
        <f t="shared" si="651"/>
        <v/>
      </c>
      <c r="AO1352" s="55"/>
      <c r="AP1352" s="56" t="str">
        <f t="shared" si="652"/>
        <v/>
      </c>
      <c r="AQ1352" s="55"/>
      <c r="AR1352" s="56" t="str">
        <f t="shared" si="653"/>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2019</v>
      </c>
      <c r="B1353" s="72" t="str">
        <f t="shared" si="637"/>
        <v>Nov</v>
      </c>
      <c r="C1353" s="73">
        <f t="shared" si="654"/>
        <v>24</v>
      </c>
      <c r="D1353" s="74">
        <f t="shared" si="638"/>
        <v>8</v>
      </c>
      <c r="E1353" s="75">
        <f t="shared" si="639"/>
        <v>49</v>
      </c>
      <c r="F1353" s="79"/>
      <c r="G1353" s="82"/>
      <c r="H1353" s="68" t="str">
        <f t="shared" si="655"/>
        <v>Lacine13_20191124_08_00</v>
      </c>
      <c r="I1353" s="69">
        <f t="shared" si="656"/>
        <v>1</v>
      </c>
      <c r="J1353" s="76" t="str">
        <f t="shared" si="656"/>
        <v>Lactuca</v>
      </c>
      <c r="K1353" s="76" t="str">
        <f t="shared" si="656"/>
        <v>inermis</v>
      </c>
      <c r="L1353" s="77">
        <f t="shared" si="656"/>
        <v>13</v>
      </c>
      <c r="M1353" s="77">
        <f t="shared" si="656"/>
        <v>0</v>
      </c>
      <c r="N1353" s="71">
        <f t="shared" si="656"/>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57"/>
        <v/>
      </c>
      <c r="AH1353" s="56" t="str">
        <f t="shared" si="648"/>
        <v/>
      </c>
      <c r="AI1353" s="55"/>
      <c r="AJ1353" s="56" t="str">
        <f t="shared" si="649"/>
        <v/>
      </c>
      <c r="AK1353" s="55"/>
      <c r="AL1353" s="56" t="str">
        <f t="shared" si="650"/>
        <v/>
      </c>
      <c r="AM1353" s="55"/>
      <c r="AN1353" s="56" t="str">
        <f t="shared" si="651"/>
        <v/>
      </c>
      <c r="AO1353" s="55"/>
      <c r="AP1353" s="56" t="str">
        <f t="shared" si="652"/>
        <v/>
      </c>
      <c r="AQ1353" s="55"/>
      <c r="AR1353" s="56" t="str">
        <f t="shared" si="653"/>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2019</v>
      </c>
      <c r="B1354" s="72" t="str">
        <f t="shared" si="637"/>
        <v>Nov</v>
      </c>
      <c r="C1354" s="73">
        <f t="shared" si="654"/>
        <v>24</v>
      </c>
      <c r="D1354" s="74">
        <f t="shared" si="638"/>
        <v>8</v>
      </c>
      <c r="E1354" s="75">
        <f t="shared" si="639"/>
        <v>50</v>
      </c>
      <c r="F1354" s="79"/>
      <c r="G1354" s="82"/>
      <c r="H1354" s="68" t="str">
        <f t="shared" si="655"/>
        <v>Lacine13_20191124_08_00</v>
      </c>
      <c r="I1354" s="69">
        <f t="shared" si="656"/>
        <v>1</v>
      </c>
      <c r="J1354" s="76" t="str">
        <f t="shared" si="656"/>
        <v>Lactuca</v>
      </c>
      <c r="K1354" s="76" t="str">
        <f t="shared" si="656"/>
        <v>inermis</v>
      </c>
      <c r="L1354" s="77">
        <f t="shared" si="656"/>
        <v>13</v>
      </c>
      <c r="M1354" s="77">
        <f t="shared" si="656"/>
        <v>0</v>
      </c>
      <c r="N1354" s="71">
        <f t="shared" si="656"/>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57"/>
        <v/>
      </c>
      <c r="AH1354" s="56" t="str">
        <f t="shared" si="648"/>
        <v/>
      </c>
      <c r="AI1354" s="55"/>
      <c r="AJ1354" s="56" t="str">
        <f t="shared" si="649"/>
        <v/>
      </c>
      <c r="AK1354" s="55"/>
      <c r="AL1354" s="56" t="str">
        <f t="shared" si="650"/>
        <v/>
      </c>
      <c r="AM1354" s="55"/>
      <c r="AN1354" s="56" t="str">
        <f t="shared" si="651"/>
        <v/>
      </c>
      <c r="AO1354" s="55"/>
      <c r="AP1354" s="56" t="str">
        <f t="shared" si="652"/>
        <v/>
      </c>
      <c r="AQ1354" s="55"/>
      <c r="AR1354" s="56" t="str">
        <f t="shared" si="653"/>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2019</v>
      </c>
      <c r="B1355" s="72" t="str">
        <f t="shared" si="637"/>
        <v>Nov</v>
      </c>
      <c r="C1355" s="73">
        <f t="shared" si="654"/>
        <v>24</v>
      </c>
      <c r="D1355" s="74">
        <f t="shared" si="638"/>
        <v>8</v>
      </c>
      <c r="E1355" s="75">
        <f t="shared" si="639"/>
        <v>51</v>
      </c>
      <c r="F1355" s="79"/>
      <c r="G1355" s="82"/>
      <c r="H1355" s="68" t="str">
        <f t="shared" si="655"/>
        <v>Lacine13_20191124_08_00</v>
      </c>
      <c r="I1355" s="69">
        <f t="shared" si="656"/>
        <v>1</v>
      </c>
      <c r="J1355" s="76" t="str">
        <f t="shared" si="656"/>
        <v>Lactuca</v>
      </c>
      <c r="K1355" s="76" t="str">
        <f t="shared" si="656"/>
        <v>inermis</v>
      </c>
      <c r="L1355" s="77">
        <f t="shared" si="656"/>
        <v>13</v>
      </c>
      <c r="M1355" s="77">
        <f t="shared" si="656"/>
        <v>0</v>
      </c>
      <c r="N1355" s="71">
        <f t="shared" si="656"/>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57"/>
        <v/>
      </c>
      <c r="AH1355" s="56" t="str">
        <f t="shared" si="648"/>
        <v/>
      </c>
      <c r="AI1355" s="55"/>
      <c r="AJ1355" s="56" t="str">
        <f t="shared" si="649"/>
        <v/>
      </c>
      <c r="AK1355" s="55"/>
      <c r="AL1355" s="56" t="str">
        <f t="shared" si="650"/>
        <v/>
      </c>
      <c r="AM1355" s="55"/>
      <c r="AN1355" s="56" t="str">
        <f t="shared" si="651"/>
        <v/>
      </c>
      <c r="AO1355" s="55"/>
      <c r="AP1355" s="56" t="str">
        <f t="shared" si="652"/>
        <v/>
      </c>
      <c r="AQ1355" s="55"/>
      <c r="AR1355" s="56" t="str">
        <f t="shared" si="653"/>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2019</v>
      </c>
      <c r="B1356" s="72" t="str">
        <f t="shared" si="637"/>
        <v>Nov</v>
      </c>
      <c r="C1356" s="73">
        <f t="shared" si="654"/>
        <v>24</v>
      </c>
      <c r="D1356" s="74">
        <f t="shared" si="638"/>
        <v>8</v>
      </c>
      <c r="E1356" s="75">
        <f t="shared" si="639"/>
        <v>52</v>
      </c>
      <c r="F1356" s="79"/>
      <c r="G1356" s="82"/>
      <c r="H1356" s="68" t="str">
        <f t="shared" si="655"/>
        <v>Lacine13_20191124_08_00</v>
      </c>
      <c r="I1356" s="69">
        <f t="shared" si="656"/>
        <v>1</v>
      </c>
      <c r="J1356" s="76" t="str">
        <f t="shared" si="656"/>
        <v>Lactuca</v>
      </c>
      <c r="K1356" s="76" t="str">
        <f t="shared" si="656"/>
        <v>inermis</v>
      </c>
      <c r="L1356" s="77">
        <f t="shared" si="656"/>
        <v>13</v>
      </c>
      <c r="M1356" s="77">
        <f t="shared" si="656"/>
        <v>0</v>
      </c>
      <c r="N1356" s="71">
        <f t="shared" si="656"/>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57"/>
        <v/>
      </c>
      <c r="AH1356" s="56" t="str">
        <f t="shared" si="648"/>
        <v/>
      </c>
      <c r="AI1356" s="55"/>
      <c r="AJ1356" s="56" t="str">
        <f t="shared" si="649"/>
        <v/>
      </c>
      <c r="AK1356" s="55"/>
      <c r="AL1356" s="56" t="str">
        <f t="shared" si="650"/>
        <v/>
      </c>
      <c r="AM1356" s="55"/>
      <c r="AN1356" s="56" t="str">
        <f t="shared" si="651"/>
        <v/>
      </c>
      <c r="AO1356" s="55"/>
      <c r="AP1356" s="56" t="str">
        <f t="shared" si="652"/>
        <v/>
      </c>
      <c r="AQ1356" s="55"/>
      <c r="AR1356" s="56" t="str">
        <f t="shared" si="653"/>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2019</v>
      </c>
      <c r="B1357" s="72" t="str">
        <f t="shared" si="637"/>
        <v>Nov</v>
      </c>
      <c r="C1357" s="73">
        <f t="shared" si="654"/>
        <v>24</v>
      </c>
      <c r="D1357" s="74">
        <f t="shared" si="638"/>
        <v>8</v>
      </c>
      <c r="E1357" s="75">
        <f t="shared" si="639"/>
        <v>53</v>
      </c>
      <c r="F1357" s="79"/>
      <c r="G1357" s="82"/>
      <c r="H1357" s="68" t="str">
        <f t="shared" si="655"/>
        <v>Lacine13_20191124_08_00</v>
      </c>
      <c r="I1357" s="69">
        <f t="shared" si="656"/>
        <v>1</v>
      </c>
      <c r="J1357" s="76" t="str">
        <f t="shared" si="656"/>
        <v>Lactuca</v>
      </c>
      <c r="K1357" s="76" t="str">
        <f t="shared" si="656"/>
        <v>inermis</v>
      </c>
      <c r="L1357" s="77">
        <f t="shared" si="656"/>
        <v>13</v>
      </c>
      <c r="M1357" s="77">
        <f t="shared" si="656"/>
        <v>0</v>
      </c>
      <c r="N1357" s="71">
        <f t="shared" si="656"/>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57"/>
        <v/>
      </c>
      <c r="AH1357" s="56" t="str">
        <f t="shared" si="648"/>
        <v/>
      </c>
      <c r="AI1357" s="55"/>
      <c r="AJ1357" s="56" t="str">
        <f t="shared" si="649"/>
        <v/>
      </c>
      <c r="AK1357" s="55"/>
      <c r="AL1357" s="56" t="str">
        <f t="shared" si="650"/>
        <v/>
      </c>
      <c r="AM1357" s="55"/>
      <c r="AN1357" s="56" t="str">
        <f t="shared" si="651"/>
        <v/>
      </c>
      <c r="AO1357" s="55"/>
      <c r="AP1357" s="56" t="str">
        <f t="shared" si="652"/>
        <v/>
      </c>
      <c r="AQ1357" s="55"/>
      <c r="AR1357" s="56" t="str">
        <f t="shared" si="653"/>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2019</v>
      </c>
      <c r="B1358" s="72" t="str">
        <f t="shared" si="637"/>
        <v>Nov</v>
      </c>
      <c r="C1358" s="73">
        <f t="shared" si="654"/>
        <v>24</v>
      </c>
      <c r="D1358" s="74">
        <f t="shared" si="638"/>
        <v>8</v>
      </c>
      <c r="E1358" s="75">
        <f t="shared" si="639"/>
        <v>54</v>
      </c>
      <c r="F1358" s="79"/>
      <c r="G1358" s="82"/>
      <c r="H1358" s="68" t="str">
        <f t="shared" si="655"/>
        <v>Lacine13_20191124_08_00</v>
      </c>
      <c r="I1358" s="69">
        <f t="shared" si="656"/>
        <v>1</v>
      </c>
      <c r="J1358" s="76" t="str">
        <f t="shared" si="656"/>
        <v>Lactuca</v>
      </c>
      <c r="K1358" s="76" t="str">
        <f t="shared" si="656"/>
        <v>inermis</v>
      </c>
      <c r="L1358" s="77">
        <f t="shared" si="656"/>
        <v>13</v>
      </c>
      <c r="M1358" s="77">
        <f t="shared" si="656"/>
        <v>0</v>
      </c>
      <c r="N1358" s="71">
        <f t="shared" si="656"/>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57"/>
        <v/>
      </c>
      <c r="AH1358" s="56" t="str">
        <f t="shared" si="648"/>
        <v/>
      </c>
      <c r="AI1358" s="55"/>
      <c r="AJ1358" s="56" t="str">
        <f t="shared" si="649"/>
        <v/>
      </c>
      <c r="AK1358" s="55"/>
      <c r="AL1358" s="56" t="str">
        <f t="shared" si="650"/>
        <v/>
      </c>
      <c r="AM1358" s="55"/>
      <c r="AN1358" s="56" t="str">
        <f t="shared" si="651"/>
        <v/>
      </c>
      <c r="AO1358" s="55"/>
      <c r="AP1358" s="56" t="str">
        <f t="shared" si="652"/>
        <v/>
      </c>
      <c r="AQ1358" s="55"/>
      <c r="AR1358" s="56" t="str">
        <f t="shared" si="653"/>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2019</v>
      </c>
      <c r="B1359" s="72" t="str">
        <f t="shared" si="637"/>
        <v>Nov</v>
      </c>
      <c r="C1359" s="73">
        <f t="shared" si="654"/>
        <v>24</v>
      </c>
      <c r="D1359" s="74">
        <f t="shared" si="638"/>
        <v>8</v>
      </c>
      <c r="E1359" s="75">
        <f t="shared" si="639"/>
        <v>55</v>
      </c>
      <c r="F1359" s="79"/>
      <c r="G1359" s="82"/>
      <c r="H1359" s="68" t="str">
        <f t="shared" si="655"/>
        <v>Lacine13_20191124_08_00</v>
      </c>
      <c r="I1359" s="69">
        <f t="shared" si="656"/>
        <v>1</v>
      </c>
      <c r="J1359" s="76" t="str">
        <f t="shared" si="656"/>
        <v>Lactuca</v>
      </c>
      <c r="K1359" s="76" t="str">
        <f t="shared" si="656"/>
        <v>inermis</v>
      </c>
      <c r="L1359" s="77">
        <f t="shared" si="656"/>
        <v>13</v>
      </c>
      <c r="M1359" s="77">
        <f t="shared" si="656"/>
        <v>0</v>
      </c>
      <c r="N1359" s="71">
        <f t="shared" si="656"/>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57"/>
        <v/>
      </c>
      <c r="AH1359" s="56" t="str">
        <f t="shared" si="648"/>
        <v/>
      </c>
      <c r="AI1359" s="55"/>
      <c r="AJ1359" s="56" t="str">
        <f t="shared" si="649"/>
        <v/>
      </c>
      <c r="AK1359" s="55"/>
      <c r="AL1359" s="56" t="str">
        <f t="shared" si="650"/>
        <v/>
      </c>
      <c r="AM1359" s="55"/>
      <c r="AN1359" s="56" t="str">
        <f t="shared" si="651"/>
        <v/>
      </c>
      <c r="AO1359" s="55"/>
      <c r="AP1359" s="56" t="str">
        <f t="shared" si="652"/>
        <v/>
      </c>
      <c r="AQ1359" s="55"/>
      <c r="AR1359" s="56" t="str">
        <f t="shared" si="653"/>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2019</v>
      </c>
      <c r="B1360" s="72" t="str">
        <f t="shared" si="637"/>
        <v>Nov</v>
      </c>
      <c r="C1360" s="73">
        <f t="shared" si="654"/>
        <v>24</v>
      </c>
      <c r="D1360" s="74">
        <f t="shared" si="638"/>
        <v>8</v>
      </c>
      <c r="E1360" s="75">
        <f t="shared" si="639"/>
        <v>56</v>
      </c>
      <c r="F1360" s="79"/>
      <c r="G1360" s="82"/>
      <c r="H1360" s="68" t="str">
        <f t="shared" si="655"/>
        <v>Lacine13_20191124_08_00</v>
      </c>
      <c r="I1360" s="69">
        <f t="shared" si="656"/>
        <v>1</v>
      </c>
      <c r="J1360" s="76" t="str">
        <f t="shared" si="656"/>
        <v>Lactuca</v>
      </c>
      <c r="K1360" s="76" t="str">
        <f t="shared" si="656"/>
        <v>inermis</v>
      </c>
      <c r="L1360" s="77">
        <f t="shared" si="656"/>
        <v>13</v>
      </c>
      <c r="M1360" s="77">
        <f t="shared" si="656"/>
        <v>0</v>
      </c>
      <c r="N1360" s="71">
        <f t="shared" si="656"/>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57"/>
        <v/>
      </c>
      <c r="AH1360" s="56" t="str">
        <f t="shared" si="648"/>
        <v/>
      </c>
      <c r="AI1360" s="55"/>
      <c r="AJ1360" s="56" t="str">
        <f t="shared" si="649"/>
        <v/>
      </c>
      <c r="AK1360" s="55"/>
      <c r="AL1360" s="56" t="str">
        <f t="shared" si="650"/>
        <v/>
      </c>
      <c r="AM1360" s="55"/>
      <c r="AN1360" s="56" t="str">
        <f t="shared" si="651"/>
        <v/>
      </c>
      <c r="AO1360" s="55"/>
      <c r="AP1360" s="56" t="str">
        <f t="shared" si="652"/>
        <v/>
      </c>
      <c r="AQ1360" s="55"/>
      <c r="AR1360" s="56" t="str">
        <f t="shared" si="653"/>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2019</v>
      </c>
      <c r="B1361" s="72" t="str">
        <f t="shared" si="637"/>
        <v>Nov</v>
      </c>
      <c r="C1361" s="73">
        <f t="shared" si="654"/>
        <v>24</v>
      </c>
      <c r="D1361" s="74">
        <f t="shared" si="638"/>
        <v>8</v>
      </c>
      <c r="E1361" s="75">
        <f t="shared" si="639"/>
        <v>57</v>
      </c>
      <c r="F1361" s="79"/>
      <c r="G1361" s="82"/>
      <c r="H1361" s="68" t="str">
        <f t="shared" si="655"/>
        <v>Lacine13_20191124_08_00</v>
      </c>
      <c r="I1361" s="69">
        <f t="shared" si="656"/>
        <v>1</v>
      </c>
      <c r="J1361" s="76" t="str">
        <f t="shared" si="656"/>
        <v>Lactuca</v>
      </c>
      <c r="K1361" s="76" t="str">
        <f t="shared" si="656"/>
        <v>inermis</v>
      </c>
      <c r="L1361" s="77">
        <f t="shared" si="656"/>
        <v>13</v>
      </c>
      <c r="M1361" s="77">
        <f t="shared" si="656"/>
        <v>0</v>
      </c>
      <c r="N1361" s="71">
        <f t="shared" si="656"/>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57"/>
        <v/>
      </c>
      <c r="AH1361" s="56" t="str">
        <f t="shared" si="648"/>
        <v/>
      </c>
      <c r="AI1361" s="55"/>
      <c r="AJ1361" s="56" t="str">
        <f t="shared" si="649"/>
        <v/>
      </c>
      <c r="AK1361" s="55"/>
      <c r="AL1361" s="56" t="str">
        <f t="shared" si="650"/>
        <v/>
      </c>
      <c r="AM1361" s="55"/>
      <c r="AN1361" s="56" t="str">
        <f t="shared" si="651"/>
        <v/>
      </c>
      <c r="AO1361" s="55"/>
      <c r="AP1361" s="56" t="str">
        <f t="shared" si="652"/>
        <v/>
      </c>
      <c r="AQ1361" s="55"/>
      <c r="AR1361" s="56" t="str">
        <f t="shared" si="653"/>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2019</v>
      </c>
      <c r="B1362" s="72" t="str">
        <f t="shared" si="637"/>
        <v>Nov</v>
      </c>
      <c r="C1362" s="73">
        <f t="shared" si="654"/>
        <v>24</v>
      </c>
      <c r="D1362" s="74">
        <f t="shared" si="638"/>
        <v>8</v>
      </c>
      <c r="E1362" s="75">
        <f t="shared" si="639"/>
        <v>58</v>
      </c>
      <c r="F1362" s="79"/>
      <c r="G1362" s="82"/>
      <c r="H1362" s="68" t="str">
        <f t="shared" si="655"/>
        <v>Lacine13_20191124_08_00</v>
      </c>
      <c r="I1362" s="69">
        <f t="shared" si="656"/>
        <v>1</v>
      </c>
      <c r="J1362" s="76" t="str">
        <f t="shared" si="656"/>
        <v>Lactuca</v>
      </c>
      <c r="K1362" s="76" t="str">
        <f t="shared" si="656"/>
        <v>inermis</v>
      </c>
      <c r="L1362" s="77">
        <f t="shared" si="656"/>
        <v>13</v>
      </c>
      <c r="M1362" s="77">
        <f t="shared" si="656"/>
        <v>0</v>
      </c>
      <c r="N1362" s="71">
        <f t="shared" si="656"/>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57"/>
        <v/>
      </c>
      <c r="AH1362" s="56" t="str">
        <f t="shared" si="648"/>
        <v/>
      </c>
      <c r="AI1362" s="55"/>
      <c r="AJ1362" s="56" t="str">
        <f t="shared" si="649"/>
        <v/>
      </c>
      <c r="AK1362" s="55"/>
      <c r="AL1362" s="56" t="str">
        <f t="shared" si="650"/>
        <v/>
      </c>
      <c r="AM1362" s="55"/>
      <c r="AN1362" s="56" t="str">
        <f t="shared" si="651"/>
        <v/>
      </c>
      <c r="AO1362" s="55"/>
      <c r="AP1362" s="56" t="str">
        <f t="shared" si="652"/>
        <v/>
      </c>
      <c r="AQ1362" s="55"/>
      <c r="AR1362" s="56" t="str">
        <f t="shared" si="653"/>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2019</v>
      </c>
      <c r="B1363" s="72" t="str">
        <f t="shared" si="637"/>
        <v>Nov</v>
      </c>
      <c r="C1363" s="73">
        <f t="shared" si="654"/>
        <v>24</v>
      </c>
      <c r="D1363" s="74">
        <f t="shared" si="638"/>
        <v>8</v>
      </c>
      <c r="E1363" s="75">
        <f t="shared" si="639"/>
        <v>59</v>
      </c>
      <c r="F1363" s="79"/>
      <c r="G1363" s="82"/>
      <c r="H1363" s="68" t="str">
        <f t="shared" si="655"/>
        <v>Lacine13_20191124_08_00</v>
      </c>
      <c r="I1363" s="69">
        <f t="shared" si="656"/>
        <v>1</v>
      </c>
      <c r="J1363" s="76" t="str">
        <f t="shared" si="656"/>
        <v>Lactuca</v>
      </c>
      <c r="K1363" s="76" t="str">
        <f t="shared" si="656"/>
        <v>inermis</v>
      </c>
      <c r="L1363" s="77">
        <f t="shared" si="656"/>
        <v>13</v>
      </c>
      <c r="M1363" s="77">
        <f t="shared" si="656"/>
        <v>0</v>
      </c>
      <c r="N1363" s="71">
        <f t="shared" si="656"/>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57"/>
        <v/>
      </c>
      <c r="AH1363" s="56" t="str">
        <f t="shared" si="648"/>
        <v/>
      </c>
      <c r="AI1363" s="55"/>
      <c r="AJ1363" s="56" t="str">
        <f t="shared" si="649"/>
        <v/>
      </c>
      <c r="AK1363" s="55"/>
      <c r="AL1363" s="56" t="str">
        <f t="shared" si="650"/>
        <v/>
      </c>
      <c r="AM1363" s="55"/>
      <c r="AN1363" s="56" t="str">
        <f t="shared" si="651"/>
        <v/>
      </c>
      <c r="AO1363" s="55"/>
      <c r="AP1363" s="56" t="str">
        <f t="shared" si="652"/>
        <v/>
      </c>
      <c r="AQ1363" s="55"/>
      <c r="AR1363" s="56" t="str">
        <f t="shared" si="653"/>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2019</v>
      </c>
      <c r="B1364" s="72" t="str">
        <f t="shared" si="637"/>
        <v>Nov</v>
      </c>
      <c r="C1364" s="73">
        <f t="shared" si="654"/>
        <v>24</v>
      </c>
      <c r="D1364" s="74">
        <f t="shared" si="638"/>
        <v>9</v>
      </c>
      <c r="E1364" s="75">
        <f t="shared" si="639"/>
        <v>0</v>
      </c>
      <c r="F1364" s="79"/>
      <c r="G1364" s="82"/>
      <c r="H1364" s="68" t="str">
        <f t="shared" si="655"/>
        <v>Lacine13_20191124_09_00</v>
      </c>
      <c r="I1364" s="69">
        <f t="shared" si="656"/>
        <v>1</v>
      </c>
      <c r="J1364" s="76" t="str">
        <f t="shared" si="656"/>
        <v>Lactuca</v>
      </c>
      <c r="K1364" s="76" t="str">
        <f t="shared" si="656"/>
        <v>inermis</v>
      </c>
      <c r="L1364" s="77">
        <f t="shared" si="656"/>
        <v>13</v>
      </c>
      <c r="M1364" s="77">
        <f t="shared" si="656"/>
        <v>0</v>
      </c>
      <c r="N1364" s="71">
        <f t="shared" si="656"/>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57"/>
        <v/>
      </c>
      <c r="AH1364" s="56" t="str">
        <f t="shared" si="648"/>
        <v/>
      </c>
      <c r="AI1364" s="55"/>
      <c r="AJ1364" s="56" t="str">
        <f t="shared" si="649"/>
        <v/>
      </c>
      <c r="AK1364" s="55"/>
      <c r="AL1364" s="56" t="str">
        <f t="shared" si="650"/>
        <v/>
      </c>
      <c r="AM1364" s="55"/>
      <c r="AN1364" s="56" t="str">
        <f t="shared" si="651"/>
        <v/>
      </c>
      <c r="AO1364" s="55"/>
      <c r="AP1364" s="56" t="str">
        <f t="shared" si="652"/>
        <v/>
      </c>
      <c r="AQ1364" s="55"/>
      <c r="AR1364" s="56" t="str">
        <f t="shared" si="653"/>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2019</v>
      </c>
      <c r="B1365" s="72" t="str">
        <f t="shared" si="637"/>
        <v>Nov</v>
      </c>
      <c r="C1365" s="73">
        <f t="shared" si="654"/>
        <v>24</v>
      </c>
      <c r="D1365" s="74">
        <f t="shared" si="638"/>
        <v>9</v>
      </c>
      <c r="E1365" s="75">
        <f t="shared" si="639"/>
        <v>1</v>
      </c>
      <c r="F1365" s="79"/>
      <c r="G1365" s="82"/>
      <c r="H1365" s="68" t="str">
        <f t="shared" si="655"/>
        <v>Lacine13_20191124_09_00</v>
      </c>
      <c r="I1365" s="69">
        <f t="shared" ref="I1365:N1380" si="658">I1364</f>
        <v>1</v>
      </c>
      <c r="J1365" s="76" t="str">
        <f t="shared" si="658"/>
        <v>Lactuca</v>
      </c>
      <c r="K1365" s="76" t="str">
        <f t="shared" si="658"/>
        <v>inermis</v>
      </c>
      <c r="L1365" s="77">
        <f t="shared" si="658"/>
        <v>13</v>
      </c>
      <c r="M1365" s="77">
        <f t="shared" si="658"/>
        <v>0</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57"/>
        <v/>
      </c>
      <c r="AH1365" s="56" t="str">
        <f t="shared" si="648"/>
        <v/>
      </c>
      <c r="AI1365" s="55"/>
      <c r="AJ1365" s="56" t="str">
        <f t="shared" si="649"/>
        <v/>
      </c>
      <c r="AK1365" s="55"/>
      <c r="AL1365" s="56" t="str">
        <f t="shared" si="650"/>
        <v/>
      </c>
      <c r="AM1365" s="55"/>
      <c r="AN1365" s="56" t="str">
        <f t="shared" si="651"/>
        <v/>
      </c>
      <c r="AO1365" s="55"/>
      <c r="AP1365" s="56" t="str">
        <f t="shared" si="652"/>
        <v/>
      </c>
      <c r="AQ1365" s="55"/>
      <c r="AR1365" s="56" t="str">
        <f t="shared" si="653"/>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2019</v>
      </c>
      <c r="B1366" s="72" t="str">
        <f t="shared" si="637"/>
        <v>Nov</v>
      </c>
      <c r="C1366" s="73">
        <f t="shared" si="654"/>
        <v>24</v>
      </c>
      <c r="D1366" s="74">
        <f t="shared" si="638"/>
        <v>9</v>
      </c>
      <c r="E1366" s="75">
        <f t="shared" si="639"/>
        <v>2</v>
      </c>
      <c r="F1366" s="79"/>
      <c r="G1366" s="82"/>
      <c r="H1366" s="68" t="str">
        <f t="shared" si="655"/>
        <v>Lacine13_20191124_09_00</v>
      </c>
      <c r="I1366" s="69">
        <f t="shared" si="658"/>
        <v>1</v>
      </c>
      <c r="J1366" s="76" t="str">
        <f t="shared" si="658"/>
        <v>Lactuca</v>
      </c>
      <c r="K1366" s="76" t="str">
        <f t="shared" si="658"/>
        <v>inermis</v>
      </c>
      <c r="L1366" s="77">
        <f t="shared" si="658"/>
        <v>13</v>
      </c>
      <c r="M1366" s="77">
        <f t="shared" si="658"/>
        <v>0</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57"/>
        <v/>
      </c>
      <c r="AH1366" s="56" t="str">
        <f t="shared" si="648"/>
        <v/>
      </c>
      <c r="AI1366" s="55"/>
      <c r="AJ1366" s="56" t="str">
        <f t="shared" si="649"/>
        <v/>
      </c>
      <c r="AK1366" s="55"/>
      <c r="AL1366" s="56" t="str">
        <f t="shared" si="650"/>
        <v/>
      </c>
      <c r="AM1366" s="55"/>
      <c r="AN1366" s="56" t="str">
        <f t="shared" si="651"/>
        <v/>
      </c>
      <c r="AO1366" s="55"/>
      <c r="AP1366" s="56" t="str">
        <f t="shared" si="652"/>
        <v/>
      </c>
      <c r="AQ1366" s="55"/>
      <c r="AR1366" s="56" t="str">
        <f t="shared" si="653"/>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2019</v>
      </c>
      <c r="B1367" s="72" t="str">
        <f t="shared" si="637"/>
        <v>Nov</v>
      </c>
      <c r="C1367" s="73">
        <f t="shared" si="654"/>
        <v>24</v>
      </c>
      <c r="D1367" s="74">
        <f t="shared" si="638"/>
        <v>9</v>
      </c>
      <c r="E1367" s="75">
        <f t="shared" si="639"/>
        <v>3</v>
      </c>
      <c r="F1367" s="79"/>
      <c r="G1367" s="82"/>
      <c r="H1367" s="68" t="str">
        <f t="shared" si="655"/>
        <v>Lacine13_20191124_09_00</v>
      </c>
      <c r="I1367" s="69">
        <f t="shared" si="658"/>
        <v>1</v>
      </c>
      <c r="J1367" s="76" t="str">
        <f t="shared" si="658"/>
        <v>Lactuca</v>
      </c>
      <c r="K1367" s="76" t="str">
        <f t="shared" si="658"/>
        <v>inermis</v>
      </c>
      <c r="L1367" s="77">
        <f t="shared" si="658"/>
        <v>13</v>
      </c>
      <c r="M1367" s="77">
        <f t="shared" si="658"/>
        <v>0</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57"/>
        <v/>
      </c>
      <c r="AH1367" s="56" t="str">
        <f t="shared" si="648"/>
        <v/>
      </c>
      <c r="AI1367" s="55"/>
      <c r="AJ1367" s="56" t="str">
        <f t="shared" si="649"/>
        <v/>
      </c>
      <c r="AK1367" s="55"/>
      <c r="AL1367" s="56" t="str">
        <f t="shared" si="650"/>
        <v/>
      </c>
      <c r="AM1367" s="55"/>
      <c r="AN1367" s="56" t="str">
        <f t="shared" si="651"/>
        <v/>
      </c>
      <c r="AO1367" s="55"/>
      <c r="AP1367" s="56" t="str">
        <f t="shared" si="652"/>
        <v/>
      </c>
      <c r="AQ1367" s="55"/>
      <c r="AR1367" s="56" t="str">
        <f t="shared" si="653"/>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2019</v>
      </c>
      <c r="B1368" s="72" t="str">
        <f t="shared" si="637"/>
        <v>Nov</v>
      </c>
      <c r="C1368" s="73">
        <f t="shared" si="654"/>
        <v>24</v>
      </c>
      <c r="D1368" s="74">
        <f t="shared" si="638"/>
        <v>9</v>
      </c>
      <c r="E1368" s="75">
        <f t="shared" si="639"/>
        <v>4</v>
      </c>
      <c r="F1368" s="79"/>
      <c r="G1368" s="82"/>
      <c r="H1368" s="68" t="str">
        <f t="shared" si="655"/>
        <v>Lacine13_20191124_09_00</v>
      </c>
      <c r="I1368" s="69">
        <f t="shared" si="658"/>
        <v>1</v>
      </c>
      <c r="J1368" s="76" t="str">
        <f t="shared" si="658"/>
        <v>Lactuca</v>
      </c>
      <c r="K1368" s="76" t="str">
        <f t="shared" si="658"/>
        <v>inermis</v>
      </c>
      <c r="L1368" s="77">
        <f t="shared" si="658"/>
        <v>13</v>
      </c>
      <c r="M1368" s="77">
        <f t="shared" si="658"/>
        <v>0</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57"/>
        <v/>
      </c>
      <c r="AH1368" s="56" t="str">
        <f t="shared" si="648"/>
        <v/>
      </c>
      <c r="AI1368" s="55"/>
      <c r="AJ1368" s="56" t="str">
        <f t="shared" si="649"/>
        <v/>
      </c>
      <c r="AK1368" s="55"/>
      <c r="AL1368" s="56" t="str">
        <f t="shared" si="650"/>
        <v/>
      </c>
      <c r="AM1368" s="55"/>
      <c r="AN1368" s="56" t="str">
        <f t="shared" si="651"/>
        <v/>
      </c>
      <c r="AO1368" s="55"/>
      <c r="AP1368" s="56" t="str">
        <f t="shared" si="652"/>
        <v/>
      </c>
      <c r="AQ1368" s="55"/>
      <c r="AR1368" s="56" t="str">
        <f t="shared" si="653"/>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2019</v>
      </c>
      <c r="B1369" s="72" t="str">
        <f t="shared" si="637"/>
        <v>Nov</v>
      </c>
      <c r="C1369" s="73">
        <f t="shared" si="654"/>
        <v>24</v>
      </c>
      <c r="D1369" s="74">
        <f t="shared" si="638"/>
        <v>9</v>
      </c>
      <c r="E1369" s="75">
        <f t="shared" si="639"/>
        <v>5</v>
      </c>
      <c r="F1369" s="79"/>
      <c r="G1369" s="82"/>
      <c r="H1369" s="68" t="str">
        <f t="shared" si="655"/>
        <v>Lacine13_20191124_09_00</v>
      </c>
      <c r="I1369" s="69">
        <f t="shared" si="658"/>
        <v>1</v>
      </c>
      <c r="J1369" s="76" t="str">
        <f t="shared" si="658"/>
        <v>Lactuca</v>
      </c>
      <c r="K1369" s="76" t="str">
        <f t="shared" si="658"/>
        <v>inermis</v>
      </c>
      <c r="L1369" s="77">
        <f t="shared" si="658"/>
        <v>13</v>
      </c>
      <c r="M1369" s="77">
        <f t="shared" si="658"/>
        <v>0</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57"/>
        <v/>
      </c>
      <c r="AH1369" s="56" t="str">
        <f t="shared" si="648"/>
        <v/>
      </c>
      <c r="AI1369" s="55"/>
      <c r="AJ1369" s="56" t="str">
        <f t="shared" si="649"/>
        <v/>
      </c>
      <c r="AK1369" s="55"/>
      <c r="AL1369" s="56" t="str">
        <f t="shared" si="650"/>
        <v/>
      </c>
      <c r="AM1369" s="55"/>
      <c r="AN1369" s="56" t="str">
        <f t="shared" si="651"/>
        <v/>
      </c>
      <c r="AO1369" s="55"/>
      <c r="AP1369" s="56" t="str">
        <f t="shared" si="652"/>
        <v/>
      </c>
      <c r="AQ1369" s="55"/>
      <c r="AR1369" s="56" t="str">
        <f t="shared" si="653"/>
        <v/>
      </c>
      <c r="AS1369" s="57"/>
      <c r="AT1369" s="58"/>
      <c r="AU1369" s="58"/>
      <c r="AV1369" s="59"/>
      <c r="AW1369" s="60" t="str">
        <f t="shared" si="632"/>
        <v/>
      </c>
      <c r="AX1369" s="61" t="str">
        <f t="shared" si="633"/>
        <v/>
      </c>
      <c r="AY1369" s="60" t="str">
        <f t="shared" si="634"/>
        <v/>
      </c>
      <c r="AZ1369" s="61" t="str">
        <f t="shared" si="635"/>
        <v/>
      </c>
    </row>
    <row r="1370" spans="1:52" s="3" customFormat="1" x14ac:dyDescent="0.35">
      <c r="A1370" s="72">
        <f t="shared" si="636"/>
        <v>2019</v>
      </c>
      <c r="B1370" s="72" t="str">
        <f t="shared" si="637"/>
        <v>Nov</v>
      </c>
      <c r="C1370" s="73">
        <f t="shared" si="654"/>
        <v>24</v>
      </c>
      <c r="D1370" s="74">
        <f t="shared" si="638"/>
        <v>9</v>
      </c>
      <c r="E1370" s="75">
        <f t="shared" si="639"/>
        <v>6</v>
      </c>
      <c r="F1370" s="79">
        <v>31</v>
      </c>
      <c r="G1370" s="82"/>
      <c r="H1370" s="68" t="str">
        <f t="shared" si="655"/>
        <v>Lacine13_20191124_09_00</v>
      </c>
      <c r="I1370" s="69">
        <f t="shared" si="658"/>
        <v>1</v>
      </c>
      <c r="J1370" s="76" t="str">
        <f t="shared" si="658"/>
        <v>Lactuca</v>
      </c>
      <c r="K1370" s="76" t="str">
        <f t="shared" si="658"/>
        <v>inermis</v>
      </c>
      <c r="L1370" s="77">
        <f t="shared" si="658"/>
        <v>13</v>
      </c>
      <c r="M1370" s="77">
        <f t="shared" si="658"/>
        <v>0</v>
      </c>
      <c r="N1370" s="71">
        <f t="shared" si="658"/>
        <v>0</v>
      </c>
      <c r="O1370" s="44"/>
      <c r="P1370" s="45">
        <f t="shared" si="640"/>
        <v>1</v>
      </c>
      <c r="Q1370" s="46" t="str">
        <f t="shared" si="641"/>
        <v>09:06:31</v>
      </c>
      <c r="R1370" s="47" t="str">
        <f t="shared" si="642"/>
        <v>06:31</v>
      </c>
      <c r="S1370" s="48">
        <f t="shared" si="631"/>
        <v>6</v>
      </c>
      <c r="T1370" s="47" t="str">
        <f t="shared" si="643"/>
        <v>09</v>
      </c>
      <c r="U1370" s="49">
        <v>6</v>
      </c>
      <c r="V1370" s="50">
        <v>37</v>
      </c>
      <c r="W1370" s="51" t="str">
        <f t="shared" si="644"/>
        <v>06:37</v>
      </c>
      <c r="X1370" s="52" t="s">
        <v>78</v>
      </c>
      <c r="Y1370" s="124" t="s">
        <v>91</v>
      </c>
      <c r="Z1370" s="124" t="s">
        <v>92</v>
      </c>
      <c r="AA1370" s="47" t="s">
        <v>82</v>
      </c>
      <c r="AB1370" s="47" t="str">
        <f t="shared" si="645"/>
        <v>NA</v>
      </c>
      <c r="AC1370" s="53">
        <f t="shared" si="646"/>
        <v>0</v>
      </c>
      <c r="AD1370" s="54">
        <f t="shared" si="647"/>
        <v>1</v>
      </c>
      <c r="AE1370" s="54"/>
      <c r="AF1370" s="54"/>
      <c r="AG1370" s="55">
        <v>1</v>
      </c>
      <c r="AH1370" s="56">
        <f t="shared" si="648"/>
        <v>6</v>
      </c>
      <c r="AI1370" s="55"/>
      <c r="AJ1370" s="56" t="str">
        <f t="shared" si="649"/>
        <v/>
      </c>
      <c r="AK1370" s="55"/>
      <c r="AL1370" s="56" t="str">
        <f t="shared" si="650"/>
        <v/>
      </c>
      <c r="AM1370" s="55"/>
      <c r="AN1370" s="56" t="str">
        <f t="shared" si="651"/>
        <v/>
      </c>
      <c r="AO1370" s="55"/>
      <c r="AP1370" s="56" t="str">
        <f t="shared" si="652"/>
        <v/>
      </c>
      <c r="AQ1370" s="55"/>
      <c r="AR1370" s="56" t="str">
        <f t="shared" si="653"/>
        <v/>
      </c>
      <c r="AS1370" s="57" t="s">
        <v>84</v>
      </c>
      <c r="AT1370" s="58"/>
      <c r="AU1370" s="58"/>
      <c r="AV1370" s="59"/>
      <c r="AW1370" s="60"/>
      <c r="AX1370" s="61"/>
      <c r="AY1370" s="60"/>
      <c r="AZ1370" s="61"/>
    </row>
    <row r="1371" spans="1:52" s="3" customFormat="1" hidden="1" x14ac:dyDescent="0.35">
      <c r="A1371" s="72">
        <f t="shared" si="636"/>
        <v>2019</v>
      </c>
      <c r="B1371" s="72" t="str">
        <f t="shared" si="637"/>
        <v>Nov</v>
      </c>
      <c r="C1371" s="73">
        <f t="shared" si="654"/>
        <v>24</v>
      </c>
      <c r="D1371" s="74">
        <f t="shared" si="638"/>
        <v>9</v>
      </c>
      <c r="E1371" s="75">
        <f t="shared" si="639"/>
        <v>7</v>
      </c>
      <c r="F1371" s="79"/>
      <c r="G1371" s="82"/>
      <c r="H1371" s="68" t="str">
        <f t="shared" si="655"/>
        <v>Lacine13_20191124_09_00</v>
      </c>
      <c r="I1371" s="69">
        <f t="shared" si="658"/>
        <v>1</v>
      </c>
      <c r="J1371" s="76" t="str">
        <f t="shared" si="658"/>
        <v>Lactuca</v>
      </c>
      <c r="K1371" s="76" t="str">
        <f t="shared" si="658"/>
        <v>inermis</v>
      </c>
      <c r="L1371" s="77">
        <f t="shared" si="658"/>
        <v>13</v>
      </c>
      <c r="M1371" s="77">
        <v>0</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57"/>
        <v/>
      </c>
      <c r="AH1371" s="56" t="str">
        <f t="shared" si="648"/>
        <v/>
      </c>
      <c r="AI1371" s="55"/>
      <c r="AJ1371" s="56" t="str">
        <f t="shared" si="649"/>
        <v/>
      </c>
      <c r="AK1371" s="55"/>
      <c r="AL1371" s="56" t="str">
        <f t="shared" si="650"/>
        <v/>
      </c>
      <c r="AM1371" s="55"/>
      <c r="AN1371" s="56" t="str">
        <f t="shared" si="651"/>
        <v/>
      </c>
      <c r="AO1371" s="55"/>
      <c r="AP1371" s="56" t="str">
        <f t="shared" si="652"/>
        <v/>
      </c>
      <c r="AQ1371" s="55"/>
      <c r="AR1371" s="56" t="str">
        <f t="shared" si="653"/>
        <v/>
      </c>
      <c r="AS1371" s="57"/>
      <c r="AT1371" s="58"/>
      <c r="AU1371" s="58"/>
      <c r="AV1371" s="59"/>
      <c r="AW1371" s="60"/>
      <c r="AX1371" s="61"/>
      <c r="AY1371" s="60"/>
      <c r="AZ1371" s="61"/>
    </row>
    <row r="1372" spans="1:52" s="3" customFormat="1" hidden="1" x14ac:dyDescent="0.35">
      <c r="A1372" s="72">
        <f t="shared" si="636"/>
        <v>2019</v>
      </c>
      <c r="B1372" s="72" t="str">
        <f t="shared" si="637"/>
        <v>Nov</v>
      </c>
      <c r="C1372" s="73">
        <f t="shared" si="654"/>
        <v>24</v>
      </c>
      <c r="D1372" s="74">
        <f t="shared" si="638"/>
        <v>9</v>
      </c>
      <c r="E1372" s="75">
        <f t="shared" si="639"/>
        <v>8</v>
      </c>
      <c r="F1372" s="79"/>
      <c r="G1372" s="82"/>
      <c r="H1372" s="68" t="str">
        <f t="shared" si="655"/>
        <v>Lacine13_20191124_09_00</v>
      </c>
      <c r="I1372" s="69">
        <f t="shared" si="658"/>
        <v>1</v>
      </c>
      <c r="J1372" s="76" t="str">
        <f t="shared" si="658"/>
        <v>Lactuca</v>
      </c>
      <c r="K1372" s="76" t="str">
        <f t="shared" si="658"/>
        <v>inermis</v>
      </c>
      <c r="L1372" s="77">
        <f t="shared" si="658"/>
        <v>13</v>
      </c>
      <c r="M1372" s="77">
        <f t="shared" si="658"/>
        <v>0</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57"/>
        <v/>
      </c>
      <c r="AH1372" s="56" t="str">
        <f t="shared" si="648"/>
        <v/>
      </c>
      <c r="AI1372" s="55"/>
      <c r="AJ1372" s="56" t="str">
        <f t="shared" si="649"/>
        <v/>
      </c>
      <c r="AK1372" s="55"/>
      <c r="AL1372" s="56" t="str">
        <f t="shared" si="650"/>
        <v/>
      </c>
      <c r="AM1372" s="55"/>
      <c r="AN1372" s="56" t="str">
        <f t="shared" si="651"/>
        <v/>
      </c>
      <c r="AO1372" s="55"/>
      <c r="AP1372" s="56" t="str">
        <f t="shared" si="652"/>
        <v/>
      </c>
      <c r="AQ1372" s="55"/>
      <c r="AR1372" s="56" t="str">
        <f t="shared" si="653"/>
        <v/>
      </c>
      <c r="AS1372" s="57"/>
      <c r="AT1372" s="58"/>
      <c r="AU1372" s="58"/>
      <c r="AV1372" s="59"/>
      <c r="AW1372" s="60"/>
      <c r="AX1372" s="61"/>
      <c r="AY1372" s="60"/>
      <c r="AZ1372" s="61"/>
    </row>
    <row r="1373" spans="1:52" s="3" customFormat="1" hidden="1" x14ac:dyDescent="0.35">
      <c r="A1373" s="72">
        <f t="shared" si="636"/>
        <v>2019</v>
      </c>
      <c r="B1373" s="72" t="str">
        <f t="shared" si="637"/>
        <v>Nov</v>
      </c>
      <c r="C1373" s="73">
        <f t="shared" si="654"/>
        <v>24</v>
      </c>
      <c r="D1373" s="74">
        <f t="shared" si="638"/>
        <v>9</v>
      </c>
      <c r="E1373" s="75">
        <f t="shared" si="639"/>
        <v>9</v>
      </c>
      <c r="F1373" s="79"/>
      <c r="G1373" s="82"/>
      <c r="H1373" s="68" t="str">
        <f t="shared" si="655"/>
        <v>Lacine13_20191124_09_00</v>
      </c>
      <c r="I1373" s="69">
        <f t="shared" si="658"/>
        <v>1</v>
      </c>
      <c r="J1373" s="76" t="str">
        <f t="shared" si="658"/>
        <v>Lactuca</v>
      </c>
      <c r="K1373" s="76" t="str">
        <f t="shared" si="658"/>
        <v>inermis</v>
      </c>
      <c r="L1373" s="77">
        <f t="shared" si="658"/>
        <v>13</v>
      </c>
      <c r="M1373" s="77">
        <f t="shared" si="658"/>
        <v>0</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57"/>
        <v/>
      </c>
      <c r="AH1373" s="56" t="str">
        <f t="shared" si="648"/>
        <v/>
      </c>
      <c r="AI1373" s="55"/>
      <c r="AJ1373" s="56" t="str">
        <f t="shared" si="649"/>
        <v/>
      </c>
      <c r="AK1373" s="55"/>
      <c r="AL1373" s="56" t="str">
        <f t="shared" si="650"/>
        <v/>
      </c>
      <c r="AM1373" s="55"/>
      <c r="AN1373" s="56" t="str">
        <f t="shared" si="651"/>
        <v/>
      </c>
      <c r="AO1373" s="55"/>
      <c r="AP1373" s="56" t="str">
        <f t="shared" si="652"/>
        <v/>
      </c>
      <c r="AQ1373" s="55"/>
      <c r="AR1373" s="56" t="str">
        <f t="shared" si="653"/>
        <v/>
      </c>
      <c r="AS1373" s="57"/>
      <c r="AT1373" s="58"/>
      <c r="AU1373" s="58"/>
      <c r="AV1373" s="59"/>
      <c r="AW1373" s="60"/>
      <c r="AX1373" s="61"/>
      <c r="AY1373" s="60"/>
      <c r="AZ1373" s="61"/>
    </row>
    <row r="1374" spans="1:52" s="3" customFormat="1" hidden="1" x14ac:dyDescent="0.35">
      <c r="A1374" s="72">
        <f t="shared" si="636"/>
        <v>2019</v>
      </c>
      <c r="B1374" s="72" t="str">
        <f t="shared" si="637"/>
        <v>Nov</v>
      </c>
      <c r="C1374" s="73">
        <f t="shared" si="654"/>
        <v>24</v>
      </c>
      <c r="D1374" s="74">
        <f t="shared" si="638"/>
        <v>9</v>
      </c>
      <c r="E1374" s="75">
        <f t="shared" si="639"/>
        <v>10</v>
      </c>
      <c r="F1374" s="79"/>
      <c r="G1374" s="82"/>
      <c r="H1374" s="68" t="str">
        <f t="shared" si="655"/>
        <v>Lacine13_20191124_09_00</v>
      </c>
      <c r="I1374" s="69">
        <f t="shared" si="658"/>
        <v>1</v>
      </c>
      <c r="J1374" s="76" t="str">
        <f t="shared" si="658"/>
        <v>Lactuca</v>
      </c>
      <c r="K1374" s="76" t="str">
        <f t="shared" si="658"/>
        <v>inermis</v>
      </c>
      <c r="L1374" s="77">
        <f t="shared" si="658"/>
        <v>13</v>
      </c>
      <c r="M1374" s="77">
        <f t="shared" si="658"/>
        <v>0</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57"/>
        <v/>
      </c>
      <c r="AH1374" s="56" t="str">
        <f t="shared" si="648"/>
        <v/>
      </c>
      <c r="AI1374" s="55"/>
      <c r="AJ1374" s="56" t="str">
        <f t="shared" si="649"/>
        <v/>
      </c>
      <c r="AK1374" s="55"/>
      <c r="AL1374" s="56" t="str">
        <f t="shared" si="650"/>
        <v/>
      </c>
      <c r="AM1374" s="55"/>
      <c r="AN1374" s="56" t="str">
        <f t="shared" si="651"/>
        <v/>
      </c>
      <c r="AO1374" s="55"/>
      <c r="AP1374" s="56" t="str">
        <f t="shared" si="652"/>
        <v/>
      </c>
      <c r="AQ1374" s="55"/>
      <c r="AR1374" s="56" t="str">
        <f t="shared" si="653"/>
        <v/>
      </c>
      <c r="AS1374" s="57"/>
      <c r="AT1374" s="58"/>
      <c r="AU1374" s="58"/>
      <c r="AV1374" s="59"/>
      <c r="AW1374" s="60"/>
      <c r="AX1374" s="61"/>
      <c r="AY1374" s="60"/>
      <c r="AZ1374" s="61"/>
    </row>
    <row r="1375" spans="1:52" s="3" customFormat="1" hidden="1" x14ac:dyDescent="0.35">
      <c r="A1375" s="72">
        <f t="shared" si="636"/>
        <v>2019</v>
      </c>
      <c r="B1375" s="72" t="str">
        <f t="shared" si="637"/>
        <v>Nov</v>
      </c>
      <c r="C1375" s="73">
        <f t="shared" si="654"/>
        <v>24</v>
      </c>
      <c r="D1375" s="74">
        <f t="shared" si="638"/>
        <v>9</v>
      </c>
      <c r="E1375" s="75">
        <f t="shared" si="639"/>
        <v>11</v>
      </c>
      <c r="F1375" s="79"/>
      <c r="G1375" s="82"/>
      <c r="H1375" s="68" t="str">
        <f t="shared" si="655"/>
        <v>Lacine13_20191124_09_00</v>
      </c>
      <c r="I1375" s="69">
        <f t="shared" si="658"/>
        <v>1</v>
      </c>
      <c r="J1375" s="76" t="str">
        <f t="shared" si="658"/>
        <v>Lactuca</v>
      </c>
      <c r="K1375" s="76" t="str">
        <f t="shared" si="658"/>
        <v>inermis</v>
      </c>
      <c r="L1375" s="77">
        <f t="shared" si="658"/>
        <v>13</v>
      </c>
      <c r="M1375" s="77">
        <f t="shared" si="658"/>
        <v>0</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57"/>
        <v/>
      </c>
      <c r="AH1375" s="56" t="str">
        <f t="shared" si="648"/>
        <v/>
      </c>
      <c r="AI1375" s="55"/>
      <c r="AJ1375" s="56" t="str">
        <f t="shared" si="649"/>
        <v/>
      </c>
      <c r="AK1375" s="55"/>
      <c r="AL1375" s="56" t="str">
        <f t="shared" si="650"/>
        <v/>
      </c>
      <c r="AM1375" s="55"/>
      <c r="AN1375" s="56" t="str">
        <f t="shared" si="651"/>
        <v/>
      </c>
      <c r="AO1375" s="55"/>
      <c r="AP1375" s="56" t="str">
        <f t="shared" si="652"/>
        <v/>
      </c>
      <c r="AQ1375" s="55"/>
      <c r="AR1375" s="56" t="str">
        <f t="shared" si="653"/>
        <v/>
      </c>
      <c r="AS1375" s="57"/>
      <c r="AT1375" s="58"/>
      <c r="AU1375" s="58"/>
      <c r="AV1375" s="59"/>
      <c r="AW1375" s="60"/>
      <c r="AX1375" s="61"/>
      <c r="AY1375" s="60"/>
      <c r="AZ1375" s="61"/>
    </row>
    <row r="1376" spans="1:52" s="3" customFormat="1" hidden="1" x14ac:dyDescent="0.35">
      <c r="A1376" s="72">
        <f t="shared" si="636"/>
        <v>2019</v>
      </c>
      <c r="B1376" s="72" t="str">
        <f t="shared" si="637"/>
        <v>Nov</v>
      </c>
      <c r="C1376" s="73">
        <f t="shared" si="654"/>
        <v>24</v>
      </c>
      <c r="D1376" s="74">
        <f t="shared" si="638"/>
        <v>9</v>
      </c>
      <c r="E1376" s="75">
        <f t="shared" si="639"/>
        <v>12</v>
      </c>
      <c r="F1376" s="79"/>
      <c r="G1376" s="82"/>
      <c r="H1376" s="68" t="str">
        <f t="shared" si="655"/>
        <v>Lacine13_20191124_09_00</v>
      </c>
      <c r="I1376" s="69">
        <f t="shared" si="658"/>
        <v>1</v>
      </c>
      <c r="J1376" s="76" t="str">
        <f t="shared" si="658"/>
        <v>Lactuca</v>
      </c>
      <c r="K1376" s="76" t="str">
        <f t="shared" si="658"/>
        <v>inermis</v>
      </c>
      <c r="L1376" s="77">
        <f t="shared" si="658"/>
        <v>13</v>
      </c>
      <c r="M1376" s="77">
        <f t="shared" si="658"/>
        <v>0</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57"/>
        <v/>
      </c>
      <c r="AH1376" s="56" t="str">
        <f t="shared" si="648"/>
        <v/>
      </c>
      <c r="AI1376" s="55"/>
      <c r="AJ1376" s="56" t="str">
        <f t="shared" si="649"/>
        <v/>
      </c>
      <c r="AK1376" s="55"/>
      <c r="AL1376" s="56" t="str">
        <f t="shared" si="650"/>
        <v/>
      </c>
      <c r="AM1376" s="55"/>
      <c r="AN1376" s="56" t="str">
        <f t="shared" si="651"/>
        <v/>
      </c>
      <c r="AO1376" s="55"/>
      <c r="AP1376" s="56" t="str">
        <f t="shared" si="652"/>
        <v/>
      </c>
      <c r="AQ1376" s="55"/>
      <c r="AR1376" s="56" t="str">
        <f t="shared" si="653"/>
        <v/>
      </c>
      <c r="AS1376" s="57"/>
      <c r="AT1376" s="58"/>
      <c r="AU1376" s="58"/>
      <c r="AV1376" s="59"/>
      <c r="AW1376" s="60"/>
      <c r="AX1376" s="61"/>
      <c r="AY1376" s="60"/>
      <c r="AZ1376" s="61"/>
    </row>
    <row r="1377" spans="1:52" s="3" customFormat="1" hidden="1" x14ac:dyDescent="0.35">
      <c r="A1377" s="72">
        <f t="shared" si="636"/>
        <v>2019</v>
      </c>
      <c r="B1377" s="72" t="str">
        <f t="shared" si="637"/>
        <v>Nov</v>
      </c>
      <c r="C1377" s="73">
        <f t="shared" si="654"/>
        <v>24</v>
      </c>
      <c r="D1377" s="74">
        <f t="shared" si="638"/>
        <v>9</v>
      </c>
      <c r="E1377" s="75">
        <f t="shared" si="639"/>
        <v>13</v>
      </c>
      <c r="F1377" s="79"/>
      <c r="G1377" s="82"/>
      <c r="H1377" s="68" t="str">
        <f t="shared" si="655"/>
        <v>Lacine13_20191124_09_00</v>
      </c>
      <c r="I1377" s="69">
        <f t="shared" si="658"/>
        <v>1</v>
      </c>
      <c r="J1377" s="76" t="str">
        <f t="shared" si="658"/>
        <v>Lactuca</v>
      </c>
      <c r="K1377" s="76" t="str">
        <f t="shared" si="658"/>
        <v>inermis</v>
      </c>
      <c r="L1377" s="77">
        <f t="shared" si="658"/>
        <v>13</v>
      </c>
      <c r="M1377" s="77">
        <f t="shared" si="658"/>
        <v>0</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57"/>
        <v/>
      </c>
      <c r="AH1377" s="56" t="str">
        <f t="shared" si="648"/>
        <v/>
      </c>
      <c r="AI1377" s="55"/>
      <c r="AJ1377" s="56" t="str">
        <f t="shared" si="649"/>
        <v/>
      </c>
      <c r="AK1377" s="55"/>
      <c r="AL1377" s="56" t="str">
        <f t="shared" si="650"/>
        <v/>
      </c>
      <c r="AM1377" s="55"/>
      <c r="AN1377" s="56" t="str">
        <f t="shared" si="651"/>
        <v/>
      </c>
      <c r="AO1377" s="55"/>
      <c r="AP1377" s="56" t="str">
        <f t="shared" si="652"/>
        <v/>
      </c>
      <c r="AQ1377" s="55"/>
      <c r="AR1377" s="56" t="str">
        <f t="shared" si="653"/>
        <v/>
      </c>
      <c r="AS1377" s="57"/>
      <c r="AT1377" s="58"/>
      <c r="AU1377" s="58"/>
      <c r="AV1377" s="59"/>
      <c r="AW1377" s="60"/>
      <c r="AX1377" s="61"/>
      <c r="AY1377" s="60"/>
      <c r="AZ1377" s="61"/>
    </row>
    <row r="1378" spans="1:52" s="3" customFormat="1" hidden="1" x14ac:dyDescent="0.35">
      <c r="A1378" s="72">
        <f t="shared" si="636"/>
        <v>2019</v>
      </c>
      <c r="B1378" s="72" t="str">
        <f t="shared" si="637"/>
        <v>Nov</v>
      </c>
      <c r="C1378" s="73">
        <f t="shared" si="654"/>
        <v>24</v>
      </c>
      <c r="D1378" s="74">
        <f t="shared" si="638"/>
        <v>9</v>
      </c>
      <c r="E1378" s="75">
        <f t="shared" si="639"/>
        <v>14</v>
      </c>
      <c r="F1378" s="79"/>
      <c r="G1378" s="82"/>
      <c r="H1378" s="68" t="str">
        <f t="shared" si="655"/>
        <v>Lacine13_20191124_09_00</v>
      </c>
      <c r="I1378" s="69">
        <f t="shared" si="658"/>
        <v>1</v>
      </c>
      <c r="J1378" s="76" t="str">
        <f t="shared" si="658"/>
        <v>Lactuca</v>
      </c>
      <c r="K1378" s="76" t="str">
        <f t="shared" si="658"/>
        <v>inermis</v>
      </c>
      <c r="L1378" s="77">
        <f t="shared" si="658"/>
        <v>13</v>
      </c>
      <c r="M1378" s="77">
        <f t="shared" si="658"/>
        <v>0</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c r="X1378" s="52"/>
      <c r="Y1378" s="52"/>
      <c r="Z1378" s="52"/>
      <c r="AA1378" s="47"/>
      <c r="AB1378" s="47" t="str">
        <f t="shared" si="645"/>
        <v/>
      </c>
      <c r="AC1378" s="53" t="e">
        <f t="shared" si="646"/>
        <v>#VALUE!</v>
      </c>
      <c r="AD1378" s="54"/>
      <c r="AE1378" s="54"/>
      <c r="AF1378" s="54"/>
      <c r="AG1378" s="55"/>
      <c r="AH1378" s="56"/>
      <c r="AI1378" s="55"/>
      <c r="AJ1378" s="56" t="str">
        <f t="shared" si="649"/>
        <v/>
      </c>
      <c r="AK1378" s="55"/>
      <c r="AL1378" s="56" t="str">
        <f t="shared" si="650"/>
        <v/>
      </c>
      <c r="AM1378" s="55"/>
      <c r="AN1378" s="56"/>
      <c r="AO1378" s="55"/>
      <c r="AP1378" s="56" t="str">
        <f t="shared" si="652"/>
        <v/>
      </c>
      <c r="AQ1378" s="55"/>
      <c r="AR1378" s="56" t="str">
        <f t="shared" si="653"/>
        <v/>
      </c>
      <c r="AS1378" s="57"/>
      <c r="AT1378" s="58"/>
      <c r="AU1378" s="58"/>
      <c r="AV1378" s="59"/>
      <c r="AW1378" s="60"/>
      <c r="AX1378" s="61"/>
      <c r="AY1378" s="60"/>
      <c r="AZ1378" s="61"/>
    </row>
    <row r="1379" spans="1:52" s="3" customFormat="1" hidden="1" x14ac:dyDescent="0.35">
      <c r="A1379" s="72">
        <f t="shared" si="636"/>
        <v>2019</v>
      </c>
      <c r="B1379" s="72" t="str">
        <f t="shared" si="637"/>
        <v>Nov</v>
      </c>
      <c r="C1379" s="73">
        <f t="shared" si="654"/>
        <v>24</v>
      </c>
      <c r="D1379" s="74">
        <f t="shared" si="638"/>
        <v>9</v>
      </c>
      <c r="E1379" s="75">
        <f t="shared" si="639"/>
        <v>15</v>
      </c>
      <c r="F1379" s="79"/>
      <c r="G1379" s="82"/>
      <c r="H1379" s="68" t="str">
        <f t="shared" si="655"/>
        <v>Lacine13_20191124_09_00</v>
      </c>
      <c r="I1379" s="69">
        <f t="shared" si="658"/>
        <v>1</v>
      </c>
      <c r="J1379" s="76" t="str">
        <f t="shared" si="658"/>
        <v>Lactuca</v>
      </c>
      <c r="K1379" s="76" t="str">
        <f t="shared" si="658"/>
        <v>inermis</v>
      </c>
      <c r="L1379" s="77">
        <f t="shared" si="658"/>
        <v>13</v>
      </c>
      <c r="M1379" s="77">
        <f t="shared" si="658"/>
        <v>0</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c r="X1379" s="52"/>
      <c r="Y1379" s="52"/>
      <c r="Z1379" s="52"/>
      <c r="AA1379" s="47"/>
      <c r="AB1379" s="47" t="str">
        <f t="shared" si="645"/>
        <v/>
      </c>
      <c r="AC1379" s="53" t="e">
        <f t="shared" si="646"/>
        <v>#VALUE!</v>
      </c>
      <c r="AD1379" s="54"/>
      <c r="AE1379" s="54"/>
      <c r="AF1379" s="54"/>
      <c r="AG1379" s="55"/>
      <c r="AH1379" s="56"/>
      <c r="AI1379" s="55"/>
      <c r="AJ1379" s="56" t="str">
        <f t="shared" si="649"/>
        <v/>
      </c>
      <c r="AK1379" s="55"/>
      <c r="AL1379" s="56" t="str">
        <f t="shared" si="650"/>
        <v/>
      </c>
      <c r="AM1379" s="55"/>
      <c r="AN1379" s="56"/>
      <c r="AO1379" s="55"/>
      <c r="AP1379" s="56" t="str">
        <f t="shared" si="652"/>
        <v/>
      </c>
      <c r="AQ1379" s="55"/>
      <c r="AR1379" s="56" t="str">
        <f t="shared" si="653"/>
        <v/>
      </c>
      <c r="AS1379" s="57"/>
      <c r="AT1379" s="58"/>
      <c r="AU1379" s="58"/>
      <c r="AV1379" s="59"/>
      <c r="AW1379" s="60"/>
      <c r="AX1379" s="61"/>
      <c r="AY1379" s="60"/>
      <c r="AZ1379" s="61"/>
    </row>
    <row r="1380" spans="1:52" s="3" customFormat="1" hidden="1" x14ac:dyDescent="0.35">
      <c r="A1380" s="72">
        <f t="shared" si="636"/>
        <v>2019</v>
      </c>
      <c r="B1380" s="72" t="str">
        <f t="shared" si="637"/>
        <v>Nov</v>
      </c>
      <c r="C1380" s="73">
        <f t="shared" si="654"/>
        <v>24</v>
      </c>
      <c r="D1380" s="74">
        <f t="shared" si="638"/>
        <v>9</v>
      </c>
      <c r="E1380" s="75">
        <f t="shared" si="639"/>
        <v>16</v>
      </c>
      <c r="F1380" s="79"/>
      <c r="G1380" s="82"/>
      <c r="H1380" s="68" t="str">
        <f t="shared" si="655"/>
        <v>Lacine13_20191124_09_00</v>
      </c>
      <c r="I1380" s="69">
        <f t="shared" si="658"/>
        <v>1</v>
      </c>
      <c r="J1380" s="76" t="str">
        <f t="shared" si="658"/>
        <v>Lactuca</v>
      </c>
      <c r="K1380" s="76" t="str">
        <f t="shared" si="658"/>
        <v>inermis</v>
      </c>
      <c r="L1380" s="77">
        <f t="shared" si="658"/>
        <v>13</v>
      </c>
      <c r="M1380" s="77">
        <f t="shared" si="658"/>
        <v>0</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c r="X1380" s="52"/>
      <c r="Y1380" s="52"/>
      <c r="Z1380" s="52"/>
      <c r="AA1380" s="47"/>
      <c r="AB1380" s="47" t="str">
        <f t="shared" si="645"/>
        <v/>
      </c>
      <c r="AC1380" s="53" t="e">
        <f t="shared" si="646"/>
        <v>#VALUE!</v>
      </c>
      <c r="AD1380" s="54"/>
      <c r="AE1380" s="54"/>
      <c r="AF1380" s="54"/>
      <c r="AG1380" s="55"/>
      <c r="AH1380" s="56"/>
      <c r="AI1380" s="55"/>
      <c r="AJ1380" s="56" t="str">
        <f t="shared" si="649"/>
        <v/>
      </c>
      <c r="AK1380" s="55"/>
      <c r="AL1380" s="56" t="str">
        <f t="shared" si="650"/>
        <v/>
      </c>
      <c r="AM1380" s="55"/>
      <c r="AN1380" s="56"/>
      <c r="AO1380" s="55"/>
      <c r="AP1380" s="56" t="str">
        <f t="shared" si="652"/>
        <v/>
      </c>
      <c r="AQ1380" s="55"/>
      <c r="AR1380" s="56" t="str">
        <f t="shared" si="653"/>
        <v/>
      </c>
      <c r="AS1380" s="57"/>
      <c r="AT1380" s="58"/>
      <c r="AU1380" s="58"/>
      <c r="AV1380" s="59"/>
      <c r="AW1380" s="60"/>
      <c r="AX1380" s="61"/>
      <c r="AY1380" s="60"/>
      <c r="AZ1380" s="61"/>
    </row>
    <row r="1381" spans="1:52" s="3" customFormat="1" hidden="1" x14ac:dyDescent="0.35">
      <c r="A1381" s="72">
        <f t="shared" si="636"/>
        <v>2019</v>
      </c>
      <c r="B1381" s="72" t="str">
        <f t="shared" si="637"/>
        <v>Nov</v>
      </c>
      <c r="C1381" s="73">
        <f t="shared" si="654"/>
        <v>24</v>
      </c>
      <c r="D1381" s="74">
        <f t="shared" si="638"/>
        <v>9</v>
      </c>
      <c r="E1381" s="75">
        <f t="shared" si="639"/>
        <v>17</v>
      </c>
      <c r="F1381" s="79"/>
      <c r="G1381" s="82"/>
      <c r="H1381" s="68" t="str">
        <f t="shared" si="655"/>
        <v>Lacine13_20191124_09_00</v>
      </c>
      <c r="I1381" s="69">
        <f t="shared" ref="I1381:N1396" si="659">I1380</f>
        <v>1</v>
      </c>
      <c r="J1381" s="76" t="str">
        <f t="shared" si="659"/>
        <v>Lactuca</v>
      </c>
      <c r="K1381" s="76" t="str">
        <f t="shared" si="659"/>
        <v>inermis</v>
      </c>
      <c r="L1381" s="77">
        <f t="shared" si="659"/>
        <v>13</v>
      </c>
      <c r="M1381" s="77">
        <f t="shared" si="659"/>
        <v>0</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c r="X1381" s="52"/>
      <c r="Y1381" s="52"/>
      <c r="Z1381" s="52"/>
      <c r="AA1381" s="47"/>
      <c r="AB1381" s="47" t="str">
        <f t="shared" si="645"/>
        <v/>
      </c>
      <c r="AC1381" s="53" t="e">
        <f t="shared" si="646"/>
        <v>#VALUE!</v>
      </c>
      <c r="AD1381" s="54"/>
      <c r="AE1381" s="54"/>
      <c r="AF1381" s="54"/>
      <c r="AG1381" s="55"/>
      <c r="AH1381" s="56"/>
      <c r="AI1381" s="55"/>
      <c r="AJ1381" s="56" t="str">
        <f t="shared" si="649"/>
        <v/>
      </c>
      <c r="AK1381" s="55"/>
      <c r="AL1381" s="56" t="str">
        <f t="shared" si="650"/>
        <v/>
      </c>
      <c r="AM1381" s="55"/>
      <c r="AN1381" s="56"/>
      <c r="AO1381" s="55"/>
      <c r="AP1381" s="56" t="str">
        <f t="shared" si="652"/>
        <v/>
      </c>
      <c r="AQ1381" s="55"/>
      <c r="AR1381" s="56" t="str">
        <f t="shared" si="653"/>
        <v/>
      </c>
      <c r="AS1381" s="57"/>
      <c r="AT1381" s="58"/>
      <c r="AU1381" s="58"/>
      <c r="AV1381" s="59"/>
      <c r="AW1381" s="60"/>
      <c r="AX1381" s="61"/>
      <c r="AY1381" s="60"/>
      <c r="AZ1381" s="61"/>
    </row>
    <row r="1382" spans="1:52" s="3" customFormat="1" hidden="1" x14ac:dyDescent="0.35">
      <c r="A1382" s="72">
        <f t="shared" si="636"/>
        <v>2019</v>
      </c>
      <c r="B1382" s="72" t="str">
        <f t="shared" si="637"/>
        <v>Nov</v>
      </c>
      <c r="C1382" s="73">
        <f t="shared" si="654"/>
        <v>24</v>
      </c>
      <c r="D1382" s="74">
        <f t="shared" si="638"/>
        <v>9</v>
      </c>
      <c r="E1382" s="75">
        <f t="shared" si="639"/>
        <v>18</v>
      </c>
      <c r="F1382" s="79"/>
      <c r="G1382" s="82"/>
      <c r="H1382" s="68" t="str">
        <f t="shared" si="655"/>
        <v>Lacine13_20191124_09_00</v>
      </c>
      <c r="I1382" s="69">
        <f t="shared" si="659"/>
        <v>1</v>
      </c>
      <c r="J1382" s="76" t="str">
        <f t="shared" si="659"/>
        <v>Lactuca</v>
      </c>
      <c r="K1382" s="76" t="str">
        <f t="shared" si="659"/>
        <v>inermis</v>
      </c>
      <c r="L1382" s="77">
        <f t="shared" si="659"/>
        <v>13</v>
      </c>
      <c r="M1382" s="77">
        <f t="shared" si="659"/>
        <v>0</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c r="X1382" s="52"/>
      <c r="Y1382" s="52"/>
      <c r="Z1382" s="52"/>
      <c r="AA1382" s="47"/>
      <c r="AB1382" s="47" t="str">
        <f t="shared" si="645"/>
        <v/>
      </c>
      <c r="AC1382" s="53" t="e">
        <f t="shared" si="646"/>
        <v>#VALUE!</v>
      </c>
      <c r="AD1382" s="54"/>
      <c r="AE1382" s="54"/>
      <c r="AF1382" s="54"/>
      <c r="AG1382" s="55"/>
      <c r="AH1382" s="56"/>
      <c r="AI1382" s="55"/>
      <c r="AJ1382" s="56" t="str">
        <f t="shared" si="649"/>
        <v/>
      </c>
      <c r="AK1382" s="55"/>
      <c r="AL1382" s="56" t="str">
        <f t="shared" si="650"/>
        <v/>
      </c>
      <c r="AM1382" s="55"/>
      <c r="AN1382" s="56"/>
      <c r="AO1382" s="55"/>
      <c r="AP1382" s="56" t="str">
        <f t="shared" si="652"/>
        <v/>
      </c>
      <c r="AQ1382" s="55"/>
      <c r="AR1382" s="56" t="str">
        <f t="shared" si="653"/>
        <v/>
      </c>
      <c r="AS1382" s="57"/>
      <c r="AT1382" s="58"/>
      <c r="AU1382" s="58"/>
      <c r="AV1382" s="59"/>
      <c r="AW1382" s="60"/>
      <c r="AX1382" s="61"/>
      <c r="AY1382" s="60"/>
      <c r="AZ1382" s="61"/>
    </row>
    <row r="1383" spans="1:52" s="3" customFormat="1" hidden="1" x14ac:dyDescent="0.35">
      <c r="A1383" s="72">
        <f t="shared" si="636"/>
        <v>2019</v>
      </c>
      <c r="B1383" s="72" t="str">
        <f t="shared" si="637"/>
        <v>Nov</v>
      </c>
      <c r="C1383" s="73">
        <f t="shared" si="654"/>
        <v>24</v>
      </c>
      <c r="D1383" s="74">
        <f t="shared" si="638"/>
        <v>9</v>
      </c>
      <c r="E1383" s="75">
        <f t="shared" si="639"/>
        <v>19</v>
      </c>
      <c r="F1383" s="79"/>
      <c r="G1383" s="82"/>
      <c r="H1383" s="68" t="str">
        <f t="shared" si="655"/>
        <v>Lacine13_20191124_09_00</v>
      </c>
      <c r="I1383" s="69">
        <f t="shared" si="659"/>
        <v>1</v>
      </c>
      <c r="J1383" s="76" t="str">
        <f t="shared" si="659"/>
        <v>Lactuca</v>
      </c>
      <c r="K1383" s="76" t="str">
        <f t="shared" si="659"/>
        <v>inermis</v>
      </c>
      <c r="L1383" s="77">
        <f t="shared" si="659"/>
        <v>13</v>
      </c>
      <c r="M1383" s="77">
        <f t="shared" si="659"/>
        <v>0</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c r="X1383" s="52"/>
      <c r="Y1383" s="52"/>
      <c r="Z1383" s="52"/>
      <c r="AA1383" s="47"/>
      <c r="AB1383" s="47" t="str">
        <f t="shared" si="645"/>
        <v/>
      </c>
      <c r="AC1383" s="53" t="e">
        <f t="shared" si="646"/>
        <v>#VALUE!</v>
      </c>
      <c r="AD1383" s="54"/>
      <c r="AE1383" s="54"/>
      <c r="AF1383" s="54"/>
      <c r="AG1383" s="55"/>
      <c r="AH1383" s="56"/>
      <c r="AI1383" s="55"/>
      <c r="AJ1383" s="56" t="str">
        <f t="shared" si="649"/>
        <v/>
      </c>
      <c r="AK1383" s="55"/>
      <c r="AL1383" s="56" t="str">
        <f t="shared" si="650"/>
        <v/>
      </c>
      <c r="AM1383" s="55"/>
      <c r="AN1383" s="56"/>
      <c r="AO1383" s="55"/>
      <c r="AP1383" s="56" t="str">
        <f t="shared" si="652"/>
        <v/>
      </c>
      <c r="AQ1383" s="55"/>
      <c r="AR1383" s="56" t="str">
        <f t="shared" si="653"/>
        <v/>
      </c>
      <c r="AS1383" s="57"/>
      <c r="AT1383" s="58"/>
      <c r="AU1383" s="58"/>
      <c r="AV1383" s="59"/>
      <c r="AW1383" s="60"/>
      <c r="AX1383" s="61"/>
      <c r="AY1383" s="60"/>
      <c r="AZ1383" s="61"/>
    </row>
    <row r="1384" spans="1:52" s="3" customFormat="1" hidden="1" x14ac:dyDescent="0.35">
      <c r="A1384" s="72">
        <f t="shared" si="636"/>
        <v>2019</v>
      </c>
      <c r="B1384" s="72" t="str">
        <f t="shared" si="637"/>
        <v>Nov</v>
      </c>
      <c r="C1384" s="73">
        <f t="shared" si="654"/>
        <v>24</v>
      </c>
      <c r="D1384" s="74">
        <f t="shared" si="638"/>
        <v>9</v>
      </c>
      <c r="E1384" s="75">
        <f t="shared" si="639"/>
        <v>20</v>
      </c>
      <c r="F1384" s="79"/>
      <c r="G1384" s="82"/>
      <c r="H1384" s="68" t="str">
        <f t="shared" si="655"/>
        <v>Lacine13_20191124_09_00</v>
      </c>
      <c r="I1384" s="69">
        <f t="shared" si="659"/>
        <v>1</v>
      </c>
      <c r="J1384" s="76" t="str">
        <f t="shared" si="659"/>
        <v>Lactuca</v>
      </c>
      <c r="K1384" s="76" t="str">
        <f t="shared" si="659"/>
        <v>inermis</v>
      </c>
      <c r="L1384" s="77">
        <f t="shared" si="659"/>
        <v>13</v>
      </c>
      <c r="M1384" s="77">
        <f t="shared" si="659"/>
        <v>0</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c r="X1384" s="52"/>
      <c r="Y1384" s="52"/>
      <c r="Z1384" s="52"/>
      <c r="AA1384" s="47"/>
      <c r="AB1384" s="47" t="str">
        <f t="shared" si="645"/>
        <v/>
      </c>
      <c r="AC1384" s="53" t="e">
        <f t="shared" si="646"/>
        <v>#VALUE!</v>
      </c>
      <c r="AD1384" s="54"/>
      <c r="AE1384" s="54"/>
      <c r="AF1384" s="54"/>
      <c r="AG1384" s="55"/>
      <c r="AH1384" s="56"/>
      <c r="AI1384" s="55"/>
      <c r="AJ1384" s="56" t="str">
        <f t="shared" si="649"/>
        <v/>
      </c>
      <c r="AK1384" s="55"/>
      <c r="AL1384" s="56" t="str">
        <f t="shared" si="650"/>
        <v/>
      </c>
      <c r="AM1384" s="55"/>
      <c r="AN1384" s="56"/>
      <c r="AO1384" s="55"/>
      <c r="AP1384" s="56" t="str">
        <f t="shared" si="652"/>
        <v/>
      </c>
      <c r="AQ1384" s="55"/>
      <c r="AR1384" s="56" t="str">
        <f t="shared" si="653"/>
        <v/>
      </c>
      <c r="AS1384" s="57"/>
      <c r="AT1384" s="58"/>
      <c r="AU1384" s="58"/>
      <c r="AV1384" s="59"/>
      <c r="AW1384" s="60"/>
      <c r="AX1384" s="61"/>
      <c r="AY1384" s="60"/>
      <c r="AZ1384" s="61"/>
    </row>
    <row r="1385" spans="1:52" s="3" customFormat="1" hidden="1" x14ac:dyDescent="0.35">
      <c r="A1385" s="72">
        <f t="shared" si="636"/>
        <v>2019</v>
      </c>
      <c r="B1385" s="72" t="str">
        <f t="shared" si="637"/>
        <v>Nov</v>
      </c>
      <c r="C1385" s="73">
        <f t="shared" si="654"/>
        <v>24</v>
      </c>
      <c r="D1385" s="74">
        <f t="shared" si="638"/>
        <v>9</v>
      </c>
      <c r="E1385" s="75">
        <f t="shared" si="639"/>
        <v>21</v>
      </c>
      <c r="F1385" s="79"/>
      <c r="G1385" s="82"/>
      <c r="H1385" s="68" t="str">
        <f t="shared" si="655"/>
        <v>Lacine13_20191124_09_00</v>
      </c>
      <c r="I1385" s="69">
        <f t="shared" si="659"/>
        <v>1</v>
      </c>
      <c r="J1385" s="76" t="str">
        <f t="shared" si="659"/>
        <v>Lactuca</v>
      </c>
      <c r="K1385" s="76" t="str">
        <f t="shared" si="659"/>
        <v>inermis</v>
      </c>
      <c r="L1385" s="77">
        <f t="shared" si="659"/>
        <v>13</v>
      </c>
      <c r="M1385" s="77">
        <f t="shared" si="659"/>
        <v>0</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c r="X1385" s="52"/>
      <c r="Y1385" s="52"/>
      <c r="Z1385" s="52"/>
      <c r="AA1385" s="47"/>
      <c r="AB1385" s="47" t="str">
        <f t="shared" si="645"/>
        <v/>
      </c>
      <c r="AC1385" s="53" t="e">
        <f t="shared" si="646"/>
        <v>#VALUE!</v>
      </c>
      <c r="AD1385" s="54"/>
      <c r="AE1385" s="54"/>
      <c r="AF1385" s="54"/>
      <c r="AG1385" s="55"/>
      <c r="AH1385" s="56"/>
      <c r="AI1385" s="55"/>
      <c r="AJ1385" s="56" t="str">
        <f t="shared" si="649"/>
        <v/>
      </c>
      <c r="AK1385" s="55"/>
      <c r="AL1385" s="56" t="str">
        <f t="shared" si="650"/>
        <v/>
      </c>
      <c r="AM1385" s="55"/>
      <c r="AN1385" s="56"/>
      <c r="AO1385" s="55"/>
      <c r="AP1385" s="56" t="str">
        <f t="shared" si="652"/>
        <v/>
      </c>
      <c r="AQ1385" s="55"/>
      <c r="AR1385" s="56" t="str">
        <f t="shared" si="653"/>
        <v/>
      </c>
      <c r="AS1385" s="57"/>
      <c r="AT1385" s="58"/>
      <c r="AU1385" s="58"/>
      <c r="AV1385" s="59"/>
      <c r="AW1385" s="60"/>
      <c r="AX1385" s="61"/>
      <c r="AY1385" s="60"/>
      <c r="AZ1385" s="61"/>
    </row>
    <row r="1386" spans="1:52" s="3" customFormat="1" hidden="1" x14ac:dyDescent="0.35">
      <c r="A1386" s="72">
        <f t="shared" si="636"/>
        <v>2019</v>
      </c>
      <c r="B1386" s="72" t="str">
        <f t="shared" si="637"/>
        <v>Nov</v>
      </c>
      <c r="C1386" s="73">
        <f t="shared" si="654"/>
        <v>24</v>
      </c>
      <c r="D1386" s="74">
        <f t="shared" si="638"/>
        <v>9</v>
      </c>
      <c r="E1386" s="75">
        <f t="shared" si="639"/>
        <v>22</v>
      </c>
      <c r="F1386" s="79"/>
      <c r="G1386" s="82"/>
      <c r="H1386" s="68" t="str">
        <f t="shared" si="655"/>
        <v>Lacine13_20191124_09_00</v>
      </c>
      <c r="I1386" s="69">
        <f t="shared" si="659"/>
        <v>1</v>
      </c>
      <c r="J1386" s="76" t="str">
        <f t="shared" si="659"/>
        <v>Lactuca</v>
      </c>
      <c r="K1386" s="76" t="str">
        <f t="shared" si="659"/>
        <v>inermis</v>
      </c>
      <c r="L1386" s="77">
        <f t="shared" si="659"/>
        <v>13</v>
      </c>
      <c r="M1386" s="77">
        <f t="shared" si="659"/>
        <v>0</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c r="X1386" s="52"/>
      <c r="Y1386" s="52"/>
      <c r="Z1386" s="52"/>
      <c r="AA1386" s="47"/>
      <c r="AB1386" s="47" t="str">
        <f t="shared" si="645"/>
        <v/>
      </c>
      <c r="AC1386" s="53" t="e">
        <f t="shared" si="646"/>
        <v>#VALUE!</v>
      </c>
      <c r="AD1386" s="54"/>
      <c r="AE1386" s="54"/>
      <c r="AF1386" s="54"/>
      <c r="AG1386" s="55"/>
      <c r="AH1386" s="56"/>
      <c r="AI1386" s="55"/>
      <c r="AJ1386" s="56" t="str">
        <f t="shared" si="649"/>
        <v/>
      </c>
      <c r="AK1386" s="55"/>
      <c r="AL1386" s="56" t="str">
        <f t="shared" si="650"/>
        <v/>
      </c>
      <c r="AM1386" s="55"/>
      <c r="AN1386" s="56"/>
      <c r="AO1386" s="55"/>
      <c r="AP1386" s="56" t="str">
        <f t="shared" si="652"/>
        <v/>
      </c>
      <c r="AQ1386" s="55"/>
      <c r="AR1386" s="56" t="str">
        <f t="shared" si="653"/>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2019</v>
      </c>
      <c r="B1387" s="72" t="str">
        <f t="shared" si="637"/>
        <v>Nov</v>
      </c>
      <c r="C1387" s="73">
        <f t="shared" si="654"/>
        <v>24</v>
      </c>
      <c r="D1387" s="74">
        <f t="shared" si="638"/>
        <v>9</v>
      </c>
      <c r="E1387" s="75">
        <f t="shared" si="639"/>
        <v>23</v>
      </c>
      <c r="F1387" s="79"/>
      <c r="G1387" s="82"/>
      <c r="H1387" s="68" t="str">
        <f t="shared" si="655"/>
        <v>Lacine13_20191124_09_00</v>
      </c>
      <c r="I1387" s="69">
        <f t="shared" si="659"/>
        <v>1</v>
      </c>
      <c r="J1387" s="76" t="str">
        <f t="shared" si="659"/>
        <v>Lactuca</v>
      </c>
      <c r="K1387" s="76" t="str">
        <f t="shared" si="659"/>
        <v>inermis</v>
      </c>
      <c r="L1387" s="77">
        <f t="shared" si="659"/>
        <v>13</v>
      </c>
      <c r="M1387" s="77">
        <f t="shared" si="659"/>
        <v>0</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c r="X1387" s="52"/>
      <c r="Y1387" s="52"/>
      <c r="Z1387" s="52"/>
      <c r="AA1387" s="47"/>
      <c r="AB1387" s="47" t="str">
        <f t="shared" si="645"/>
        <v/>
      </c>
      <c r="AC1387" s="53" t="e">
        <f t="shared" si="646"/>
        <v>#VALUE!</v>
      </c>
      <c r="AD1387" s="54"/>
      <c r="AE1387" s="54"/>
      <c r="AF1387" s="54"/>
      <c r="AG1387" s="55"/>
      <c r="AH1387" s="56"/>
      <c r="AI1387" s="55"/>
      <c r="AJ1387" s="56" t="str">
        <f t="shared" si="649"/>
        <v/>
      </c>
      <c r="AK1387" s="55"/>
      <c r="AL1387" s="56" t="str">
        <f t="shared" si="650"/>
        <v/>
      </c>
      <c r="AM1387" s="55"/>
      <c r="AN1387" s="56" t="str">
        <f t="shared" si="651"/>
        <v/>
      </c>
      <c r="AO1387" s="55"/>
      <c r="AP1387" s="56" t="str">
        <f t="shared" si="652"/>
        <v/>
      </c>
      <c r="AQ1387" s="55"/>
      <c r="AR1387" s="56" t="str">
        <f t="shared" si="653"/>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2019</v>
      </c>
      <c r="B1388" s="72" t="str">
        <f t="shared" si="637"/>
        <v>Nov</v>
      </c>
      <c r="C1388" s="73">
        <f t="shared" si="654"/>
        <v>24</v>
      </c>
      <c r="D1388" s="74">
        <f t="shared" si="638"/>
        <v>9</v>
      </c>
      <c r="E1388" s="75">
        <f t="shared" si="639"/>
        <v>24</v>
      </c>
      <c r="F1388" s="79"/>
      <c r="G1388" s="82"/>
      <c r="H1388" s="68" t="str">
        <f t="shared" si="655"/>
        <v>Lacine13_20191124_09_00</v>
      </c>
      <c r="I1388" s="69">
        <f t="shared" si="659"/>
        <v>1</v>
      </c>
      <c r="J1388" s="76" t="str">
        <f t="shared" si="659"/>
        <v>Lactuca</v>
      </c>
      <c r="K1388" s="76" t="str">
        <f t="shared" si="659"/>
        <v>inermis</v>
      </c>
      <c r="L1388" s="77">
        <f t="shared" si="659"/>
        <v>13</v>
      </c>
      <c r="M1388" s="77">
        <f t="shared" si="659"/>
        <v>0</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c r="X1388" s="52"/>
      <c r="Y1388" s="52"/>
      <c r="Z1388" s="52"/>
      <c r="AA1388" s="47"/>
      <c r="AB1388" s="47" t="str">
        <f t="shared" si="645"/>
        <v/>
      </c>
      <c r="AC1388" s="53" t="e">
        <f t="shared" si="646"/>
        <v>#VALUE!</v>
      </c>
      <c r="AD1388" s="54"/>
      <c r="AE1388" s="54"/>
      <c r="AF1388" s="54"/>
      <c r="AG1388" s="55"/>
      <c r="AH1388" s="56"/>
      <c r="AI1388" s="55"/>
      <c r="AJ1388" s="56" t="str">
        <f t="shared" si="649"/>
        <v/>
      </c>
      <c r="AK1388" s="55"/>
      <c r="AL1388" s="56" t="str">
        <f t="shared" si="650"/>
        <v/>
      </c>
      <c r="AM1388" s="55"/>
      <c r="AN1388" s="56" t="str">
        <f t="shared" si="651"/>
        <v/>
      </c>
      <c r="AO1388" s="55"/>
      <c r="AP1388" s="56" t="str">
        <f t="shared" si="652"/>
        <v/>
      </c>
      <c r="AQ1388" s="55"/>
      <c r="AR1388" s="56" t="str">
        <f t="shared" si="653"/>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2019</v>
      </c>
      <c r="B1389" s="72" t="str">
        <f t="shared" si="637"/>
        <v>Nov</v>
      </c>
      <c r="C1389" s="73">
        <f t="shared" si="654"/>
        <v>24</v>
      </c>
      <c r="D1389" s="74">
        <f t="shared" si="638"/>
        <v>9</v>
      </c>
      <c r="E1389" s="75">
        <f t="shared" si="639"/>
        <v>25</v>
      </c>
      <c r="F1389" s="79"/>
      <c r="G1389" s="82"/>
      <c r="H1389" s="68" t="str">
        <f t="shared" si="655"/>
        <v>Lacine13_20191124_09_00</v>
      </c>
      <c r="I1389" s="69">
        <f t="shared" si="659"/>
        <v>1</v>
      </c>
      <c r="J1389" s="76" t="str">
        <f t="shared" si="659"/>
        <v>Lactuca</v>
      </c>
      <c r="K1389" s="76" t="str">
        <f t="shared" si="659"/>
        <v>inermis</v>
      </c>
      <c r="L1389" s="77">
        <f t="shared" si="659"/>
        <v>13</v>
      </c>
      <c r="M1389" s="77">
        <f t="shared" si="659"/>
        <v>0</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c r="X1389" s="52"/>
      <c r="Y1389" s="52"/>
      <c r="Z1389" s="52"/>
      <c r="AA1389" s="47"/>
      <c r="AB1389" s="47" t="str">
        <f t="shared" si="645"/>
        <v/>
      </c>
      <c r="AC1389" s="53" t="e">
        <f t="shared" si="646"/>
        <v>#VALUE!</v>
      </c>
      <c r="AD1389" s="54"/>
      <c r="AE1389" s="54"/>
      <c r="AF1389" s="54"/>
      <c r="AG1389" s="55"/>
      <c r="AH1389" s="56"/>
      <c r="AI1389" s="55"/>
      <c r="AJ1389" s="56" t="str">
        <f t="shared" si="649"/>
        <v/>
      </c>
      <c r="AK1389" s="55"/>
      <c r="AL1389" s="56" t="str">
        <f t="shared" si="650"/>
        <v/>
      </c>
      <c r="AM1389" s="55"/>
      <c r="AN1389" s="56" t="str">
        <f t="shared" si="651"/>
        <v/>
      </c>
      <c r="AO1389" s="55"/>
      <c r="AP1389" s="56" t="str">
        <f t="shared" si="652"/>
        <v/>
      </c>
      <c r="AQ1389" s="55"/>
      <c r="AR1389" s="56" t="str">
        <f t="shared" si="653"/>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2019</v>
      </c>
      <c r="B1390" s="72" t="str">
        <f t="shared" si="637"/>
        <v>Nov</v>
      </c>
      <c r="C1390" s="73">
        <f t="shared" si="654"/>
        <v>24</v>
      </c>
      <c r="D1390" s="74">
        <f t="shared" si="638"/>
        <v>9</v>
      </c>
      <c r="E1390" s="75">
        <f t="shared" si="639"/>
        <v>26</v>
      </c>
      <c r="F1390" s="79"/>
      <c r="G1390" s="82"/>
      <c r="H1390" s="68" t="str">
        <f t="shared" si="655"/>
        <v>Lacine13_20191124_09_00</v>
      </c>
      <c r="I1390" s="69">
        <f t="shared" si="659"/>
        <v>1</v>
      </c>
      <c r="J1390" s="76" t="str">
        <f t="shared" si="659"/>
        <v>Lactuca</v>
      </c>
      <c r="K1390" s="76" t="str">
        <f t="shared" si="659"/>
        <v>inermis</v>
      </c>
      <c r="L1390" s="77">
        <f t="shared" si="659"/>
        <v>13</v>
      </c>
      <c r="M1390" s="77">
        <f t="shared" si="659"/>
        <v>0</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c r="X1390" s="52"/>
      <c r="Y1390" s="52"/>
      <c r="Z1390" s="52"/>
      <c r="AA1390" s="47"/>
      <c r="AB1390" s="47" t="str">
        <f t="shared" si="645"/>
        <v/>
      </c>
      <c r="AC1390" s="53" t="e">
        <f t="shared" si="646"/>
        <v>#VALUE!</v>
      </c>
      <c r="AD1390" s="54"/>
      <c r="AE1390" s="54"/>
      <c r="AF1390" s="54"/>
      <c r="AG1390" s="55"/>
      <c r="AH1390" s="56"/>
      <c r="AI1390" s="55"/>
      <c r="AJ1390" s="56" t="str">
        <f t="shared" si="649"/>
        <v/>
      </c>
      <c r="AK1390" s="55"/>
      <c r="AL1390" s="56" t="str">
        <f t="shared" si="650"/>
        <v/>
      </c>
      <c r="AM1390" s="55"/>
      <c r="AN1390" s="56" t="str">
        <f t="shared" si="651"/>
        <v/>
      </c>
      <c r="AO1390" s="55"/>
      <c r="AP1390" s="56" t="str">
        <f t="shared" si="652"/>
        <v/>
      </c>
      <c r="AQ1390" s="55"/>
      <c r="AR1390" s="56" t="str">
        <f t="shared" si="653"/>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2019</v>
      </c>
      <c r="B1391" s="72" t="str">
        <f t="shared" si="637"/>
        <v>Nov</v>
      </c>
      <c r="C1391" s="73">
        <f t="shared" si="654"/>
        <v>24</v>
      </c>
      <c r="D1391" s="74">
        <f t="shared" si="638"/>
        <v>9</v>
      </c>
      <c r="E1391" s="75">
        <f t="shared" si="639"/>
        <v>27</v>
      </c>
      <c r="F1391" s="79"/>
      <c r="G1391" s="82"/>
      <c r="H1391" s="68" t="str">
        <f t="shared" si="655"/>
        <v>Lacine13_20191124_09_00</v>
      </c>
      <c r="I1391" s="69">
        <f t="shared" si="659"/>
        <v>1</v>
      </c>
      <c r="J1391" s="76" t="str">
        <f t="shared" si="659"/>
        <v>Lactuca</v>
      </c>
      <c r="K1391" s="76" t="str">
        <f t="shared" si="659"/>
        <v>inermis</v>
      </c>
      <c r="L1391" s="77">
        <f t="shared" si="659"/>
        <v>13</v>
      </c>
      <c r="M1391" s="77">
        <f t="shared" si="659"/>
        <v>0</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c r="X1391" s="52"/>
      <c r="Y1391" s="52"/>
      <c r="Z1391" s="52"/>
      <c r="AA1391" s="47"/>
      <c r="AB1391" s="47" t="str">
        <f t="shared" si="645"/>
        <v/>
      </c>
      <c r="AC1391" s="53" t="e">
        <f t="shared" si="646"/>
        <v>#VALUE!</v>
      </c>
      <c r="AD1391" s="54"/>
      <c r="AE1391" s="54"/>
      <c r="AF1391" s="54"/>
      <c r="AG1391" s="55"/>
      <c r="AH1391" s="56"/>
      <c r="AI1391" s="55"/>
      <c r="AJ1391" s="56" t="str">
        <f t="shared" si="649"/>
        <v/>
      </c>
      <c r="AK1391" s="55"/>
      <c r="AL1391" s="56" t="str">
        <f t="shared" si="650"/>
        <v/>
      </c>
      <c r="AM1391" s="55"/>
      <c r="AN1391" s="56" t="str">
        <f t="shared" si="651"/>
        <v/>
      </c>
      <c r="AO1391" s="55"/>
      <c r="AP1391" s="56" t="str">
        <f t="shared" si="652"/>
        <v/>
      </c>
      <c r="AQ1391" s="55"/>
      <c r="AR1391" s="56" t="str">
        <f t="shared" si="653"/>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2019</v>
      </c>
      <c r="B1392" s="72" t="str">
        <f t="shared" si="637"/>
        <v>Nov</v>
      </c>
      <c r="C1392" s="73">
        <f t="shared" si="654"/>
        <v>24</v>
      </c>
      <c r="D1392" s="74">
        <f t="shared" si="638"/>
        <v>9</v>
      </c>
      <c r="E1392" s="75">
        <f t="shared" si="639"/>
        <v>28</v>
      </c>
      <c r="F1392" s="79"/>
      <c r="G1392" s="82"/>
      <c r="H1392" s="68" t="str">
        <f t="shared" si="655"/>
        <v>Lacine13_20191124_09_00</v>
      </c>
      <c r="I1392" s="69">
        <f t="shared" si="659"/>
        <v>1</v>
      </c>
      <c r="J1392" s="76" t="str">
        <f t="shared" si="659"/>
        <v>Lactuca</v>
      </c>
      <c r="K1392" s="76" t="str">
        <f t="shared" si="659"/>
        <v>inermis</v>
      </c>
      <c r="L1392" s="77">
        <f t="shared" si="659"/>
        <v>13</v>
      </c>
      <c r="M1392" s="77">
        <f t="shared" si="659"/>
        <v>0</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c r="X1392" s="52"/>
      <c r="Y1392" s="52"/>
      <c r="Z1392" s="52"/>
      <c r="AA1392" s="47"/>
      <c r="AB1392" s="47" t="str">
        <f t="shared" si="645"/>
        <v/>
      </c>
      <c r="AC1392" s="53" t="e">
        <f t="shared" si="646"/>
        <v>#VALUE!</v>
      </c>
      <c r="AD1392" s="54"/>
      <c r="AE1392" s="54"/>
      <c r="AF1392" s="54"/>
      <c r="AG1392" s="55"/>
      <c r="AH1392" s="56"/>
      <c r="AI1392" s="55"/>
      <c r="AJ1392" s="56" t="str">
        <f t="shared" si="649"/>
        <v/>
      </c>
      <c r="AK1392" s="55"/>
      <c r="AL1392" s="56" t="str">
        <f t="shared" si="650"/>
        <v/>
      </c>
      <c r="AM1392" s="55"/>
      <c r="AN1392" s="56" t="str">
        <f t="shared" si="651"/>
        <v/>
      </c>
      <c r="AO1392" s="55"/>
      <c r="AP1392" s="56" t="str">
        <f t="shared" si="652"/>
        <v/>
      </c>
      <c r="AQ1392" s="55"/>
      <c r="AR1392" s="56" t="str">
        <f t="shared" si="653"/>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2019</v>
      </c>
      <c r="B1393" s="72" t="str">
        <f t="shared" si="637"/>
        <v>Nov</v>
      </c>
      <c r="C1393" s="73">
        <f t="shared" si="654"/>
        <v>24</v>
      </c>
      <c r="D1393" s="74">
        <f t="shared" si="638"/>
        <v>9</v>
      </c>
      <c r="E1393" s="75">
        <f t="shared" si="639"/>
        <v>29</v>
      </c>
      <c r="F1393" s="79"/>
      <c r="G1393" s="82"/>
      <c r="H1393" s="68" t="str">
        <f t="shared" si="655"/>
        <v>Lacine13_20191124_09_00</v>
      </c>
      <c r="I1393" s="69">
        <f t="shared" si="659"/>
        <v>1</v>
      </c>
      <c r="J1393" s="76" t="str">
        <f t="shared" si="659"/>
        <v>Lactuca</v>
      </c>
      <c r="K1393" s="76" t="str">
        <f t="shared" si="659"/>
        <v>inermis</v>
      </c>
      <c r="L1393" s="77">
        <f t="shared" si="659"/>
        <v>13</v>
      </c>
      <c r="M1393" s="77">
        <f t="shared" si="659"/>
        <v>0</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c r="X1393" s="52"/>
      <c r="Y1393" s="52"/>
      <c r="Z1393" s="52"/>
      <c r="AA1393" s="47"/>
      <c r="AB1393" s="47" t="str">
        <f t="shared" si="645"/>
        <v/>
      </c>
      <c r="AC1393" s="53" t="e">
        <f t="shared" si="646"/>
        <v>#VALUE!</v>
      </c>
      <c r="AD1393" s="54"/>
      <c r="AE1393" s="54"/>
      <c r="AF1393" s="54"/>
      <c r="AG1393" s="55"/>
      <c r="AH1393" s="56"/>
      <c r="AI1393" s="55"/>
      <c r="AJ1393" s="56" t="str">
        <f t="shared" si="649"/>
        <v/>
      </c>
      <c r="AK1393" s="55"/>
      <c r="AL1393" s="56" t="str">
        <f t="shared" si="650"/>
        <v/>
      </c>
      <c r="AM1393" s="55"/>
      <c r="AN1393" s="56" t="str">
        <f t="shared" si="651"/>
        <v/>
      </c>
      <c r="AO1393" s="55"/>
      <c r="AP1393" s="56" t="str">
        <f t="shared" si="652"/>
        <v/>
      </c>
      <c r="AQ1393" s="55"/>
      <c r="AR1393" s="56" t="str">
        <f t="shared" si="653"/>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2019</v>
      </c>
      <c r="B1394" s="72" t="str">
        <f t="shared" si="637"/>
        <v>Nov</v>
      </c>
      <c r="C1394" s="73">
        <f t="shared" si="654"/>
        <v>24</v>
      </c>
      <c r="D1394" s="74">
        <f t="shared" si="638"/>
        <v>9</v>
      </c>
      <c r="E1394" s="75">
        <f t="shared" si="639"/>
        <v>30</v>
      </c>
      <c r="F1394" s="79"/>
      <c r="G1394" s="82"/>
      <c r="H1394" s="68" t="str">
        <f t="shared" si="655"/>
        <v>Lacine13_20191124_09_00</v>
      </c>
      <c r="I1394" s="69">
        <f t="shared" si="659"/>
        <v>1</v>
      </c>
      <c r="J1394" s="76" t="str">
        <f t="shared" si="659"/>
        <v>Lactuca</v>
      </c>
      <c r="K1394" s="76" t="str">
        <f t="shared" si="659"/>
        <v>inermis</v>
      </c>
      <c r="L1394" s="77">
        <f t="shared" si="659"/>
        <v>13</v>
      </c>
      <c r="M1394" s="77">
        <f t="shared" si="659"/>
        <v>0</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c r="X1394" s="52"/>
      <c r="Y1394" s="52"/>
      <c r="Z1394" s="52"/>
      <c r="AA1394" s="47"/>
      <c r="AB1394" s="47" t="str">
        <f t="shared" si="645"/>
        <v/>
      </c>
      <c r="AC1394" s="53" t="e">
        <f t="shared" si="646"/>
        <v>#VALUE!</v>
      </c>
      <c r="AD1394" s="54"/>
      <c r="AE1394" s="54"/>
      <c r="AF1394" s="54"/>
      <c r="AG1394" s="55"/>
      <c r="AH1394" s="56"/>
      <c r="AI1394" s="55"/>
      <c r="AJ1394" s="56" t="str">
        <f t="shared" si="649"/>
        <v/>
      </c>
      <c r="AK1394" s="55"/>
      <c r="AL1394" s="56" t="str">
        <f t="shared" si="650"/>
        <v/>
      </c>
      <c r="AM1394" s="55"/>
      <c r="AN1394" s="56" t="str">
        <f t="shared" si="651"/>
        <v/>
      </c>
      <c r="AO1394" s="55"/>
      <c r="AP1394" s="56" t="str">
        <f t="shared" si="652"/>
        <v/>
      </c>
      <c r="AQ1394" s="55"/>
      <c r="AR1394" s="56" t="str">
        <f t="shared" si="653"/>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2019</v>
      </c>
      <c r="B1395" s="72" t="str">
        <f t="shared" si="637"/>
        <v>Nov</v>
      </c>
      <c r="C1395" s="73">
        <f t="shared" si="654"/>
        <v>24</v>
      </c>
      <c r="D1395" s="74">
        <f t="shared" si="638"/>
        <v>9</v>
      </c>
      <c r="E1395" s="75">
        <f t="shared" si="639"/>
        <v>31</v>
      </c>
      <c r="F1395" s="79"/>
      <c r="G1395" s="82"/>
      <c r="H1395" s="68" t="str">
        <f t="shared" si="655"/>
        <v>Lacine13_20191124_09_00</v>
      </c>
      <c r="I1395" s="69">
        <f t="shared" si="659"/>
        <v>1</v>
      </c>
      <c r="J1395" s="76" t="str">
        <f t="shared" si="659"/>
        <v>Lactuca</v>
      </c>
      <c r="K1395" s="76" t="str">
        <f t="shared" si="659"/>
        <v>inermis</v>
      </c>
      <c r="L1395" s="77">
        <f t="shared" si="659"/>
        <v>13</v>
      </c>
      <c r="M1395" s="77">
        <f t="shared" si="659"/>
        <v>0</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c r="X1395" s="52"/>
      <c r="Y1395" s="52"/>
      <c r="Z1395" s="52"/>
      <c r="AA1395" s="47"/>
      <c r="AB1395" s="47" t="str">
        <f t="shared" si="645"/>
        <v/>
      </c>
      <c r="AC1395" s="53" t="e">
        <f t="shared" si="646"/>
        <v>#VALUE!</v>
      </c>
      <c r="AD1395" s="54"/>
      <c r="AE1395" s="54"/>
      <c r="AF1395" s="54"/>
      <c r="AG1395" s="55"/>
      <c r="AH1395" s="56"/>
      <c r="AI1395" s="55"/>
      <c r="AJ1395" s="56" t="str">
        <f t="shared" si="649"/>
        <v/>
      </c>
      <c r="AK1395" s="55"/>
      <c r="AL1395" s="56" t="str">
        <f t="shared" si="650"/>
        <v/>
      </c>
      <c r="AM1395" s="55"/>
      <c r="AN1395" s="56" t="str">
        <f t="shared" si="651"/>
        <v/>
      </c>
      <c r="AO1395" s="55"/>
      <c r="AP1395" s="56" t="str">
        <f t="shared" si="652"/>
        <v/>
      </c>
      <c r="AQ1395" s="55"/>
      <c r="AR1395" s="56" t="str">
        <f t="shared" si="653"/>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2019</v>
      </c>
      <c r="B1396" s="72" t="str">
        <f t="shared" si="637"/>
        <v>Nov</v>
      </c>
      <c r="C1396" s="73">
        <f t="shared" si="654"/>
        <v>24</v>
      </c>
      <c r="D1396" s="74">
        <f t="shared" si="638"/>
        <v>9</v>
      </c>
      <c r="E1396" s="75">
        <v>31</v>
      </c>
      <c r="F1396" s="79"/>
      <c r="G1396" s="82"/>
      <c r="H1396" s="68" t="str">
        <f t="shared" si="655"/>
        <v>Lacine13_20191124_09_00</v>
      </c>
      <c r="I1396" s="69">
        <f t="shared" si="659"/>
        <v>1</v>
      </c>
      <c r="J1396" s="76" t="str">
        <f t="shared" si="659"/>
        <v>Lactuca</v>
      </c>
      <c r="K1396" s="76" t="str">
        <f t="shared" si="659"/>
        <v>inermis</v>
      </c>
      <c r="L1396" s="77">
        <f t="shared" si="659"/>
        <v>13</v>
      </c>
      <c r="M1396" s="77">
        <f t="shared" si="659"/>
        <v>0</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c r="X1396" s="52"/>
      <c r="Y1396" s="52"/>
      <c r="Z1396" s="52"/>
      <c r="AA1396" s="47"/>
      <c r="AB1396" s="47" t="str">
        <f t="shared" si="645"/>
        <v/>
      </c>
      <c r="AC1396" s="53" t="e">
        <f t="shared" si="646"/>
        <v>#VALUE!</v>
      </c>
      <c r="AD1396" s="54"/>
      <c r="AE1396" s="54"/>
      <c r="AF1396" s="54"/>
      <c r="AG1396" s="55"/>
      <c r="AH1396" s="56"/>
      <c r="AI1396" s="55"/>
      <c r="AJ1396" s="56" t="str">
        <f t="shared" si="649"/>
        <v/>
      </c>
      <c r="AK1396" s="55"/>
      <c r="AL1396" s="56" t="str">
        <f t="shared" si="650"/>
        <v/>
      </c>
      <c r="AM1396" s="55"/>
      <c r="AN1396" s="56" t="str">
        <f t="shared" si="651"/>
        <v/>
      </c>
      <c r="AO1396" s="55"/>
      <c r="AP1396" s="56" t="str">
        <f t="shared" si="652"/>
        <v/>
      </c>
      <c r="AQ1396" s="55"/>
      <c r="AR1396" s="56" t="str">
        <f t="shared" si="653"/>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2019</v>
      </c>
      <c r="B1397" s="72" t="str">
        <f t="shared" si="637"/>
        <v>Nov</v>
      </c>
      <c r="C1397" s="73">
        <f t="shared" si="654"/>
        <v>24</v>
      </c>
      <c r="D1397" s="74">
        <f t="shared" si="638"/>
        <v>9</v>
      </c>
      <c r="E1397" s="75">
        <f t="shared" si="639"/>
        <v>32</v>
      </c>
      <c r="F1397" s="79"/>
      <c r="G1397" s="82"/>
      <c r="H1397" s="68" t="str">
        <f t="shared" si="655"/>
        <v>Lacine13_20191124_09_00</v>
      </c>
      <c r="I1397" s="69">
        <f t="shared" ref="I1397:N1412" si="660">I1396</f>
        <v>1</v>
      </c>
      <c r="J1397" s="76" t="str">
        <f t="shared" si="660"/>
        <v>Lactuca</v>
      </c>
      <c r="K1397" s="76" t="str">
        <f t="shared" si="660"/>
        <v>inermis</v>
      </c>
      <c r="L1397" s="77">
        <f t="shared" si="660"/>
        <v>13</v>
      </c>
      <c r="M1397" s="77">
        <f t="shared" si="660"/>
        <v>0</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57"/>
        <v/>
      </c>
      <c r="AH1397" s="56" t="str">
        <f t="shared" si="648"/>
        <v/>
      </c>
      <c r="AI1397" s="55"/>
      <c r="AJ1397" s="56" t="str">
        <f t="shared" si="649"/>
        <v/>
      </c>
      <c r="AK1397" s="55"/>
      <c r="AL1397" s="56" t="str">
        <f t="shared" si="650"/>
        <v/>
      </c>
      <c r="AM1397" s="55"/>
      <c r="AN1397" s="56" t="str">
        <f t="shared" si="651"/>
        <v/>
      </c>
      <c r="AO1397" s="55"/>
      <c r="AP1397" s="56" t="str">
        <f t="shared" si="652"/>
        <v/>
      </c>
      <c r="AQ1397" s="55"/>
      <c r="AR1397" s="56" t="str">
        <f t="shared" si="653"/>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2019</v>
      </c>
      <c r="B1398" s="72" t="str">
        <f t="shared" si="637"/>
        <v>Nov</v>
      </c>
      <c r="C1398" s="73">
        <f t="shared" si="654"/>
        <v>24</v>
      </c>
      <c r="D1398" s="74">
        <f t="shared" si="638"/>
        <v>9</v>
      </c>
      <c r="E1398" s="75">
        <f t="shared" si="639"/>
        <v>33</v>
      </c>
      <c r="F1398" s="79"/>
      <c r="G1398" s="82"/>
      <c r="H1398" s="68" t="str">
        <f t="shared" si="655"/>
        <v>Lacine13_20191124_09_00</v>
      </c>
      <c r="I1398" s="69">
        <f t="shared" si="660"/>
        <v>1</v>
      </c>
      <c r="J1398" s="76" t="str">
        <f t="shared" si="660"/>
        <v>Lactuca</v>
      </c>
      <c r="K1398" s="76" t="str">
        <f t="shared" si="660"/>
        <v>inermis</v>
      </c>
      <c r="L1398" s="77">
        <f t="shared" si="660"/>
        <v>13</v>
      </c>
      <c r="M1398" s="77">
        <f t="shared" si="660"/>
        <v>0</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57"/>
        <v/>
      </c>
      <c r="AH1398" s="56" t="str">
        <f t="shared" si="648"/>
        <v/>
      </c>
      <c r="AI1398" s="55"/>
      <c r="AJ1398" s="56" t="str">
        <f t="shared" si="649"/>
        <v/>
      </c>
      <c r="AK1398" s="55"/>
      <c r="AL1398" s="56" t="str">
        <f t="shared" si="650"/>
        <v/>
      </c>
      <c r="AM1398" s="55"/>
      <c r="AN1398" s="56" t="str">
        <f t="shared" si="651"/>
        <v/>
      </c>
      <c r="AO1398" s="55"/>
      <c r="AP1398" s="56" t="str">
        <f t="shared" si="652"/>
        <v/>
      </c>
      <c r="AQ1398" s="55"/>
      <c r="AR1398" s="56" t="str">
        <f t="shared" si="653"/>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2019</v>
      </c>
      <c r="B1399" s="72" t="str">
        <f t="shared" si="637"/>
        <v>Nov</v>
      </c>
      <c r="C1399" s="73">
        <f t="shared" si="654"/>
        <v>24</v>
      </c>
      <c r="D1399" s="74">
        <f t="shared" si="638"/>
        <v>9</v>
      </c>
      <c r="E1399" s="75">
        <f t="shared" si="639"/>
        <v>34</v>
      </c>
      <c r="F1399" s="79"/>
      <c r="G1399" s="82"/>
      <c r="H1399" s="68" t="str">
        <f t="shared" si="655"/>
        <v>Lacine13_20191124_09_00</v>
      </c>
      <c r="I1399" s="69">
        <f t="shared" si="660"/>
        <v>1</v>
      </c>
      <c r="J1399" s="76" t="str">
        <f t="shared" si="660"/>
        <v>Lactuca</v>
      </c>
      <c r="K1399" s="76" t="str">
        <f t="shared" si="660"/>
        <v>inermis</v>
      </c>
      <c r="L1399" s="77">
        <f t="shared" si="660"/>
        <v>13</v>
      </c>
      <c r="M1399" s="77">
        <f t="shared" si="660"/>
        <v>0</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57"/>
        <v/>
      </c>
      <c r="AH1399" s="56" t="str">
        <f t="shared" si="648"/>
        <v/>
      </c>
      <c r="AI1399" s="55"/>
      <c r="AJ1399" s="56" t="str">
        <f t="shared" si="649"/>
        <v/>
      </c>
      <c r="AK1399" s="55"/>
      <c r="AL1399" s="56" t="str">
        <f t="shared" si="650"/>
        <v/>
      </c>
      <c r="AM1399" s="55"/>
      <c r="AN1399" s="56" t="str">
        <f t="shared" si="651"/>
        <v/>
      </c>
      <c r="AO1399" s="55"/>
      <c r="AP1399" s="56" t="str">
        <f t="shared" si="652"/>
        <v/>
      </c>
      <c r="AQ1399" s="55"/>
      <c r="AR1399" s="56" t="str">
        <f t="shared" si="653"/>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2019</v>
      </c>
      <c r="B1400" s="72" t="str">
        <f t="shared" si="637"/>
        <v>Nov</v>
      </c>
      <c r="C1400" s="73">
        <f t="shared" si="654"/>
        <v>24</v>
      </c>
      <c r="D1400" s="74">
        <f t="shared" si="638"/>
        <v>9</v>
      </c>
      <c r="E1400" s="75">
        <f t="shared" si="639"/>
        <v>35</v>
      </c>
      <c r="F1400" s="79"/>
      <c r="G1400" s="82"/>
      <c r="H1400" s="68" t="str">
        <f t="shared" si="655"/>
        <v>Lacine13_20191124_09_00</v>
      </c>
      <c r="I1400" s="69">
        <f t="shared" si="660"/>
        <v>1</v>
      </c>
      <c r="J1400" s="76" t="str">
        <f t="shared" si="660"/>
        <v>Lactuca</v>
      </c>
      <c r="K1400" s="76" t="str">
        <f t="shared" si="660"/>
        <v>inermis</v>
      </c>
      <c r="L1400" s="77">
        <f t="shared" si="660"/>
        <v>13</v>
      </c>
      <c r="M1400" s="77">
        <f t="shared" si="660"/>
        <v>0</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57"/>
        <v/>
      </c>
      <c r="AH1400" s="56" t="str">
        <f t="shared" si="648"/>
        <v/>
      </c>
      <c r="AI1400" s="55"/>
      <c r="AJ1400" s="56" t="str">
        <f t="shared" si="649"/>
        <v/>
      </c>
      <c r="AK1400" s="55"/>
      <c r="AL1400" s="56" t="str">
        <f t="shared" si="650"/>
        <v/>
      </c>
      <c r="AM1400" s="55"/>
      <c r="AN1400" s="56" t="str">
        <f t="shared" si="651"/>
        <v/>
      </c>
      <c r="AO1400" s="55"/>
      <c r="AP1400" s="56" t="str">
        <f t="shared" si="652"/>
        <v/>
      </c>
      <c r="AQ1400" s="55"/>
      <c r="AR1400" s="56" t="str">
        <f t="shared" si="653"/>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2019</v>
      </c>
      <c r="B1401" s="72" t="str">
        <f t="shared" si="637"/>
        <v>Nov</v>
      </c>
      <c r="C1401" s="73">
        <f t="shared" si="654"/>
        <v>24</v>
      </c>
      <c r="D1401" s="74">
        <f t="shared" si="638"/>
        <v>9</v>
      </c>
      <c r="E1401" s="75">
        <f t="shared" si="639"/>
        <v>36</v>
      </c>
      <c r="F1401" s="79"/>
      <c r="G1401" s="82"/>
      <c r="H1401" s="68" t="str">
        <f t="shared" si="655"/>
        <v>Lacine13_20191124_09_00</v>
      </c>
      <c r="I1401" s="69">
        <f t="shared" si="660"/>
        <v>1</v>
      </c>
      <c r="J1401" s="76" t="str">
        <f t="shared" si="660"/>
        <v>Lactuca</v>
      </c>
      <c r="K1401" s="76" t="str">
        <f t="shared" si="660"/>
        <v>inermis</v>
      </c>
      <c r="L1401" s="77">
        <f t="shared" si="660"/>
        <v>13</v>
      </c>
      <c r="M1401" s="77">
        <f t="shared" si="660"/>
        <v>0</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57"/>
        <v/>
      </c>
      <c r="AH1401" s="56" t="str">
        <f t="shared" si="648"/>
        <v/>
      </c>
      <c r="AI1401" s="55"/>
      <c r="AJ1401" s="56" t="str">
        <f t="shared" si="649"/>
        <v/>
      </c>
      <c r="AK1401" s="55"/>
      <c r="AL1401" s="56" t="str">
        <f t="shared" si="650"/>
        <v/>
      </c>
      <c r="AM1401" s="55"/>
      <c r="AN1401" s="56" t="str">
        <f t="shared" si="651"/>
        <v/>
      </c>
      <c r="AO1401" s="55"/>
      <c r="AP1401" s="56" t="str">
        <f t="shared" si="652"/>
        <v/>
      </c>
      <c r="AQ1401" s="55"/>
      <c r="AR1401" s="56" t="str">
        <f t="shared" si="653"/>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2019</v>
      </c>
      <c r="B1402" s="72" t="str">
        <f t="shared" si="637"/>
        <v>Nov</v>
      </c>
      <c r="C1402" s="73">
        <f t="shared" si="654"/>
        <v>24</v>
      </c>
      <c r="D1402" s="74">
        <f t="shared" si="638"/>
        <v>9</v>
      </c>
      <c r="E1402" s="75">
        <f t="shared" si="639"/>
        <v>37</v>
      </c>
      <c r="F1402" s="79"/>
      <c r="G1402" s="82"/>
      <c r="H1402" s="68" t="str">
        <f t="shared" si="655"/>
        <v>Lacine13_20191124_09_00</v>
      </c>
      <c r="I1402" s="69">
        <f t="shared" si="660"/>
        <v>1</v>
      </c>
      <c r="J1402" s="76" t="str">
        <f t="shared" si="660"/>
        <v>Lactuca</v>
      </c>
      <c r="K1402" s="76" t="str">
        <f t="shared" si="660"/>
        <v>inermis</v>
      </c>
      <c r="L1402" s="77">
        <f t="shared" si="660"/>
        <v>13</v>
      </c>
      <c r="M1402" s="77">
        <f t="shared" si="660"/>
        <v>0</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57"/>
        <v/>
      </c>
      <c r="AH1402" s="56" t="str">
        <f t="shared" si="648"/>
        <v/>
      </c>
      <c r="AI1402" s="55"/>
      <c r="AJ1402" s="56" t="str">
        <f t="shared" si="649"/>
        <v/>
      </c>
      <c r="AK1402" s="55"/>
      <c r="AL1402" s="56" t="str">
        <f t="shared" si="650"/>
        <v/>
      </c>
      <c r="AM1402" s="55"/>
      <c r="AN1402" s="56" t="str">
        <f t="shared" si="651"/>
        <v/>
      </c>
      <c r="AO1402" s="55"/>
      <c r="AP1402" s="56" t="str">
        <f t="shared" si="652"/>
        <v/>
      </c>
      <c r="AQ1402" s="55"/>
      <c r="AR1402" s="56" t="str">
        <f t="shared" si="653"/>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2019</v>
      </c>
      <c r="B1403" s="72" t="str">
        <f t="shared" si="637"/>
        <v>Nov</v>
      </c>
      <c r="C1403" s="73">
        <f t="shared" si="654"/>
        <v>24</v>
      </c>
      <c r="D1403" s="74">
        <f t="shared" si="638"/>
        <v>9</v>
      </c>
      <c r="E1403" s="75">
        <f t="shared" si="639"/>
        <v>38</v>
      </c>
      <c r="F1403" s="79"/>
      <c r="G1403" s="82"/>
      <c r="H1403" s="68" t="str">
        <f t="shared" si="655"/>
        <v>Lacine13_20191124_09_00</v>
      </c>
      <c r="I1403" s="69">
        <f t="shared" si="660"/>
        <v>1</v>
      </c>
      <c r="J1403" s="76" t="str">
        <f t="shared" si="660"/>
        <v>Lactuca</v>
      </c>
      <c r="K1403" s="76" t="str">
        <f t="shared" si="660"/>
        <v>inermis</v>
      </c>
      <c r="L1403" s="77">
        <f t="shared" si="660"/>
        <v>13</v>
      </c>
      <c r="M1403" s="77">
        <f t="shared" si="660"/>
        <v>0</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57"/>
        <v/>
      </c>
      <c r="AH1403" s="56" t="str">
        <f t="shared" si="648"/>
        <v/>
      </c>
      <c r="AI1403" s="55"/>
      <c r="AJ1403" s="56" t="str">
        <f t="shared" si="649"/>
        <v/>
      </c>
      <c r="AK1403" s="55"/>
      <c r="AL1403" s="56" t="str">
        <f t="shared" si="650"/>
        <v/>
      </c>
      <c r="AM1403" s="55"/>
      <c r="AN1403" s="56" t="str">
        <f t="shared" si="651"/>
        <v/>
      </c>
      <c r="AO1403" s="55"/>
      <c r="AP1403" s="56" t="str">
        <f t="shared" si="652"/>
        <v/>
      </c>
      <c r="AQ1403" s="55"/>
      <c r="AR1403" s="56" t="str">
        <f t="shared" si="653"/>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2019</v>
      </c>
      <c r="B1404" s="72" t="str">
        <f t="shared" si="637"/>
        <v>Nov</v>
      </c>
      <c r="C1404" s="73">
        <f t="shared" si="654"/>
        <v>24</v>
      </c>
      <c r="D1404" s="74">
        <f t="shared" si="638"/>
        <v>9</v>
      </c>
      <c r="E1404" s="75">
        <f t="shared" si="639"/>
        <v>39</v>
      </c>
      <c r="F1404" s="79"/>
      <c r="G1404" s="82"/>
      <c r="H1404" s="68" t="str">
        <f t="shared" si="655"/>
        <v>Lacine13_20191124_09_00</v>
      </c>
      <c r="I1404" s="69">
        <f t="shared" si="660"/>
        <v>1</v>
      </c>
      <c r="J1404" s="76" t="str">
        <f t="shared" si="660"/>
        <v>Lactuca</v>
      </c>
      <c r="K1404" s="76" t="str">
        <f t="shared" si="660"/>
        <v>inermis</v>
      </c>
      <c r="L1404" s="77">
        <f t="shared" si="660"/>
        <v>13</v>
      </c>
      <c r="M1404" s="77">
        <f t="shared" si="660"/>
        <v>0</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57"/>
        <v/>
      </c>
      <c r="AH1404" s="56" t="str">
        <f t="shared" si="648"/>
        <v/>
      </c>
      <c r="AI1404" s="55"/>
      <c r="AJ1404" s="56" t="str">
        <f t="shared" si="649"/>
        <v/>
      </c>
      <c r="AK1404" s="55"/>
      <c r="AL1404" s="56" t="str">
        <f t="shared" si="650"/>
        <v/>
      </c>
      <c r="AM1404" s="55"/>
      <c r="AN1404" s="56" t="str">
        <f t="shared" si="651"/>
        <v/>
      </c>
      <c r="AO1404" s="55"/>
      <c r="AP1404" s="56" t="str">
        <f t="shared" si="652"/>
        <v/>
      </c>
      <c r="AQ1404" s="55"/>
      <c r="AR1404" s="56" t="str">
        <f t="shared" si="653"/>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2019</v>
      </c>
      <c r="B1405" s="72" t="str">
        <f t="shared" si="637"/>
        <v>Nov</v>
      </c>
      <c r="C1405" s="73">
        <f t="shared" si="654"/>
        <v>24</v>
      </c>
      <c r="D1405" s="74">
        <f t="shared" si="638"/>
        <v>9</v>
      </c>
      <c r="E1405" s="75">
        <f t="shared" si="639"/>
        <v>40</v>
      </c>
      <c r="F1405" s="79"/>
      <c r="G1405" s="82"/>
      <c r="H1405" s="68" t="str">
        <f t="shared" si="655"/>
        <v>Lacine13_20191124_09_00</v>
      </c>
      <c r="I1405" s="69">
        <f t="shared" si="660"/>
        <v>1</v>
      </c>
      <c r="J1405" s="76" t="str">
        <f t="shared" si="660"/>
        <v>Lactuca</v>
      </c>
      <c r="K1405" s="76" t="str">
        <f t="shared" si="660"/>
        <v>inermis</v>
      </c>
      <c r="L1405" s="77">
        <f t="shared" si="660"/>
        <v>13</v>
      </c>
      <c r="M1405" s="77">
        <f t="shared" si="660"/>
        <v>0</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57"/>
        <v/>
      </c>
      <c r="AH1405" s="56" t="str">
        <f t="shared" si="648"/>
        <v/>
      </c>
      <c r="AI1405" s="55"/>
      <c r="AJ1405" s="56" t="str">
        <f t="shared" si="649"/>
        <v/>
      </c>
      <c r="AK1405" s="55"/>
      <c r="AL1405" s="56" t="str">
        <f t="shared" si="650"/>
        <v/>
      </c>
      <c r="AM1405" s="55"/>
      <c r="AN1405" s="56" t="str">
        <f t="shared" si="651"/>
        <v/>
      </c>
      <c r="AO1405" s="55"/>
      <c r="AP1405" s="56" t="str">
        <f t="shared" si="652"/>
        <v/>
      </c>
      <c r="AQ1405" s="55"/>
      <c r="AR1405" s="56" t="str">
        <f t="shared" si="653"/>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2019</v>
      </c>
      <c r="B1406" s="72" t="str">
        <f t="shared" si="637"/>
        <v>Nov</v>
      </c>
      <c r="C1406" s="73">
        <f t="shared" si="654"/>
        <v>24</v>
      </c>
      <c r="D1406" s="74">
        <f t="shared" si="638"/>
        <v>9</v>
      </c>
      <c r="E1406" s="75">
        <f t="shared" si="639"/>
        <v>41</v>
      </c>
      <c r="F1406" s="79"/>
      <c r="G1406" s="82"/>
      <c r="H1406" s="68" t="str">
        <f t="shared" si="655"/>
        <v>Lacine13_20191124_09_00</v>
      </c>
      <c r="I1406" s="69">
        <f t="shared" si="660"/>
        <v>1</v>
      </c>
      <c r="J1406" s="76" t="str">
        <f t="shared" si="660"/>
        <v>Lactuca</v>
      </c>
      <c r="K1406" s="76" t="str">
        <f t="shared" si="660"/>
        <v>inermis</v>
      </c>
      <c r="L1406" s="77">
        <f t="shared" si="660"/>
        <v>13</v>
      </c>
      <c r="M1406" s="77">
        <f t="shared" si="660"/>
        <v>0</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57"/>
        <v/>
      </c>
      <c r="AH1406" s="56" t="str">
        <f t="shared" si="648"/>
        <v/>
      </c>
      <c r="AI1406" s="55"/>
      <c r="AJ1406" s="56" t="str">
        <f t="shared" si="649"/>
        <v/>
      </c>
      <c r="AK1406" s="55"/>
      <c r="AL1406" s="56" t="str">
        <f t="shared" si="650"/>
        <v/>
      </c>
      <c r="AM1406" s="55"/>
      <c r="AN1406" s="56" t="str">
        <f t="shared" si="651"/>
        <v/>
      </c>
      <c r="AO1406" s="55"/>
      <c r="AP1406" s="56" t="str">
        <f t="shared" si="652"/>
        <v/>
      </c>
      <c r="AQ1406" s="55"/>
      <c r="AR1406" s="56" t="str">
        <f t="shared" si="653"/>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2019</v>
      </c>
      <c r="B1407" s="72" t="str">
        <f t="shared" si="637"/>
        <v>Nov</v>
      </c>
      <c r="C1407" s="73">
        <f t="shared" si="654"/>
        <v>24</v>
      </c>
      <c r="D1407" s="74">
        <f t="shared" si="638"/>
        <v>9</v>
      </c>
      <c r="E1407" s="75">
        <f t="shared" si="639"/>
        <v>42</v>
      </c>
      <c r="F1407" s="79"/>
      <c r="G1407" s="82"/>
      <c r="H1407" s="68" t="str">
        <f t="shared" si="655"/>
        <v>Lacine13_20191124_09_00</v>
      </c>
      <c r="I1407" s="69">
        <f t="shared" si="660"/>
        <v>1</v>
      </c>
      <c r="J1407" s="76" t="str">
        <f t="shared" si="660"/>
        <v>Lactuca</v>
      </c>
      <c r="K1407" s="76" t="str">
        <f t="shared" si="660"/>
        <v>inermis</v>
      </c>
      <c r="L1407" s="77">
        <f t="shared" si="660"/>
        <v>13</v>
      </c>
      <c r="M1407" s="77">
        <f t="shared" si="660"/>
        <v>0</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57"/>
        <v/>
      </c>
      <c r="AH1407" s="56" t="str">
        <f t="shared" si="648"/>
        <v/>
      </c>
      <c r="AI1407" s="55"/>
      <c r="AJ1407" s="56" t="str">
        <f t="shared" si="649"/>
        <v/>
      </c>
      <c r="AK1407" s="55"/>
      <c r="AL1407" s="56" t="str">
        <f t="shared" si="650"/>
        <v/>
      </c>
      <c r="AM1407" s="55"/>
      <c r="AN1407" s="56" t="str">
        <f t="shared" si="651"/>
        <v/>
      </c>
      <c r="AO1407" s="55"/>
      <c r="AP1407" s="56" t="str">
        <f t="shared" si="652"/>
        <v/>
      </c>
      <c r="AQ1407" s="55"/>
      <c r="AR1407" s="56" t="str">
        <f t="shared" si="653"/>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2019</v>
      </c>
      <c r="B1408" s="72" t="str">
        <f t="shared" si="637"/>
        <v>Nov</v>
      </c>
      <c r="C1408" s="73">
        <f t="shared" si="654"/>
        <v>24</v>
      </c>
      <c r="D1408" s="74">
        <f t="shared" si="638"/>
        <v>9</v>
      </c>
      <c r="E1408" s="75">
        <f t="shared" si="639"/>
        <v>43</v>
      </c>
      <c r="F1408" s="79"/>
      <c r="G1408" s="82"/>
      <c r="H1408" s="68" t="str">
        <f t="shared" si="655"/>
        <v>Lacine13_20191124_09_00</v>
      </c>
      <c r="I1408" s="69">
        <f t="shared" si="660"/>
        <v>1</v>
      </c>
      <c r="J1408" s="76" t="str">
        <f t="shared" si="660"/>
        <v>Lactuca</v>
      </c>
      <c r="K1408" s="76" t="str">
        <f t="shared" si="660"/>
        <v>inermis</v>
      </c>
      <c r="L1408" s="77">
        <f t="shared" si="660"/>
        <v>13</v>
      </c>
      <c r="M1408" s="77">
        <f t="shared" si="660"/>
        <v>0</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57"/>
        <v/>
      </c>
      <c r="AH1408" s="56" t="str">
        <f t="shared" si="648"/>
        <v/>
      </c>
      <c r="AI1408" s="55"/>
      <c r="AJ1408" s="56" t="str">
        <f t="shared" si="649"/>
        <v/>
      </c>
      <c r="AK1408" s="55"/>
      <c r="AL1408" s="56" t="str">
        <f t="shared" si="650"/>
        <v/>
      </c>
      <c r="AM1408" s="55"/>
      <c r="AN1408" s="56" t="str">
        <f t="shared" si="651"/>
        <v/>
      </c>
      <c r="AO1408" s="55"/>
      <c r="AP1408" s="56" t="str">
        <f t="shared" si="652"/>
        <v/>
      </c>
      <c r="AQ1408" s="55"/>
      <c r="AR1408" s="56" t="str">
        <f t="shared" si="653"/>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2019</v>
      </c>
      <c r="B1409" s="72" t="str">
        <f t="shared" si="637"/>
        <v>Nov</v>
      </c>
      <c r="C1409" s="73">
        <f t="shared" si="654"/>
        <v>24</v>
      </c>
      <c r="D1409" s="74">
        <f t="shared" si="638"/>
        <v>9</v>
      </c>
      <c r="E1409" s="75">
        <f t="shared" si="639"/>
        <v>44</v>
      </c>
      <c r="F1409" s="79"/>
      <c r="G1409" s="82"/>
      <c r="H1409" s="68" t="str">
        <f t="shared" si="655"/>
        <v>Lacine13_20191124_09_00</v>
      </c>
      <c r="I1409" s="69">
        <f t="shared" si="660"/>
        <v>1</v>
      </c>
      <c r="J1409" s="76" t="str">
        <f t="shared" si="660"/>
        <v>Lactuca</v>
      </c>
      <c r="K1409" s="76" t="str">
        <f t="shared" si="660"/>
        <v>inermis</v>
      </c>
      <c r="L1409" s="77">
        <f t="shared" si="660"/>
        <v>13</v>
      </c>
      <c r="M1409" s="77">
        <f t="shared" si="660"/>
        <v>0</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57"/>
        <v/>
      </c>
      <c r="AH1409" s="56" t="str">
        <f t="shared" si="648"/>
        <v/>
      </c>
      <c r="AI1409" s="55"/>
      <c r="AJ1409" s="56" t="str">
        <f t="shared" si="649"/>
        <v/>
      </c>
      <c r="AK1409" s="55"/>
      <c r="AL1409" s="56" t="str">
        <f t="shared" si="650"/>
        <v/>
      </c>
      <c r="AM1409" s="55"/>
      <c r="AN1409" s="56" t="str">
        <f t="shared" si="651"/>
        <v/>
      </c>
      <c r="AO1409" s="55"/>
      <c r="AP1409" s="56" t="str">
        <f t="shared" si="652"/>
        <v/>
      </c>
      <c r="AQ1409" s="55"/>
      <c r="AR1409" s="56" t="str">
        <f t="shared" si="653"/>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2019</v>
      </c>
      <c r="B1410" s="72" t="str">
        <f t="shared" si="637"/>
        <v>Nov</v>
      </c>
      <c r="C1410" s="73">
        <f t="shared" si="654"/>
        <v>24</v>
      </c>
      <c r="D1410" s="74">
        <f t="shared" si="638"/>
        <v>9</v>
      </c>
      <c r="E1410" s="75">
        <f t="shared" si="639"/>
        <v>45</v>
      </c>
      <c r="F1410" s="79"/>
      <c r="G1410" s="82"/>
      <c r="H1410" s="68" t="str">
        <f t="shared" si="655"/>
        <v>Lacine13_20191124_09_00</v>
      </c>
      <c r="I1410" s="69">
        <f t="shared" si="660"/>
        <v>1</v>
      </c>
      <c r="J1410" s="76" t="str">
        <f t="shared" si="660"/>
        <v>Lactuca</v>
      </c>
      <c r="K1410" s="76" t="str">
        <f t="shared" si="660"/>
        <v>inermis</v>
      </c>
      <c r="L1410" s="77">
        <f t="shared" si="660"/>
        <v>13</v>
      </c>
      <c r="M1410" s="77">
        <f t="shared" si="660"/>
        <v>0</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57"/>
        <v/>
      </c>
      <c r="AH1410" s="56" t="str">
        <f t="shared" si="648"/>
        <v/>
      </c>
      <c r="AI1410" s="55"/>
      <c r="AJ1410" s="56" t="str">
        <f t="shared" si="649"/>
        <v/>
      </c>
      <c r="AK1410" s="55"/>
      <c r="AL1410" s="56" t="str">
        <f t="shared" si="650"/>
        <v/>
      </c>
      <c r="AM1410" s="55"/>
      <c r="AN1410" s="56" t="str">
        <f t="shared" si="651"/>
        <v/>
      </c>
      <c r="AO1410" s="55"/>
      <c r="AP1410" s="56" t="str">
        <f t="shared" si="652"/>
        <v/>
      </c>
      <c r="AQ1410" s="55"/>
      <c r="AR1410" s="56" t="str">
        <f t="shared" si="653"/>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2019</v>
      </c>
      <c r="B1411" s="72" t="str">
        <f t="shared" si="637"/>
        <v>Nov</v>
      </c>
      <c r="C1411" s="73">
        <f t="shared" si="654"/>
        <v>24</v>
      </c>
      <c r="D1411" s="74">
        <f t="shared" si="638"/>
        <v>9</v>
      </c>
      <c r="E1411" s="75">
        <f t="shared" si="639"/>
        <v>46</v>
      </c>
      <c r="F1411" s="79"/>
      <c r="G1411" s="82"/>
      <c r="H1411" s="68" t="str">
        <f t="shared" si="655"/>
        <v>Lacine13_20191124_09_00</v>
      </c>
      <c r="I1411" s="69">
        <f t="shared" si="660"/>
        <v>1</v>
      </c>
      <c r="J1411" s="76" t="str">
        <f t="shared" si="660"/>
        <v>Lactuca</v>
      </c>
      <c r="K1411" s="76" t="str">
        <f t="shared" si="660"/>
        <v>inermis</v>
      </c>
      <c r="L1411" s="77">
        <f t="shared" si="660"/>
        <v>13</v>
      </c>
      <c r="M1411" s="77">
        <f t="shared" si="660"/>
        <v>0</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57"/>
        <v/>
      </c>
      <c r="AH1411" s="56" t="str">
        <f t="shared" si="648"/>
        <v/>
      </c>
      <c r="AI1411" s="55"/>
      <c r="AJ1411" s="56" t="str">
        <f t="shared" si="649"/>
        <v/>
      </c>
      <c r="AK1411" s="55"/>
      <c r="AL1411" s="56" t="str">
        <f t="shared" si="650"/>
        <v/>
      </c>
      <c r="AM1411" s="55"/>
      <c r="AN1411" s="56" t="str">
        <f t="shared" si="651"/>
        <v/>
      </c>
      <c r="AO1411" s="55"/>
      <c r="AP1411" s="56" t="str">
        <f t="shared" si="652"/>
        <v/>
      </c>
      <c r="AQ1411" s="55"/>
      <c r="AR1411" s="56" t="str">
        <f t="shared" si="653"/>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2019</v>
      </c>
      <c r="B1412" s="72" t="str">
        <f t="shared" ref="B1412:B1417" si="667">IF(C1411-C1412&gt;0, TEXT(DATE(2016,(MONTH(DATEVALUE(B1411&amp;"1"))+1),1),"mmm"), B1411)</f>
        <v>Nov</v>
      </c>
      <c r="C1412" s="73">
        <f t="shared" si="654"/>
        <v>24</v>
      </c>
      <c r="D1412" s="74">
        <f t="shared" ref="D1412:D1417" si="668">IF(IF(E1411=59,D1411+1,D1411)=24,0,IF(E1411=59,D1411+1,D1411))</f>
        <v>9</v>
      </c>
      <c r="E1412" s="75">
        <f t="shared" ref="E1412:E1417" si="669">IF(E1411&lt;59,E1411+1,0)</f>
        <v>47</v>
      </c>
      <c r="F1412" s="79"/>
      <c r="G1412" s="82"/>
      <c r="H1412" s="68" t="str">
        <f t="shared" si="655"/>
        <v>Lacine13_20191124_09_00</v>
      </c>
      <c r="I1412" s="69">
        <f t="shared" si="660"/>
        <v>1</v>
      </c>
      <c r="J1412" s="76" t="str">
        <f t="shared" si="660"/>
        <v>Lactuca</v>
      </c>
      <c r="K1412" s="76" t="str">
        <f t="shared" si="660"/>
        <v>inermis</v>
      </c>
      <c r="L1412" s="77">
        <f t="shared" si="660"/>
        <v>13</v>
      </c>
      <c r="M1412" s="77">
        <f t="shared" si="660"/>
        <v>0</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c r="X1412" s="52"/>
      <c r="Y1412" s="52"/>
      <c r="Z1412" s="52"/>
      <c r="AA1412" s="47"/>
      <c r="AB1412" s="47" t="str">
        <f t="shared" ref="AB1412:AB1442" si="674">IF(AA1412&lt;&gt;0,"NA","")</f>
        <v/>
      </c>
      <c r="AC1412" s="53" t="e">
        <f t="shared" ref="AC1412:AC1442" si="675">IF(SUM(AH1412,AJ1412,AL1412,AN1412,AP1412,AR1412)=S1412,,"")</f>
        <v>#VALUE!</v>
      </c>
      <c r="AD1412" s="54"/>
      <c r="AE1412" s="54"/>
      <c r="AF1412" s="54"/>
      <c r="AG1412" s="55"/>
      <c r="AH1412" s="56"/>
      <c r="AI1412" s="55"/>
      <c r="AJ1412" s="56" t="str">
        <f t="shared" ref="AJ1412:AJ1442" si="676">IF(AI1412=1,$S1412,"")</f>
        <v/>
      </c>
      <c r="AK1412" s="55"/>
      <c r="AL1412" s="56" t="str">
        <f t="shared" ref="AL1412:AL1442" si="677">IF(AK1412=1,$S1412,"")</f>
        <v/>
      </c>
      <c r="AM1412" s="55"/>
      <c r="AN1412" s="56" t="str">
        <f t="shared" ref="AN1412:AN1442" si="678">IF(AM1412=1,$S1412,"")</f>
        <v/>
      </c>
      <c r="AO1412" s="55"/>
      <c r="AP1412" s="56" t="str">
        <f t="shared" ref="AP1412:AP1442" si="679">IF(AO1412=1,$S1412,"")</f>
        <v/>
      </c>
      <c r="AQ1412" s="55"/>
      <c r="AR1412" s="56" t="str">
        <f t="shared" ref="AR1412:AR1442" si="680">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2019</v>
      </c>
      <c r="B1413" s="72" t="str">
        <f t="shared" si="667"/>
        <v>Nov</v>
      </c>
      <c r="C1413" s="73">
        <f t="shared" ref="C1413:C1442" si="681">IF(AND(D1413=0, E1413=0), IF(TEXT(C1412,"dd")=TEXT(EOMONTH(DATE(A1412,MONTH(DATEVALUE(B1412&amp;"1")),C1412),0), "dd"), 1, C1412+1), C1412)</f>
        <v>24</v>
      </c>
      <c r="D1413" s="74">
        <f t="shared" si="668"/>
        <v>9</v>
      </c>
      <c r="E1413" s="75">
        <f t="shared" si="669"/>
        <v>48</v>
      </c>
      <c r="F1413" s="79"/>
      <c r="G1413" s="82"/>
      <c r="H1413" s="68" t="str">
        <f t="shared" ref="H1413:H1442" si="682">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Lacine13_20191124_09_00</v>
      </c>
      <c r="I1413" s="69">
        <f t="shared" ref="I1413:N1428" si="683">I1412</f>
        <v>1</v>
      </c>
      <c r="J1413" s="76" t="str">
        <f t="shared" si="683"/>
        <v>Lactuca</v>
      </c>
      <c r="K1413" s="76" t="str">
        <f t="shared" si="683"/>
        <v>inermis</v>
      </c>
      <c r="L1413" s="77">
        <f t="shared" si="683"/>
        <v>13</v>
      </c>
      <c r="M1413" s="77">
        <f t="shared" si="683"/>
        <v>0</v>
      </c>
      <c r="N1413" s="71">
        <f t="shared" si="683"/>
        <v>0</v>
      </c>
      <c r="O1413" s="44"/>
      <c r="P1413" s="45" t="str">
        <f t="shared" si="670"/>
        <v/>
      </c>
      <c r="Q1413" s="46" t="str">
        <f t="shared" si="671"/>
        <v/>
      </c>
      <c r="R1413" s="47" t="e">
        <f t="shared" si="672"/>
        <v>#VALUE!</v>
      </c>
      <c r="S1413" s="48" t="e">
        <f t="shared" si="661"/>
        <v>#VALUE!</v>
      </c>
      <c r="T1413" s="47" t="str">
        <f t="shared" si="673"/>
        <v/>
      </c>
      <c r="U1413" s="49"/>
      <c r="V1413" s="50"/>
      <c r="W1413" s="51" t="e">
        <f t="shared" ref="W1413:W1442" si="684">IF(O1413=0,TEXT(TIME(T1413,U1413,V1413)-TIME(D1413,E1413,RIGHT(F1413,2))+TIME(0,LEFT(R1413,2),RIGHT(R1413,2)),"mm:ss"),TEXT(TIME(T1413,U1413,V1413)-TIME(D1413,E1413,RIGHT(F1413,2))+TIME(0,LEFT(R1413,2),RIGHT(R1413,2))-TIME(0,($G$10*O1413),0),"mm:ss"))</f>
        <v>#VALUE!</v>
      </c>
      <c r="X1413" s="52"/>
      <c r="Y1413" s="52"/>
      <c r="Z1413" s="52"/>
      <c r="AA1413" s="47" t="e">
        <f>INDEX(VISITORS[INSECT ORDER], MATCH(X1413,VISITORS[NAME USED],0))</f>
        <v>#N/A</v>
      </c>
      <c r="AB1413" s="47" t="e">
        <f t="shared" si="674"/>
        <v>#N/A</v>
      </c>
      <c r="AC1413" s="53" t="e">
        <f t="shared" si="675"/>
        <v>#VALUE!</v>
      </c>
      <c r="AD1413" s="54" t="str">
        <f t="shared" ref="AD1413:AD1442" si="685">IF(P1413=1,1,"")</f>
        <v/>
      </c>
      <c r="AE1413" s="54"/>
      <c r="AF1413" s="54"/>
      <c r="AG1413" s="55" t="str">
        <f t="shared" ref="AG1413:AG1442" si="686">IF(OR(X1413="Something small"),1,"")</f>
        <v/>
      </c>
      <c r="AH1413" s="56" t="str">
        <f t="shared" ref="AH1413:AH1442" si="687">IF(AG1413=1,$S1413,"")</f>
        <v/>
      </c>
      <c r="AI1413" s="55"/>
      <c r="AJ1413" s="56" t="str">
        <f t="shared" si="676"/>
        <v/>
      </c>
      <c r="AK1413" s="55"/>
      <c r="AL1413" s="56" t="str">
        <f t="shared" si="677"/>
        <v/>
      </c>
      <c r="AM1413" s="55"/>
      <c r="AN1413" s="56" t="str">
        <f t="shared" si="678"/>
        <v/>
      </c>
      <c r="AO1413" s="55"/>
      <c r="AP1413" s="56" t="str">
        <f t="shared" si="679"/>
        <v/>
      </c>
      <c r="AQ1413" s="55"/>
      <c r="AR1413" s="56" t="str">
        <f t="shared" si="680"/>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2019</v>
      </c>
      <c r="B1414" s="72" t="str">
        <f t="shared" si="667"/>
        <v>Nov</v>
      </c>
      <c r="C1414" s="73">
        <f t="shared" si="681"/>
        <v>24</v>
      </c>
      <c r="D1414" s="74">
        <f t="shared" si="668"/>
        <v>9</v>
      </c>
      <c r="E1414" s="75">
        <f t="shared" si="669"/>
        <v>49</v>
      </c>
      <c r="F1414" s="79"/>
      <c r="G1414" s="82"/>
      <c r="H1414" s="68" t="str">
        <f t="shared" si="682"/>
        <v>Lacine13_20191124_09_00</v>
      </c>
      <c r="I1414" s="69">
        <f t="shared" si="683"/>
        <v>1</v>
      </c>
      <c r="J1414" s="76" t="str">
        <f t="shared" si="683"/>
        <v>Lactuca</v>
      </c>
      <c r="K1414" s="76" t="str">
        <f t="shared" si="683"/>
        <v>inermis</v>
      </c>
      <c r="L1414" s="77">
        <f t="shared" si="683"/>
        <v>13</v>
      </c>
      <c r="M1414" s="77">
        <f t="shared" si="683"/>
        <v>0</v>
      </c>
      <c r="N1414" s="71">
        <f t="shared" si="683"/>
        <v>0</v>
      </c>
      <c r="O1414" s="44"/>
      <c r="P1414" s="45" t="str">
        <f t="shared" si="670"/>
        <v/>
      </c>
      <c r="Q1414" s="46" t="str">
        <f t="shared" si="671"/>
        <v/>
      </c>
      <c r="R1414" s="47" t="e">
        <f t="shared" si="672"/>
        <v>#VALUE!</v>
      </c>
      <c r="S1414" s="48" t="e">
        <f t="shared" si="661"/>
        <v>#VALUE!</v>
      </c>
      <c r="T1414" s="47" t="str">
        <f t="shared" si="673"/>
        <v/>
      </c>
      <c r="U1414" s="49"/>
      <c r="V1414" s="50"/>
      <c r="W1414" s="51" t="e">
        <f t="shared" si="684"/>
        <v>#VALUE!</v>
      </c>
      <c r="X1414" s="52"/>
      <c r="Y1414" s="52"/>
      <c r="Z1414" s="52"/>
      <c r="AA1414" s="47" t="e">
        <f>INDEX(VISITORS[INSECT ORDER], MATCH(X1414,VISITORS[NAME USED],0))</f>
        <v>#N/A</v>
      </c>
      <c r="AB1414" s="47" t="e">
        <f t="shared" si="674"/>
        <v>#N/A</v>
      </c>
      <c r="AC1414" s="53" t="e">
        <f t="shared" si="675"/>
        <v>#VALUE!</v>
      </c>
      <c r="AD1414" s="54" t="str">
        <f t="shared" si="685"/>
        <v/>
      </c>
      <c r="AE1414" s="54"/>
      <c r="AF1414" s="54"/>
      <c r="AG1414" s="55" t="str">
        <f t="shared" si="686"/>
        <v/>
      </c>
      <c r="AH1414" s="56" t="str">
        <f t="shared" si="687"/>
        <v/>
      </c>
      <c r="AI1414" s="55"/>
      <c r="AJ1414" s="56" t="str">
        <f t="shared" si="676"/>
        <v/>
      </c>
      <c r="AK1414" s="55"/>
      <c r="AL1414" s="56" t="str">
        <f t="shared" si="677"/>
        <v/>
      </c>
      <c r="AM1414" s="55"/>
      <c r="AN1414" s="56" t="str">
        <f t="shared" si="678"/>
        <v/>
      </c>
      <c r="AO1414" s="55"/>
      <c r="AP1414" s="56" t="str">
        <f t="shared" si="679"/>
        <v/>
      </c>
      <c r="AQ1414" s="55"/>
      <c r="AR1414" s="56" t="str">
        <f t="shared" si="680"/>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2019</v>
      </c>
      <c r="B1415" s="72" t="str">
        <f t="shared" si="667"/>
        <v>Nov</v>
      </c>
      <c r="C1415" s="73">
        <f t="shared" si="681"/>
        <v>24</v>
      </c>
      <c r="D1415" s="74">
        <f t="shared" si="668"/>
        <v>9</v>
      </c>
      <c r="E1415" s="75">
        <f t="shared" si="669"/>
        <v>50</v>
      </c>
      <c r="F1415" s="79"/>
      <c r="G1415" s="82"/>
      <c r="H1415" s="68" t="str">
        <f t="shared" si="682"/>
        <v>Lacine13_20191124_09_00</v>
      </c>
      <c r="I1415" s="69">
        <f t="shared" si="683"/>
        <v>1</v>
      </c>
      <c r="J1415" s="76" t="str">
        <f t="shared" si="683"/>
        <v>Lactuca</v>
      </c>
      <c r="K1415" s="76" t="str">
        <f t="shared" si="683"/>
        <v>inermis</v>
      </c>
      <c r="L1415" s="77">
        <f t="shared" si="683"/>
        <v>13</v>
      </c>
      <c r="M1415" s="77">
        <f t="shared" si="683"/>
        <v>0</v>
      </c>
      <c r="N1415" s="71">
        <f t="shared" si="683"/>
        <v>0</v>
      </c>
      <c r="O1415" s="44"/>
      <c r="P1415" s="45" t="str">
        <f t="shared" si="670"/>
        <v/>
      </c>
      <c r="Q1415" s="46" t="str">
        <f t="shared" si="671"/>
        <v/>
      </c>
      <c r="R1415" s="47" t="e">
        <f t="shared" si="672"/>
        <v>#VALUE!</v>
      </c>
      <c r="S1415" s="48" t="e">
        <f t="shared" si="661"/>
        <v>#VALUE!</v>
      </c>
      <c r="T1415" s="47" t="str">
        <f t="shared" si="673"/>
        <v/>
      </c>
      <c r="U1415" s="49"/>
      <c r="V1415" s="50"/>
      <c r="W1415" s="51" t="e">
        <f t="shared" si="684"/>
        <v>#VALUE!</v>
      </c>
      <c r="X1415" s="52"/>
      <c r="Y1415" s="52"/>
      <c r="Z1415" s="52"/>
      <c r="AA1415" s="47" t="e">
        <f>INDEX(VISITORS[INSECT ORDER], MATCH(X1415,VISITORS[NAME USED],0))</f>
        <v>#N/A</v>
      </c>
      <c r="AB1415" s="47" t="e">
        <f t="shared" si="674"/>
        <v>#N/A</v>
      </c>
      <c r="AC1415" s="53" t="e">
        <f t="shared" si="675"/>
        <v>#VALUE!</v>
      </c>
      <c r="AD1415" s="54" t="str">
        <f t="shared" si="685"/>
        <v/>
      </c>
      <c r="AE1415" s="54"/>
      <c r="AF1415" s="54"/>
      <c r="AG1415" s="55" t="str">
        <f t="shared" si="686"/>
        <v/>
      </c>
      <c r="AH1415" s="56" t="str">
        <f t="shared" si="687"/>
        <v/>
      </c>
      <c r="AI1415" s="55"/>
      <c r="AJ1415" s="56" t="str">
        <f t="shared" si="676"/>
        <v/>
      </c>
      <c r="AK1415" s="55"/>
      <c r="AL1415" s="56" t="str">
        <f t="shared" si="677"/>
        <v/>
      </c>
      <c r="AM1415" s="55"/>
      <c r="AN1415" s="56" t="str">
        <f t="shared" si="678"/>
        <v/>
      </c>
      <c r="AO1415" s="55"/>
      <c r="AP1415" s="56" t="str">
        <f t="shared" si="679"/>
        <v/>
      </c>
      <c r="AQ1415" s="55"/>
      <c r="AR1415" s="56" t="str">
        <f t="shared" si="680"/>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2019</v>
      </c>
      <c r="B1416" s="72" t="str">
        <f t="shared" si="667"/>
        <v>Nov</v>
      </c>
      <c r="C1416" s="73">
        <f t="shared" si="681"/>
        <v>24</v>
      </c>
      <c r="D1416" s="74">
        <f t="shared" si="668"/>
        <v>9</v>
      </c>
      <c r="E1416" s="75">
        <f t="shared" si="669"/>
        <v>51</v>
      </c>
      <c r="F1416" s="79"/>
      <c r="G1416" s="82"/>
      <c r="H1416" s="68" t="str">
        <f t="shared" si="682"/>
        <v>Lacine13_20191124_09_00</v>
      </c>
      <c r="I1416" s="69">
        <f t="shared" si="683"/>
        <v>1</v>
      </c>
      <c r="J1416" s="76" t="str">
        <f t="shared" si="683"/>
        <v>Lactuca</v>
      </c>
      <c r="K1416" s="76" t="str">
        <f t="shared" si="683"/>
        <v>inermis</v>
      </c>
      <c r="L1416" s="77">
        <f t="shared" si="683"/>
        <v>13</v>
      </c>
      <c r="M1416" s="77">
        <f t="shared" si="683"/>
        <v>0</v>
      </c>
      <c r="N1416" s="71">
        <f t="shared" si="683"/>
        <v>0</v>
      </c>
      <c r="O1416" s="44"/>
      <c r="P1416" s="45" t="str">
        <f t="shared" si="670"/>
        <v/>
      </c>
      <c r="Q1416" s="46" t="str">
        <f t="shared" si="671"/>
        <v/>
      </c>
      <c r="R1416" s="47" t="e">
        <f t="shared" si="672"/>
        <v>#VALUE!</v>
      </c>
      <c r="S1416" s="48" t="e">
        <f t="shared" si="661"/>
        <v>#VALUE!</v>
      </c>
      <c r="T1416" s="47" t="str">
        <f t="shared" si="673"/>
        <v/>
      </c>
      <c r="U1416" s="49"/>
      <c r="V1416" s="50"/>
      <c r="W1416" s="51" t="e">
        <f t="shared" si="684"/>
        <v>#VALUE!</v>
      </c>
      <c r="X1416" s="52"/>
      <c r="Y1416" s="52"/>
      <c r="Z1416" s="52"/>
      <c r="AA1416" s="47" t="e">
        <f>INDEX(VISITORS[INSECT ORDER], MATCH(X1416,VISITORS[NAME USED],0))</f>
        <v>#N/A</v>
      </c>
      <c r="AB1416" s="47" t="e">
        <f t="shared" si="674"/>
        <v>#N/A</v>
      </c>
      <c r="AC1416" s="53" t="e">
        <f t="shared" si="675"/>
        <v>#VALUE!</v>
      </c>
      <c r="AD1416" s="54" t="str">
        <f t="shared" si="685"/>
        <v/>
      </c>
      <c r="AE1416" s="54"/>
      <c r="AF1416" s="54"/>
      <c r="AG1416" s="55" t="str">
        <f t="shared" si="686"/>
        <v/>
      </c>
      <c r="AH1416" s="56" t="str">
        <f t="shared" si="687"/>
        <v/>
      </c>
      <c r="AI1416" s="55"/>
      <c r="AJ1416" s="56" t="str">
        <f t="shared" si="676"/>
        <v/>
      </c>
      <c r="AK1416" s="55"/>
      <c r="AL1416" s="56" t="str">
        <f t="shared" si="677"/>
        <v/>
      </c>
      <c r="AM1416" s="55"/>
      <c r="AN1416" s="56" t="str">
        <f t="shared" si="678"/>
        <v/>
      </c>
      <c r="AO1416" s="55"/>
      <c r="AP1416" s="56" t="str">
        <f t="shared" si="679"/>
        <v/>
      </c>
      <c r="AQ1416" s="55"/>
      <c r="AR1416" s="56" t="str">
        <f t="shared" si="680"/>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2019</v>
      </c>
      <c r="B1417" s="72" t="str">
        <f t="shared" si="667"/>
        <v>Nov</v>
      </c>
      <c r="C1417" s="73">
        <f t="shared" si="681"/>
        <v>24</v>
      </c>
      <c r="D1417" s="74">
        <f t="shared" si="668"/>
        <v>9</v>
      </c>
      <c r="E1417" s="75">
        <f t="shared" si="669"/>
        <v>52</v>
      </c>
      <c r="F1417" s="79"/>
      <c r="G1417" s="82"/>
      <c r="H1417" s="68" t="str">
        <f t="shared" si="682"/>
        <v>Lacine13_20191124_09_00</v>
      </c>
      <c r="I1417" s="69">
        <f t="shared" si="683"/>
        <v>1</v>
      </c>
      <c r="J1417" s="76" t="str">
        <f t="shared" si="683"/>
        <v>Lactuca</v>
      </c>
      <c r="K1417" s="76" t="str">
        <f t="shared" si="683"/>
        <v>inermis</v>
      </c>
      <c r="L1417" s="77">
        <f t="shared" si="683"/>
        <v>13</v>
      </c>
      <c r="M1417" s="77">
        <f t="shared" si="683"/>
        <v>0</v>
      </c>
      <c r="N1417" s="71">
        <f t="shared" si="683"/>
        <v>0</v>
      </c>
      <c r="O1417" s="44"/>
      <c r="P1417" s="45" t="str">
        <f t="shared" si="670"/>
        <v/>
      </c>
      <c r="Q1417" s="46" t="str">
        <f t="shared" si="671"/>
        <v/>
      </c>
      <c r="R1417" s="47" t="e">
        <f t="shared" si="672"/>
        <v>#VALUE!</v>
      </c>
      <c r="S1417" s="48" t="e">
        <f t="shared" si="661"/>
        <v>#VALUE!</v>
      </c>
      <c r="T1417" s="47" t="str">
        <f t="shared" si="673"/>
        <v/>
      </c>
      <c r="U1417" s="49"/>
      <c r="V1417" s="50"/>
      <c r="W1417" s="51" t="e">
        <f t="shared" si="684"/>
        <v>#VALUE!</v>
      </c>
      <c r="X1417" s="52"/>
      <c r="Y1417" s="52"/>
      <c r="Z1417" s="52"/>
      <c r="AA1417" s="47" t="e">
        <f>INDEX(VISITORS[INSECT ORDER], MATCH(X1417,VISITORS[NAME USED],0))</f>
        <v>#N/A</v>
      </c>
      <c r="AB1417" s="47" t="e">
        <f t="shared" si="674"/>
        <v>#N/A</v>
      </c>
      <c r="AC1417" s="53" t="e">
        <f t="shared" si="675"/>
        <v>#VALUE!</v>
      </c>
      <c r="AD1417" s="54" t="str">
        <f t="shared" si="685"/>
        <v/>
      </c>
      <c r="AE1417" s="54"/>
      <c r="AF1417" s="54"/>
      <c r="AG1417" s="55" t="str">
        <f t="shared" si="686"/>
        <v/>
      </c>
      <c r="AH1417" s="56" t="str">
        <f t="shared" si="687"/>
        <v/>
      </c>
      <c r="AI1417" s="55"/>
      <c r="AJ1417" s="56" t="str">
        <f t="shared" si="676"/>
        <v/>
      </c>
      <c r="AK1417" s="55"/>
      <c r="AL1417" s="56" t="str">
        <f t="shared" si="677"/>
        <v/>
      </c>
      <c r="AM1417" s="55"/>
      <c r="AN1417" s="56" t="str">
        <f t="shared" si="678"/>
        <v/>
      </c>
      <c r="AO1417" s="55"/>
      <c r="AP1417" s="56" t="str">
        <f t="shared" si="679"/>
        <v/>
      </c>
      <c r="AQ1417" s="55"/>
      <c r="AR1417" s="56" t="str">
        <f t="shared" si="680"/>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2019</v>
      </c>
      <c r="B1418" s="72" t="str">
        <f>IF(C1417-C1418&gt;0, TEXT(DATE(2016,(MONTH(DATEVALUE(B1417&amp;"1"))+1),1),"mmm"), B1417)</f>
        <v>Nov</v>
      </c>
      <c r="C1418" s="73">
        <f t="shared" si="681"/>
        <v>24</v>
      </c>
      <c r="D1418" s="74">
        <f>IF(IF(E1417=59,D1417+1,D1417)=24,0,IF(E1417=59,D1417+1,D1417))</f>
        <v>9</v>
      </c>
      <c r="E1418" s="75">
        <f>IF(E1417&lt;59,E1417+1,0)</f>
        <v>53</v>
      </c>
      <c r="F1418" s="79"/>
      <c r="G1418" s="82"/>
      <c r="H1418" s="68" t="str">
        <f t="shared" si="682"/>
        <v>Lacine13_20191124_09_00</v>
      </c>
      <c r="I1418" s="69">
        <f t="shared" si="683"/>
        <v>1</v>
      </c>
      <c r="J1418" s="76" t="str">
        <f>J1417</f>
        <v>Lactuca</v>
      </c>
      <c r="K1418" s="76" t="str">
        <f>K1417</f>
        <v>inermis</v>
      </c>
      <c r="L1418" s="77">
        <f>L1417</f>
        <v>13</v>
      </c>
      <c r="M1418" s="77">
        <f t="shared" si="683"/>
        <v>0</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84"/>
        <v>#VALUE!</v>
      </c>
      <c r="X1418" s="52"/>
      <c r="Y1418" s="52"/>
      <c r="Z1418" s="52"/>
      <c r="AA1418" s="47" t="e">
        <f>INDEX(VISITORS[INSECT ORDER], MATCH(X1418,VISITORS[NAME USED],0))</f>
        <v>#N/A</v>
      </c>
      <c r="AB1418" s="47" t="e">
        <f t="shared" si="674"/>
        <v>#N/A</v>
      </c>
      <c r="AC1418" s="53" t="e">
        <f t="shared" si="675"/>
        <v>#VALUE!</v>
      </c>
      <c r="AD1418" s="54" t="str">
        <f t="shared" si="685"/>
        <v/>
      </c>
      <c r="AE1418" s="54"/>
      <c r="AF1418" s="54"/>
      <c r="AG1418" s="55" t="str">
        <f t="shared" si="686"/>
        <v/>
      </c>
      <c r="AH1418" s="56" t="str">
        <f t="shared" si="687"/>
        <v/>
      </c>
      <c r="AI1418" s="55"/>
      <c r="AJ1418" s="56" t="str">
        <f t="shared" si="676"/>
        <v/>
      </c>
      <c r="AK1418" s="55"/>
      <c r="AL1418" s="56" t="str">
        <f t="shared" si="677"/>
        <v/>
      </c>
      <c r="AM1418" s="55"/>
      <c r="AN1418" s="56" t="str">
        <f t="shared" si="678"/>
        <v/>
      </c>
      <c r="AO1418" s="55"/>
      <c r="AP1418" s="56" t="str">
        <f t="shared" si="679"/>
        <v/>
      </c>
      <c r="AQ1418" s="55"/>
      <c r="AR1418" s="56" t="str">
        <f t="shared" si="680"/>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2019</v>
      </c>
      <c r="B1419" s="72" t="str">
        <f t="shared" ref="B1419:B1424" si="689">IF(C1418-C1419&gt;0, TEXT(DATE(2016,(MONTH(DATEVALUE(B1418&amp;"1"))+1),1),"mmm"), B1418)</f>
        <v>Nov</v>
      </c>
      <c r="C1419" s="73">
        <f t="shared" si="681"/>
        <v>24</v>
      </c>
      <c r="D1419" s="74">
        <f t="shared" ref="D1419:D1424" si="690">IF(IF(E1418=59,D1418+1,D1418)=24,0,IF(E1418=59,D1418+1,D1418))</f>
        <v>9</v>
      </c>
      <c r="E1419" s="75">
        <f t="shared" ref="E1419:E1424" si="691">IF(E1418&lt;59,E1418+1,0)</f>
        <v>54</v>
      </c>
      <c r="F1419" s="79"/>
      <c r="G1419" s="82"/>
      <c r="H1419" s="68" t="str">
        <f t="shared" si="682"/>
        <v>Lacine13_20191124_09_00</v>
      </c>
      <c r="I1419" s="69">
        <f t="shared" si="683"/>
        <v>1</v>
      </c>
      <c r="J1419" s="76" t="str">
        <f t="shared" si="683"/>
        <v>Lactuca</v>
      </c>
      <c r="K1419" s="76" t="str">
        <f t="shared" si="683"/>
        <v>inermis</v>
      </c>
      <c r="L1419" s="77">
        <f t="shared" si="683"/>
        <v>13</v>
      </c>
      <c r="M1419" s="77">
        <f t="shared" si="683"/>
        <v>0</v>
      </c>
      <c r="N1419" s="71">
        <f t="shared" si="683"/>
        <v>0</v>
      </c>
      <c r="O1419" s="44"/>
      <c r="P1419" s="45" t="str">
        <f t="shared" si="670"/>
        <v/>
      </c>
      <c r="Q1419" s="46" t="str">
        <f t="shared" si="671"/>
        <v/>
      </c>
      <c r="R1419" s="47" t="e">
        <f t="shared" si="672"/>
        <v>#VALUE!</v>
      </c>
      <c r="S1419" s="48" t="e">
        <f t="shared" si="661"/>
        <v>#VALUE!</v>
      </c>
      <c r="T1419" s="47" t="str">
        <f t="shared" si="673"/>
        <v/>
      </c>
      <c r="U1419" s="49"/>
      <c r="V1419" s="50"/>
      <c r="W1419" s="51" t="e">
        <f t="shared" si="684"/>
        <v>#VALUE!</v>
      </c>
      <c r="X1419" s="52"/>
      <c r="Y1419" s="52"/>
      <c r="Z1419" s="52"/>
      <c r="AA1419" s="47" t="e">
        <f>INDEX(VISITORS[INSECT ORDER], MATCH(X1419,VISITORS[NAME USED],0))</f>
        <v>#N/A</v>
      </c>
      <c r="AB1419" s="47" t="e">
        <f t="shared" si="674"/>
        <v>#N/A</v>
      </c>
      <c r="AC1419" s="53" t="e">
        <f t="shared" si="675"/>
        <v>#VALUE!</v>
      </c>
      <c r="AD1419" s="54" t="str">
        <f t="shared" si="685"/>
        <v/>
      </c>
      <c r="AE1419" s="54"/>
      <c r="AF1419" s="54"/>
      <c r="AG1419" s="55" t="str">
        <f t="shared" si="686"/>
        <v/>
      </c>
      <c r="AH1419" s="56" t="str">
        <f t="shared" si="687"/>
        <v/>
      </c>
      <c r="AI1419" s="55"/>
      <c r="AJ1419" s="56" t="str">
        <f t="shared" si="676"/>
        <v/>
      </c>
      <c r="AK1419" s="55"/>
      <c r="AL1419" s="56" t="str">
        <f t="shared" si="677"/>
        <v/>
      </c>
      <c r="AM1419" s="55"/>
      <c r="AN1419" s="56" t="str">
        <f t="shared" si="678"/>
        <v/>
      </c>
      <c r="AO1419" s="55"/>
      <c r="AP1419" s="56" t="str">
        <f t="shared" si="679"/>
        <v/>
      </c>
      <c r="AQ1419" s="55"/>
      <c r="AR1419" s="56" t="str">
        <f t="shared" si="680"/>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2019</v>
      </c>
      <c r="B1420" s="72" t="str">
        <f t="shared" si="689"/>
        <v>Nov</v>
      </c>
      <c r="C1420" s="73">
        <f t="shared" si="681"/>
        <v>24</v>
      </c>
      <c r="D1420" s="74">
        <f t="shared" si="690"/>
        <v>9</v>
      </c>
      <c r="E1420" s="75">
        <f t="shared" si="691"/>
        <v>55</v>
      </c>
      <c r="F1420" s="79"/>
      <c r="G1420" s="82"/>
      <c r="H1420" s="68" t="str">
        <f t="shared" si="682"/>
        <v>Lacine13_20191124_09_00</v>
      </c>
      <c r="I1420" s="69">
        <f t="shared" si="683"/>
        <v>1</v>
      </c>
      <c r="J1420" s="76" t="str">
        <f t="shared" si="683"/>
        <v>Lactuca</v>
      </c>
      <c r="K1420" s="76" t="str">
        <f t="shared" si="683"/>
        <v>inermis</v>
      </c>
      <c r="L1420" s="77">
        <f t="shared" si="683"/>
        <v>13</v>
      </c>
      <c r="M1420" s="77">
        <f t="shared" si="683"/>
        <v>0</v>
      </c>
      <c r="N1420" s="71">
        <f t="shared" si="683"/>
        <v>0</v>
      </c>
      <c r="O1420" s="44"/>
      <c r="P1420" s="45" t="str">
        <f t="shared" si="670"/>
        <v/>
      </c>
      <c r="Q1420" s="46" t="str">
        <f t="shared" si="671"/>
        <v/>
      </c>
      <c r="R1420" s="47" t="e">
        <f t="shared" si="672"/>
        <v>#VALUE!</v>
      </c>
      <c r="S1420" s="48" t="e">
        <f t="shared" si="661"/>
        <v>#VALUE!</v>
      </c>
      <c r="T1420" s="47" t="str">
        <f t="shared" si="673"/>
        <v/>
      </c>
      <c r="U1420" s="49"/>
      <c r="V1420" s="50"/>
      <c r="W1420" s="51"/>
      <c r="X1420" s="52"/>
      <c r="Y1420" s="52"/>
      <c r="Z1420" s="52"/>
      <c r="AA1420" s="47"/>
      <c r="AB1420" s="47" t="str">
        <f t="shared" si="674"/>
        <v/>
      </c>
      <c r="AC1420" s="53" t="e">
        <f t="shared" si="675"/>
        <v>#VALUE!</v>
      </c>
      <c r="AD1420" s="54"/>
      <c r="AE1420" s="54"/>
      <c r="AF1420" s="54"/>
      <c r="AG1420" s="55"/>
      <c r="AH1420" s="56"/>
      <c r="AI1420" s="55"/>
      <c r="AJ1420" s="56" t="str">
        <f t="shared" si="676"/>
        <v/>
      </c>
      <c r="AK1420" s="55"/>
      <c r="AL1420" s="56" t="str">
        <f t="shared" si="677"/>
        <v/>
      </c>
      <c r="AM1420" s="55"/>
      <c r="AN1420" s="56" t="str">
        <f t="shared" si="678"/>
        <v/>
      </c>
      <c r="AO1420" s="55"/>
      <c r="AP1420" s="56" t="str">
        <f t="shared" si="679"/>
        <v/>
      </c>
      <c r="AQ1420" s="55"/>
      <c r="AR1420" s="56" t="str">
        <f t="shared" si="680"/>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2019</v>
      </c>
      <c r="B1421" s="72" t="str">
        <f t="shared" si="689"/>
        <v>Nov</v>
      </c>
      <c r="C1421" s="73">
        <f t="shared" si="681"/>
        <v>24</v>
      </c>
      <c r="D1421" s="74">
        <f t="shared" si="690"/>
        <v>9</v>
      </c>
      <c r="E1421" s="75">
        <f t="shared" si="691"/>
        <v>56</v>
      </c>
      <c r="F1421" s="79"/>
      <c r="G1421" s="82"/>
      <c r="H1421" s="68" t="str">
        <f t="shared" si="682"/>
        <v>Lacine13_20191124_09_00</v>
      </c>
      <c r="I1421" s="69">
        <f t="shared" si="683"/>
        <v>1</v>
      </c>
      <c r="J1421" s="76" t="str">
        <f t="shared" si="683"/>
        <v>Lactuca</v>
      </c>
      <c r="K1421" s="76" t="str">
        <f t="shared" si="683"/>
        <v>inermis</v>
      </c>
      <c r="L1421" s="77">
        <f t="shared" si="683"/>
        <v>13</v>
      </c>
      <c r="M1421" s="77">
        <f t="shared" si="683"/>
        <v>0</v>
      </c>
      <c r="N1421" s="71">
        <f t="shared" si="683"/>
        <v>0</v>
      </c>
      <c r="O1421" s="44"/>
      <c r="P1421" s="45" t="str">
        <f t="shared" si="670"/>
        <v/>
      </c>
      <c r="Q1421" s="46" t="str">
        <f t="shared" si="671"/>
        <v/>
      </c>
      <c r="R1421" s="47" t="e">
        <f t="shared" si="672"/>
        <v>#VALUE!</v>
      </c>
      <c r="S1421" s="48" t="e">
        <f t="shared" si="661"/>
        <v>#VALUE!</v>
      </c>
      <c r="T1421" s="47" t="str">
        <f t="shared" si="673"/>
        <v/>
      </c>
      <c r="U1421" s="49"/>
      <c r="V1421" s="50"/>
      <c r="W1421" s="51"/>
      <c r="X1421" s="52"/>
      <c r="Y1421" s="52"/>
      <c r="Z1421" s="52"/>
      <c r="AA1421" s="47"/>
      <c r="AB1421" s="47" t="str">
        <f t="shared" si="674"/>
        <v/>
      </c>
      <c r="AC1421" s="53" t="e">
        <f t="shared" si="675"/>
        <v>#VALUE!</v>
      </c>
      <c r="AD1421" s="54"/>
      <c r="AE1421" s="54"/>
      <c r="AF1421" s="54"/>
      <c r="AG1421" s="55"/>
      <c r="AH1421" s="56"/>
      <c r="AI1421" s="55"/>
      <c r="AJ1421" s="56" t="str">
        <f t="shared" si="676"/>
        <v/>
      </c>
      <c r="AK1421" s="55"/>
      <c r="AL1421" s="56" t="str">
        <f t="shared" si="677"/>
        <v/>
      </c>
      <c r="AM1421" s="55"/>
      <c r="AN1421" s="56" t="str">
        <f t="shared" si="678"/>
        <v/>
      </c>
      <c r="AO1421" s="55"/>
      <c r="AP1421" s="56" t="str">
        <f t="shared" si="679"/>
        <v/>
      </c>
      <c r="AQ1421" s="55"/>
      <c r="AR1421" s="56" t="str">
        <f t="shared" si="680"/>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2019</v>
      </c>
      <c r="B1422" s="72" t="str">
        <f t="shared" si="689"/>
        <v>Nov</v>
      </c>
      <c r="C1422" s="73">
        <f t="shared" si="681"/>
        <v>24</v>
      </c>
      <c r="D1422" s="74">
        <f t="shared" si="690"/>
        <v>9</v>
      </c>
      <c r="E1422" s="75">
        <f t="shared" si="691"/>
        <v>57</v>
      </c>
      <c r="F1422" s="79"/>
      <c r="G1422" s="82"/>
      <c r="H1422" s="68" t="str">
        <f t="shared" si="682"/>
        <v>Lacine13_20191124_09_00</v>
      </c>
      <c r="I1422" s="69">
        <f t="shared" si="683"/>
        <v>1</v>
      </c>
      <c r="J1422" s="76" t="str">
        <f t="shared" si="683"/>
        <v>Lactuca</v>
      </c>
      <c r="K1422" s="76" t="str">
        <f t="shared" si="683"/>
        <v>inermis</v>
      </c>
      <c r="L1422" s="77">
        <f t="shared" si="683"/>
        <v>13</v>
      </c>
      <c r="M1422" s="77">
        <f t="shared" si="683"/>
        <v>0</v>
      </c>
      <c r="N1422" s="71">
        <f t="shared" si="683"/>
        <v>0</v>
      </c>
      <c r="O1422" s="44"/>
      <c r="P1422" s="45" t="str">
        <f t="shared" si="670"/>
        <v/>
      </c>
      <c r="Q1422" s="46" t="str">
        <f t="shared" si="671"/>
        <v/>
      </c>
      <c r="R1422" s="47" t="e">
        <f t="shared" si="672"/>
        <v>#VALUE!</v>
      </c>
      <c r="S1422" s="48" t="e">
        <f t="shared" si="661"/>
        <v>#VALUE!</v>
      </c>
      <c r="T1422" s="47" t="str">
        <f t="shared" si="673"/>
        <v/>
      </c>
      <c r="U1422" s="49"/>
      <c r="V1422" s="50"/>
      <c r="W1422" s="51"/>
      <c r="X1422" s="52"/>
      <c r="Y1422" s="52"/>
      <c r="Z1422" s="52"/>
      <c r="AA1422" s="47"/>
      <c r="AB1422" s="47" t="str">
        <f t="shared" si="674"/>
        <v/>
      </c>
      <c r="AC1422" s="53" t="e">
        <f t="shared" si="675"/>
        <v>#VALUE!</v>
      </c>
      <c r="AD1422" s="54"/>
      <c r="AE1422" s="54"/>
      <c r="AF1422" s="54"/>
      <c r="AG1422" s="55"/>
      <c r="AH1422" s="56"/>
      <c r="AI1422" s="55"/>
      <c r="AJ1422" s="56" t="str">
        <f t="shared" si="676"/>
        <v/>
      </c>
      <c r="AK1422" s="55"/>
      <c r="AL1422" s="56" t="str">
        <f t="shared" si="677"/>
        <v/>
      </c>
      <c r="AM1422" s="55"/>
      <c r="AN1422" s="56" t="str">
        <f t="shared" si="678"/>
        <v/>
      </c>
      <c r="AO1422" s="55"/>
      <c r="AP1422" s="56" t="str">
        <f t="shared" si="679"/>
        <v/>
      </c>
      <c r="AQ1422" s="55"/>
      <c r="AR1422" s="56" t="str">
        <f t="shared" si="680"/>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2019</v>
      </c>
      <c r="B1423" s="72" t="str">
        <f t="shared" si="689"/>
        <v>Nov</v>
      </c>
      <c r="C1423" s="73">
        <f t="shared" si="681"/>
        <v>24</v>
      </c>
      <c r="D1423" s="74">
        <f t="shared" si="690"/>
        <v>9</v>
      </c>
      <c r="E1423" s="75">
        <f t="shared" si="691"/>
        <v>58</v>
      </c>
      <c r="F1423" s="79"/>
      <c r="G1423" s="82"/>
      <c r="H1423" s="68" t="str">
        <f t="shared" si="682"/>
        <v>Lacine13_20191124_09_00</v>
      </c>
      <c r="I1423" s="69">
        <f t="shared" si="683"/>
        <v>1</v>
      </c>
      <c r="J1423" s="76" t="str">
        <f t="shared" si="683"/>
        <v>Lactuca</v>
      </c>
      <c r="K1423" s="76" t="str">
        <f t="shared" si="683"/>
        <v>inermis</v>
      </c>
      <c r="L1423" s="77">
        <f t="shared" si="683"/>
        <v>13</v>
      </c>
      <c r="M1423" s="77">
        <f t="shared" si="683"/>
        <v>0</v>
      </c>
      <c r="N1423" s="71">
        <f t="shared" si="683"/>
        <v>0</v>
      </c>
      <c r="O1423" s="44"/>
      <c r="P1423" s="45" t="str">
        <f t="shared" si="670"/>
        <v/>
      </c>
      <c r="Q1423" s="46" t="str">
        <f t="shared" si="671"/>
        <v/>
      </c>
      <c r="R1423" s="47" t="e">
        <f t="shared" si="672"/>
        <v>#VALUE!</v>
      </c>
      <c r="S1423" s="48" t="e">
        <f t="shared" si="661"/>
        <v>#VALUE!</v>
      </c>
      <c r="T1423" s="47" t="str">
        <f t="shared" si="673"/>
        <v/>
      </c>
      <c r="U1423" s="49"/>
      <c r="V1423" s="50"/>
      <c r="W1423" s="51"/>
      <c r="X1423" s="52"/>
      <c r="Y1423" s="52"/>
      <c r="Z1423" s="52"/>
      <c r="AA1423" s="47"/>
      <c r="AB1423" s="47" t="str">
        <f t="shared" si="674"/>
        <v/>
      </c>
      <c r="AC1423" s="53" t="e">
        <f t="shared" si="675"/>
        <v>#VALUE!</v>
      </c>
      <c r="AD1423" s="54"/>
      <c r="AE1423" s="54"/>
      <c r="AF1423" s="54"/>
      <c r="AG1423" s="55"/>
      <c r="AH1423" s="56"/>
      <c r="AI1423" s="55"/>
      <c r="AJ1423" s="56" t="str">
        <f t="shared" si="676"/>
        <v/>
      </c>
      <c r="AK1423" s="55"/>
      <c r="AL1423" s="56" t="str">
        <f t="shared" si="677"/>
        <v/>
      </c>
      <c r="AM1423" s="55"/>
      <c r="AN1423" s="56" t="str">
        <f t="shared" si="678"/>
        <v/>
      </c>
      <c r="AO1423" s="55"/>
      <c r="AP1423" s="56" t="str">
        <f t="shared" si="679"/>
        <v/>
      </c>
      <c r="AQ1423" s="55"/>
      <c r="AR1423" s="56" t="str">
        <f t="shared" si="680"/>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2019</v>
      </c>
      <c r="B1424" s="72" t="str">
        <f t="shared" si="689"/>
        <v>Nov</v>
      </c>
      <c r="C1424" s="73">
        <f t="shared" si="681"/>
        <v>24</v>
      </c>
      <c r="D1424" s="74">
        <f t="shared" si="690"/>
        <v>9</v>
      </c>
      <c r="E1424" s="75">
        <f t="shared" si="691"/>
        <v>59</v>
      </c>
      <c r="F1424" s="79"/>
      <c r="G1424" s="82"/>
      <c r="H1424" s="68" t="str">
        <f t="shared" si="682"/>
        <v>Lacine13_20191124_09_00</v>
      </c>
      <c r="I1424" s="69">
        <f t="shared" si="683"/>
        <v>1</v>
      </c>
      <c r="J1424" s="76" t="str">
        <f t="shared" si="683"/>
        <v>Lactuca</v>
      </c>
      <c r="K1424" s="76" t="str">
        <f t="shared" si="683"/>
        <v>inermis</v>
      </c>
      <c r="L1424" s="77">
        <f t="shared" si="683"/>
        <v>13</v>
      </c>
      <c r="M1424" s="77">
        <f t="shared" si="683"/>
        <v>0</v>
      </c>
      <c r="N1424" s="71">
        <f t="shared" si="683"/>
        <v>0</v>
      </c>
      <c r="O1424" s="44"/>
      <c r="P1424" s="45" t="str">
        <f t="shared" si="670"/>
        <v/>
      </c>
      <c r="Q1424" s="46" t="str">
        <f t="shared" si="671"/>
        <v/>
      </c>
      <c r="R1424" s="47" t="e">
        <f t="shared" si="672"/>
        <v>#VALUE!</v>
      </c>
      <c r="S1424" s="48" t="e">
        <f t="shared" si="661"/>
        <v>#VALUE!</v>
      </c>
      <c r="T1424" s="47" t="str">
        <f t="shared" si="673"/>
        <v/>
      </c>
      <c r="U1424" s="49"/>
      <c r="V1424" s="50"/>
      <c r="W1424" s="51"/>
      <c r="X1424" s="52"/>
      <c r="Y1424" s="52"/>
      <c r="Z1424" s="52"/>
      <c r="AA1424" s="47"/>
      <c r="AB1424" s="47" t="str">
        <f t="shared" si="674"/>
        <v/>
      </c>
      <c r="AC1424" s="53" t="e">
        <f t="shared" si="675"/>
        <v>#VALUE!</v>
      </c>
      <c r="AD1424" s="54"/>
      <c r="AE1424" s="54"/>
      <c r="AF1424" s="54"/>
      <c r="AG1424" s="55"/>
      <c r="AH1424" s="56"/>
      <c r="AI1424" s="55"/>
      <c r="AJ1424" s="56" t="str">
        <f t="shared" si="676"/>
        <v/>
      </c>
      <c r="AK1424" s="55"/>
      <c r="AL1424" s="56" t="str">
        <f t="shared" si="677"/>
        <v/>
      </c>
      <c r="AM1424" s="55"/>
      <c r="AN1424" s="56" t="str">
        <f t="shared" si="678"/>
        <v/>
      </c>
      <c r="AO1424" s="55"/>
      <c r="AP1424" s="56" t="str">
        <f t="shared" si="679"/>
        <v/>
      </c>
      <c r="AQ1424" s="55"/>
      <c r="AR1424" s="56" t="str">
        <f t="shared" si="680"/>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2019</v>
      </c>
      <c r="B1425" s="72" t="str">
        <f>IF(C1424-C1425&gt;0, TEXT(DATE(2016,(MONTH(DATEVALUE(B1424&amp;"1"))+1),1),"mmm"), B1424)</f>
        <v>Nov</v>
      </c>
      <c r="C1425" s="73">
        <f t="shared" si="681"/>
        <v>24</v>
      </c>
      <c r="D1425" s="74">
        <f>IF(IF(E1424=59,D1424+1,D1424)=24,0,IF(E1424=59,D1424+1,D1424))</f>
        <v>10</v>
      </c>
      <c r="E1425" s="75">
        <f>IF(E1424&lt;59,E1424+1,0)</f>
        <v>0</v>
      </c>
      <c r="F1425" s="79"/>
      <c r="G1425" s="82"/>
      <c r="H1425" s="68" t="str">
        <f t="shared" si="682"/>
        <v>Lacine13_20191124_10_00</v>
      </c>
      <c r="I1425" s="69">
        <f t="shared" si="683"/>
        <v>1</v>
      </c>
      <c r="J1425" s="76" t="str">
        <f>J1424</f>
        <v>Lactuca</v>
      </c>
      <c r="K1425" s="76" t="str">
        <f>K1424</f>
        <v>inermis</v>
      </c>
      <c r="L1425" s="77">
        <f>L1424</f>
        <v>13</v>
      </c>
      <c r="M1425" s="77">
        <f t="shared" si="683"/>
        <v>0</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84"/>
        <v>#VALUE!</v>
      </c>
      <c r="X1425" s="52"/>
      <c r="Y1425" s="52"/>
      <c r="Z1425" s="52"/>
      <c r="AA1425" s="47" t="e">
        <f>INDEX(VISITORS[INSECT ORDER], MATCH(X1425,VISITORS[NAME USED],0))</f>
        <v>#N/A</v>
      </c>
      <c r="AB1425" s="47" t="e">
        <f t="shared" si="674"/>
        <v>#N/A</v>
      </c>
      <c r="AC1425" s="53" t="e">
        <f t="shared" si="675"/>
        <v>#VALUE!</v>
      </c>
      <c r="AD1425" s="54" t="str">
        <f t="shared" si="685"/>
        <v/>
      </c>
      <c r="AE1425" s="54"/>
      <c r="AF1425" s="54"/>
      <c r="AG1425" s="55" t="str">
        <f t="shared" si="686"/>
        <v/>
      </c>
      <c r="AH1425" s="56" t="str">
        <f t="shared" si="687"/>
        <v/>
      </c>
      <c r="AI1425" s="55"/>
      <c r="AJ1425" s="56" t="str">
        <f t="shared" si="676"/>
        <v/>
      </c>
      <c r="AK1425" s="55"/>
      <c r="AL1425" s="56" t="str">
        <f t="shared" si="677"/>
        <v/>
      </c>
      <c r="AM1425" s="55"/>
      <c r="AN1425" s="56" t="str">
        <f t="shared" si="678"/>
        <v/>
      </c>
      <c r="AO1425" s="55"/>
      <c r="AP1425" s="56" t="str">
        <f t="shared" si="679"/>
        <v/>
      </c>
      <c r="AQ1425" s="55"/>
      <c r="AR1425" s="56" t="str">
        <f t="shared" si="680"/>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61" si="692">A1425</f>
        <v>2019</v>
      </c>
      <c r="B1426" s="72" t="str">
        <f t="shared" ref="B1426:B1442" si="693">IF(C1425-C1426&gt;0, TEXT(DATE(2016,(MONTH(DATEVALUE(B1425&amp;"1"))+1),1),"mmm"), B1425)</f>
        <v>Nov</v>
      </c>
      <c r="C1426" s="73">
        <f t="shared" si="681"/>
        <v>24</v>
      </c>
      <c r="D1426" s="74">
        <f t="shared" ref="D1426:D1442" si="694">IF(IF(E1425=59,D1425+1,D1425)=24,0,IF(E1425=59,D1425+1,D1425))</f>
        <v>10</v>
      </c>
      <c r="E1426" s="75">
        <f t="shared" ref="E1426:E1461" si="695">IF(E1425&lt;59,E1425+1,0)</f>
        <v>1</v>
      </c>
      <c r="F1426" s="79"/>
      <c r="G1426" s="82"/>
      <c r="H1426" s="68" t="str">
        <f t="shared" si="682"/>
        <v>Lacine13_20191124_10_00</v>
      </c>
      <c r="I1426" s="69">
        <f t="shared" si="683"/>
        <v>1</v>
      </c>
      <c r="J1426" s="76" t="str">
        <f t="shared" si="683"/>
        <v>Lactuca</v>
      </c>
      <c r="K1426" s="76" t="str">
        <f t="shared" si="683"/>
        <v>inermis</v>
      </c>
      <c r="L1426" s="77">
        <f t="shared" si="683"/>
        <v>13</v>
      </c>
      <c r="M1426" s="77">
        <f t="shared" si="683"/>
        <v>0</v>
      </c>
      <c r="N1426" s="71">
        <f t="shared" si="683"/>
        <v>0</v>
      </c>
      <c r="O1426" s="44"/>
      <c r="P1426" s="45" t="str">
        <f t="shared" si="670"/>
        <v/>
      </c>
      <c r="Q1426" s="46" t="str">
        <f t="shared" si="671"/>
        <v/>
      </c>
      <c r="R1426" s="47" t="e">
        <f t="shared" si="672"/>
        <v>#VALUE!</v>
      </c>
      <c r="S1426" s="48" t="e">
        <f t="shared" si="661"/>
        <v>#VALUE!</v>
      </c>
      <c r="T1426" s="47" t="str">
        <f t="shared" si="673"/>
        <v/>
      </c>
      <c r="U1426" s="49"/>
      <c r="V1426" s="50"/>
      <c r="W1426" s="51" t="e">
        <f t="shared" si="684"/>
        <v>#VALUE!</v>
      </c>
      <c r="X1426" s="52"/>
      <c r="Y1426" s="52"/>
      <c r="Z1426" s="52"/>
      <c r="AA1426" s="47" t="e">
        <f>INDEX(VISITORS[INSECT ORDER], MATCH(X1426,VISITORS[NAME USED],0))</f>
        <v>#N/A</v>
      </c>
      <c r="AB1426" s="47" t="e">
        <f t="shared" si="674"/>
        <v>#N/A</v>
      </c>
      <c r="AC1426" s="53" t="e">
        <f t="shared" si="675"/>
        <v>#VALUE!</v>
      </c>
      <c r="AD1426" s="54" t="str">
        <f t="shared" si="685"/>
        <v/>
      </c>
      <c r="AE1426" s="54"/>
      <c r="AF1426" s="54"/>
      <c r="AG1426" s="55" t="str">
        <f t="shared" si="686"/>
        <v/>
      </c>
      <c r="AH1426" s="56" t="str">
        <f t="shared" si="687"/>
        <v/>
      </c>
      <c r="AI1426" s="55"/>
      <c r="AJ1426" s="56" t="str">
        <f t="shared" si="676"/>
        <v/>
      </c>
      <c r="AK1426" s="55"/>
      <c r="AL1426" s="56" t="str">
        <f t="shared" si="677"/>
        <v/>
      </c>
      <c r="AM1426" s="55"/>
      <c r="AN1426" s="56" t="str">
        <f t="shared" si="678"/>
        <v/>
      </c>
      <c r="AO1426" s="55"/>
      <c r="AP1426" s="56" t="str">
        <f t="shared" si="679"/>
        <v/>
      </c>
      <c r="AQ1426" s="55"/>
      <c r="AR1426" s="56" t="str">
        <f t="shared" si="680"/>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2019</v>
      </c>
      <c r="B1427" s="72" t="str">
        <f t="shared" si="693"/>
        <v>Nov</v>
      </c>
      <c r="C1427" s="73">
        <f t="shared" si="681"/>
        <v>24</v>
      </c>
      <c r="D1427" s="74">
        <f t="shared" si="694"/>
        <v>10</v>
      </c>
      <c r="E1427" s="75">
        <f t="shared" si="695"/>
        <v>2</v>
      </c>
      <c r="F1427" s="79"/>
      <c r="G1427" s="82"/>
      <c r="H1427" s="68" t="str">
        <f t="shared" si="682"/>
        <v>Lacine13_20191124_10_00</v>
      </c>
      <c r="I1427" s="69">
        <f t="shared" si="683"/>
        <v>1</v>
      </c>
      <c r="J1427" s="76" t="str">
        <f t="shared" si="683"/>
        <v>Lactuca</v>
      </c>
      <c r="K1427" s="76" t="str">
        <f t="shared" si="683"/>
        <v>inermis</v>
      </c>
      <c r="L1427" s="77">
        <f t="shared" si="683"/>
        <v>13</v>
      </c>
      <c r="M1427" s="77">
        <f t="shared" si="683"/>
        <v>0</v>
      </c>
      <c r="N1427" s="71">
        <f t="shared" si="683"/>
        <v>0</v>
      </c>
      <c r="O1427" s="44"/>
      <c r="P1427" s="45" t="str">
        <f t="shared" si="670"/>
        <v/>
      </c>
      <c r="Q1427" s="46" t="str">
        <f t="shared" si="671"/>
        <v/>
      </c>
      <c r="R1427" s="47" t="e">
        <f t="shared" si="672"/>
        <v>#VALUE!</v>
      </c>
      <c r="S1427" s="48" t="e">
        <f t="shared" si="661"/>
        <v>#VALUE!</v>
      </c>
      <c r="T1427" s="47" t="str">
        <f t="shared" si="673"/>
        <v/>
      </c>
      <c r="U1427" s="49"/>
      <c r="V1427" s="50"/>
      <c r="W1427" s="51" t="e">
        <f t="shared" si="684"/>
        <v>#VALUE!</v>
      </c>
      <c r="X1427" s="52"/>
      <c r="Y1427" s="52"/>
      <c r="Z1427" s="52"/>
      <c r="AA1427" s="47" t="e">
        <f>INDEX(VISITORS[INSECT ORDER], MATCH(X1427,VISITORS[NAME USED],0))</f>
        <v>#N/A</v>
      </c>
      <c r="AB1427" s="47" t="e">
        <f t="shared" si="674"/>
        <v>#N/A</v>
      </c>
      <c r="AC1427" s="53" t="e">
        <f t="shared" si="675"/>
        <v>#VALUE!</v>
      </c>
      <c r="AD1427" s="54" t="str">
        <f t="shared" si="685"/>
        <v/>
      </c>
      <c r="AE1427" s="54"/>
      <c r="AF1427" s="54"/>
      <c r="AG1427" s="55" t="str">
        <f t="shared" si="686"/>
        <v/>
      </c>
      <c r="AH1427" s="56" t="str">
        <f t="shared" si="687"/>
        <v/>
      </c>
      <c r="AI1427" s="55"/>
      <c r="AJ1427" s="56" t="str">
        <f t="shared" si="676"/>
        <v/>
      </c>
      <c r="AK1427" s="55"/>
      <c r="AL1427" s="56" t="str">
        <f t="shared" si="677"/>
        <v/>
      </c>
      <c r="AM1427" s="55"/>
      <c r="AN1427" s="56" t="str">
        <f t="shared" si="678"/>
        <v/>
      </c>
      <c r="AO1427" s="55"/>
      <c r="AP1427" s="56" t="str">
        <f t="shared" si="679"/>
        <v/>
      </c>
      <c r="AQ1427" s="55"/>
      <c r="AR1427" s="56" t="str">
        <f t="shared" si="680"/>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2019</v>
      </c>
      <c r="B1428" s="72" t="str">
        <f t="shared" si="693"/>
        <v>Nov</v>
      </c>
      <c r="C1428" s="73">
        <f t="shared" si="681"/>
        <v>24</v>
      </c>
      <c r="D1428" s="74">
        <f t="shared" si="694"/>
        <v>10</v>
      </c>
      <c r="E1428" s="75">
        <f t="shared" si="695"/>
        <v>3</v>
      </c>
      <c r="F1428" s="79"/>
      <c r="G1428" s="82"/>
      <c r="H1428" s="68" t="str">
        <f t="shared" si="682"/>
        <v>Lacine13_20191124_10_00</v>
      </c>
      <c r="I1428" s="69">
        <f t="shared" si="683"/>
        <v>1</v>
      </c>
      <c r="J1428" s="76" t="str">
        <f t="shared" si="683"/>
        <v>Lactuca</v>
      </c>
      <c r="K1428" s="76" t="str">
        <f t="shared" si="683"/>
        <v>inermis</v>
      </c>
      <c r="L1428" s="77">
        <f t="shared" si="683"/>
        <v>13</v>
      </c>
      <c r="M1428" s="77">
        <f t="shared" si="683"/>
        <v>0</v>
      </c>
      <c r="N1428" s="71">
        <f t="shared" si="683"/>
        <v>0</v>
      </c>
      <c r="O1428" s="44"/>
      <c r="P1428" s="45" t="str">
        <f t="shared" si="670"/>
        <v/>
      </c>
      <c r="Q1428" s="46" t="str">
        <f t="shared" si="671"/>
        <v/>
      </c>
      <c r="R1428" s="47" t="e">
        <f t="shared" si="672"/>
        <v>#VALUE!</v>
      </c>
      <c r="S1428" s="48" t="e">
        <f t="shared" si="661"/>
        <v>#VALUE!</v>
      </c>
      <c r="T1428" s="47" t="str">
        <f t="shared" si="673"/>
        <v/>
      </c>
      <c r="U1428" s="49"/>
      <c r="V1428" s="50"/>
      <c r="W1428" s="51" t="e">
        <f t="shared" si="684"/>
        <v>#VALUE!</v>
      </c>
      <c r="X1428" s="52"/>
      <c r="Y1428" s="52"/>
      <c r="Z1428" s="52"/>
      <c r="AA1428" s="47" t="e">
        <f>INDEX(VISITORS[INSECT ORDER], MATCH(X1428,VISITORS[NAME USED],0))</f>
        <v>#N/A</v>
      </c>
      <c r="AB1428" s="47" t="e">
        <f t="shared" si="674"/>
        <v>#N/A</v>
      </c>
      <c r="AC1428" s="53" t="e">
        <f t="shared" si="675"/>
        <v>#VALUE!</v>
      </c>
      <c r="AD1428" s="54" t="str">
        <f t="shared" si="685"/>
        <v/>
      </c>
      <c r="AE1428" s="54"/>
      <c r="AF1428" s="54"/>
      <c r="AG1428" s="55" t="str">
        <f t="shared" si="686"/>
        <v/>
      </c>
      <c r="AH1428" s="56" t="str">
        <f t="shared" si="687"/>
        <v/>
      </c>
      <c r="AI1428" s="55"/>
      <c r="AJ1428" s="56" t="str">
        <f t="shared" si="676"/>
        <v/>
      </c>
      <c r="AK1428" s="55"/>
      <c r="AL1428" s="56" t="str">
        <f t="shared" si="677"/>
        <v/>
      </c>
      <c r="AM1428" s="55"/>
      <c r="AN1428" s="56" t="str">
        <f t="shared" si="678"/>
        <v/>
      </c>
      <c r="AO1428" s="55"/>
      <c r="AP1428" s="56" t="str">
        <f t="shared" si="679"/>
        <v/>
      </c>
      <c r="AQ1428" s="55"/>
      <c r="AR1428" s="56" t="str">
        <f t="shared" si="680"/>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2019</v>
      </c>
      <c r="B1429" s="72" t="str">
        <f t="shared" si="693"/>
        <v>Nov</v>
      </c>
      <c r="C1429" s="73">
        <f t="shared" si="681"/>
        <v>24</v>
      </c>
      <c r="D1429" s="74">
        <f t="shared" si="694"/>
        <v>10</v>
      </c>
      <c r="E1429" s="75">
        <f t="shared" si="695"/>
        <v>4</v>
      </c>
      <c r="F1429" s="79"/>
      <c r="G1429" s="82"/>
      <c r="H1429" s="68" t="str">
        <f t="shared" si="682"/>
        <v>Lacine13_20191124_10_00</v>
      </c>
      <c r="I1429" s="69">
        <f t="shared" ref="I1429:N1442" si="696">I1428</f>
        <v>1</v>
      </c>
      <c r="J1429" s="76" t="str">
        <f t="shared" si="696"/>
        <v>Lactuca</v>
      </c>
      <c r="K1429" s="76" t="str">
        <f t="shared" si="696"/>
        <v>inermis</v>
      </c>
      <c r="L1429" s="77">
        <f t="shared" si="696"/>
        <v>13</v>
      </c>
      <c r="M1429" s="77">
        <f t="shared" si="696"/>
        <v>0</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84"/>
        <v>#VALUE!</v>
      </c>
      <c r="X1429" s="52"/>
      <c r="Y1429" s="52"/>
      <c r="Z1429" s="52"/>
      <c r="AA1429" s="47" t="e">
        <f>INDEX(VISITORS[INSECT ORDER], MATCH(X1429,VISITORS[NAME USED],0))</f>
        <v>#N/A</v>
      </c>
      <c r="AB1429" s="47" t="e">
        <f t="shared" si="674"/>
        <v>#N/A</v>
      </c>
      <c r="AC1429" s="53" t="e">
        <f t="shared" si="675"/>
        <v>#VALUE!</v>
      </c>
      <c r="AD1429" s="54" t="str">
        <f t="shared" si="685"/>
        <v/>
      </c>
      <c r="AE1429" s="54"/>
      <c r="AF1429" s="54"/>
      <c r="AG1429" s="55" t="str">
        <f t="shared" si="686"/>
        <v/>
      </c>
      <c r="AH1429" s="56" t="str">
        <f t="shared" si="687"/>
        <v/>
      </c>
      <c r="AI1429" s="55"/>
      <c r="AJ1429" s="56" t="str">
        <f t="shared" si="676"/>
        <v/>
      </c>
      <c r="AK1429" s="55"/>
      <c r="AL1429" s="56" t="str">
        <f t="shared" si="677"/>
        <v/>
      </c>
      <c r="AM1429" s="55"/>
      <c r="AN1429" s="56" t="str">
        <f t="shared" si="678"/>
        <v/>
      </c>
      <c r="AO1429" s="55"/>
      <c r="AP1429" s="56" t="str">
        <f t="shared" si="679"/>
        <v/>
      </c>
      <c r="AQ1429" s="55"/>
      <c r="AR1429" s="56" t="str">
        <f t="shared" si="680"/>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2019</v>
      </c>
      <c r="B1430" s="72" t="str">
        <f t="shared" si="693"/>
        <v>Nov</v>
      </c>
      <c r="C1430" s="73">
        <f t="shared" si="681"/>
        <v>24</v>
      </c>
      <c r="D1430" s="74">
        <f t="shared" si="694"/>
        <v>10</v>
      </c>
      <c r="E1430" s="75">
        <f t="shared" si="695"/>
        <v>5</v>
      </c>
      <c r="F1430" s="79"/>
      <c r="G1430" s="82"/>
      <c r="H1430" s="68" t="str">
        <f t="shared" si="682"/>
        <v>Lacine13_20191124_10_00</v>
      </c>
      <c r="I1430" s="69">
        <f t="shared" si="696"/>
        <v>1</v>
      </c>
      <c r="J1430" s="76" t="str">
        <f t="shared" si="696"/>
        <v>Lactuca</v>
      </c>
      <c r="K1430" s="76" t="str">
        <f t="shared" si="696"/>
        <v>inermis</v>
      </c>
      <c r="L1430" s="77">
        <f t="shared" si="696"/>
        <v>13</v>
      </c>
      <c r="M1430" s="77">
        <f t="shared" si="696"/>
        <v>0</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84"/>
        <v>#VALUE!</v>
      </c>
      <c r="X1430" s="52"/>
      <c r="Y1430" s="52"/>
      <c r="Z1430" s="52"/>
      <c r="AA1430" s="47" t="e">
        <f>INDEX(VISITORS[INSECT ORDER], MATCH(X1430,VISITORS[NAME USED],0))</f>
        <v>#N/A</v>
      </c>
      <c r="AB1430" s="47" t="e">
        <f t="shared" si="674"/>
        <v>#N/A</v>
      </c>
      <c r="AC1430" s="53" t="e">
        <f t="shared" si="675"/>
        <v>#VALUE!</v>
      </c>
      <c r="AD1430" s="54" t="str">
        <f t="shared" si="685"/>
        <v/>
      </c>
      <c r="AE1430" s="54"/>
      <c r="AF1430" s="54"/>
      <c r="AG1430" s="55" t="str">
        <f t="shared" si="686"/>
        <v/>
      </c>
      <c r="AH1430" s="56" t="str">
        <f t="shared" si="687"/>
        <v/>
      </c>
      <c r="AI1430" s="55"/>
      <c r="AJ1430" s="56" t="str">
        <f t="shared" si="676"/>
        <v/>
      </c>
      <c r="AK1430" s="55"/>
      <c r="AL1430" s="56" t="str">
        <f t="shared" si="677"/>
        <v/>
      </c>
      <c r="AM1430" s="55"/>
      <c r="AN1430" s="56" t="str">
        <f t="shared" si="678"/>
        <v/>
      </c>
      <c r="AO1430" s="55"/>
      <c r="AP1430" s="56" t="str">
        <f t="shared" si="679"/>
        <v/>
      </c>
      <c r="AQ1430" s="55"/>
      <c r="AR1430" s="56" t="str">
        <f t="shared" si="680"/>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2019</v>
      </c>
      <c r="B1431" s="72" t="str">
        <f t="shared" si="693"/>
        <v>Nov</v>
      </c>
      <c r="C1431" s="73">
        <f t="shared" si="681"/>
        <v>24</v>
      </c>
      <c r="D1431" s="74">
        <f t="shared" si="694"/>
        <v>10</v>
      </c>
      <c r="E1431" s="75">
        <f t="shared" si="695"/>
        <v>6</v>
      </c>
      <c r="F1431" s="79"/>
      <c r="G1431" s="82"/>
      <c r="H1431" s="68" t="str">
        <f t="shared" si="682"/>
        <v>Lacine13_20191124_10_00</v>
      </c>
      <c r="I1431" s="69">
        <f t="shared" si="696"/>
        <v>1</v>
      </c>
      <c r="J1431" s="76" t="str">
        <f t="shared" si="696"/>
        <v>Lactuca</v>
      </c>
      <c r="K1431" s="76" t="str">
        <f t="shared" si="696"/>
        <v>inermis</v>
      </c>
      <c r="L1431" s="77">
        <f t="shared" si="696"/>
        <v>13</v>
      </c>
      <c r="M1431" s="77">
        <f t="shared" si="696"/>
        <v>0</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84"/>
        <v>#VALUE!</v>
      </c>
      <c r="X1431" s="52"/>
      <c r="Y1431" s="52"/>
      <c r="Z1431" s="52"/>
      <c r="AA1431" s="47" t="e">
        <f>INDEX(VISITORS[INSECT ORDER], MATCH(X1431,VISITORS[NAME USED],0))</f>
        <v>#N/A</v>
      </c>
      <c r="AB1431" s="47" t="e">
        <f t="shared" si="674"/>
        <v>#N/A</v>
      </c>
      <c r="AC1431" s="53" t="e">
        <f t="shared" si="675"/>
        <v>#VALUE!</v>
      </c>
      <c r="AD1431" s="54" t="str">
        <f t="shared" si="685"/>
        <v/>
      </c>
      <c r="AE1431" s="54"/>
      <c r="AF1431" s="54"/>
      <c r="AG1431" s="55" t="str">
        <f t="shared" si="686"/>
        <v/>
      </c>
      <c r="AH1431" s="56" t="str">
        <f t="shared" si="687"/>
        <v/>
      </c>
      <c r="AI1431" s="55"/>
      <c r="AJ1431" s="56" t="str">
        <f t="shared" si="676"/>
        <v/>
      </c>
      <c r="AK1431" s="55"/>
      <c r="AL1431" s="56" t="str">
        <f t="shared" si="677"/>
        <v/>
      </c>
      <c r="AM1431" s="55"/>
      <c r="AN1431" s="56" t="str">
        <f t="shared" si="678"/>
        <v/>
      </c>
      <c r="AO1431" s="55"/>
      <c r="AP1431" s="56" t="str">
        <f t="shared" si="679"/>
        <v/>
      </c>
      <c r="AQ1431" s="55"/>
      <c r="AR1431" s="56" t="str">
        <f t="shared" si="680"/>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2019</v>
      </c>
      <c r="B1432" s="72" t="str">
        <f t="shared" si="693"/>
        <v>Nov</v>
      </c>
      <c r="C1432" s="73">
        <f t="shared" si="681"/>
        <v>24</v>
      </c>
      <c r="D1432" s="74">
        <f t="shared" si="694"/>
        <v>10</v>
      </c>
      <c r="E1432" s="75">
        <f t="shared" si="695"/>
        <v>7</v>
      </c>
      <c r="F1432" s="79"/>
      <c r="G1432" s="82"/>
      <c r="H1432" s="68" t="str">
        <f t="shared" si="682"/>
        <v>Lacine13_20191124_10_00</v>
      </c>
      <c r="I1432" s="69">
        <f t="shared" si="696"/>
        <v>1</v>
      </c>
      <c r="J1432" s="76" t="str">
        <f t="shared" si="696"/>
        <v>Lactuca</v>
      </c>
      <c r="K1432" s="76" t="str">
        <f t="shared" si="696"/>
        <v>inermis</v>
      </c>
      <c r="L1432" s="77">
        <f t="shared" si="696"/>
        <v>13</v>
      </c>
      <c r="M1432" s="77">
        <f t="shared" si="696"/>
        <v>0</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84"/>
        <v>#VALUE!</v>
      </c>
      <c r="X1432" s="52"/>
      <c r="Y1432" s="52"/>
      <c r="Z1432" s="52"/>
      <c r="AA1432" s="47" t="e">
        <f>INDEX(VISITORS[INSECT ORDER], MATCH(X1432,VISITORS[NAME USED],0))</f>
        <v>#N/A</v>
      </c>
      <c r="AB1432" s="47" t="e">
        <f t="shared" si="674"/>
        <v>#N/A</v>
      </c>
      <c r="AC1432" s="53" t="e">
        <f t="shared" si="675"/>
        <v>#VALUE!</v>
      </c>
      <c r="AD1432" s="54" t="str">
        <f t="shared" si="685"/>
        <v/>
      </c>
      <c r="AE1432" s="54"/>
      <c r="AF1432" s="54"/>
      <c r="AG1432" s="55" t="str">
        <f t="shared" si="686"/>
        <v/>
      </c>
      <c r="AH1432" s="56" t="str">
        <f t="shared" si="687"/>
        <v/>
      </c>
      <c r="AI1432" s="55"/>
      <c r="AJ1432" s="56" t="str">
        <f t="shared" si="676"/>
        <v/>
      </c>
      <c r="AK1432" s="55"/>
      <c r="AL1432" s="56" t="str">
        <f t="shared" si="677"/>
        <v/>
      </c>
      <c r="AM1432" s="55"/>
      <c r="AN1432" s="56" t="str">
        <f t="shared" si="678"/>
        <v/>
      </c>
      <c r="AO1432" s="55"/>
      <c r="AP1432" s="56" t="str">
        <f t="shared" si="679"/>
        <v/>
      </c>
      <c r="AQ1432" s="55"/>
      <c r="AR1432" s="56" t="str">
        <f t="shared" si="680"/>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2019</v>
      </c>
      <c r="B1433" s="72" t="str">
        <f t="shared" si="693"/>
        <v>Nov</v>
      </c>
      <c r="C1433" s="73">
        <f t="shared" si="681"/>
        <v>24</v>
      </c>
      <c r="D1433" s="74">
        <f t="shared" si="694"/>
        <v>10</v>
      </c>
      <c r="E1433" s="75">
        <f t="shared" si="695"/>
        <v>8</v>
      </c>
      <c r="F1433" s="79"/>
      <c r="G1433" s="82"/>
      <c r="H1433" s="68" t="str">
        <f t="shared" si="682"/>
        <v>Lacine13_20191124_10_00</v>
      </c>
      <c r="I1433" s="69">
        <f t="shared" si="696"/>
        <v>1</v>
      </c>
      <c r="J1433" s="76" t="str">
        <f t="shared" si="696"/>
        <v>Lactuca</v>
      </c>
      <c r="K1433" s="76" t="str">
        <f t="shared" si="696"/>
        <v>inermis</v>
      </c>
      <c r="L1433" s="77">
        <f t="shared" si="696"/>
        <v>13</v>
      </c>
      <c r="M1433" s="77">
        <f t="shared" si="696"/>
        <v>0</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84"/>
        <v>#VALUE!</v>
      </c>
      <c r="X1433" s="52"/>
      <c r="Y1433" s="52"/>
      <c r="Z1433" s="52"/>
      <c r="AA1433" s="47" t="e">
        <f>INDEX(VISITORS[INSECT ORDER], MATCH(X1433,VISITORS[NAME USED],0))</f>
        <v>#N/A</v>
      </c>
      <c r="AB1433" s="47" t="e">
        <f t="shared" si="674"/>
        <v>#N/A</v>
      </c>
      <c r="AC1433" s="53" t="e">
        <f t="shared" si="675"/>
        <v>#VALUE!</v>
      </c>
      <c r="AD1433" s="54" t="str">
        <f t="shared" si="685"/>
        <v/>
      </c>
      <c r="AE1433" s="54"/>
      <c r="AF1433" s="54"/>
      <c r="AG1433" s="55" t="str">
        <f t="shared" si="686"/>
        <v/>
      </c>
      <c r="AH1433" s="56" t="str">
        <f t="shared" si="687"/>
        <v/>
      </c>
      <c r="AI1433" s="55"/>
      <c r="AJ1433" s="56" t="str">
        <f t="shared" si="676"/>
        <v/>
      </c>
      <c r="AK1433" s="55"/>
      <c r="AL1433" s="56" t="str">
        <f t="shared" si="677"/>
        <v/>
      </c>
      <c r="AM1433" s="55"/>
      <c r="AN1433" s="56" t="str">
        <f t="shared" si="678"/>
        <v/>
      </c>
      <c r="AO1433" s="55"/>
      <c r="AP1433" s="56" t="str">
        <f t="shared" si="679"/>
        <v/>
      </c>
      <c r="AQ1433" s="55"/>
      <c r="AR1433" s="56" t="str">
        <f t="shared" si="680"/>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2019</v>
      </c>
      <c r="B1434" s="72" t="str">
        <f t="shared" si="693"/>
        <v>Nov</v>
      </c>
      <c r="C1434" s="73">
        <f t="shared" si="681"/>
        <v>24</v>
      </c>
      <c r="D1434" s="74">
        <f t="shared" si="694"/>
        <v>10</v>
      </c>
      <c r="E1434" s="75">
        <f t="shared" si="695"/>
        <v>9</v>
      </c>
      <c r="F1434" s="79"/>
      <c r="G1434" s="82"/>
      <c r="H1434" s="68" t="str">
        <f t="shared" si="682"/>
        <v>Lacine13_20191124_10_00</v>
      </c>
      <c r="I1434" s="69">
        <f t="shared" si="696"/>
        <v>1</v>
      </c>
      <c r="J1434" s="76" t="str">
        <f t="shared" si="696"/>
        <v>Lactuca</v>
      </c>
      <c r="K1434" s="76" t="str">
        <f t="shared" si="696"/>
        <v>inermis</v>
      </c>
      <c r="L1434" s="77">
        <f t="shared" si="696"/>
        <v>13</v>
      </c>
      <c r="M1434" s="77">
        <f t="shared" si="696"/>
        <v>0</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84"/>
        <v>#VALUE!</v>
      </c>
      <c r="X1434" s="52"/>
      <c r="Y1434" s="52"/>
      <c r="Z1434" s="52"/>
      <c r="AA1434" s="47" t="e">
        <f>INDEX(VISITORS[INSECT ORDER], MATCH(X1434,VISITORS[NAME USED],0))</f>
        <v>#N/A</v>
      </c>
      <c r="AB1434" s="47" t="e">
        <f t="shared" si="674"/>
        <v>#N/A</v>
      </c>
      <c r="AC1434" s="53" t="e">
        <f t="shared" si="675"/>
        <v>#VALUE!</v>
      </c>
      <c r="AD1434" s="54" t="str">
        <f t="shared" si="685"/>
        <v/>
      </c>
      <c r="AE1434" s="54"/>
      <c r="AF1434" s="54"/>
      <c r="AG1434" s="55" t="str">
        <f t="shared" si="686"/>
        <v/>
      </c>
      <c r="AH1434" s="56" t="str">
        <f t="shared" si="687"/>
        <v/>
      </c>
      <c r="AI1434" s="55"/>
      <c r="AJ1434" s="56" t="str">
        <f t="shared" si="676"/>
        <v/>
      </c>
      <c r="AK1434" s="55"/>
      <c r="AL1434" s="56" t="str">
        <f t="shared" si="677"/>
        <v/>
      </c>
      <c r="AM1434" s="55"/>
      <c r="AN1434" s="56" t="str">
        <f t="shared" si="678"/>
        <v/>
      </c>
      <c r="AO1434" s="55"/>
      <c r="AP1434" s="56" t="str">
        <f t="shared" si="679"/>
        <v/>
      </c>
      <c r="AQ1434" s="55"/>
      <c r="AR1434" s="56" t="str">
        <f t="shared" si="680"/>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2019</v>
      </c>
      <c r="B1435" s="72" t="str">
        <f t="shared" si="693"/>
        <v>Nov</v>
      </c>
      <c r="C1435" s="73">
        <f t="shared" si="681"/>
        <v>24</v>
      </c>
      <c r="D1435" s="74">
        <f t="shared" si="694"/>
        <v>10</v>
      </c>
      <c r="E1435" s="75">
        <f t="shared" si="695"/>
        <v>10</v>
      </c>
      <c r="F1435" s="79"/>
      <c r="G1435" s="82"/>
      <c r="H1435" s="68" t="str">
        <f t="shared" si="682"/>
        <v>Lacine13_20191124_10_00</v>
      </c>
      <c r="I1435" s="69">
        <f t="shared" si="696"/>
        <v>1</v>
      </c>
      <c r="J1435" s="76" t="str">
        <f t="shared" si="696"/>
        <v>Lactuca</v>
      </c>
      <c r="K1435" s="76" t="str">
        <f t="shared" si="696"/>
        <v>inermis</v>
      </c>
      <c r="L1435" s="77">
        <f t="shared" si="696"/>
        <v>13</v>
      </c>
      <c r="M1435" s="77">
        <f t="shared" si="696"/>
        <v>0</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84"/>
        <v>#VALUE!</v>
      </c>
      <c r="X1435" s="52"/>
      <c r="Y1435" s="52"/>
      <c r="Z1435" s="52"/>
      <c r="AA1435" s="47" t="e">
        <f>INDEX(VISITORS[INSECT ORDER], MATCH(X1435,VISITORS[NAME USED],0))</f>
        <v>#N/A</v>
      </c>
      <c r="AB1435" s="47" t="e">
        <f t="shared" si="674"/>
        <v>#N/A</v>
      </c>
      <c r="AC1435" s="53" t="e">
        <f t="shared" si="675"/>
        <v>#VALUE!</v>
      </c>
      <c r="AD1435" s="54" t="str">
        <f t="shared" si="685"/>
        <v/>
      </c>
      <c r="AE1435" s="54"/>
      <c r="AF1435" s="54"/>
      <c r="AG1435" s="55" t="str">
        <f t="shared" si="686"/>
        <v/>
      </c>
      <c r="AH1435" s="56" t="str">
        <f t="shared" si="687"/>
        <v/>
      </c>
      <c r="AI1435" s="55"/>
      <c r="AJ1435" s="56" t="str">
        <f t="shared" si="676"/>
        <v/>
      </c>
      <c r="AK1435" s="55"/>
      <c r="AL1435" s="56" t="str">
        <f t="shared" si="677"/>
        <v/>
      </c>
      <c r="AM1435" s="55"/>
      <c r="AN1435" s="56" t="str">
        <f t="shared" si="678"/>
        <v/>
      </c>
      <c r="AO1435" s="55"/>
      <c r="AP1435" s="56" t="str">
        <f t="shared" si="679"/>
        <v/>
      </c>
      <c r="AQ1435" s="55"/>
      <c r="AR1435" s="56" t="str">
        <f t="shared" si="680"/>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2019</v>
      </c>
      <c r="B1436" s="72" t="str">
        <f t="shared" si="693"/>
        <v>Nov</v>
      </c>
      <c r="C1436" s="73">
        <f t="shared" si="681"/>
        <v>24</v>
      </c>
      <c r="D1436" s="74">
        <f t="shared" si="694"/>
        <v>10</v>
      </c>
      <c r="E1436" s="75">
        <f t="shared" si="695"/>
        <v>11</v>
      </c>
      <c r="F1436" s="79"/>
      <c r="G1436" s="82"/>
      <c r="H1436" s="68" t="str">
        <f t="shared" si="682"/>
        <v>Lacine13_20191124_10_00</v>
      </c>
      <c r="I1436" s="69">
        <f t="shared" si="696"/>
        <v>1</v>
      </c>
      <c r="J1436" s="76" t="str">
        <f t="shared" si="696"/>
        <v>Lactuca</v>
      </c>
      <c r="K1436" s="76" t="str">
        <f t="shared" si="696"/>
        <v>inermis</v>
      </c>
      <c r="L1436" s="77">
        <f t="shared" si="696"/>
        <v>13</v>
      </c>
      <c r="M1436" s="77">
        <f t="shared" si="696"/>
        <v>0</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84"/>
        <v>#VALUE!</v>
      </c>
      <c r="X1436" s="52"/>
      <c r="Y1436" s="52"/>
      <c r="Z1436" s="52"/>
      <c r="AA1436" s="47" t="e">
        <f>INDEX(VISITORS[INSECT ORDER], MATCH(X1436,VISITORS[NAME USED],0))</f>
        <v>#N/A</v>
      </c>
      <c r="AB1436" s="47" t="e">
        <f t="shared" si="674"/>
        <v>#N/A</v>
      </c>
      <c r="AC1436" s="53" t="e">
        <f t="shared" si="675"/>
        <v>#VALUE!</v>
      </c>
      <c r="AD1436" s="54" t="str">
        <f t="shared" si="685"/>
        <v/>
      </c>
      <c r="AE1436" s="54"/>
      <c r="AF1436" s="54"/>
      <c r="AG1436" s="55" t="str">
        <f t="shared" si="686"/>
        <v/>
      </c>
      <c r="AH1436" s="56" t="str">
        <f t="shared" si="687"/>
        <v/>
      </c>
      <c r="AI1436" s="55"/>
      <c r="AJ1436" s="56" t="str">
        <f t="shared" si="676"/>
        <v/>
      </c>
      <c r="AK1436" s="55"/>
      <c r="AL1436" s="56" t="str">
        <f t="shared" si="677"/>
        <v/>
      </c>
      <c r="AM1436" s="55"/>
      <c r="AN1436" s="56" t="str">
        <f t="shared" si="678"/>
        <v/>
      </c>
      <c r="AO1436" s="55"/>
      <c r="AP1436" s="56" t="str">
        <f t="shared" si="679"/>
        <v/>
      </c>
      <c r="AQ1436" s="55"/>
      <c r="AR1436" s="56" t="str">
        <f t="shared" si="680"/>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2019</v>
      </c>
      <c r="B1437" s="72" t="str">
        <f t="shared" si="693"/>
        <v>Nov</v>
      </c>
      <c r="C1437" s="73">
        <f t="shared" si="681"/>
        <v>24</v>
      </c>
      <c r="D1437" s="74">
        <f t="shared" si="694"/>
        <v>10</v>
      </c>
      <c r="E1437" s="75">
        <f t="shared" si="695"/>
        <v>12</v>
      </c>
      <c r="F1437" s="79"/>
      <c r="G1437" s="82"/>
      <c r="H1437" s="68" t="str">
        <f t="shared" si="682"/>
        <v>Lacine13_20191124_10_00</v>
      </c>
      <c r="I1437" s="69">
        <f t="shared" si="696"/>
        <v>1</v>
      </c>
      <c r="J1437" s="76" t="str">
        <f t="shared" si="696"/>
        <v>Lactuca</v>
      </c>
      <c r="K1437" s="76" t="str">
        <f t="shared" si="696"/>
        <v>inermis</v>
      </c>
      <c r="L1437" s="77">
        <f t="shared" si="696"/>
        <v>13</v>
      </c>
      <c r="M1437" s="77">
        <f t="shared" si="696"/>
        <v>0</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84"/>
        <v>#VALUE!</v>
      </c>
      <c r="X1437" s="52"/>
      <c r="Y1437" s="52"/>
      <c r="Z1437" s="52"/>
      <c r="AA1437" s="47" t="e">
        <f>INDEX(VISITORS[INSECT ORDER], MATCH(X1437,VISITORS[NAME USED],0))</f>
        <v>#N/A</v>
      </c>
      <c r="AB1437" s="47" t="e">
        <f t="shared" si="674"/>
        <v>#N/A</v>
      </c>
      <c r="AC1437" s="53" t="e">
        <f t="shared" si="675"/>
        <v>#VALUE!</v>
      </c>
      <c r="AD1437" s="54" t="str">
        <f t="shared" si="685"/>
        <v/>
      </c>
      <c r="AE1437" s="54"/>
      <c r="AF1437" s="54"/>
      <c r="AG1437" s="55" t="str">
        <f t="shared" si="686"/>
        <v/>
      </c>
      <c r="AH1437" s="56" t="str">
        <f t="shared" si="687"/>
        <v/>
      </c>
      <c r="AI1437" s="55"/>
      <c r="AJ1437" s="56" t="str">
        <f t="shared" si="676"/>
        <v/>
      </c>
      <c r="AK1437" s="55"/>
      <c r="AL1437" s="56" t="str">
        <f t="shared" si="677"/>
        <v/>
      </c>
      <c r="AM1437" s="55"/>
      <c r="AN1437" s="56" t="str">
        <f t="shared" si="678"/>
        <v/>
      </c>
      <c r="AO1437" s="55"/>
      <c r="AP1437" s="56" t="str">
        <f t="shared" si="679"/>
        <v/>
      </c>
      <c r="AQ1437" s="55"/>
      <c r="AR1437" s="56" t="str">
        <f t="shared" si="680"/>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2019</v>
      </c>
      <c r="B1438" s="72" t="str">
        <f t="shared" si="693"/>
        <v>Nov</v>
      </c>
      <c r="C1438" s="73">
        <f t="shared" si="681"/>
        <v>24</v>
      </c>
      <c r="D1438" s="74">
        <f t="shared" si="694"/>
        <v>10</v>
      </c>
      <c r="E1438" s="75">
        <f t="shared" si="695"/>
        <v>13</v>
      </c>
      <c r="F1438" s="79"/>
      <c r="G1438" s="82"/>
      <c r="H1438" s="68" t="str">
        <f t="shared" si="682"/>
        <v>Lacine13_20191124_10_00</v>
      </c>
      <c r="I1438" s="69">
        <f t="shared" si="696"/>
        <v>1</v>
      </c>
      <c r="J1438" s="76" t="str">
        <f t="shared" si="696"/>
        <v>Lactuca</v>
      </c>
      <c r="K1438" s="76" t="str">
        <f t="shared" si="696"/>
        <v>inermis</v>
      </c>
      <c r="L1438" s="77">
        <f t="shared" si="696"/>
        <v>13</v>
      </c>
      <c r="M1438" s="77">
        <f t="shared" si="696"/>
        <v>0</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84"/>
        <v>#VALUE!</v>
      </c>
      <c r="X1438" s="52"/>
      <c r="Y1438" s="52"/>
      <c r="Z1438" s="52"/>
      <c r="AA1438" s="47" t="e">
        <f>INDEX(VISITORS[INSECT ORDER], MATCH(X1438,VISITORS[NAME USED],0))</f>
        <v>#N/A</v>
      </c>
      <c r="AB1438" s="47" t="e">
        <f t="shared" si="674"/>
        <v>#N/A</v>
      </c>
      <c r="AC1438" s="53" t="e">
        <f t="shared" si="675"/>
        <v>#VALUE!</v>
      </c>
      <c r="AD1438" s="54" t="str">
        <f t="shared" si="685"/>
        <v/>
      </c>
      <c r="AE1438" s="54"/>
      <c r="AF1438" s="54"/>
      <c r="AG1438" s="55" t="str">
        <f t="shared" si="686"/>
        <v/>
      </c>
      <c r="AH1438" s="56" t="str">
        <f t="shared" si="687"/>
        <v/>
      </c>
      <c r="AI1438" s="55"/>
      <c r="AJ1438" s="56" t="str">
        <f t="shared" si="676"/>
        <v/>
      </c>
      <c r="AK1438" s="55"/>
      <c r="AL1438" s="56" t="str">
        <f t="shared" si="677"/>
        <v/>
      </c>
      <c r="AM1438" s="55"/>
      <c r="AN1438" s="56" t="str">
        <f t="shared" si="678"/>
        <v/>
      </c>
      <c r="AO1438" s="55"/>
      <c r="AP1438" s="56" t="str">
        <f t="shared" si="679"/>
        <v/>
      </c>
      <c r="AQ1438" s="55"/>
      <c r="AR1438" s="56" t="str">
        <f t="shared" si="680"/>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2019</v>
      </c>
      <c r="B1439" s="72" t="str">
        <f t="shared" si="693"/>
        <v>Nov</v>
      </c>
      <c r="C1439" s="73">
        <f t="shared" si="681"/>
        <v>24</v>
      </c>
      <c r="D1439" s="74">
        <f t="shared" si="694"/>
        <v>10</v>
      </c>
      <c r="E1439" s="75">
        <f t="shared" si="695"/>
        <v>14</v>
      </c>
      <c r="F1439" s="79"/>
      <c r="G1439" s="82"/>
      <c r="H1439" s="68" t="str">
        <f t="shared" si="682"/>
        <v>Lacine13_20191124_10_00</v>
      </c>
      <c r="I1439" s="69">
        <f t="shared" si="696"/>
        <v>1</v>
      </c>
      <c r="J1439" s="76" t="str">
        <f t="shared" si="696"/>
        <v>Lactuca</v>
      </c>
      <c r="K1439" s="76" t="str">
        <f t="shared" si="696"/>
        <v>inermis</v>
      </c>
      <c r="L1439" s="77">
        <f t="shared" si="696"/>
        <v>13</v>
      </c>
      <c r="M1439" s="77">
        <f t="shared" si="696"/>
        <v>0</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84"/>
        <v>#VALUE!</v>
      </c>
      <c r="X1439" s="52"/>
      <c r="Y1439" s="52"/>
      <c r="Z1439" s="52"/>
      <c r="AA1439" s="47" t="e">
        <f>INDEX(VISITORS[INSECT ORDER], MATCH(X1439,VISITORS[NAME USED],0))</f>
        <v>#N/A</v>
      </c>
      <c r="AB1439" s="47" t="e">
        <f t="shared" si="674"/>
        <v>#N/A</v>
      </c>
      <c r="AC1439" s="53" t="e">
        <f t="shared" si="675"/>
        <v>#VALUE!</v>
      </c>
      <c r="AD1439" s="54" t="str">
        <f t="shared" si="685"/>
        <v/>
      </c>
      <c r="AE1439" s="54"/>
      <c r="AF1439" s="54"/>
      <c r="AG1439" s="55" t="str">
        <f t="shared" si="686"/>
        <v/>
      </c>
      <c r="AH1439" s="56" t="str">
        <f t="shared" si="687"/>
        <v/>
      </c>
      <c r="AI1439" s="55"/>
      <c r="AJ1439" s="56" t="str">
        <f t="shared" si="676"/>
        <v/>
      </c>
      <c r="AK1439" s="55"/>
      <c r="AL1439" s="56" t="str">
        <f t="shared" si="677"/>
        <v/>
      </c>
      <c r="AM1439" s="55"/>
      <c r="AN1439" s="56" t="str">
        <f t="shared" si="678"/>
        <v/>
      </c>
      <c r="AO1439" s="55"/>
      <c r="AP1439" s="56" t="str">
        <f t="shared" si="679"/>
        <v/>
      </c>
      <c r="AQ1439" s="55"/>
      <c r="AR1439" s="56" t="str">
        <f t="shared" si="680"/>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2019</v>
      </c>
      <c r="B1440" s="72" t="str">
        <f t="shared" si="693"/>
        <v>Nov</v>
      </c>
      <c r="C1440" s="73">
        <f t="shared" si="681"/>
        <v>24</v>
      </c>
      <c r="D1440" s="74">
        <f t="shared" si="694"/>
        <v>10</v>
      </c>
      <c r="E1440" s="75">
        <f t="shared" si="695"/>
        <v>15</v>
      </c>
      <c r="F1440" s="79"/>
      <c r="G1440" s="82"/>
      <c r="H1440" s="68" t="str">
        <f t="shared" si="682"/>
        <v>Lacine13_20191124_10_00</v>
      </c>
      <c r="I1440" s="69">
        <f t="shared" si="696"/>
        <v>1</v>
      </c>
      <c r="J1440" s="76" t="str">
        <f t="shared" si="696"/>
        <v>Lactuca</v>
      </c>
      <c r="K1440" s="76" t="str">
        <f t="shared" si="696"/>
        <v>inermis</v>
      </c>
      <c r="L1440" s="77">
        <f t="shared" si="696"/>
        <v>13</v>
      </c>
      <c r="M1440" s="77">
        <f t="shared" si="696"/>
        <v>0</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84"/>
        <v>#VALUE!</v>
      </c>
      <c r="X1440" s="52"/>
      <c r="Y1440" s="52"/>
      <c r="Z1440" s="52"/>
      <c r="AA1440" s="47" t="e">
        <f>INDEX(VISITORS[INSECT ORDER], MATCH(X1440,VISITORS[NAME USED],0))</f>
        <v>#N/A</v>
      </c>
      <c r="AB1440" s="47" t="e">
        <f t="shared" si="674"/>
        <v>#N/A</v>
      </c>
      <c r="AC1440" s="53" t="e">
        <f t="shared" si="675"/>
        <v>#VALUE!</v>
      </c>
      <c r="AD1440" s="54" t="str">
        <f t="shared" si="685"/>
        <v/>
      </c>
      <c r="AE1440" s="54"/>
      <c r="AF1440" s="54"/>
      <c r="AG1440" s="55" t="str">
        <f t="shared" si="686"/>
        <v/>
      </c>
      <c r="AH1440" s="56" t="str">
        <f t="shared" si="687"/>
        <v/>
      </c>
      <c r="AI1440" s="55"/>
      <c r="AJ1440" s="56" t="str">
        <f t="shared" si="676"/>
        <v/>
      </c>
      <c r="AK1440" s="55"/>
      <c r="AL1440" s="56" t="str">
        <f t="shared" si="677"/>
        <v/>
      </c>
      <c r="AM1440" s="55"/>
      <c r="AN1440" s="56" t="str">
        <f t="shared" si="678"/>
        <v/>
      </c>
      <c r="AO1440" s="55"/>
      <c r="AP1440" s="56" t="str">
        <f t="shared" si="679"/>
        <v/>
      </c>
      <c r="AQ1440" s="55"/>
      <c r="AR1440" s="56" t="str">
        <f t="shared" si="680"/>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2019</v>
      </c>
      <c r="B1441" s="72" t="str">
        <f t="shared" si="693"/>
        <v>Nov</v>
      </c>
      <c r="C1441" s="73">
        <f t="shared" si="681"/>
        <v>24</v>
      </c>
      <c r="D1441" s="74">
        <f t="shared" si="694"/>
        <v>10</v>
      </c>
      <c r="E1441" s="75">
        <f t="shared" si="695"/>
        <v>16</v>
      </c>
      <c r="F1441" s="79"/>
      <c r="G1441" s="82"/>
      <c r="H1441" s="68" t="str">
        <f t="shared" si="682"/>
        <v>Lacine13_20191124_10_00</v>
      </c>
      <c r="I1441" s="69">
        <f t="shared" si="696"/>
        <v>1</v>
      </c>
      <c r="J1441" s="76" t="str">
        <f t="shared" si="696"/>
        <v>Lactuca</v>
      </c>
      <c r="K1441" s="76" t="str">
        <f t="shared" si="696"/>
        <v>inermis</v>
      </c>
      <c r="L1441" s="77">
        <f t="shared" si="696"/>
        <v>13</v>
      </c>
      <c r="M1441" s="77">
        <f t="shared" si="696"/>
        <v>0</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84"/>
        <v>#VALUE!</v>
      </c>
      <c r="X1441" s="52"/>
      <c r="Y1441" s="52"/>
      <c r="Z1441" s="52"/>
      <c r="AA1441" s="47" t="e">
        <f>INDEX(VISITORS[INSECT ORDER], MATCH(X1441,VISITORS[NAME USED],0))</f>
        <v>#N/A</v>
      </c>
      <c r="AB1441" s="47" t="e">
        <f t="shared" si="674"/>
        <v>#N/A</v>
      </c>
      <c r="AC1441" s="53" t="e">
        <f t="shared" si="675"/>
        <v>#VALUE!</v>
      </c>
      <c r="AD1441" s="54" t="str">
        <f t="shared" si="685"/>
        <v/>
      </c>
      <c r="AE1441" s="54"/>
      <c r="AF1441" s="54"/>
      <c r="AG1441" s="55" t="str">
        <f t="shared" si="686"/>
        <v/>
      </c>
      <c r="AH1441" s="56" t="str">
        <f t="shared" si="687"/>
        <v/>
      </c>
      <c r="AI1441" s="55"/>
      <c r="AJ1441" s="56" t="str">
        <f t="shared" si="676"/>
        <v/>
      </c>
      <c r="AK1441" s="55"/>
      <c r="AL1441" s="56" t="str">
        <f t="shared" si="677"/>
        <v/>
      </c>
      <c r="AM1441" s="55"/>
      <c r="AN1441" s="56" t="str">
        <f t="shared" si="678"/>
        <v/>
      </c>
      <c r="AO1441" s="55"/>
      <c r="AP1441" s="56" t="str">
        <f t="shared" si="679"/>
        <v/>
      </c>
      <c r="AQ1441" s="55"/>
      <c r="AR1441" s="56" t="str">
        <f t="shared" si="680"/>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2019</v>
      </c>
      <c r="B1442" s="85" t="str">
        <f t="shared" si="693"/>
        <v>Nov</v>
      </c>
      <c r="C1442" s="86">
        <f t="shared" si="681"/>
        <v>24</v>
      </c>
      <c r="D1442" s="87">
        <f t="shared" si="694"/>
        <v>10</v>
      </c>
      <c r="E1442" s="88">
        <f t="shared" si="695"/>
        <v>17</v>
      </c>
      <c r="F1442" s="89"/>
      <c r="G1442" s="90"/>
      <c r="H1442" s="68" t="str">
        <f t="shared" si="682"/>
        <v>Lacine13_20191124_10_00</v>
      </c>
      <c r="I1442" s="91">
        <f t="shared" si="696"/>
        <v>1</v>
      </c>
      <c r="J1442" s="92" t="str">
        <f t="shared" si="696"/>
        <v>Lactuca</v>
      </c>
      <c r="K1442" s="92" t="str">
        <f t="shared" si="696"/>
        <v>inermis</v>
      </c>
      <c r="L1442" s="93">
        <f t="shared" si="696"/>
        <v>13</v>
      </c>
      <c r="M1442" s="93">
        <f t="shared" si="696"/>
        <v>0</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84"/>
        <v>#VALUE!</v>
      </c>
      <c r="X1442" s="102"/>
      <c r="Y1442" s="122"/>
      <c r="Z1442" s="122"/>
      <c r="AA1442" s="47" t="e">
        <f>INDEX(VISITORS[INSECT ORDER], MATCH(X1442,VISITORS[NAME USED],0))</f>
        <v>#N/A</v>
      </c>
      <c r="AB1442" s="98" t="e">
        <f t="shared" si="674"/>
        <v>#N/A</v>
      </c>
      <c r="AC1442" s="53" t="e">
        <f t="shared" si="675"/>
        <v>#VALUE!</v>
      </c>
      <c r="AD1442" s="103" t="str">
        <f t="shared" si="685"/>
        <v/>
      </c>
      <c r="AE1442" s="103"/>
      <c r="AF1442" s="103"/>
      <c r="AG1442" s="104" t="str">
        <f t="shared" si="686"/>
        <v/>
      </c>
      <c r="AH1442" s="105" t="str">
        <f t="shared" si="687"/>
        <v/>
      </c>
      <c r="AI1442" s="104"/>
      <c r="AJ1442" s="105" t="str">
        <f t="shared" si="676"/>
        <v/>
      </c>
      <c r="AK1442" s="104"/>
      <c r="AL1442" s="105" t="str">
        <f t="shared" si="677"/>
        <v/>
      </c>
      <c r="AM1442" s="104"/>
      <c r="AN1442" s="105" t="str">
        <f t="shared" si="678"/>
        <v/>
      </c>
      <c r="AO1442" s="104"/>
      <c r="AP1442" s="105" t="str">
        <f t="shared" si="679"/>
        <v/>
      </c>
      <c r="AQ1442" s="104"/>
      <c r="AR1442" s="105" t="str">
        <f t="shared" si="680"/>
        <v/>
      </c>
      <c r="AS1442" s="106"/>
      <c r="AT1442" s="107"/>
      <c r="AU1442" s="107"/>
      <c r="AV1442" s="108"/>
      <c r="AW1442" s="109" t="str">
        <f t="shared" si="662"/>
        <v/>
      </c>
      <c r="AX1442" s="110" t="str">
        <f t="shared" si="663"/>
        <v/>
      </c>
      <c r="AY1442" s="109" t="str">
        <f t="shared" si="664"/>
        <v/>
      </c>
      <c r="AZ1442" s="110" t="str">
        <f t="shared" si="665"/>
        <v/>
      </c>
    </row>
    <row r="1443" spans="1:52" s="3" customFormat="1" hidden="1" x14ac:dyDescent="0.35">
      <c r="A1443" s="72">
        <f t="shared" si="692"/>
        <v>2019</v>
      </c>
      <c r="B1443" s="72" t="str">
        <f t="shared" ref="B1443:B1461" si="697">IF(C1442-C1443&gt;0, TEXT(DATE(2016,(MONTH(DATEVALUE(B1442&amp;"1"))+1),1),"mmm"), B1442)</f>
        <v>Nov</v>
      </c>
      <c r="C1443" s="73">
        <f t="shared" ref="C1443:C1461" si="698">IF(AND(D1443=0, E1443=0), IF(TEXT(C1442,"dd")=TEXT(EOMONTH(DATE(A1442,MONTH(DATEVALUE(B1442&amp;"1")),C1442),0), "dd"), 1, C1442+1), C1442)</f>
        <v>24</v>
      </c>
      <c r="D1443" s="74">
        <f t="shared" ref="D1443:D1461" si="699">IF(IF(E1442=59,D1442+1,D1442)=24,0,IF(E1442=59,D1442+1,D1442))</f>
        <v>10</v>
      </c>
      <c r="E1443" s="75">
        <f t="shared" si="695"/>
        <v>18</v>
      </c>
      <c r="F1443" s="79"/>
      <c r="G1443" s="82"/>
      <c r="H1443" s="68" t="str">
        <f t="shared" ref="H1443:H1461"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Lacine13_20191124_10_00</v>
      </c>
      <c r="I1443" s="69">
        <f t="shared" ref="I1443:N1443" si="701">I1442</f>
        <v>1</v>
      </c>
      <c r="J1443" s="76" t="str">
        <f t="shared" si="701"/>
        <v>Lactuca</v>
      </c>
      <c r="K1443" s="76" t="str">
        <f t="shared" si="701"/>
        <v>inermis</v>
      </c>
      <c r="L1443" s="77">
        <f t="shared" si="701"/>
        <v>13</v>
      </c>
      <c r="M1443" s="77">
        <f t="shared" si="701"/>
        <v>0</v>
      </c>
      <c r="N1443" s="71">
        <f t="shared" si="701"/>
        <v>0</v>
      </c>
      <c r="O1443" s="44"/>
      <c r="P1443" s="45" t="str">
        <f t="shared" ref="P1443:P1461" si="702">IF(F1443="","",1)</f>
        <v/>
      </c>
      <c r="Q1443" s="46" t="str">
        <f t="shared" ref="Q1443:Q1461" si="703">TEXT(IF(P1443=1,CONCATENATE($D1443,":",$E1443,":",(LEFT($F1443,2))),""),"hh:mm:ss")</f>
        <v/>
      </c>
      <c r="R1443" s="47" t="e">
        <f t="shared" ref="R1443:R1461" si="704">TEXT(Q1443-TIME(0,RIGHT($H1443,2),$G$9)+(Q1443&gt;TIME(0,RIGHT($H1443,2),$G$9)),"mm:ss")</f>
        <v>#VALUE!</v>
      </c>
      <c r="S1443" s="48" t="e">
        <f t="shared" ref="S1443:S1461" si="705">IF(T1443&lt;D1443, (T1443*3600+U1443*60+V1443)+((23*3600+59*60+60)-(D1443*3600+E1443*60+LEFT(F1443,2))), (T1443*3600+U1443*60+V1443)-(D1443*3600+E1443*60+LEFT(F1443,2)))</f>
        <v>#VALUE!</v>
      </c>
      <c r="T1443" s="47" t="str">
        <f t="shared" ref="T1443:T1461" si="706">TEXT(IF(P1443=1,D1443,""),"00")</f>
        <v/>
      </c>
      <c r="U1443" s="49"/>
      <c r="V1443" s="50"/>
      <c r="W1443" s="51" t="e">
        <f t="shared" ref="W1443:W1461" si="707">IF(O1443=0,TEXT(TIME(T1443,U1443,V1443)-TIME(D1443,E1443,RIGHT(F1443,2))+TIME(0,LEFT(R1443,2),RIGHT(R1443,2)),"mm:ss"),TEXT(TIME(T1443,U1443,V1443)-TIME(D1443,E1443,RIGHT(F1443,2))+TIME(0,LEFT(R1443,2),RIGHT(R1443,2))-TIME(0,($G$10*O1443),0),"mm:ss"))</f>
        <v>#VALUE!</v>
      </c>
      <c r="X1443" s="52"/>
      <c r="Y1443" s="52"/>
      <c r="Z1443" s="52"/>
      <c r="AA1443" s="47" t="e">
        <f>INDEX(VISITORS[INSECT ORDER], MATCH(X1443,VISITORS[NAME USED],0))</f>
        <v>#N/A</v>
      </c>
      <c r="AB1443" s="47" t="e">
        <f t="shared" ref="AB1443:AB1461" si="708">IF(AA1443&lt;&gt;0,"NA","")</f>
        <v>#N/A</v>
      </c>
      <c r="AC1443" s="53" t="e">
        <f t="shared" ref="AC1443:AC1461" si="709">IF(SUM(AH1443,AJ1443,AL1443,AN1443,AP1443,AR1443)=S1443,,"")</f>
        <v>#VALUE!</v>
      </c>
      <c r="AD1443" s="54" t="str">
        <f t="shared" ref="AD1443:AD1461" si="710">IF(P1443=1,1,"")</f>
        <v/>
      </c>
      <c r="AE1443" s="54"/>
      <c r="AF1443" s="54"/>
      <c r="AG1443" s="55" t="str">
        <f t="shared" ref="AG1443:AG1461" si="711">IF(OR(X1443="Something small"),1,"")</f>
        <v/>
      </c>
      <c r="AH1443" s="56" t="str">
        <f t="shared" ref="AH1443:AH1461" si="712">IF(AG1443=1,$S1443,"")</f>
        <v/>
      </c>
      <c r="AI1443" s="55"/>
      <c r="AJ1443" s="56" t="str">
        <f t="shared" ref="AJ1443:AJ1461" si="713">IF(AI1443=1,$S1443,"")</f>
        <v/>
      </c>
      <c r="AK1443" s="55"/>
      <c r="AL1443" s="56" t="str">
        <f t="shared" ref="AL1443:AL1461" si="714">IF(AK1443=1,$S1443,"")</f>
        <v/>
      </c>
      <c r="AM1443" s="55"/>
      <c r="AN1443" s="56" t="str">
        <f t="shared" ref="AN1443:AN1461" si="715">IF(AM1443=1,$S1443,"")</f>
        <v/>
      </c>
      <c r="AO1443" s="55"/>
      <c r="AP1443" s="56" t="str">
        <f t="shared" ref="AP1443:AP1461" si="716">IF(AO1443=1,$S1443,"")</f>
        <v/>
      </c>
      <c r="AQ1443" s="55"/>
      <c r="AR1443" s="56" t="str">
        <f t="shared" ref="AR1443:AR1461" si="717">IF(AQ1443=1,$S1443,"")</f>
        <v/>
      </c>
      <c r="AS1443" s="57"/>
      <c r="AT1443" s="58"/>
      <c r="AU1443" s="58"/>
      <c r="AV1443" s="59"/>
      <c r="AW1443" s="60" t="str">
        <f t="shared" ref="AW1443:AW1461" si="718">IF(P1443=1,0,"")</f>
        <v/>
      </c>
      <c r="AX1443" s="61" t="str">
        <f t="shared" ref="AX1443:AX1461" si="719">IF(AW1443=1,AD1443,"")</f>
        <v/>
      </c>
      <c r="AY1443" s="60" t="str">
        <f t="shared" ref="AY1443:AY1461" si="720">IF(P1443=1,0,"")</f>
        <v/>
      </c>
      <c r="AZ1443" s="61" t="str">
        <f t="shared" ref="AZ1443:AZ1461" si="721">IF(AY1443=1,AD1443,"")</f>
        <v/>
      </c>
    </row>
    <row r="1444" spans="1:52" s="3" customFormat="1" ht="15" hidden="1" thickBot="1" x14ac:dyDescent="0.4">
      <c r="A1444" s="85">
        <f t="shared" si="692"/>
        <v>2019</v>
      </c>
      <c r="B1444" s="85" t="str">
        <f t="shared" si="697"/>
        <v>Nov</v>
      </c>
      <c r="C1444" s="86">
        <f t="shared" si="698"/>
        <v>24</v>
      </c>
      <c r="D1444" s="87">
        <f t="shared" si="699"/>
        <v>10</v>
      </c>
      <c r="E1444" s="88">
        <f t="shared" si="695"/>
        <v>19</v>
      </c>
      <c r="F1444" s="89"/>
      <c r="G1444" s="90"/>
      <c r="H1444" s="68" t="str">
        <f t="shared" si="700"/>
        <v>Lacine13_20191124_10_00</v>
      </c>
      <c r="I1444" s="91">
        <f t="shared" ref="I1444:N1444" si="722">I1443</f>
        <v>1</v>
      </c>
      <c r="J1444" s="92" t="str">
        <f t="shared" si="722"/>
        <v>Lactuca</v>
      </c>
      <c r="K1444" s="92" t="str">
        <f t="shared" si="722"/>
        <v>inermis</v>
      </c>
      <c r="L1444" s="93">
        <f t="shared" si="722"/>
        <v>13</v>
      </c>
      <c r="M1444" s="93">
        <f t="shared" si="722"/>
        <v>0</v>
      </c>
      <c r="N1444" s="94">
        <f t="shared" si="722"/>
        <v>0</v>
      </c>
      <c r="O1444" s="95"/>
      <c r="P1444" s="96" t="str">
        <f t="shared" si="702"/>
        <v/>
      </c>
      <c r="Q1444" s="97" t="str">
        <f t="shared" si="703"/>
        <v/>
      </c>
      <c r="R1444" s="98" t="e">
        <f t="shared" si="704"/>
        <v>#VALUE!</v>
      </c>
      <c r="S1444" s="98" t="e">
        <f t="shared" si="705"/>
        <v>#VALUE!</v>
      </c>
      <c r="T1444" s="98" t="str">
        <f t="shared" si="706"/>
        <v/>
      </c>
      <c r="U1444" s="99"/>
      <c r="V1444" s="100"/>
      <c r="W1444" s="101" t="e">
        <f t="shared" si="707"/>
        <v>#VALUE!</v>
      </c>
      <c r="X1444" s="102"/>
      <c r="Y1444" s="122"/>
      <c r="Z1444" s="122"/>
      <c r="AA1444" s="47" t="e">
        <f>INDEX(VISITORS[INSECT ORDER], MATCH(X1444,VISITORS[NAME USED],0))</f>
        <v>#N/A</v>
      </c>
      <c r="AB1444" s="98" t="e">
        <f t="shared" si="708"/>
        <v>#N/A</v>
      </c>
      <c r="AC1444" s="53" t="e">
        <f t="shared" si="709"/>
        <v>#VALUE!</v>
      </c>
      <c r="AD1444" s="103" t="str">
        <f t="shared" si="710"/>
        <v/>
      </c>
      <c r="AE1444" s="103"/>
      <c r="AF1444" s="103"/>
      <c r="AG1444" s="104" t="str">
        <f t="shared" si="711"/>
        <v/>
      </c>
      <c r="AH1444" s="105" t="str">
        <f t="shared" si="712"/>
        <v/>
      </c>
      <c r="AI1444" s="104"/>
      <c r="AJ1444" s="105" t="str">
        <f t="shared" si="713"/>
        <v/>
      </c>
      <c r="AK1444" s="104"/>
      <c r="AL1444" s="105" t="str">
        <f t="shared" si="714"/>
        <v/>
      </c>
      <c r="AM1444" s="104"/>
      <c r="AN1444" s="105" t="str">
        <f t="shared" si="715"/>
        <v/>
      </c>
      <c r="AO1444" s="104"/>
      <c r="AP1444" s="105" t="str">
        <f t="shared" si="716"/>
        <v/>
      </c>
      <c r="AQ1444" s="104"/>
      <c r="AR1444" s="105" t="str">
        <f t="shared" si="717"/>
        <v/>
      </c>
      <c r="AS1444" s="106"/>
      <c r="AT1444" s="107"/>
      <c r="AU1444" s="107"/>
      <c r="AV1444" s="108"/>
      <c r="AW1444" s="109" t="str">
        <f t="shared" si="718"/>
        <v/>
      </c>
      <c r="AX1444" s="110" t="str">
        <f t="shared" si="719"/>
        <v/>
      </c>
      <c r="AY1444" s="109" t="str">
        <f t="shared" si="720"/>
        <v/>
      </c>
      <c r="AZ1444" s="110" t="str">
        <f t="shared" si="721"/>
        <v/>
      </c>
    </row>
    <row r="1445" spans="1:52" s="3" customFormat="1" hidden="1" x14ac:dyDescent="0.35">
      <c r="A1445" s="72">
        <f t="shared" si="692"/>
        <v>2019</v>
      </c>
      <c r="B1445" s="72" t="str">
        <f t="shared" si="697"/>
        <v>Nov</v>
      </c>
      <c r="C1445" s="73">
        <f t="shared" si="698"/>
        <v>24</v>
      </c>
      <c r="D1445" s="74">
        <f t="shared" si="699"/>
        <v>10</v>
      </c>
      <c r="E1445" s="75">
        <f t="shared" si="695"/>
        <v>20</v>
      </c>
      <c r="F1445" s="79"/>
      <c r="G1445" s="82"/>
      <c r="H1445" s="68" t="str">
        <f t="shared" si="700"/>
        <v>Lacine13_20191124_10_00</v>
      </c>
      <c r="I1445" s="69">
        <f t="shared" ref="I1445:N1445" si="723">I1444</f>
        <v>1</v>
      </c>
      <c r="J1445" s="76" t="str">
        <f t="shared" si="723"/>
        <v>Lactuca</v>
      </c>
      <c r="K1445" s="76" t="str">
        <f t="shared" si="723"/>
        <v>inermis</v>
      </c>
      <c r="L1445" s="77">
        <f t="shared" si="723"/>
        <v>13</v>
      </c>
      <c r="M1445" s="77">
        <f t="shared" si="723"/>
        <v>0</v>
      </c>
      <c r="N1445" s="71">
        <f t="shared" si="723"/>
        <v>0</v>
      </c>
      <c r="O1445" s="44"/>
      <c r="P1445" s="45" t="str">
        <f t="shared" si="702"/>
        <v/>
      </c>
      <c r="Q1445" s="46" t="str">
        <f t="shared" si="703"/>
        <v/>
      </c>
      <c r="R1445" s="47" t="e">
        <f t="shared" si="704"/>
        <v>#VALUE!</v>
      </c>
      <c r="S1445" s="48" t="e">
        <f t="shared" si="705"/>
        <v>#VALUE!</v>
      </c>
      <c r="T1445" s="47" t="str">
        <f t="shared" si="706"/>
        <v/>
      </c>
      <c r="U1445" s="49"/>
      <c r="V1445" s="50"/>
      <c r="W1445" s="51" t="e">
        <f t="shared" si="707"/>
        <v>#VALUE!</v>
      </c>
      <c r="X1445" s="52"/>
      <c r="Y1445" s="52"/>
      <c r="Z1445" s="52"/>
      <c r="AA1445" s="47" t="e">
        <f>INDEX(VISITORS[INSECT ORDER], MATCH(X1445,VISITORS[NAME USED],0))</f>
        <v>#N/A</v>
      </c>
      <c r="AB1445" s="47" t="e">
        <f t="shared" si="708"/>
        <v>#N/A</v>
      </c>
      <c r="AC1445" s="53" t="e">
        <f t="shared" si="709"/>
        <v>#VALUE!</v>
      </c>
      <c r="AD1445" s="54" t="str">
        <f t="shared" si="710"/>
        <v/>
      </c>
      <c r="AE1445" s="54"/>
      <c r="AF1445" s="54"/>
      <c r="AG1445" s="55" t="str">
        <f t="shared" si="711"/>
        <v/>
      </c>
      <c r="AH1445" s="56" t="str">
        <f t="shared" si="712"/>
        <v/>
      </c>
      <c r="AI1445" s="55"/>
      <c r="AJ1445" s="56" t="str">
        <f t="shared" si="713"/>
        <v/>
      </c>
      <c r="AK1445" s="55"/>
      <c r="AL1445" s="56" t="str">
        <f t="shared" si="714"/>
        <v/>
      </c>
      <c r="AM1445" s="55"/>
      <c r="AN1445" s="56" t="str">
        <f t="shared" si="715"/>
        <v/>
      </c>
      <c r="AO1445" s="55"/>
      <c r="AP1445" s="56" t="str">
        <f t="shared" si="716"/>
        <v/>
      </c>
      <c r="AQ1445" s="55"/>
      <c r="AR1445" s="56" t="str">
        <f t="shared" si="717"/>
        <v/>
      </c>
      <c r="AS1445" s="57"/>
      <c r="AT1445" s="58"/>
      <c r="AU1445" s="58"/>
      <c r="AV1445" s="59"/>
      <c r="AW1445" s="60" t="str">
        <f t="shared" si="718"/>
        <v/>
      </c>
      <c r="AX1445" s="61" t="str">
        <f t="shared" si="719"/>
        <v/>
      </c>
      <c r="AY1445" s="60" t="str">
        <f t="shared" si="720"/>
        <v/>
      </c>
      <c r="AZ1445" s="61" t="str">
        <f t="shared" si="721"/>
        <v/>
      </c>
    </row>
    <row r="1446" spans="1:52" s="3" customFormat="1" ht="15" hidden="1" thickBot="1" x14ac:dyDescent="0.4">
      <c r="A1446" s="85">
        <f t="shared" si="692"/>
        <v>2019</v>
      </c>
      <c r="B1446" s="85" t="str">
        <f t="shared" si="697"/>
        <v>Nov</v>
      </c>
      <c r="C1446" s="86">
        <f t="shared" si="698"/>
        <v>24</v>
      </c>
      <c r="D1446" s="87">
        <f t="shared" si="699"/>
        <v>10</v>
      </c>
      <c r="E1446" s="88">
        <f t="shared" si="695"/>
        <v>21</v>
      </c>
      <c r="F1446" s="89"/>
      <c r="G1446" s="90"/>
      <c r="H1446" s="68" t="str">
        <f t="shared" si="700"/>
        <v>Lacine13_20191124_10_00</v>
      </c>
      <c r="I1446" s="91">
        <f t="shared" ref="I1446:N1446" si="724">I1445</f>
        <v>1</v>
      </c>
      <c r="J1446" s="92" t="str">
        <f t="shared" si="724"/>
        <v>Lactuca</v>
      </c>
      <c r="K1446" s="92" t="str">
        <f t="shared" si="724"/>
        <v>inermis</v>
      </c>
      <c r="L1446" s="93">
        <f t="shared" si="724"/>
        <v>13</v>
      </c>
      <c r="M1446" s="93">
        <f t="shared" si="724"/>
        <v>0</v>
      </c>
      <c r="N1446" s="94">
        <f t="shared" si="724"/>
        <v>0</v>
      </c>
      <c r="O1446" s="95"/>
      <c r="P1446" s="96" t="str">
        <f t="shared" si="702"/>
        <v/>
      </c>
      <c r="Q1446" s="97" t="str">
        <f t="shared" si="703"/>
        <v/>
      </c>
      <c r="R1446" s="98" t="e">
        <f t="shared" si="704"/>
        <v>#VALUE!</v>
      </c>
      <c r="S1446" s="98" t="e">
        <f t="shared" si="705"/>
        <v>#VALUE!</v>
      </c>
      <c r="T1446" s="98" t="str">
        <f t="shared" si="706"/>
        <v/>
      </c>
      <c r="U1446" s="99"/>
      <c r="V1446" s="100"/>
      <c r="W1446" s="101" t="e">
        <f t="shared" si="707"/>
        <v>#VALUE!</v>
      </c>
      <c r="X1446" s="102"/>
      <c r="Y1446" s="122"/>
      <c r="Z1446" s="122"/>
      <c r="AA1446" s="47" t="e">
        <f>INDEX(VISITORS[INSECT ORDER], MATCH(X1446,VISITORS[NAME USED],0))</f>
        <v>#N/A</v>
      </c>
      <c r="AB1446" s="98" t="e">
        <f t="shared" si="708"/>
        <v>#N/A</v>
      </c>
      <c r="AC1446" s="53" t="e">
        <f t="shared" si="709"/>
        <v>#VALUE!</v>
      </c>
      <c r="AD1446" s="103" t="str">
        <f t="shared" si="710"/>
        <v/>
      </c>
      <c r="AE1446" s="103"/>
      <c r="AF1446" s="103"/>
      <c r="AG1446" s="104" t="str">
        <f t="shared" si="711"/>
        <v/>
      </c>
      <c r="AH1446" s="105" t="str">
        <f t="shared" si="712"/>
        <v/>
      </c>
      <c r="AI1446" s="104"/>
      <c r="AJ1446" s="105" t="str">
        <f t="shared" si="713"/>
        <v/>
      </c>
      <c r="AK1446" s="104"/>
      <c r="AL1446" s="105" t="str">
        <f t="shared" si="714"/>
        <v/>
      </c>
      <c r="AM1446" s="104"/>
      <c r="AN1446" s="105" t="str">
        <f t="shared" si="715"/>
        <v/>
      </c>
      <c r="AO1446" s="104"/>
      <c r="AP1446" s="105" t="str">
        <f t="shared" si="716"/>
        <v/>
      </c>
      <c r="AQ1446" s="104"/>
      <c r="AR1446" s="105" t="str">
        <f t="shared" si="717"/>
        <v/>
      </c>
      <c r="AS1446" s="106"/>
      <c r="AT1446" s="107"/>
      <c r="AU1446" s="107"/>
      <c r="AV1446" s="108"/>
      <c r="AW1446" s="109" t="str">
        <f t="shared" si="718"/>
        <v/>
      </c>
      <c r="AX1446" s="110" t="str">
        <f t="shared" si="719"/>
        <v/>
      </c>
      <c r="AY1446" s="109" t="str">
        <f t="shared" si="720"/>
        <v/>
      </c>
      <c r="AZ1446" s="110" t="str">
        <f t="shared" si="721"/>
        <v/>
      </c>
    </row>
    <row r="1447" spans="1:52" s="3" customFormat="1" hidden="1" x14ac:dyDescent="0.35">
      <c r="A1447" s="72">
        <f t="shared" si="692"/>
        <v>2019</v>
      </c>
      <c r="B1447" s="72" t="str">
        <f t="shared" si="697"/>
        <v>Nov</v>
      </c>
      <c r="C1447" s="73">
        <f t="shared" si="698"/>
        <v>24</v>
      </c>
      <c r="D1447" s="74">
        <f t="shared" si="699"/>
        <v>10</v>
      </c>
      <c r="E1447" s="75">
        <f t="shared" si="695"/>
        <v>22</v>
      </c>
      <c r="F1447" s="79"/>
      <c r="G1447" s="82"/>
      <c r="H1447" s="68" t="str">
        <f t="shared" si="700"/>
        <v>Lacine13_20191124_10_00</v>
      </c>
      <c r="I1447" s="69">
        <f t="shared" ref="I1447:N1447" si="725">I1446</f>
        <v>1</v>
      </c>
      <c r="J1447" s="76" t="str">
        <f t="shared" si="725"/>
        <v>Lactuca</v>
      </c>
      <c r="K1447" s="76" t="str">
        <f t="shared" si="725"/>
        <v>inermis</v>
      </c>
      <c r="L1447" s="77">
        <f t="shared" si="725"/>
        <v>13</v>
      </c>
      <c r="M1447" s="77">
        <f t="shared" si="725"/>
        <v>0</v>
      </c>
      <c r="N1447" s="71">
        <f t="shared" si="725"/>
        <v>0</v>
      </c>
      <c r="O1447" s="44"/>
      <c r="P1447" s="45" t="str">
        <f t="shared" si="702"/>
        <v/>
      </c>
      <c r="Q1447" s="46" t="str">
        <f t="shared" si="703"/>
        <v/>
      </c>
      <c r="R1447" s="47" t="e">
        <f t="shared" si="704"/>
        <v>#VALUE!</v>
      </c>
      <c r="S1447" s="48" t="e">
        <f t="shared" si="705"/>
        <v>#VALUE!</v>
      </c>
      <c r="T1447" s="47" t="str">
        <f t="shared" si="706"/>
        <v/>
      </c>
      <c r="U1447" s="49"/>
      <c r="V1447" s="50"/>
      <c r="W1447" s="51" t="e">
        <f t="shared" si="707"/>
        <v>#VALUE!</v>
      </c>
      <c r="X1447" s="52"/>
      <c r="Y1447" s="52"/>
      <c r="Z1447" s="52"/>
      <c r="AA1447" s="47" t="e">
        <f>INDEX(VISITORS[INSECT ORDER], MATCH(X1447,VISITORS[NAME USED],0))</f>
        <v>#N/A</v>
      </c>
      <c r="AB1447" s="47" t="e">
        <f t="shared" si="708"/>
        <v>#N/A</v>
      </c>
      <c r="AC1447" s="53" t="e">
        <f t="shared" si="709"/>
        <v>#VALUE!</v>
      </c>
      <c r="AD1447" s="54" t="str">
        <f t="shared" si="710"/>
        <v/>
      </c>
      <c r="AE1447" s="54"/>
      <c r="AF1447" s="54"/>
      <c r="AG1447" s="55" t="str">
        <f t="shared" si="711"/>
        <v/>
      </c>
      <c r="AH1447" s="56" t="str">
        <f t="shared" si="712"/>
        <v/>
      </c>
      <c r="AI1447" s="55"/>
      <c r="AJ1447" s="56" t="str">
        <f t="shared" si="713"/>
        <v/>
      </c>
      <c r="AK1447" s="55"/>
      <c r="AL1447" s="56" t="str">
        <f t="shared" si="714"/>
        <v/>
      </c>
      <c r="AM1447" s="55"/>
      <c r="AN1447" s="56" t="str">
        <f t="shared" si="715"/>
        <v/>
      </c>
      <c r="AO1447" s="55"/>
      <c r="AP1447" s="56" t="str">
        <f t="shared" si="716"/>
        <v/>
      </c>
      <c r="AQ1447" s="55"/>
      <c r="AR1447" s="56" t="str">
        <f t="shared" si="717"/>
        <v/>
      </c>
      <c r="AS1447" s="57"/>
      <c r="AT1447" s="58"/>
      <c r="AU1447" s="58"/>
      <c r="AV1447" s="59"/>
      <c r="AW1447" s="60" t="str">
        <f t="shared" si="718"/>
        <v/>
      </c>
      <c r="AX1447" s="61" t="str">
        <f t="shared" si="719"/>
        <v/>
      </c>
      <c r="AY1447" s="60" t="str">
        <f t="shared" si="720"/>
        <v/>
      </c>
      <c r="AZ1447" s="61" t="str">
        <f t="shared" si="721"/>
        <v/>
      </c>
    </row>
    <row r="1448" spans="1:52" s="3" customFormat="1" ht="15" hidden="1" thickBot="1" x14ac:dyDescent="0.4">
      <c r="A1448" s="85">
        <f t="shared" si="692"/>
        <v>2019</v>
      </c>
      <c r="B1448" s="85" t="str">
        <f t="shared" si="697"/>
        <v>Nov</v>
      </c>
      <c r="C1448" s="86">
        <f t="shared" si="698"/>
        <v>24</v>
      </c>
      <c r="D1448" s="87">
        <f t="shared" si="699"/>
        <v>10</v>
      </c>
      <c r="E1448" s="88">
        <f t="shared" si="695"/>
        <v>23</v>
      </c>
      <c r="F1448" s="89"/>
      <c r="G1448" s="90"/>
      <c r="H1448" s="68" t="str">
        <f t="shared" si="700"/>
        <v>Lacine13_20191124_10_00</v>
      </c>
      <c r="I1448" s="91">
        <f t="shared" ref="I1448:N1448" si="726">I1447</f>
        <v>1</v>
      </c>
      <c r="J1448" s="92" t="str">
        <f t="shared" si="726"/>
        <v>Lactuca</v>
      </c>
      <c r="K1448" s="92" t="str">
        <f t="shared" si="726"/>
        <v>inermis</v>
      </c>
      <c r="L1448" s="93">
        <f t="shared" si="726"/>
        <v>13</v>
      </c>
      <c r="M1448" s="93">
        <f t="shared" si="726"/>
        <v>0</v>
      </c>
      <c r="N1448" s="94">
        <f t="shared" si="726"/>
        <v>0</v>
      </c>
      <c r="O1448" s="95"/>
      <c r="P1448" s="96" t="str">
        <f t="shared" si="702"/>
        <v/>
      </c>
      <c r="Q1448" s="97" t="str">
        <f t="shared" si="703"/>
        <v/>
      </c>
      <c r="R1448" s="98" t="e">
        <f t="shared" si="704"/>
        <v>#VALUE!</v>
      </c>
      <c r="S1448" s="98" t="e">
        <f t="shared" si="705"/>
        <v>#VALUE!</v>
      </c>
      <c r="T1448" s="98" t="str">
        <f t="shared" si="706"/>
        <v/>
      </c>
      <c r="U1448" s="99"/>
      <c r="V1448" s="100"/>
      <c r="W1448" s="101"/>
      <c r="X1448" s="102"/>
      <c r="Y1448" s="122"/>
      <c r="Z1448" s="122"/>
      <c r="AA1448" s="47"/>
      <c r="AB1448" s="98" t="str">
        <f t="shared" si="708"/>
        <v/>
      </c>
      <c r="AC1448" s="53" t="e">
        <f t="shared" si="709"/>
        <v>#VALUE!</v>
      </c>
      <c r="AD1448" s="103"/>
      <c r="AE1448" s="103"/>
      <c r="AF1448" s="103"/>
      <c r="AG1448" s="104"/>
      <c r="AH1448" s="105"/>
      <c r="AI1448" s="104"/>
      <c r="AJ1448" s="105" t="str">
        <f t="shared" si="713"/>
        <v/>
      </c>
      <c r="AK1448" s="104"/>
      <c r="AL1448" s="105" t="str">
        <f t="shared" si="714"/>
        <v/>
      </c>
      <c r="AM1448" s="104"/>
      <c r="AN1448" s="105" t="str">
        <f t="shared" si="715"/>
        <v/>
      </c>
      <c r="AO1448" s="104"/>
      <c r="AP1448" s="105" t="str">
        <f t="shared" si="716"/>
        <v/>
      </c>
      <c r="AQ1448" s="104"/>
      <c r="AR1448" s="105" t="str">
        <f t="shared" si="717"/>
        <v/>
      </c>
      <c r="AS1448" s="106"/>
      <c r="AT1448" s="107"/>
      <c r="AU1448" s="107"/>
      <c r="AV1448" s="108"/>
      <c r="AW1448" s="109" t="str">
        <f t="shared" si="718"/>
        <v/>
      </c>
      <c r="AX1448" s="110" t="str">
        <f t="shared" si="719"/>
        <v/>
      </c>
      <c r="AY1448" s="109" t="str">
        <f t="shared" si="720"/>
        <v/>
      </c>
      <c r="AZ1448" s="110" t="str">
        <f t="shared" si="721"/>
        <v/>
      </c>
    </row>
    <row r="1449" spans="1:52" s="3" customFormat="1" hidden="1" x14ac:dyDescent="0.35">
      <c r="A1449" s="72">
        <f t="shared" si="692"/>
        <v>2019</v>
      </c>
      <c r="B1449" s="72" t="str">
        <f t="shared" si="697"/>
        <v>Nov</v>
      </c>
      <c r="C1449" s="73">
        <f t="shared" si="698"/>
        <v>24</v>
      </c>
      <c r="D1449" s="74">
        <f t="shared" si="699"/>
        <v>10</v>
      </c>
      <c r="E1449" s="75">
        <f t="shared" si="695"/>
        <v>24</v>
      </c>
      <c r="F1449" s="79"/>
      <c r="G1449" s="82"/>
      <c r="H1449" s="68" t="str">
        <f t="shared" si="700"/>
        <v>Lacine13_20191124_10_00</v>
      </c>
      <c r="I1449" s="69">
        <f t="shared" ref="I1449:N1449" si="727">I1448</f>
        <v>1</v>
      </c>
      <c r="J1449" s="76" t="str">
        <f t="shared" si="727"/>
        <v>Lactuca</v>
      </c>
      <c r="K1449" s="76" t="str">
        <f t="shared" si="727"/>
        <v>inermis</v>
      </c>
      <c r="L1449" s="77">
        <f t="shared" si="727"/>
        <v>13</v>
      </c>
      <c r="M1449" s="77">
        <f t="shared" si="727"/>
        <v>0</v>
      </c>
      <c r="N1449" s="71">
        <f t="shared" si="727"/>
        <v>0</v>
      </c>
      <c r="O1449" s="44"/>
      <c r="P1449" s="45" t="str">
        <f t="shared" si="702"/>
        <v/>
      </c>
      <c r="Q1449" s="46" t="str">
        <f t="shared" si="703"/>
        <v/>
      </c>
      <c r="R1449" s="47" t="e">
        <f t="shared" si="704"/>
        <v>#VALUE!</v>
      </c>
      <c r="S1449" s="48" t="e">
        <f t="shared" si="705"/>
        <v>#VALUE!</v>
      </c>
      <c r="T1449" s="47" t="str">
        <f t="shared" si="706"/>
        <v/>
      </c>
      <c r="U1449" s="49"/>
      <c r="V1449" s="50"/>
      <c r="W1449" s="51"/>
      <c r="X1449" s="52"/>
      <c r="Y1449" s="52"/>
      <c r="Z1449" s="52"/>
      <c r="AA1449" s="47"/>
      <c r="AB1449" s="47" t="str">
        <f t="shared" si="708"/>
        <v/>
      </c>
      <c r="AC1449" s="53" t="e">
        <f t="shared" si="709"/>
        <v>#VALUE!</v>
      </c>
      <c r="AD1449" s="54"/>
      <c r="AE1449" s="54"/>
      <c r="AF1449" s="54"/>
      <c r="AG1449" s="55"/>
      <c r="AH1449" s="56"/>
      <c r="AI1449" s="55"/>
      <c r="AJ1449" s="56" t="str">
        <f t="shared" si="713"/>
        <v/>
      </c>
      <c r="AK1449" s="55"/>
      <c r="AL1449" s="56" t="str">
        <f t="shared" si="714"/>
        <v/>
      </c>
      <c r="AM1449" s="55"/>
      <c r="AN1449" s="56" t="str">
        <f t="shared" si="715"/>
        <v/>
      </c>
      <c r="AO1449" s="55"/>
      <c r="AP1449" s="56" t="str">
        <f t="shared" si="716"/>
        <v/>
      </c>
      <c r="AQ1449" s="55"/>
      <c r="AR1449" s="56" t="str">
        <f t="shared" si="717"/>
        <v/>
      </c>
      <c r="AS1449" s="57"/>
      <c r="AT1449" s="58"/>
      <c r="AU1449" s="58"/>
      <c r="AV1449" s="59"/>
      <c r="AW1449" s="60" t="str">
        <f t="shared" si="718"/>
        <v/>
      </c>
      <c r="AX1449" s="61" t="str">
        <f t="shared" si="719"/>
        <v/>
      </c>
      <c r="AY1449" s="60" t="str">
        <f t="shared" si="720"/>
        <v/>
      </c>
      <c r="AZ1449" s="61" t="str">
        <f t="shared" si="721"/>
        <v/>
      </c>
    </row>
    <row r="1450" spans="1:52" s="3" customFormat="1" ht="15" hidden="1" thickBot="1" x14ac:dyDescent="0.4">
      <c r="A1450" s="85">
        <f t="shared" si="692"/>
        <v>2019</v>
      </c>
      <c r="B1450" s="85" t="str">
        <f t="shared" si="697"/>
        <v>Nov</v>
      </c>
      <c r="C1450" s="86">
        <f t="shared" si="698"/>
        <v>24</v>
      </c>
      <c r="D1450" s="87">
        <f t="shared" si="699"/>
        <v>10</v>
      </c>
      <c r="E1450" s="88">
        <f t="shared" si="695"/>
        <v>25</v>
      </c>
      <c r="F1450" s="89"/>
      <c r="G1450" s="90"/>
      <c r="H1450" s="68" t="str">
        <f t="shared" si="700"/>
        <v>Lacine13_20191124_10_00</v>
      </c>
      <c r="I1450" s="91">
        <f t="shared" ref="I1450:N1450" si="728">I1449</f>
        <v>1</v>
      </c>
      <c r="J1450" s="92" t="str">
        <f t="shared" si="728"/>
        <v>Lactuca</v>
      </c>
      <c r="K1450" s="92" t="str">
        <f t="shared" si="728"/>
        <v>inermis</v>
      </c>
      <c r="L1450" s="93">
        <f t="shared" si="728"/>
        <v>13</v>
      </c>
      <c r="M1450" s="93">
        <f t="shared" si="728"/>
        <v>0</v>
      </c>
      <c r="N1450" s="94">
        <f t="shared" si="728"/>
        <v>0</v>
      </c>
      <c r="O1450" s="95"/>
      <c r="P1450" s="96" t="str">
        <f t="shared" si="702"/>
        <v/>
      </c>
      <c r="Q1450" s="97" t="str">
        <f t="shared" si="703"/>
        <v/>
      </c>
      <c r="R1450" s="98" t="e">
        <f t="shared" si="704"/>
        <v>#VALUE!</v>
      </c>
      <c r="S1450" s="98" t="e">
        <f t="shared" si="705"/>
        <v>#VALUE!</v>
      </c>
      <c r="T1450" s="98" t="str">
        <f t="shared" si="706"/>
        <v/>
      </c>
      <c r="U1450" s="99"/>
      <c r="V1450" s="100"/>
      <c r="W1450" s="101" t="e">
        <f t="shared" si="707"/>
        <v>#VALUE!</v>
      </c>
      <c r="X1450" s="102"/>
      <c r="Y1450" s="122"/>
      <c r="Z1450" s="122"/>
      <c r="AA1450" s="47" t="e">
        <f>INDEX(VISITORS[INSECT ORDER], MATCH(X1450,VISITORS[NAME USED],0))</f>
        <v>#N/A</v>
      </c>
      <c r="AB1450" s="98" t="e">
        <f t="shared" si="708"/>
        <v>#N/A</v>
      </c>
      <c r="AC1450" s="53" t="e">
        <f t="shared" si="709"/>
        <v>#VALUE!</v>
      </c>
      <c r="AD1450" s="103" t="str">
        <f t="shared" si="710"/>
        <v/>
      </c>
      <c r="AE1450" s="103"/>
      <c r="AF1450" s="103"/>
      <c r="AG1450" s="104" t="str">
        <f t="shared" si="711"/>
        <v/>
      </c>
      <c r="AH1450" s="105" t="str">
        <f t="shared" si="712"/>
        <v/>
      </c>
      <c r="AI1450" s="104"/>
      <c r="AJ1450" s="105" t="str">
        <f t="shared" si="713"/>
        <v/>
      </c>
      <c r="AK1450" s="104"/>
      <c r="AL1450" s="105" t="str">
        <f t="shared" si="714"/>
        <v/>
      </c>
      <c r="AM1450" s="104"/>
      <c r="AN1450" s="105" t="str">
        <f t="shared" si="715"/>
        <v/>
      </c>
      <c r="AO1450" s="104"/>
      <c r="AP1450" s="105" t="str">
        <f t="shared" si="716"/>
        <v/>
      </c>
      <c r="AQ1450" s="104"/>
      <c r="AR1450" s="105" t="str">
        <f t="shared" si="717"/>
        <v/>
      </c>
      <c r="AS1450" s="106"/>
      <c r="AT1450" s="107"/>
      <c r="AU1450" s="107"/>
      <c r="AV1450" s="108"/>
      <c r="AW1450" s="109" t="str">
        <f t="shared" si="718"/>
        <v/>
      </c>
      <c r="AX1450" s="110" t="str">
        <f t="shared" si="719"/>
        <v/>
      </c>
      <c r="AY1450" s="109" t="str">
        <f t="shared" si="720"/>
        <v/>
      </c>
      <c r="AZ1450" s="110" t="str">
        <f t="shared" si="721"/>
        <v/>
      </c>
    </row>
    <row r="1451" spans="1:52" s="3" customFormat="1" hidden="1" x14ac:dyDescent="0.35">
      <c r="A1451" s="72">
        <f t="shared" si="692"/>
        <v>2019</v>
      </c>
      <c r="B1451" s="72" t="str">
        <f t="shared" si="697"/>
        <v>Nov</v>
      </c>
      <c r="C1451" s="73">
        <f t="shared" si="698"/>
        <v>24</v>
      </c>
      <c r="D1451" s="74">
        <f t="shared" si="699"/>
        <v>10</v>
      </c>
      <c r="E1451" s="75">
        <f t="shared" si="695"/>
        <v>26</v>
      </c>
      <c r="F1451" s="79"/>
      <c r="G1451" s="82"/>
      <c r="H1451" s="68" t="str">
        <f t="shared" si="700"/>
        <v>Lacine13_20191124_10_00</v>
      </c>
      <c r="I1451" s="69">
        <f t="shared" ref="I1451:N1451" si="729">I1450</f>
        <v>1</v>
      </c>
      <c r="J1451" s="76" t="str">
        <f t="shared" si="729"/>
        <v>Lactuca</v>
      </c>
      <c r="K1451" s="76" t="str">
        <f t="shared" si="729"/>
        <v>inermis</v>
      </c>
      <c r="L1451" s="77">
        <f t="shared" si="729"/>
        <v>13</v>
      </c>
      <c r="M1451" s="77">
        <f t="shared" si="729"/>
        <v>0</v>
      </c>
      <c r="N1451" s="71">
        <f t="shared" si="729"/>
        <v>0</v>
      </c>
      <c r="O1451" s="44"/>
      <c r="P1451" s="45" t="str">
        <f t="shared" si="702"/>
        <v/>
      </c>
      <c r="Q1451" s="46" t="str">
        <f t="shared" si="703"/>
        <v/>
      </c>
      <c r="R1451" s="47" t="e">
        <f t="shared" si="704"/>
        <v>#VALUE!</v>
      </c>
      <c r="S1451" s="48" t="e">
        <f t="shared" si="705"/>
        <v>#VALUE!</v>
      </c>
      <c r="T1451" s="47" t="str">
        <f t="shared" si="706"/>
        <v/>
      </c>
      <c r="U1451" s="49"/>
      <c r="V1451" s="50"/>
      <c r="W1451" s="51" t="e">
        <f t="shared" si="707"/>
        <v>#VALUE!</v>
      </c>
      <c r="X1451" s="52"/>
      <c r="Y1451" s="52"/>
      <c r="Z1451" s="52"/>
      <c r="AA1451" s="47" t="e">
        <f>INDEX(VISITORS[INSECT ORDER], MATCH(X1451,VISITORS[NAME USED],0))</f>
        <v>#N/A</v>
      </c>
      <c r="AB1451" s="47" t="e">
        <f t="shared" si="708"/>
        <v>#N/A</v>
      </c>
      <c r="AC1451" s="53" t="e">
        <f t="shared" si="709"/>
        <v>#VALUE!</v>
      </c>
      <c r="AD1451" s="54" t="str">
        <f t="shared" si="710"/>
        <v/>
      </c>
      <c r="AE1451" s="54"/>
      <c r="AF1451" s="54"/>
      <c r="AG1451" s="55" t="str">
        <f t="shared" si="711"/>
        <v/>
      </c>
      <c r="AH1451" s="56" t="str">
        <f t="shared" si="712"/>
        <v/>
      </c>
      <c r="AI1451" s="55"/>
      <c r="AJ1451" s="56" t="str">
        <f t="shared" si="713"/>
        <v/>
      </c>
      <c r="AK1451" s="55"/>
      <c r="AL1451" s="56" t="str">
        <f t="shared" si="714"/>
        <v/>
      </c>
      <c r="AM1451" s="55"/>
      <c r="AN1451" s="56" t="str">
        <f t="shared" si="715"/>
        <v/>
      </c>
      <c r="AO1451" s="55"/>
      <c r="AP1451" s="56" t="str">
        <f t="shared" si="716"/>
        <v/>
      </c>
      <c r="AQ1451" s="55"/>
      <c r="AR1451" s="56" t="str">
        <f t="shared" si="717"/>
        <v/>
      </c>
      <c r="AS1451" s="57"/>
      <c r="AT1451" s="58"/>
      <c r="AU1451" s="58"/>
      <c r="AV1451" s="59"/>
      <c r="AW1451" s="60" t="str">
        <f t="shared" si="718"/>
        <v/>
      </c>
      <c r="AX1451" s="61" t="str">
        <f t="shared" si="719"/>
        <v/>
      </c>
      <c r="AY1451" s="60" t="str">
        <f t="shared" si="720"/>
        <v/>
      </c>
      <c r="AZ1451" s="61" t="str">
        <f t="shared" si="721"/>
        <v/>
      </c>
    </row>
    <row r="1452" spans="1:52" s="3" customFormat="1" ht="15" hidden="1" thickBot="1" x14ac:dyDescent="0.4">
      <c r="A1452" s="85">
        <f t="shared" si="692"/>
        <v>2019</v>
      </c>
      <c r="B1452" s="85" t="str">
        <f t="shared" si="697"/>
        <v>Nov</v>
      </c>
      <c r="C1452" s="86">
        <f t="shared" si="698"/>
        <v>24</v>
      </c>
      <c r="D1452" s="87">
        <f t="shared" si="699"/>
        <v>10</v>
      </c>
      <c r="E1452" s="88">
        <f t="shared" si="695"/>
        <v>27</v>
      </c>
      <c r="F1452" s="89"/>
      <c r="G1452" s="90"/>
      <c r="H1452" s="68" t="str">
        <f t="shared" si="700"/>
        <v>Lacine13_20191124_10_00</v>
      </c>
      <c r="I1452" s="91">
        <f t="shared" ref="I1452:N1452" si="730">I1451</f>
        <v>1</v>
      </c>
      <c r="J1452" s="92" t="str">
        <f t="shared" si="730"/>
        <v>Lactuca</v>
      </c>
      <c r="K1452" s="92" t="str">
        <f t="shared" si="730"/>
        <v>inermis</v>
      </c>
      <c r="L1452" s="93">
        <f t="shared" si="730"/>
        <v>13</v>
      </c>
      <c r="M1452" s="93">
        <f t="shared" si="730"/>
        <v>0</v>
      </c>
      <c r="N1452" s="94">
        <f t="shared" si="730"/>
        <v>0</v>
      </c>
      <c r="O1452" s="95"/>
      <c r="P1452" s="96" t="str">
        <f t="shared" si="702"/>
        <v/>
      </c>
      <c r="Q1452" s="97" t="str">
        <f t="shared" si="703"/>
        <v/>
      </c>
      <c r="R1452" s="98" t="e">
        <f t="shared" si="704"/>
        <v>#VALUE!</v>
      </c>
      <c r="S1452" s="98" t="e">
        <f t="shared" si="705"/>
        <v>#VALUE!</v>
      </c>
      <c r="T1452" s="98" t="str">
        <f t="shared" si="706"/>
        <v/>
      </c>
      <c r="U1452" s="99"/>
      <c r="V1452" s="100"/>
      <c r="W1452" s="101" t="e">
        <f t="shared" si="707"/>
        <v>#VALUE!</v>
      </c>
      <c r="X1452" s="102"/>
      <c r="Y1452" s="122"/>
      <c r="Z1452" s="122"/>
      <c r="AA1452" s="47" t="e">
        <f>INDEX(VISITORS[INSECT ORDER], MATCH(X1452,VISITORS[NAME USED],0))</f>
        <v>#N/A</v>
      </c>
      <c r="AB1452" s="98" t="e">
        <f t="shared" si="708"/>
        <v>#N/A</v>
      </c>
      <c r="AC1452" s="53" t="e">
        <f t="shared" si="709"/>
        <v>#VALUE!</v>
      </c>
      <c r="AD1452" s="103" t="str">
        <f t="shared" si="710"/>
        <v/>
      </c>
      <c r="AE1452" s="103"/>
      <c r="AF1452" s="103"/>
      <c r="AG1452" s="104" t="str">
        <f t="shared" si="711"/>
        <v/>
      </c>
      <c r="AH1452" s="105" t="str">
        <f t="shared" si="712"/>
        <v/>
      </c>
      <c r="AI1452" s="104"/>
      <c r="AJ1452" s="105" t="str">
        <f t="shared" si="713"/>
        <v/>
      </c>
      <c r="AK1452" s="104"/>
      <c r="AL1452" s="105" t="str">
        <f t="shared" si="714"/>
        <v/>
      </c>
      <c r="AM1452" s="104"/>
      <c r="AN1452" s="105" t="str">
        <f t="shared" si="715"/>
        <v/>
      </c>
      <c r="AO1452" s="104"/>
      <c r="AP1452" s="105" t="str">
        <f t="shared" si="716"/>
        <v/>
      </c>
      <c r="AQ1452" s="104"/>
      <c r="AR1452" s="105" t="str">
        <f t="shared" si="717"/>
        <v/>
      </c>
      <c r="AS1452" s="106"/>
      <c r="AT1452" s="107"/>
      <c r="AU1452" s="107"/>
      <c r="AV1452" s="108"/>
      <c r="AW1452" s="109" t="str">
        <f t="shared" si="718"/>
        <v/>
      </c>
      <c r="AX1452" s="110" t="str">
        <f t="shared" si="719"/>
        <v/>
      </c>
      <c r="AY1452" s="109" t="str">
        <f t="shared" si="720"/>
        <v/>
      </c>
      <c r="AZ1452" s="110" t="str">
        <f t="shared" si="721"/>
        <v/>
      </c>
    </row>
    <row r="1453" spans="1:52" s="3" customFormat="1" hidden="1" x14ac:dyDescent="0.35">
      <c r="A1453" s="72">
        <f t="shared" si="692"/>
        <v>2019</v>
      </c>
      <c r="B1453" s="72" t="str">
        <f t="shared" si="697"/>
        <v>Nov</v>
      </c>
      <c r="C1453" s="73">
        <f t="shared" si="698"/>
        <v>24</v>
      </c>
      <c r="D1453" s="74">
        <f t="shared" si="699"/>
        <v>10</v>
      </c>
      <c r="E1453" s="75">
        <f t="shared" si="695"/>
        <v>28</v>
      </c>
      <c r="F1453" s="79"/>
      <c r="G1453" s="82"/>
      <c r="H1453" s="68" t="str">
        <f t="shared" si="700"/>
        <v>Lacine13_20191124_10_00</v>
      </c>
      <c r="I1453" s="69">
        <f t="shared" ref="I1453:N1453" si="731">I1452</f>
        <v>1</v>
      </c>
      <c r="J1453" s="76" t="str">
        <f t="shared" si="731"/>
        <v>Lactuca</v>
      </c>
      <c r="K1453" s="76" t="str">
        <f t="shared" si="731"/>
        <v>inermis</v>
      </c>
      <c r="L1453" s="77">
        <f t="shared" si="731"/>
        <v>13</v>
      </c>
      <c r="M1453" s="77">
        <f t="shared" si="731"/>
        <v>0</v>
      </c>
      <c r="N1453" s="71">
        <f t="shared" si="731"/>
        <v>0</v>
      </c>
      <c r="O1453" s="44"/>
      <c r="P1453" s="45" t="str">
        <f t="shared" si="702"/>
        <v/>
      </c>
      <c r="Q1453" s="46" t="str">
        <f t="shared" si="703"/>
        <v/>
      </c>
      <c r="R1453" s="47" t="e">
        <f t="shared" si="704"/>
        <v>#VALUE!</v>
      </c>
      <c r="S1453" s="48" t="e">
        <f t="shared" si="705"/>
        <v>#VALUE!</v>
      </c>
      <c r="T1453" s="47" t="str">
        <f t="shared" si="706"/>
        <v/>
      </c>
      <c r="U1453" s="49"/>
      <c r="V1453" s="50"/>
      <c r="W1453" s="51" t="e">
        <f t="shared" si="707"/>
        <v>#VALUE!</v>
      </c>
      <c r="X1453" s="52"/>
      <c r="Y1453" s="52"/>
      <c r="Z1453" s="52"/>
      <c r="AA1453" s="47" t="e">
        <f>INDEX(VISITORS[INSECT ORDER], MATCH(X1453,VISITORS[NAME USED],0))</f>
        <v>#N/A</v>
      </c>
      <c r="AB1453" s="47" t="e">
        <f t="shared" si="708"/>
        <v>#N/A</v>
      </c>
      <c r="AC1453" s="53" t="e">
        <f t="shared" si="709"/>
        <v>#VALUE!</v>
      </c>
      <c r="AD1453" s="54" t="str">
        <f t="shared" si="710"/>
        <v/>
      </c>
      <c r="AE1453" s="54"/>
      <c r="AF1453" s="54"/>
      <c r="AG1453" s="55" t="str">
        <f t="shared" si="711"/>
        <v/>
      </c>
      <c r="AH1453" s="56" t="str">
        <f t="shared" si="712"/>
        <v/>
      </c>
      <c r="AI1453" s="55"/>
      <c r="AJ1453" s="56" t="str">
        <f t="shared" si="713"/>
        <v/>
      </c>
      <c r="AK1453" s="55"/>
      <c r="AL1453" s="56" t="str">
        <f t="shared" si="714"/>
        <v/>
      </c>
      <c r="AM1453" s="55"/>
      <c r="AN1453" s="56" t="str">
        <f t="shared" si="715"/>
        <v/>
      </c>
      <c r="AO1453" s="55"/>
      <c r="AP1453" s="56" t="str">
        <f t="shared" si="716"/>
        <v/>
      </c>
      <c r="AQ1453" s="55"/>
      <c r="AR1453" s="56" t="str">
        <f t="shared" si="717"/>
        <v/>
      </c>
      <c r="AS1453" s="57"/>
      <c r="AT1453" s="58"/>
      <c r="AU1453" s="58"/>
      <c r="AV1453" s="59"/>
      <c r="AW1453" s="60" t="str">
        <f t="shared" si="718"/>
        <v/>
      </c>
      <c r="AX1453" s="61" t="str">
        <f t="shared" si="719"/>
        <v/>
      </c>
      <c r="AY1453" s="60" t="str">
        <f t="shared" si="720"/>
        <v/>
      </c>
      <c r="AZ1453" s="61" t="str">
        <f t="shared" si="721"/>
        <v/>
      </c>
    </row>
    <row r="1454" spans="1:52" s="3" customFormat="1" ht="15" hidden="1" thickBot="1" x14ac:dyDescent="0.4">
      <c r="A1454" s="85">
        <f t="shared" si="692"/>
        <v>2019</v>
      </c>
      <c r="B1454" s="85" t="str">
        <f t="shared" si="697"/>
        <v>Nov</v>
      </c>
      <c r="C1454" s="86">
        <f t="shared" si="698"/>
        <v>24</v>
      </c>
      <c r="D1454" s="87">
        <f t="shared" si="699"/>
        <v>10</v>
      </c>
      <c r="E1454" s="88">
        <f t="shared" si="695"/>
        <v>29</v>
      </c>
      <c r="F1454" s="89"/>
      <c r="G1454" s="90"/>
      <c r="H1454" s="68" t="str">
        <f t="shared" si="700"/>
        <v>Lacine13_20191124_10_00</v>
      </c>
      <c r="I1454" s="91">
        <f t="shared" ref="I1454:N1454" si="732">I1453</f>
        <v>1</v>
      </c>
      <c r="J1454" s="92" t="str">
        <f t="shared" si="732"/>
        <v>Lactuca</v>
      </c>
      <c r="K1454" s="92" t="str">
        <f t="shared" si="732"/>
        <v>inermis</v>
      </c>
      <c r="L1454" s="93">
        <f t="shared" si="732"/>
        <v>13</v>
      </c>
      <c r="M1454" s="93">
        <f t="shared" si="732"/>
        <v>0</v>
      </c>
      <c r="N1454" s="94">
        <f t="shared" si="732"/>
        <v>0</v>
      </c>
      <c r="O1454" s="95"/>
      <c r="P1454" s="96" t="str">
        <f t="shared" si="702"/>
        <v/>
      </c>
      <c r="Q1454" s="97" t="str">
        <f t="shared" si="703"/>
        <v/>
      </c>
      <c r="R1454" s="98" t="e">
        <f t="shared" si="704"/>
        <v>#VALUE!</v>
      </c>
      <c r="S1454" s="98" t="e">
        <f t="shared" si="705"/>
        <v>#VALUE!</v>
      </c>
      <c r="T1454" s="98" t="str">
        <f t="shared" si="706"/>
        <v/>
      </c>
      <c r="U1454" s="99"/>
      <c r="V1454" s="100"/>
      <c r="W1454" s="101" t="e">
        <f t="shared" si="707"/>
        <v>#VALUE!</v>
      </c>
      <c r="X1454" s="102"/>
      <c r="Y1454" s="122"/>
      <c r="Z1454" s="122"/>
      <c r="AA1454" s="47" t="e">
        <f>INDEX(VISITORS[INSECT ORDER], MATCH(X1454,VISITORS[NAME USED],0))</f>
        <v>#N/A</v>
      </c>
      <c r="AB1454" s="98" t="e">
        <f t="shared" si="708"/>
        <v>#N/A</v>
      </c>
      <c r="AC1454" s="53" t="e">
        <f t="shared" si="709"/>
        <v>#VALUE!</v>
      </c>
      <c r="AD1454" s="103" t="str">
        <f t="shared" si="710"/>
        <v/>
      </c>
      <c r="AE1454" s="103"/>
      <c r="AF1454" s="103"/>
      <c r="AG1454" s="104" t="str">
        <f t="shared" si="711"/>
        <v/>
      </c>
      <c r="AH1454" s="105" t="str">
        <f t="shared" si="712"/>
        <v/>
      </c>
      <c r="AI1454" s="104"/>
      <c r="AJ1454" s="105" t="str">
        <f t="shared" si="713"/>
        <v/>
      </c>
      <c r="AK1454" s="104"/>
      <c r="AL1454" s="105" t="str">
        <f t="shared" si="714"/>
        <v/>
      </c>
      <c r="AM1454" s="104"/>
      <c r="AN1454" s="105" t="str">
        <f t="shared" si="715"/>
        <v/>
      </c>
      <c r="AO1454" s="104"/>
      <c r="AP1454" s="105" t="str">
        <f t="shared" si="716"/>
        <v/>
      </c>
      <c r="AQ1454" s="104"/>
      <c r="AR1454" s="105" t="str">
        <f t="shared" si="717"/>
        <v/>
      </c>
      <c r="AS1454" s="106"/>
      <c r="AT1454" s="107"/>
      <c r="AU1454" s="107"/>
      <c r="AV1454" s="108"/>
      <c r="AW1454" s="109" t="str">
        <f t="shared" si="718"/>
        <v/>
      </c>
      <c r="AX1454" s="110" t="str">
        <f t="shared" si="719"/>
        <v/>
      </c>
      <c r="AY1454" s="109" t="str">
        <f t="shared" si="720"/>
        <v/>
      </c>
      <c r="AZ1454" s="110" t="str">
        <f t="shared" si="721"/>
        <v/>
      </c>
    </row>
    <row r="1455" spans="1:52" s="3" customFormat="1" hidden="1" x14ac:dyDescent="0.35">
      <c r="A1455" s="72">
        <f t="shared" si="692"/>
        <v>2019</v>
      </c>
      <c r="B1455" s="72" t="str">
        <f t="shared" si="697"/>
        <v>Nov</v>
      </c>
      <c r="C1455" s="73">
        <f t="shared" si="698"/>
        <v>24</v>
      </c>
      <c r="D1455" s="74">
        <f t="shared" si="699"/>
        <v>10</v>
      </c>
      <c r="E1455" s="75">
        <f t="shared" si="695"/>
        <v>30</v>
      </c>
      <c r="F1455" s="79"/>
      <c r="G1455" s="82"/>
      <c r="H1455" s="68" t="str">
        <f t="shared" si="700"/>
        <v>Lacine13_20191124_10_00</v>
      </c>
      <c r="I1455" s="69">
        <f t="shared" ref="I1455:N1455" si="733">I1454</f>
        <v>1</v>
      </c>
      <c r="J1455" s="76" t="str">
        <f t="shared" si="733"/>
        <v>Lactuca</v>
      </c>
      <c r="K1455" s="76" t="str">
        <f t="shared" si="733"/>
        <v>inermis</v>
      </c>
      <c r="L1455" s="77">
        <f t="shared" si="733"/>
        <v>13</v>
      </c>
      <c r="M1455" s="77">
        <f t="shared" si="733"/>
        <v>0</v>
      </c>
      <c r="N1455" s="71">
        <f t="shared" si="733"/>
        <v>0</v>
      </c>
      <c r="O1455" s="44"/>
      <c r="P1455" s="45" t="str">
        <f t="shared" si="702"/>
        <v/>
      </c>
      <c r="Q1455" s="46" t="str">
        <f t="shared" si="703"/>
        <v/>
      </c>
      <c r="R1455" s="47" t="e">
        <f t="shared" si="704"/>
        <v>#VALUE!</v>
      </c>
      <c r="S1455" s="48" t="e">
        <f t="shared" si="705"/>
        <v>#VALUE!</v>
      </c>
      <c r="T1455" s="47" t="str">
        <f t="shared" si="706"/>
        <v/>
      </c>
      <c r="U1455" s="49"/>
      <c r="V1455" s="50"/>
      <c r="W1455" s="51" t="e">
        <f t="shared" si="707"/>
        <v>#VALUE!</v>
      </c>
      <c r="X1455" s="52"/>
      <c r="Y1455" s="52"/>
      <c r="Z1455" s="52"/>
      <c r="AA1455" s="47" t="e">
        <f>INDEX(VISITORS[INSECT ORDER], MATCH(X1455,VISITORS[NAME USED],0))</f>
        <v>#N/A</v>
      </c>
      <c r="AB1455" s="47" t="e">
        <f t="shared" si="708"/>
        <v>#N/A</v>
      </c>
      <c r="AC1455" s="53" t="e">
        <f t="shared" si="709"/>
        <v>#VALUE!</v>
      </c>
      <c r="AD1455" s="54" t="str">
        <f t="shared" si="710"/>
        <v/>
      </c>
      <c r="AE1455" s="54"/>
      <c r="AF1455" s="54"/>
      <c r="AG1455" s="55" t="str">
        <f t="shared" si="711"/>
        <v/>
      </c>
      <c r="AH1455" s="56" t="str">
        <f t="shared" si="712"/>
        <v/>
      </c>
      <c r="AI1455" s="55"/>
      <c r="AJ1455" s="56" t="str">
        <f t="shared" si="713"/>
        <v/>
      </c>
      <c r="AK1455" s="55"/>
      <c r="AL1455" s="56" t="str">
        <f t="shared" si="714"/>
        <v/>
      </c>
      <c r="AM1455" s="55"/>
      <c r="AN1455" s="56" t="str">
        <f t="shared" si="715"/>
        <v/>
      </c>
      <c r="AO1455" s="55"/>
      <c r="AP1455" s="56" t="str">
        <f t="shared" si="716"/>
        <v/>
      </c>
      <c r="AQ1455" s="55"/>
      <c r="AR1455" s="56" t="str">
        <f t="shared" si="717"/>
        <v/>
      </c>
      <c r="AS1455" s="57"/>
      <c r="AT1455" s="58"/>
      <c r="AU1455" s="58"/>
      <c r="AV1455" s="59"/>
      <c r="AW1455" s="60" t="str">
        <f t="shared" si="718"/>
        <v/>
      </c>
      <c r="AX1455" s="61" t="str">
        <f t="shared" si="719"/>
        <v/>
      </c>
      <c r="AY1455" s="60" t="str">
        <f t="shared" si="720"/>
        <v/>
      </c>
      <c r="AZ1455" s="61" t="str">
        <f t="shared" si="721"/>
        <v/>
      </c>
    </row>
    <row r="1456" spans="1:52" s="3" customFormat="1" ht="15" hidden="1" thickBot="1" x14ac:dyDescent="0.4">
      <c r="A1456" s="85">
        <f t="shared" si="692"/>
        <v>2019</v>
      </c>
      <c r="B1456" s="85" t="str">
        <f t="shared" si="697"/>
        <v>Nov</v>
      </c>
      <c r="C1456" s="86">
        <f t="shared" si="698"/>
        <v>24</v>
      </c>
      <c r="D1456" s="87">
        <f t="shared" si="699"/>
        <v>10</v>
      </c>
      <c r="E1456" s="88">
        <f t="shared" si="695"/>
        <v>31</v>
      </c>
      <c r="F1456" s="89"/>
      <c r="G1456" s="90"/>
      <c r="H1456" s="68" t="str">
        <f t="shared" si="700"/>
        <v>Lacine13_20191124_10_00</v>
      </c>
      <c r="I1456" s="91">
        <f t="shared" ref="I1456:N1456" si="734">I1455</f>
        <v>1</v>
      </c>
      <c r="J1456" s="92" t="str">
        <f t="shared" si="734"/>
        <v>Lactuca</v>
      </c>
      <c r="K1456" s="92" t="str">
        <f t="shared" si="734"/>
        <v>inermis</v>
      </c>
      <c r="L1456" s="93">
        <f t="shared" si="734"/>
        <v>13</v>
      </c>
      <c r="M1456" s="93">
        <f t="shared" si="734"/>
        <v>0</v>
      </c>
      <c r="N1456" s="94">
        <f t="shared" si="734"/>
        <v>0</v>
      </c>
      <c r="O1456" s="95"/>
      <c r="P1456" s="96" t="str">
        <f t="shared" si="702"/>
        <v/>
      </c>
      <c r="Q1456" s="97" t="str">
        <f t="shared" si="703"/>
        <v/>
      </c>
      <c r="R1456" s="98" t="e">
        <f t="shared" si="704"/>
        <v>#VALUE!</v>
      </c>
      <c r="S1456" s="98" t="e">
        <f t="shared" si="705"/>
        <v>#VALUE!</v>
      </c>
      <c r="T1456" s="98" t="str">
        <f t="shared" si="706"/>
        <v/>
      </c>
      <c r="U1456" s="99"/>
      <c r="V1456" s="100"/>
      <c r="W1456" s="101" t="e">
        <f t="shared" si="707"/>
        <v>#VALUE!</v>
      </c>
      <c r="X1456" s="102"/>
      <c r="Y1456" s="122"/>
      <c r="Z1456" s="122"/>
      <c r="AA1456" s="47" t="e">
        <f>INDEX(VISITORS[INSECT ORDER], MATCH(X1456,VISITORS[NAME USED],0))</f>
        <v>#N/A</v>
      </c>
      <c r="AB1456" s="98" t="e">
        <f t="shared" si="708"/>
        <v>#N/A</v>
      </c>
      <c r="AC1456" s="53" t="e">
        <f t="shared" si="709"/>
        <v>#VALUE!</v>
      </c>
      <c r="AD1456" s="103" t="str">
        <f t="shared" si="710"/>
        <v/>
      </c>
      <c r="AE1456" s="103"/>
      <c r="AF1456" s="103"/>
      <c r="AG1456" s="104" t="str">
        <f t="shared" si="711"/>
        <v/>
      </c>
      <c r="AH1456" s="105" t="str">
        <f t="shared" si="712"/>
        <v/>
      </c>
      <c r="AI1456" s="104"/>
      <c r="AJ1456" s="105" t="str">
        <f t="shared" si="713"/>
        <v/>
      </c>
      <c r="AK1456" s="104"/>
      <c r="AL1456" s="105" t="str">
        <f t="shared" si="714"/>
        <v/>
      </c>
      <c r="AM1456" s="104"/>
      <c r="AN1456" s="105" t="str">
        <f t="shared" si="715"/>
        <v/>
      </c>
      <c r="AO1456" s="104"/>
      <c r="AP1456" s="105" t="str">
        <f t="shared" si="716"/>
        <v/>
      </c>
      <c r="AQ1456" s="104"/>
      <c r="AR1456" s="105" t="str">
        <f t="shared" si="717"/>
        <v/>
      </c>
      <c r="AS1456" s="106"/>
      <c r="AT1456" s="107"/>
      <c r="AU1456" s="107"/>
      <c r="AV1456" s="108"/>
      <c r="AW1456" s="109" t="str">
        <f t="shared" si="718"/>
        <v/>
      </c>
      <c r="AX1456" s="110" t="str">
        <f t="shared" si="719"/>
        <v/>
      </c>
      <c r="AY1456" s="109" t="str">
        <f t="shared" si="720"/>
        <v/>
      </c>
      <c r="AZ1456" s="110" t="str">
        <f t="shared" si="721"/>
        <v/>
      </c>
    </row>
    <row r="1457" spans="1:52" s="3" customFormat="1" hidden="1" x14ac:dyDescent="0.35">
      <c r="A1457" s="72">
        <f t="shared" si="692"/>
        <v>2019</v>
      </c>
      <c r="B1457" s="72" t="str">
        <f t="shared" si="697"/>
        <v>Nov</v>
      </c>
      <c r="C1457" s="73">
        <f t="shared" si="698"/>
        <v>24</v>
      </c>
      <c r="D1457" s="74">
        <f t="shared" si="699"/>
        <v>10</v>
      </c>
      <c r="E1457" s="75">
        <f t="shared" si="695"/>
        <v>32</v>
      </c>
      <c r="F1457" s="79"/>
      <c r="G1457" s="82"/>
      <c r="H1457" s="68" t="str">
        <f t="shared" si="700"/>
        <v>Lacine13_20191124_10_00</v>
      </c>
      <c r="I1457" s="69">
        <f t="shared" ref="I1457:N1457" si="735">I1456</f>
        <v>1</v>
      </c>
      <c r="J1457" s="76" t="str">
        <f t="shared" si="735"/>
        <v>Lactuca</v>
      </c>
      <c r="K1457" s="76" t="str">
        <f t="shared" si="735"/>
        <v>inermis</v>
      </c>
      <c r="L1457" s="77">
        <f t="shared" si="735"/>
        <v>13</v>
      </c>
      <c r="M1457" s="77">
        <f t="shared" si="735"/>
        <v>0</v>
      </c>
      <c r="N1457" s="71">
        <f t="shared" si="735"/>
        <v>0</v>
      </c>
      <c r="O1457" s="44"/>
      <c r="P1457" s="45" t="str">
        <f t="shared" si="702"/>
        <v/>
      </c>
      <c r="Q1457" s="46" t="str">
        <f t="shared" si="703"/>
        <v/>
      </c>
      <c r="R1457" s="47" t="e">
        <f t="shared" si="704"/>
        <v>#VALUE!</v>
      </c>
      <c r="S1457" s="48" t="e">
        <f t="shared" si="705"/>
        <v>#VALUE!</v>
      </c>
      <c r="T1457" s="47" t="str">
        <f t="shared" si="706"/>
        <v/>
      </c>
      <c r="U1457" s="49"/>
      <c r="V1457" s="50"/>
      <c r="W1457" s="51" t="e">
        <f t="shared" si="707"/>
        <v>#VALUE!</v>
      </c>
      <c r="X1457" s="52"/>
      <c r="Y1457" s="52"/>
      <c r="Z1457" s="52"/>
      <c r="AA1457" s="47" t="e">
        <f>INDEX(VISITORS[INSECT ORDER], MATCH(X1457,VISITORS[NAME USED],0))</f>
        <v>#N/A</v>
      </c>
      <c r="AB1457" s="47" t="e">
        <f t="shared" si="708"/>
        <v>#N/A</v>
      </c>
      <c r="AC1457" s="53" t="e">
        <f t="shared" si="709"/>
        <v>#VALUE!</v>
      </c>
      <c r="AD1457" s="54" t="str">
        <f t="shared" si="710"/>
        <v/>
      </c>
      <c r="AE1457" s="54"/>
      <c r="AF1457" s="54"/>
      <c r="AG1457" s="55" t="str">
        <f t="shared" si="711"/>
        <v/>
      </c>
      <c r="AH1457" s="56" t="str">
        <f t="shared" si="712"/>
        <v/>
      </c>
      <c r="AI1457" s="55"/>
      <c r="AJ1457" s="56" t="str">
        <f t="shared" si="713"/>
        <v/>
      </c>
      <c r="AK1457" s="55"/>
      <c r="AL1457" s="56" t="str">
        <f t="shared" si="714"/>
        <v/>
      </c>
      <c r="AM1457" s="55"/>
      <c r="AN1457" s="56" t="str">
        <f t="shared" si="715"/>
        <v/>
      </c>
      <c r="AO1457" s="55"/>
      <c r="AP1457" s="56" t="str">
        <f t="shared" si="716"/>
        <v/>
      </c>
      <c r="AQ1457" s="55"/>
      <c r="AR1457" s="56" t="str">
        <f t="shared" si="717"/>
        <v/>
      </c>
      <c r="AS1457" s="57"/>
      <c r="AT1457" s="58"/>
      <c r="AU1457" s="58"/>
      <c r="AV1457" s="59"/>
      <c r="AW1457" s="60" t="str">
        <f t="shared" si="718"/>
        <v/>
      </c>
      <c r="AX1457" s="61" t="str">
        <f t="shared" si="719"/>
        <v/>
      </c>
      <c r="AY1457" s="60" t="str">
        <f t="shared" si="720"/>
        <v/>
      </c>
      <c r="AZ1457" s="61" t="str">
        <f t="shared" si="721"/>
        <v/>
      </c>
    </row>
    <row r="1458" spans="1:52" s="3" customFormat="1" ht="15" hidden="1" thickBot="1" x14ac:dyDescent="0.4">
      <c r="A1458" s="85">
        <f t="shared" si="692"/>
        <v>2019</v>
      </c>
      <c r="B1458" s="85" t="str">
        <f t="shared" si="697"/>
        <v>Nov</v>
      </c>
      <c r="C1458" s="86">
        <f t="shared" si="698"/>
        <v>24</v>
      </c>
      <c r="D1458" s="87">
        <f t="shared" si="699"/>
        <v>10</v>
      </c>
      <c r="E1458" s="88">
        <f t="shared" si="695"/>
        <v>33</v>
      </c>
      <c r="F1458" s="89"/>
      <c r="G1458" s="90"/>
      <c r="H1458" s="68" t="str">
        <f t="shared" si="700"/>
        <v>Lacine13_20191124_10_00</v>
      </c>
      <c r="I1458" s="91">
        <f t="shared" ref="I1458:N1458" si="736">I1457</f>
        <v>1</v>
      </c>
      <c r="J1458" s="92" t="str">
        <f t="shared" si="736"/>
        <v>Lactuca</v>
      </c>
      <c r="K1458" s="92" t="str">
        <f t="shared" si="736"/>
        <v>inermis</v>
      </c>
      <c r="L1458" s="93">
        <f t="shared" si="736"/>
        <v>13</v>
      </c>
      <c r="M1458" s="93">
        <f t="shared" si="736"/>
        <v>0</v>
      </c>
      <c r="N1458" s="94">
        <f t="shared" si="736"/>
        <v>0</v>
      </c>
      <c r="O1458" s="95"/>
      <c r="P1458" s="96" t="str">
        <f t="shared" si="702"/>
        <v/>
      </c>
      <c r="Q1458" s="97" t="str">
        <f t="shared" si="703"/>
        <v/>
      </c>
      <c r="R1458" s="98" t="e">
        <f t="shared" si="704"/>
        <v>#VALUE!</v>
      </c>
      <c r="S1458" s="98" t="e">
        <f t="shared" si="705"/>
        <v>#VALUE!</v>
      </c>
      <c r="T1458" s="98" t="str">
        <f t="shared" si="706"/>
        <v/>
      </c>
      <c r="U1458" s="99"/>
      <c r="V1458" s="100"/>
      <c r="W1458" s="101" t="e">
        <f t="shared" si="707"/>
        <v>#VALUE!</v>
      </c>
      <c r="X1458" s="102"/>
      <c r="Y1458" s="122"/>
      <c r="Z1458" s="122"/>
      <c r="AA1458" s="47" t="e">
        <f>INDEX(VISITORS[INSECT ORDER], MATCH(X1458,VISITORS[NAME USED],0))</f>
        <v>#N/A</v>
      </c>
      <c r="AB1458" s="98" t="e">
        <f t="shared" si="708"/>
        <v>#N/A</v>
      </c>
      <c r="AC1458" s="53" t="e">
        <f t="shared" si="709"/>
        <v>#VALUE!</v>
      </c>
      <c r="AD1458" s="103" t="str">
        <f t="shared" si="710"/>
        <v/>
      </c>
      <c r="AE1458" s="103"/>
      <c r="AF1458" s="103"/>
      <c r="AG1458" s="104" t="str">
        <f t="shared" si="711"/>
        <v/>
      </c>
      <c r="AH1458" s="105" t="str">
        <f t="shared" si="712"/>
        <v/>
      </c>
      <c r="AI1458" s="104"/>
      <c r="AJ1458" s="105" t="str">
        <f t="shared" si="713"/>
        <v/>
      </c>
      <c r="AK1458" s="104"/>
      <c r="AL1458" s="105" t="str">
        <f t="shared" si="714"/>
        <v/>
      </c>
      <c r="AM1458" s="104"/>
      <c r="AN1458" s="105" t="str">
        <f t="shared" si="715"/>
        <v/>
      </c>
      <c r="AO1458" s="104"/>
      <c r="AP1458" s="105" t="str">
        <f t="shared" si="716"/>
        <v/>
      </c>
      <c r="AQ1458" s="104"/>
      <c r="AR1458" s="105" t="str">
        <f t="shared" si="717"/>
        <v/>
      </c>
      <c r="AS1458" s="106"/>
      <c r="AT1458" s="107"/>
      <c r="AU1458" s="107"/>
      <c r="AV1458" s="108"/>
      <c r="AW1458" s="109" t="str">
        <f t="shared" si="718"/>
        <v/>
      </c>
      <c r="AX1458" s="110" t="str">
        <f t="shared" si="719"/>
        <v/>
      </c>
      <c r="AY1458" s="109" t="str">
        <f t="shared" si="720"/>
        <v/>
      </c>
      <c r="AZ1458" s="110" t="str">
        <f t="shared" si="721"/>
        <v/>
      </c>
    </row>
    <row r="1459" spans="1:52" s="3" customFormat="1" hidden="1" x14ac:dyDescent="0.35">
      <c r="A1459" s="72">
        <f t="shared" si="692"/>
        <v>2019</v>
      </c>
      <c r="B1459" s="72" t="str">
        <f t="shared" si="697"/>
        <v>Nov</v>
      </c>
      <c r="C1459" s="73">
        <f t="shared" si="698"/>
        <v>24</v>
      </c>
      <c r="D1459" s="74">
        <f t="shared" si="699"/>
        <v>10</v>
      </c>
      <c r="E1459" s="75">
        <f t="shared" si="695"/>
        <v>34</v>
      </c>
      <c r="F1459" s="79"/>
      <c r="G1459" s="82"/>
      <c r="H1459" s="68" t="str">
        <f t="shared" si="700"/>
        <v>Lacine13_20191124_10_00</v>
      </c>
      <c r="I1459" s="69">
        <f t="shared" ref="I1459:N1459" si="737">I1458</f>
        <v>1</v>
      </c>
      <c r="J1459" s="76" t="str">
        <f t="shared" si="737"/>
        <v>Lactuca</v>
      </c>
      <c r="K1459" s="76" t="str">
        <f t="shared" si="737"/>
        <v>inermis</v>
      </c>
      <c r="L1459" s="77">
        <f t="shared" si="737"/>
        <v>13</v>
      </c>
      <c r="M1459" s="77">
        <f t="shared" si="737"/>
        <v>0</v>
      </c>
      <c r="N1459" s="71">
        <f t="shared" si="737"/>
        <v>0</v>
      </c>
      <c r="O1459" s="44"/>
      <c r="P1459" s="45" t="str">
        <f t="shared" si="702"/>
        <v/>
      </c>
      <c r="Q1459" s="46" t="str">
        <f t="shared" si="703"/>
        <v/>
      </c>
      <c r="R1459" s="47" t="e">
        <f t="shared" si="704"/>
        <v>#VALUE!</v>
      </c>
      <c r="S1459" s="48" t="e">
        <f t="shared" si="705"/>
        <v>#VALUE!</v>
      </c>
      <c r="T1459" s="47" t="str">
        <f t="shared" si="706"/>
        <v/>
      </c>
      <c r="U1459" s="49"/>
      <c r="V1459" s="50"/>
      <c r="W1459" s="51" t="e">
        <f t="shared" si="707"/>
        <v>#VALUE!</v>
      </c>
      <c r="X1459" s="52"/>
      <c r="Y1459" s="52"/>
      <c r="Z1459" s="52"/>
      <c r="AA1459" s="47" t="e">
        <f>INDEX(VISITORS[INSECT ORDER], MATCH(X1459,VISITORS[NAME USED],0))</f>
        <v>#N/A</v>
      </c>
      <c r="AB1459" s="47" t="e">
        <f t="shared" si="708"/>
        <v>#N/A</v>
      </c>
      <c r="AC1459" s="53" t="e">
        <f t="shared" si="709"/>
        <v>#VALUE!</v>
      </c>
      <c r="AD1459" s="54" t="str">
        <f t="shared" si="710"/>
        <v/>
      </c>
      <c r="AE1459" s="54"/>
      <c r="AF1459" s="54"/>
      <c r="AG1459" s="55" t="str">
        <f t="shared" si="711"/>
        <v/>
      </c>
      <c r="AH1459" s="56" t="str">
        <f t="shared" si="712"/>
        <v/>
      </c>
      <c r="AI1459" s="55"/>
      <c r="AJ1459" s="56" t="str">
        <f t="shared" si="713"/>
        <v/>
      </c>
      <c r="AK1459" s="55"/>
      <c r="AL1459" s="56" t="str">
        <f t="shared" si="714"/>
        <v/>
      </c>
      <c r="AM1459" s="55"/>
      <c r="AN1459" s="56" t="str">
        <f t="shared" si="715"/>
        <v/>
      </c>
      <c r="AO1459" s="55"/>
      <c r="AP1459" s="56" t="str">
        <f t="shared" si="716"/>
        <v/>
      </c>
      <c r="AQ1459" s="55"/>
      <c r="AR1459" s="56" t="str">
        <f t="shared" si="717"/>
        <v/>
      </c>
      <c r="AS1459" s="57"/>
      <c r="AT1459" s="58"/>
      <c r="AU1459" s="58"/>
      <c r="AV1459" s="59"/>
      <c r="AW1459" s="60" t="str">
        <f t="shared" si="718"/>
        <v/>
      </c>
      <c r="AX1459" s="61" t="str">
        <f t="shared" si="719"/>
        <v/>
      </c>
      <c r="AY1459" s="60" t="str">
        <f t="shared" si="720"/>
        <v/>
      </c>
      <c r="AZ1459" s="61" t="str">
        <f t="shared" si="721"/>
        <v/>
      </c>
    </row>
    <row r="1460" spans="1:52" s="3" customFormat="1" ht="15" hidden="1" thickBot="1" x14ac:dyDescent="0.4">
      <c r="A1460" s="85">
        <f t="shared" si="692"/>
        <v>2019</v>
      </c>
      <c r="B1460" s="85" t="str">
        <f t="shared" si="697"/>
        <v>Nov</v>
      </c>
      <c r="C1460" s="86">
        <f t="shared" si="698"/>
        <v>24</v>
      </c>
      <c r="D1460" s="87">
        <f t="shared" si="699"/>
        <v>10</v>
      </c>
      <c r="E1460" s="88">
        <f t="shared" si="695"/>
        <v>35</v>
      </c>
      <c r="F1460" s="89"/>
      <c r="G1460" s="90"/>
      <c r="H1460" s="68" t="str">
        <f t="shared" si="700"/>
        <v>Lacine13_20191124_10_00</v>
      </c>
      <c r="I1460" s="91">
        <f t="shared" ref="I1460:N1460" si="738">I1459</f>
        <v>1</v>
      </c>
      <c r="J1460" s="92" t="str">
        <f t="shared" si="738"/>
        <v>Lactuca</v>
      </c>
      <c r="K1460" s="92" t="str">
        <f t="shared" si="738"/>
        <v>inermis</v>
      </c>
      <c r="L1460" s="93">
        <f t="shared" si="738"/>
        <v>13</v>
      </c>
      <c r="M1460" s="93">
        <f t="shared" si="738"/>
        <v>0</v>
      </c>
      <c r="N1460" s="94">
        <f t="shared" si="738"/>
        <v>0</v>
      </c>
      <c r="O1460" s="95"/>
      <c r="P1460" s="96" t="str">
        <f t="shared" si="702"/>
        <v/>
      </c>
      <c r="Q1460" s="97" t="str">
        <f t="shared" si="703"/>
        <v/>
      </c>
      <c r="R1460" s="98" t="e">
        <f t="shared" si="704"/>
        <v>#VALUE!</v>
      </c>
      <c r="S1460" s="98" t="e">
        <f t="shared" si="705"/>
        <v>#VALUE!</v>
      </c>
      <c r="T1460" s="98" t="str">
        <f t="shared" si="706"/>
        <v/>
      </c>
      <c r="U1460" s="99"/>
      <c r="V1460" s="100"/>
      <c r="W1460" s="101" t="e">
        <f t="shared" si="707"/>
        <v>#VALUE!</v>
      </c>
      <c r="X1460" s="102"/>
      <c r="Y1460" s="122"/>
      <c r="Z1460" s="122"/>
      <c r="AA1460" s="47" t="e">
        <f>INDEX(VISITORS[INSECT ORDER], MATCH(X1460,VISITORS[NAME USED],0))</f>
        <v>#N/A</v>
      </c>
      <c r="AB1460" s="98" t="e">
        <f t="shared" si="708"/>
        <v>#N/A</v>
      </c>
      <c r="AC1460" s="53" t="e">
        <f t="shared" si="709"/>
        <v>#VALUE!</v>
      </c>
      <c r="AD1460" s="103" t="str">
        <f t="shared" si="710"/>
        <v/>
      </c>
      <c r="AE1460" s="103"/>
      <c r="AF1460" s="103"/>
      <c r="AG1460" s="104" t="str">
        <f t="shared" si="711"/>
        <v/>
      </c>
      <c r="AH1460" s="105" t="str">
        <f t="shared" si="712"/>
        <v/>
      </c>
      <c r="AI1460" s="104"/>
      <c r="AJ1460" s="105" t="str">
        <f t="shared" si="713"/>
        <v/>
      </c>
      <c r="AK1460" s="104"/>
      <c r="AL1460" s="105" t="str">
        <f t="shared" si="714"/>
        <v/>
      </c>
      <c r="AM1460" s="104"/>
      <c r="AN1460" s="105" t="str">
        <f t="shared" si="715"/>
        <v/>
      </c>
      <c r="AO1460" s="104"/>
      <c r="AP1460" s="105" t="str">
        <f t="shared" si="716"/>
        <v/>
      </c>
      <c r="AQ1460" s="104"/>
      <c r="AR1460" s="105" t="str">
        <f t="shared" si="717"/>
        <v/>
      </c>
      <c r="AS1460" s="106"/>
      <c r="AT1460" s="107"/>
      <c r="AU1460" s="107"/>
      <c r="AV1460" s="108"/>
      <c r="AW1460" s="109" t="str">
        <f t="shared" si="718"/>
        <v/>
      </c>
      <c r="AX1460" s="110" t="str">
        <f t="shared" si="719"/>
        <v/>
      </c>
      <c r="AY1460" s="109" t="str">
        <f t="shared" si="720"/>
        <v/>
      </c>
      <c r="AZ1460" s="110" t="str">
        <f t="shared" si="721"/>
        <v/>
      </c>
    </row>
    <row r="1461" spans="1:52" s="3" customFormat="1" hidden="1" x14ac:dyDescent="0.35">
      <c r="A1461" s="72">
        <f t="shared" si="692"/>
        <v>2019</v>
      </c>
      <c r="B1461" s="72" t="str">
        <f t="shared" si="697"/>
        <v>Nov</v>
      </c>
      <c r="C1461" s="73">
        <f t="shared" si="698"/>
        <v>24</v>
      </c>
      <c r="D1461" s="74">
        <f t="shared" si="699"/>
        <v>10</v>
      </c>
      <c r="E1461" s="75">
        <f t="shared" si="695"/>
        <v>36</v>
      </c>
      <c r="F1461" s="79"/>
      <c r="G1461" s="82"/>
      <c r="H1461" s="68" t="str">
        <f t="shared" si="700"/>
        <v>Lacine13_20191124_10_00</v>
      </c>
      <c r="I1461" s="69">
        <f t="shared" ref="I1461:N1461" si="739">I1460</f>
        <v>1</v>
      </c>
      <c r="J1461" s="76" t="str">
        <f t="shared" si="739"/>
        <v>Lactuca</v>
      </c>
      <c r="K1461" s="76" t="str">
        <f t="shared" si="739"/>
        <v>inermis</v>
      </c>
      <c r="L1461" s="77">
        <f t="shared" si="739"/>
        <v>13</v>
      </c>
      <c r="M1461" s="77">
        <f t="shared" si="739"/>
        <v>0</v>
      </c>
      <c r="N1461" s="71">
        <f t="shared" si="739"/>
        <v>0</v>
      </c>
      <c r="O1461" s="44"/>
      <c r="P1461" s="45" t="str">
        <f t="shared" si="702"/>
        <v/>
      </c>
      <c r="Q1461" s="46" t="str">
        <f t="shared" si="703"/>
        <v/>
      </c>
      <c r="R1461" s="47" t="e">
        <f t="shared" si="704"/>
        <v>#VALUE!</v>
      </c>
      <c r="S1461" s="48" t="e">
        <f t="shared" si="705"/>
        <v>#VALUE!</v>
      </c>
      <c r="T1461" s="47" t="str">
        <f t="shared" si="706"/>
        <v/>
      </c>
      <c r="U1461" s="49"/>
      <c r="V1461" s="50"/>
      <c r="W1461" s="51" t="e">
        <f t="shared" si="707"/>
        <v>#VALUE!</v>
      </c>
      <c r="X1461" s="52"/>
      <c r="Y1461" s="52"/>
      <c r="Z1461" s="52"/>
      <c r="AA1461" s="47" t="e">
        <f>INDEX(VISITORS[INSECT ORDER], MATCH(X1461,VISITORS[NAME USED],0))</f>
        <v>#N/A</v>
      </c>
      <c r="AB1461" s="47" t="e">
        <f t="shared" si="708"/>
        <v>#N/A</v>
      </c>
      <c r="AC1461" s="53" t="e">
        <f t="shared" si="709"/>
        <v>#VALUE!</v>
      </c>
      <c r="AD1461" s="54" t="str">
        <f t="shared" si="710"/>
        <v/>
      </c>
      <c r="AE1461" s="54"/>
      <c r="AF1461" s="54"/>
      <c r="AG1461" s="55" t="str">
        <f t="shared" si="711"/>
        <v/>
      </c>
      <c r="AH1461" s="56" t="str">
        <f t="shared" si="712"/>
        <v/>
      </c>
      <c r="AI1461" s="55"/>
      <c r="AJ1461" s="56" t="str">
        <f t="shared" si="713"/>
        <v/>
      </c>
      <c r="AK1461" s="55"/>
      <c r="AL1461" s="56" t="str">
        <f t="shared" si="714"/>
        <v/>
      </c>
      <c r="AM1461" s="55"/>
      <c r="AN1461" s="56" t="str">
        <f t="shared" si="715"/>
        <v/>
      </c>
      <c r="AO1461" s="55"/>
      <c r="AP1461" s="56" t="str">
        <f t="shared" si="716"/>
        <v/>
      </c>
      <c r="AQ1461" s="55"/>
      <c r="AR1461" s="56" t="str">
        <f t="shared" si="717"/>
        <v/>
      </c>
      <c r="AS1461" s="57"/>
      <c r="AT1461" s="58"/>
      <c r="AU1461" s="58"/>
      <c r="AV1461" s="59"/>
      <c r="AW1461" s="60" t="str">
        <f t="shared" si="718"/>
        <v/>
      </c>
      <c r="AX1461" s="61" t="str">
        <f t="shared" si="719"/>
        <v/>
      </c>
      <c r="AY1461" s="60" t="str">
        <f t="shared" si="720"/>
        <v/>
      </c>
      <c r="AZ1461" s="61" t="str">
        <f t="shared" si="721"/>
        <v/>
      </c>
    </row>
  </sheetData>
  <sheetProtection formatCells="0" formatColumns="0" formatRows="0" sort="0" autoFilter="0"/>
  <protectedRanges>
    <protectedRange sqref="X3:Z3 AB3" name="Visitor ID_1"/>
    <protectedRange sqref="P3:P1461" name="Visitor arrival_1_1"/>
    <protectedRange sqref="W3:W1461"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62:P1048576" name="Visitor arrival_1"/>
    <protectedRange sqref="W1462:W1048576" name="Time of Departure"/>
    <protectedRange sqref="AA3:AA1048576" name="Visitor ID_2"/>
    <protectedRange sqref="AW1:AX1 AZ1:AZ1417 AW2:AY1417 AW1418:AZ1048576" name="Visitor behaviour_1_1"/>
  </protectedRanges>
  <autoFilter ref="A2:AZ1461"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61 A2:M2">
    <cfRule type="beginsWith" dxfId="14" priority="39" operator="beginsWith" text="NA">
      <formula>LEFT(A1,LEN("NA"))="NA"</formula>
    </cfRule>
  </conditionalFormatting>
  <conditionalFormatting sqref="A3:O1461">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61">
    <cfRule type="containsBlanks" dxfId="11" priority="40">
      <formula>LEN(TRIM(I1))=0</formula>
    </cfRule>
  </conditionalFormatting>
  <conditionalFormatting sqref="P2:S1461">
    <cfRule type="beginsWith" dxfId="10" priority="12" operator="beginsWith" text="NA">
      <formula>LEFT(P2,LEN("NA"))="NA"</formula>
    </cfRule>
  </conditionalFormatting>
  <conditionalFormatting sqref="R2:R1461 W2:W1461">
    <cfRule type="containsErrors" dxfId="9" priority="29">
      <formula>ISERROR(R2)</formula>
    </cfRule>
  </conditionalFormatting>
  <conditionalFormatting sqref="S1:S1048576">
    <cfRule type="containsErrors" dxfId="8" priority="13">
      <formula>ISERROR(S1)</formula>
    </cfRule>
  </conditionalFormatting>
  <conditionalFormatting sqref="W2:AA1461">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61">
    <cfRule type="beginsWith" dxfId="4" priority="28" operator="beginsWith" text="NA">
      <formula>LEFT(AB3,LEN("NA"))="NA"</formula>
    </cfRule>
  </conditionalFormatting>
  <conditionalFormatting sqref="AC3:AC1461">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61">
    <cfRule type="beginsWith" dxfId="1" priority="3" operator="beginsWith" text="NA">
      <formula>LEFT(AI3,LEN("NA"))="NA"</formula>
    </cfRule>
  </conditionalFormatting>
  <conditionalFormatting sqref="AV1:AW1 AK2:AZ1461">
    <cfRule type="beginsWith" dxfId="0" priority="1" operator="beginsWith" text="NA">
      <formula>LEFT(AK1,LEN("NA"))="NA"</formula>
    </cfRule>
  </conditionalFormatting>
  <dataValidations count="1">
    <dataValidation type="whole" operator="equal" allowBlank="1" showInputMessage="1" showErrorMessage="1" sqref="I3:I1461"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LacIne13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2023-09-11T16:01:31Z</dcterms:modified>
</cp:coreProperties>
</file>