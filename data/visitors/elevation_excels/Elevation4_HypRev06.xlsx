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18F61DE2-A1AC-48B6-B82F-38FA283E0DFD}" xr6:coauthVersionLast="47" xr6:coauthVersionMax="47" xr10:uidLastSave="{00000000-0000-0000-0000-000000000000}"/>
  <bookViews>
    <workbookView xWindow="-110" yWindow="-110" windowWidth="19420" windowHeight="10300" xr2:uid="{00000000-000D-0000-FFFF-FFFF00000000}"/>
  </bookViews>
  <sheets>
    <sheet name="HypRev06" sheetId="3" r:id="rId1"/>
    <sheet name="Morphospecies" sheetId="1" r:id="rId2"/>
  </sheets>
  <definedNames>
    <definedName name="_xlnm._FilterDatabase" localSheetId="0" hidden="1">HypRev06!$A$2:$AZ$1647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583" i="3" l="1"/>
  <c r="T1583" i="3" s="1"/>
  <c r="AA1583" i="3"/>
  <c r="AB1583" i="3" s="1"/>
  <c r="AG1583" i="3"/>
  <c r="AH1583" i="3" s="1"/>
  <c r="AJ1583" i="3"/>
  <c r="AL1583" i="3"/>
  <c r="AN1583" i="3"/>
  <c r="AP1583" i="3"/>
  <c r="AR1583" i="3"/>
  <c r="P1584" i="3"/>
  <c r="AD1584" i="3" s="1"/>
  <c r="AA1584" i="3"/>
  <c r="AB1584" i="3" s="1"/>
  <c r="AG1584" i="3"/>
  <c r="AH1584" i="3" s="1"/>
  <c r="AJ1584" i="3"/>
  <c r="AL1584" i="3"/>
  <c r="AN1584" i="3"/>
  <c r="AP1584" i="3"/>
  <c r="AR1584" i="3"/>
  <c r="P1585" i="3"/>
  <c r="T1585" i="3" s="1"/>
  <c r="AA1585" i="3"/>
  <c r="AB1585" i="3" s="1"/>
  <c r="AG1585" i="3"/>
  <c r="AH1585" i="3" s="1"/>
  <c r="AJ1585" i="3"/>
  <c r="AL1585" i="3"/>
  <c r="AN1585" i="3"/>
  <c r="AP1585" i="3"/>
  <c r="AR1585" i="3"/>
  <c r="P1586" i="3"/>
  <c r="T1586" i="3" s="1"/>
  <c r="AA1586" i="3"/>
  <c r="AB1586" i="3" s="1"/>
  <c r="AG1586" i="3"/>
  <c r="AH1586" i="3" s="1"/>
  <c r="AJ1586" i="3"/>
  <c r="AL1586" i="3"/>
  <c r="AN1586" i="3"/>
  <c r="AP1586" i="3"/>
  <c r="AR1586" i="3"/>
  <c r="P1587" i="3"/>
  <c r="T1587" i="3" s="1"/>
  <c r="AA1587" i="3"/>
  <c r="AB1587" i="3" s="1"/>
  <c r="AG1587" i="3"/>
  <c r="AH1587" i="3" s="1"/>
  <c r="AJ1587" i="3"/>
  <c r="AL1587" i="3"/>
  <c r="AN1587" i="3"/>
  <c r="AP1587" i="3"/>
  <c r="AR1587" i="3"/>
  <c r="P1588" i="3"/>
  <c r="Q1588" i="3" s="1"/>
  <c r="AA1588" i="3"/>
  <c r="AB1588" i="3" s="1"/>
  <c r="AG1588" i="3"/>
  <c r="AH1588" i="3" s="1"/>
  <c r="AJ1588" i="3"/>
  <c r="AL1588" i="3"/>
  <c r="AN1588" i="3"/>
  <c r="AP1588" i="3"/>
  <c r="AR1588" i="3"/>
  <c r="P1589" i="3"/>
  <c r="T1589" i="3" s="1"/>
  <c r="AA1589" i="3"/>
  <c r="AB1589" i="3" s="1"/>
  <c r="AG1589" i="3"/>
  <c r="AH1589" i="3" s="1"/>
  <c r="AJ1589" i="3"/>
  <c r="AL1589" i="3"/>
  <c r="AN1589" i="3"/>
  <c r="AP1589" i="3"/>
  <c r="AR1589" i="3"/>
  <c r="P1590" i="3"/>
  <c r="AW1590" i="3" s="1"/>
  <c r="AX1590" i="3" s="1"/>
  <c r="AA1590" i="3"/>
  <c r="AB1590" i="3" s="1"/>
  <c r="AG1590" i="3"/>
  <c r="AH1590" i="3" s="1"/>
  <c r="AJ1590" i="3"/>
  <c r="AL1590" i="3"/>
  <c r="AN1590" i="3"/>
  <c r="AP1590" i="3"/>
  <c r="AR1590" i="3"/>
  <c r="P1591" i="3"/>
  <c r="T1591" i="3" s="1"/>
  <c r="AA1591" i="3"/>
  <c r="AB1591" i="3" s="1"/>
  <c r="AG1591" i="3"/>
  <c r="AH1591" i="3" s="1"/>
  <c r="AJ1591" i="3"/>
  <c r="AL1591" i="3"/>
  <c r="AN1591" i="3"/>
  <c r="AP1591" i="3"/>
  <c r="AR1591" i="3"/>
  <c r="P1592" i="3"/>
  <c r="AD1592" i="3" s="1"/>
  <c r="AA1592" i="3"/>
  <c r="AB1592" i="3" s="1"/>
  <c r="AG1592" i="3"/>
  <c r="AH1592" i="3" s="1"/>
  <c r="AJ1592" i="3"/>
  <c r="AL1592" i="3"/>
  <c r="AN1592" i="3"/>
  <c r="AP1592" i="3"/>
  <c r="AR1592" i="3"/>
  <c r="P1593" i="3"/>
  <c r="T1593" i="3" s="1"/>
  <c r="AA1593" i="3"/>
  <c r="AB1593" i="3" s="1"/>
  <c r="AG1593" i="3"/>
  <c r="AH1593" i="3" s="1"/>
  <c r="AJ1593" i="3"/>
  <c r="AL1593" i="3"/>
  <c r="AN1593" i="3"/>
  <c r="AP1593" i="3"/>
  <c r="AR1593" i="3"/>
  <c r="P1594" i="3"/>
  <c r="AD1594" i="3" s="1"/>
  <c r="AA1594" i="3"/>
  <c r="AB1594" i="3" s="1"/>
  <c r="AG1594" i="3"/>
  <c r="AH1594" i="3" s="1"/>
  <c r="AJ1594" i="3"/>
  <c r="AL1594" i="3"/>
  <c r="AN1594" i="3"/>
  <c r="AP1594" i="3"/>
  <c r="AR1594" i="3"/>
  <c r="P1595" i="3"/>
  <c r="Q1595" i="3" s="1"/>
  <c r="AA1595" i="3"/>
  <c r="AB1595" i="3" s="1"/>
  <c r="AG1595" i="3"/>
  <c r="AH1595" i="3" s="1"/>
  <c r="AJ1595" i="3"/>
  <c r="AL1595" i="3"/>
  <c r="AN1595" i="3"/>
  <c r="AP1595" i="3"/>
  <c r="AR1595" i="3"/>
  <c r="P1596" i="3"/>
  <c r="T1596" i="3" s="1"/>
  <c r="AA1596" i="3"/>
  <c r="AB1596" i="3" s="1"/>
  <c r="AG1596" i="3"/>
  <c r="AH1596" i="3" s="1"/>
  <c r="AJ1596" i="3"/>
  <c r="AL1596" i="3"/>
  <c r="AN1596" i="3"/>
  <c r="AP1596" i="3"/>
  <c r="AR1596" i="3"/>
  <c r="P1597" i="3"/>
  <c r="AD1597" i="3" s="1"/>
  <c r="AA1597" i="3"/>
  <c r="AB1597" i="3" s="1"/>
  <c r="AG1597" i="3"/>
  <c r="AH1597" i="3" s="1"/>
  <c r="AJ1597" i="3"/>
  <c r="AL1597" i="3"/>
  <c r="AN1597" i="3"/>
  <c r="AP1597" i="3"/>
  <c r="AR1597" i="3"/>
  <c r="P1598" i="3"/>
  <c r="T1598" i="3" s="1"/>
  <c r="AA1598" i="3"/>
  <c r="AB1598" i="3" s="1"/>
  <c r="AG1598" i="3"/>
  <c r="AH1598" i="3" s="1"/>
  <c r="AJ1598" i="3"/>
  <c r="AL1598" i="3"/>
  <c r="AN1598" i="3"/>
  <c r="AP1598" i="3"/>
  <c r="AR1598" i="3"/>
  <c r="P1599" i="3"/>
  <c r="AD1599" i="3" s="1"/>
  <c r="AA1599" i="3"/>
  <c r="AB1599" i="3" s="1"/>
  <c r="AG1599" i="3"/>
  <c r="AH1599" i="3" s="1"/>
  <c r="AJ1599" i="3"/>
  <c r="AL1599" i="3"/>
  <c r="AN1599" i="3"/>
  <c r="AP1599" i="3"/>
  <c r="AR1599" i="3"/>
  <c r="P1600" i="3"/>
  <c r="T1600" i="3" s="1"/>
  <c r="AA1600" i="3"/>
  <c r="AB1600" i="3" s="1"/>
  <c r="AG1600" i="3"/>
  <c r="AH1600" i="3" s="1"/>
  <c r="AJ1600" i="3"/>
  <c r="AL1600" i="3"/>
  <c r="AN1600" i="3"/>
  <c r="AP1600" i="3"/>
  <c r="AR1600" i="3"/>
  <c r="P1601" i="3"/>
  <c r="AD1601" i="3" s="1"/>
  <c r="AA1601" i="3"/>
  <c r="AB1601" i="3" s="1"/>
  <c r="AG1601" i="3"/>
  <c r="AH1601" i="3" s="1"/>
  <c r="AJ1601" i="3"/>
  <c r="AL1601" i="3"/>
  <c r="AN1601" i="3"/>
  <c r="AP1601" i="3"/>
  <c r="AR1601" i="3"/>
  <c r="P1602" i="3"/>
  <c r="T1602" i="3" s="1"/>
  <c r="AA1602" i="3"/>
  <c r="AB1602" i="3" s="1"/>
  <c r="AG1602" i="3"/>
  <c r="AH1602" i="3" s="1"/>
  <c r="AJ1602" i="3"/>
  <c r="AL1602" i="3"/>
  <c r="AN1602" i="3"/>
  <c r="AP1602" i="3"/>
  <c r="AR1602" i="3"/>
  <c r="P1603" i="3"/>
  <c r="Q1603" i="3" s="1"/>
  <c r="AA1603" i="3"/>
  <c r="AB1603" i="3" s="1"/>
  <c r="AG1603" i="3"/>
  <c r="AH1603" i="3" s="1"/>
  <c r="AJ1603" i="3"/>
  <c r="AL1603" i="3"/>
  <c r="AN1603" i="3"/>
  <c r="AP1603" i="3"/>
  <c r="AR1603" i="3"/>
  <c r="P1604" i="3"/>
  <c r="T1604" i="3" s="1"/>
  <c r="AA1604" i="3"/>
  <c r="AB1604" i="3" s="1"/>
  <c r="AG1604" i="3"/>
  <c r="AH1604" i="3" s="1"/>
  <c r="AJ1604" i="3"/>
  <c r="AL1604" i="3"/>
  <c r="AN1604" i="3"/>
  <c r="AP1604" i="3"/>
  <c r="AR1604" i="3"/>
  <c r="P1605" i="3"/>
  <c r="AA1605" i="3"/>
  <c r="AB1605" i="3" s="1"/>
  <c r="AG1605" i="3"/>
  <c r="AH1605" i="3" s="1"/>
  <c r="AJ1605" i="3"/>
  <c r="AL1605" i="3"/>
  <c r="AN1605" i="3"/>
  <c r="AP1605" i="3"/>
  <c r="AR1605" i="3"/>
  <c r="P1606" i="3"/>
  <c r="T1606" i="3" s="1"/>
  <c r="AA1606" i="3"/>
  <c r="AB1606" i="3" s="1"/>
  <c r="AG1606" i="3"/>
  <c r="AH1606" i="3" s="1"/>
  <c r="AJ1606" i="3"/>
  <c r="AL1606" i="3"/>
  <c r="AN1606" i="3"/>
  <c r="AP1606" i="3"/>
  <c r="AR1606" i="3"/>
  <c r="P1607" i="3"/>
  <c r="Q1607" i="3" s="1"/>
  <c r="AA1607" i="3"/>
  <c r="AB1607" i="3" s="1"/>
  <c r="AG1607" i="3"/>
  <c r="AH1607" i="3" s="1"/>
  <c r="AJ1607" i="3"/>
  <c r="AL1607" i="3"/>
  <c r="AN1607" i="3"/>
  <c r="AP1607" i="3"/>
  <c r="AR1607" i="3"/>
  <c r="P1608" i="3"/>
  <c r="AA1608" i="3"/>
  <c r="AB1608" i="3" s="1"/>
  <c r="AG1608" i="3"/>
  <c r="AH1608" i="3" s="1"/>
  <c r="AJ1608" i="3"/>
  <c r="AL1608" i="3"/>
  <c r="AN1608" i="3"/>
  <c r="AP1608" i="3"/>
  <c r="AR1608" i="3"/>
  <c r="P1609" i="3"/>
  <c r="AA1609" i="3"/>
  <c r="AB1609" i="3" s="1"/>
  <c r="AG1609" i="3"/>
  <c r="AH1609" i="3" s="1"/>
  <c r="AJ1609" i="3"/>
  <c r="AL1609" i="3"/>
  <c r="AN1609" i="3"/>
  <c r="AP1609" i="3"/>
  <c r="AR1609" i="3"/>
  <c r="P1610" i="3"/>
  <c r="Q1610" i="3" s="1"/>
  <c r="AA1610" i="3"/>
  <c r="AB1610" i="3" s="1"/>
  <c r="AG1610" i="3"/>
  <c r="AH1610" i="3" s="1"/>
  <c r="AJ1610" i="3"/>
  <c r="AL1610" i="3"/>
  <c r="AN1610" i="3"/>
  <c r="AP1610" i="3"/>
  <c r="AR1610" i="3"/>
  <c r="P1611" i="3"/>
  <c r="Q1611" i="3" s="1"/>
  <c r="AA1611" i="3"/>
  <c r="AB1611" i="3" s="1"/>
  <c r="AG1611" i="3"/>
  <c r="AH1611" i="3" s="1"/>
  <c r="AJ1611" i="3"/>
  <c r="AL1611" i="3"/>
  <c r="AN1611" i="3"/>
  <c r="AP1611" i="3"/>
  <c r="AR1611" i="3"/>
  <c r="P1612" i="3"/>
  <c r="Q1612" i="3" s="1"/>
  <c r="AA1612" i="3"/>
  <c r="AB1612" i="3" s="1"/>
  <c r="AG1612" i="3"/>
  <c r="AH1612" i="3" s="1"/>
  <c r="AJ1612" i="3"/>
  <c r="AL1612" i="3"/>
  <c r="AN1612" i="3"/>
  <c r="AP1612" i="3"/>
  <c r="AR1612" i="3"/>
  <c r="P1613" i="3"/>
  <c r="T1613" i="3" s="1"/>
  <c r="AA1613" i="3"/>
  <c r="AB1613" i="3" s="1"/>
  <c r="AG1613" i="3"/>
  <c r="AH1613" i="3" s="1"/>
  <c r="AJ1613" i="3"/>
  <c r="AL1613" i="3"/>
  <c r="AN1613" i="3"/>
  <c r="AP1613" i="3"/>
  <c r="AR1613" i="3"/>
  <c r="P1614" i="3"/>
  <c r="Q1614" i="3" s="1"/>
  <c r="AA1614" i="3"/>
  <c r="AB1614" i="3" s="1"/>
  <c r="AG1614" i="3"/>
  <c r="AH1614" i="3" s="1"/>
  <c r="AJ1614" i="3"/>
  <c r="AL1614" i="3"/>
  <c r="AN1614" i="3"/>
  <c r="AP1614" i="3"/>
  <c r="AR1614" i="3"/>
  <c r="P1615" i="3"/>
  <c r="T1615" i="3" s="1"/>
  <c r="AA1615" i="3"/>
  <c r="AB1615" i="3" s="1"/>
  <c r="AG1615" i="3"/>
  <c r="AH1615" i="3" s="1"/>
  <c r="AJ1615" i="3"/>
  <c r="AL1615" i="3"/>
  <c r="AN1615" i="3"/>
  <c r="AP1615" i="3"/>
  <c r="AR1615" i="3"/>
  <c r="P1616" i="3"/>
  <c r="AD1616" i="3" s="1"/>
  <c r="AA1616" i="3"/>
  <c r="AB1616" i="3" s="1"/>
  <c r="AG1616" i="3"/>
  <c r="AH1616" i="3" s="1"/>
  <c r="AJ1616" i="3"/>
  <c r="AL1616" i="3"/>
  <c r="AN1616" i="3"/>
  <c r="AP1616" i="3"/>
  <c r="AR1616" i="3"/>
  <c r="P1617" i="3"/>
  <c r="Q1617" i="3" s="1"/>
  <c r="AA1617" i="3"/>
  <c r="AB1617" i="3" s="1"/>
  <c r="AG1617" i="3"/>
  <c r="AH1617" i="3" s="1"/>
  <c r="AJ1617" i="3"/>
  <c r="AL1617" i="3"/>
  <c r="AN1617" i="3"/>
  <c r="AP1617" i="3"/>
  <c r="AR1617" i="3"/>
  <c r="AY1617" i="3"/>
  <c r="AZ1617" i="3" s="1"/>
  <c r="P1618" i="3"/>
  <c r="T1618" i="3" s="1"/>
  <c r="AA1618" i="3"/>
  <c r="AB1618" i="3" s="1"/>
  <c r="AG1618" i="3"/>
  <c r="AH1618" i="3" s="1"/>
  <c r="AJ1618" i="3"/>
  <c r="AL1618" i="3"/>
  <c r="AN1618" i="3"/>
  <c r="AP1618" i="3"/>
  <c r="AR1618" i="3"/>
  <c r="P1619" i="3"/>
  <c r="AD1619" i="3" s="1"/>
  <c r="AA1619" i="3"/>
  <c r="AB1619" i="3" s="1"/>
  <c r="AG1619" i="3"/>
  <c r="AH1619" i="3" s="1"/>
  <c r="AJ1619" i="3"/>
  <c r="AL1619" i="3"/>
  <c r="AN1619" i="3"/>
  <c r="AP1619" i="3"/>
  <c r="AR1619" i="3"/>
  <c r="P1620" i="3"/>
  <c r="T1620" i="3" s="1"/>
  <c r="AA1620" i="3"/>
  <c r="AB1620" i="3" s="1"/>
  <c r="AG1620" i="3"/>
  <c r="AH1620" i="3" s="1"/>
  <c r="AJ1620" i="3"/>
  <c r="AL1620" i="3"/>
  <c r="AN1620" i="3"/>
  <c r="AP1620" i="3"/>
  <c r="AR1620" i="3"/>
  <c r="P1621" i="3"/>
  <c r="AD1621" i="3" s="1"/>
  <c r="AA1621" i="3"/>
  <c r="AB1621" i="3" s="1"/>
  <c r="AG1621" i="3"/>
  <c r="AH1621" i="3" s="1"/>
  <c r="AJ1621" i="3"/>
  <c r="AL1621" i="3"/>
  <c r="AN1621" i="3"/>
  <c r="AP1621" i="3"/>
  <c r="AR1621" i="3"/>
  <c r="P1622" i="3"/>
  <c r="T1622" i="3" s="1"/>
  <c r="AA1622" i="3"/>
  <c r="AB1622" i="3" s="1"/>
  <c r="AG1622" i="3"/>
  <c r="AH1622" i="3" s="1"/>
  <c r="AJ1622" i="3"/>
  <c r="AL1622" i="3"/>
  <c r="AN1622" i="3"/>
  <c r="AP1622" i="3"/>
  <c r="AR1622" i="3"/>
  <c r="P1623" i="3"/>
  <c r="AD1623" i="3" s="1"/>
  <c r="AA1623" i="3"/>
  <c r="AB1623" i="3" s="1"/>
  <c r="AG1623" i="3"/>
  <c r="AH1623" i="3" s="1"/>
  <c r="AJ1623" i="3"/>
  <c r="AL1623" i="3"/>
  <c r="AN1623" i="3"/>
  <c r="AP1623" i="3"/>
  <c r="AR1623" i="3"/>
  <c r="P1624" i="3"/>
  <c r="T1624" i="3" s="1"/>
  <c r="AA1624" i="3"/>
  <c r="AB1624" i="3" s="1"/>
  <c r="AG1624" i="3"/>
  <c r="AH1624" i="3" s="1"/>
  <c r="AJ1624" i="3"/>
  <c r="AL1624" i="3"/>
  <c r="AN1624" i="3"/>
  <c r="AP1624" i="3"/>
  <c r="AR1624" i="3"/>
  <c r="P1625" i="3"/>
  <c r="T1625" i="3" s="1"/>
  <c r="AA1625" i="3"/>
  <c r="AB1625" i="3" s="1"/>
  <c r="AG1625" i="3"/>
  <c r="AH1625" i="3" s="1"/>
  <c r="AJ1625" i="3"/>
  <c r="AL1625" i="3"/>
  <c r="AN1625" i="3"/>
  <c r="AP1625" i="3"/>
  <c r="AR1625" i="3"/>
  <c r="P1626" i="3"/>
  <c r="T1626" i="3" s="1"/>
  <c r="AA1626" i="3"/>
  <c r="AB1626" i="3" s="1"/>
  <c r="AG1626" i="3"/>
  <c r="AH1626" i="3" s="1"/>
  <c r="AJ1626" i="3"/>
  <c r="AL1626" i="3"/>
  <c r="AN1626" i="3"/>
  <c r="AP1626" i="3"/>
  <c r="AR1626" i="3"/>
  <c r="P1627" i="3"/>
  <c r="AA1627" i="3"/>
  <c r="AB1627" i="3" s="1"/>
  <c r="AG1627" i="3"/>
  <c r="AH1627" i="3" s="1"/>
  <c r="AJ1627" i="3"/>
  <c r="AL1627" i="3"/>
  <c r="AN1627" i="3"/>
  <c r="AP1627" i="3"/>
  <c r="AR1627" i="3"/>
  <c r="P1628" i="3"/>
  <c r="T1628" i="3" s="1"/>
  <c r="AA1628" i="3"/>
  <c r="AB1628" i="3" s="1"/>
  <c r="AG1628" i="3"/>
  <c r="AH1628" i="3" s="1"/>
  <c r="AJ1628" i="3"/>
  <c r="AL1628" i="3"/>
  <c r="AN1628" i="3"/>
  <c r="AP1628" i="3"/>
  <c r="AR1628" i="3"/>
  <c r="P1629" i="3"/>
  <c r="Q1629" i="3" s="1"/>
  <c r="AA1629" i="3"/>
  <c r="AB1629" i="3" s="1"/>
  <c r="AG1629" i="3"/>
  <c r="AH1629" i="3" s="1"/>
  <c r="AJ1629" i="3"/>
  <c r="AL1629" i="3"/>
  <c r="AN1629" i="3"/>
  <c r="AP1629" i="3"/>
  <c r="AR1629" i="3"/>
  <c r="P1630" i="3"/>
  <c r="T1630" i="3" s="1"/>
  <c r="AA1630" i="3"/>
  <c r="AB1630" i="3" s="1"/>
  <c r="AG1630" i="3"/>
  <c r="AH1630" i="3" s="1"/>
  <c r="AJ1630" i="3"/>
  <c r="AL1630" i="3"/>
  <c r="AN1630" i="3"/>
  <c r="AP1630" i="3"/>
  <c r="AR1630" i="3"/>
  <c r="P1631" i="3"/>
  <c r="Q1631" i="3" s="1"/>
  <c r="AA1631" i="3"/>
  <c r="AB1631" i="3" s="1"/>
  <c r="AG1631" i="3"/>
  <c r="AH1631" i="3" s="1"/>
  <c r="AJ1631" i="3"/>
  <c r="AL1631" i="3"/>
  <c r="AN1631" i="3"/>
  <c r="AP1631" i="3"/>
  <c r="AR1631" i="3"/>
  <c r="P1632" i="3"/>
  <c r="T1632" i="3" s="1"/>
  <c r="AA1632" i="3"/>
  <c r="AB1632" i="3" s="1"/>
  <c r="AG1632" i="3"/>
  <c r="AH1632" i="3" s="1"/>
  <c r="AJ1632" i="3"/>
  <c r="AL1632" i="3"/>
  <c r="AN1632" i="3"/>
  <c r="AP1632" i="3"/>
  <c r="AR1632" i="3"/>
  <c r="P1633" i="3"/>
  <c r="AD1633" i="3" s="1"/>
  <c r="AA1633" i="3"/>
  <c r="AB1633" i="3" s="1"/>
  <c r="AG1633" i="3"/>
  <c r="AH1633" i="3" s="1"/>
  <c r="AJ1633" i="3"/>
  <c r="AL1633" i="3"/>
  <c r="AN1633" i="3"/>
  <c r="AP1633" i="3"/>
  <c r="AR1633" i="3"/>
  <c r="P1634" i="3"/>
  <c r="T1634" i="3" s="1"/>
  <c r="AA1634" i="3"/>
  <c r="AB1634" i="3" s="1"/>
  <c r="AG1634" i="3"/>
  <c r="AH1634" i="3" s="1"/>
  <c r="AJ1634" i="3"/>
  <c r="AL1634" i="3"/>
  <c r="AN1634" i="3"/>
  <c r="AP1634" i="3"/>
  <c r="AR1634" i="3"/>
  <c r="P1635" i="3"/>
  <c r="AD1635" i="3" s="1"/>
  <c r="AA1635" i="3"/>
  <c r="AB1635" i="3" s="1"/>
  <c r="AG1635" i="3"/>
  <c r="AH1635" i="3" s="1"/>
  <c r="AJ1635" i="3"/>
  <c r="AL1635" i="3"/>
  <c r="AN1635" i="3"/>
  <c r="AP1635" i="3"/>
  <c r="AR1635" i="3"/>
  <c r="P1636" i="3"/>
  <c r="T1636" i="3" s="1"/>
  <c r="AA1636" i="3"/>
  <c r="AB1636" i="3" s="1"/>
  <c r="AG1636" i="3"/>
  <c r="AH1636" i="3" s="1"/>
  <c r="AJ1636" i="3"/>
  <c r="AL1636" i="3"/>
  <c r="AN1636" i="3"/>
  <c r="AP1636" i="3"/>
  <c r="AR1636" i="3"/>
  <c r="P1637" i="3"/>
  <c r="AD1637" i="3" s="1"/>
  <c r="AA1637" i="3"/>
  <c r="AB1637" i="3" s="1"/>
  <c r="AG1637" i="3"/>
  <c r="AH1637" i="3" s="1"/>
  <c r="AJ1637" i="3"/>
  <c r="AL1637" i="3"/>
  <c r="AN1637" i="3"/>
  <c r="AP1637" i="3"/>
  <c r="AR1637" i="3"/>
  <c r="P1638" i="3"/>
  <c r="T1638" i="3" s="1"/>
  <c r="AA1638" i="3"/>
  <c r="AB1638" i="3" s="1"/>
  <c r="AG1638" i="3"/>
  <c r="AH1638" i="3" s="1"/>
  <c r="AJ1638" i="3"/>
  <c r="AL1638" i="3"/>
  <c r="AN1638" i="3"/>
  <c r="AP1638" i="3"/>
  <c r="AR1638" i="3"/>
  <c r="P1639" i="3"/>
  <c r="AD1639" i="3" s="1"/>
  <c r="AA1639" i="3"/>
  <c r="AB1639" i="3" s="1"/>
  <c r="AG1639" i="3"/>
  <c r="AH1639" i="3" s="1"/>
  <c r="AJ1639" i="3"/>
  <c r="AL1639" i="3"/>
  <c r="AN1639" i="3"/>
  <c r="AP1639" i="3"/>
  <c r="AR1639" i="3"/>
  <c r="P1640" i="3"/>
  <c r="T1640" i="3" s="1"/>
  <c r="AA1640" i="3"/>
  <c r="AB1640" i="3" s="1"/>
  <c r="AG1640" i="3"/>
  <c r="AH1640" i="3" s="1"/>
  <c r="AJ1640" i="3"/>
  <c r="AL1640" i="3"/>
  <c r="AN1640" i="3"/>
  <c r="AP1640" i="3"/>
  <c r="AR1640" i="3"/>
  <c r="P1641" i="3"/>
  <c r="AW1641" i="3" s="1"/>
  <c r="AX1641" i="3" s="1"/>
  <c r="AA1641" i="3"/>
  <c r="AB1641" i="3" s="1"/>
  <c r="AG1641" i="3"/>
  <c r="AH1641" i="3" s="1"/>
  <c r="AJ1641" i="3"/>
  <c r="AL1641" i="3"/>
  <c r="AN1641" i="3"/>
  <c r="AP1641" i="3"/>
  <c r="AR1641" i="3"/>
  <c r="P1642" i="3"/>
  <c r="T1642" i="3" s="1"/>
  <c r="AA1642" i="3"/>
  <c r="AB1642" i="3" s="1"/>
  <c r="AG1642" i="3"/>
  <c r="AH1642" i="3" s="1"/>
  <c r="AJ1642" i="3"/>
  <c r="AL1642" i="3"/>
  <c r="AN1642" i="3"/>
  <c r="AP1642" i="3"/>
  <c r="AR1642" i="3"/>
  <c r="P1643" i="3"/>
  <c r="AA1643" i="3"/>
  <c r="AB1643" i="3" s="1"/>
  <c r="AG1643" i="3"/>
  <c r="AH1643" i="3" s="1"/>
  <c r="AJ1643" i="3"/>
  <c r="AL1643" i="3"/>
  <c r="AN1643" i="3"/>
  <c r="AP1643" i="3"/>
  <c r="AR1643" i="3"/>
  <c r="P1644" i="3"/>
  <c r="Q1644" i="3" s="1"/>
  <c r="AA1644" i="3"/>
  <c r="AB1644" i="3" s="1"/>
  <c r="AG1644" i="3"/>
  <c r="AH1644" i="3" s="1"/>
  <c r="AJ1644" i="3"/>
  <c r="AL1644" i="3"/>
  <c r="AN1644" i="3"/>
  <c r="AP1644" i="3"/>
  <c r="AR1644" i="3"/>
  <c r="P1645" i="3"/>
  <c r="AA1645" i="3"/>
  <c r="AB1645" i="3" s="1"/>
  <c r="AG1645" i="3"/>
  <c r="AH1645" i="3" s="1"/>
  <c r="AJ1645" i="3"/>
  <c r="AL1645" i="3"/>
  <c r="AN1645" i="3"/>
  <c r="AP1645" i="3"/>
  <c r="AR1645" i="3"/>
  <c r="P1646" i="3"/>
  <c r="Q1646" i="3" s="1"/>
  <c r="AA1646" i="3"/>
  <c r="AB1646" i="3" s="1"/>
  <c r="AG1646" i="3"/>
  <c r="AH1646" i="3" s="1"/>
  <c r="AJ1646" i="3"/>
  <c r="AL1646" i="3"/>
  <c r="AN1646" i="3"/>
  <c r="AP1646" i="3"/>
  <c r="AR1646" i="3"/>
  <c r="P1647" i="3"/>
  <c r="AA1647" i="3"/>
  <c r="AB1647" i="3" s="1"/>
  <c r="AG1647" i="3"/>
  <c r="AH1647" i="3" s="1"/>
  <c r="AJ1647" i="3"/>
  <c r="AL1647" i="3"/>
  <c r="AN1647" i="3"/>
  <c r="AP1647" i="3"/>
  <c r="AR1647" i="3"/>
  <c r="P1536" i="3"/>
  <c r="AW1536" i="3" s="1"/>
  <c r="AX1536" i="3" s="1"/>
  <c r="AA1536" i="3"/>
  <c r="AB1536" i="3" s="1"/>
  <c r="AG1536" i="3"/>
  <c r="AH1536" i="3" s="1"/>
  <c r="AJ1536" i="3"/>
  <c r="AL1536" i="3"/>
  <c r="AN1536" i="3"/>
  <c r="AP1536" i="3"/>
  <c r="AR1536" i="3"/>
  <c r="P1537" i="3"/>
  <c r="T1537" i="3" s="1"/>
  <c r="AA1537" i="3"/>
  <c r="AB1537" i="3" s="1"/>
  <c r="AG1537" i="3"/>
  <c r="AH1537" i="3" s="1"/>
  <c r="AJ1537" i="3"/>
  <c r="AL1537" i="3"/>
  <c r="AN1537" i="3"/>
  <c r="AP1537" i="3"/>
  <c r="AR1537" i="3"/>
  <c r="P1538" i="3"/>
  <c r="AD1538" i="3" s="1"/>
  <c r="AA1538" i="3"/>
  <c r="AB1538" i="3" s="1"/>
  <c r="AG1538" i="3"/>
  <c r="AH1538" i="3" s="1"/>
  <c r="AJ1538" i="3"/>
  <c r="AL1538" i="3"/>
  <c r="AN1538" i="3"/>
  <c r="AP1538" i="3"/>
  <c r="AR1538" i="3"/>
  <c r="P1539" i="3"/>
  <c r="T1539" i="3" s="1"/>
  <c r="AA1539" i="3"/>
  <c r="AB1539" i="3" s="1"/>
  <c r="AG1539" i="3"/>
  <c r="AH1539" i="3" s="1"/>
  <c r="AJ1539" i="3"/>
  <c r="AL1539" i="3"/>
  <c r="AN1539" i="3"/>
  <c r="AP1539" i="3"/>
  <c r="AR1539" i="3"/>
  <c r="P1540" i="3"/>
  <c r="AD1540" i="3" s="1"/>
  <c r="AA1540" i="3"/>
  <c r="AB1540" i="3" s="1"/>
  <c r="AG1540" i="3"/>
  <c r="AH1540" i="3" s="1"/>
  <c r="AJ1540" i="3"/>
  <c r="AL1540" i="3"/>
  <c r="AN1540" i="3"/>
  <c r="AP1540" i="3"/>
  <c r="AR1540" i="3"/>
  <c r="P1541" i="3"/>
  <c r="T1541" i="3" s="1"/>
  <c r="AA1541" i="3"/>
  <c r="AB1541" i="3" s="1"/>
  <c r="AG1541" i="3"/>
  <c r="AH1541" i="3" s="1"/>
  <c r="AJ1541" i="3"/>
  <c r="AL1541" i="3"/>
  <c r="AN1541" i="3"/>
  <c r="AP1541" i="3"/>
  <c r="AR1541" i="3"/>
  <c r="P1542" i="3"/>
  <c r="T1542" i="3" s="1"/>
  <c r="AA1542" i="3"/>
  <c r="AB1542" i="3" s="1"/>
  <c r="AG1542" i="3"/>
  <c r="AH1542" i="3" s="1"/>
  <c r="AJ1542" i="3"/>
  <c r="AL1542" i="3"/>
  <c r="AN1542" i="3"/>
  <c r="AP1542" i="3"/>
  <c r="AR1542" i="3"/>
  <c r="P1543" i="3"/>
  <c r="Q1543" i="3" s="1"/>
  <c r="AA1543" i="3"/>
  <c r="AB1543" i="3" s="1"/>
  <c r="AG1543" i="3"/>
  <c r="AH1543" i="3" s="1"/>
  <c r="AJ1543" i="3"/>
  <c r="AL1543" i="3"/>
  <c r="AN1543" i="3"/>
  <c r="AP1543" i="3"/>
  <c r="AR1543" i="3"/>
  <c r="P1544" i="3"/>
  <c r="T1544" i="3" s="1"/>
  <c r="AA1544" i="3"/>
  <c r="AB1544" i="3" s="1"/>
  <c r="AG1544" i="3"/>
  <c r="AH1544" i="3" s="1"/>
  <c r="AJ1544" i="3"/>
  <c r="AL1544" i="3"/>
  <c r="AN1544" i="3"/>
  <c r="AP1544" i="3"/>
  <c r="AR1544" i="3"/>
  <c r="P1545" i="3"/>
  <c r="AD1545" i="3" s="1"/>
  <c r="AA1545" i="3"/>
  <c r="AB1545" i="3" s="1"/>
  <c r="AG1545" i="3"/>
  <c r="AH1545" i="3" s="1"/>
  <c r="AJ1545" i="3"/>
  <c r="AL1545" i="3"/>
  <c r="AN1545" i="3"/>
  <c r="AP1545" i="3"/>
  <c r="AR1545" i="3"/>
  <c r="P1546" i="3"/>
  <c r="T1546" i="3" s="1"/>
  <c r="AA1546" i="3"/>
  <c r="AB1546" i="3" s="1"/>
  <c r="AG1546" i="3"/>
  <c r="AH1546" i="3" s="1"/>
  <c r="AJ1546" i="3"/>
  <c r="AL1546" i="3"/>
  <c r="AN1546" i="3"/>
  <c r="AP1546" i="3"/>
  <c r="AR1546" i="3"/>
  <c r="P1547" i="3"/>
  <c r="AY1547" i="3" s="1"/>
  <c r="AZ1547" i="3" s="1"/>
  <c r="AA1547" i="3"/>
  <c r="AB1547" i="3" s="1"/>
  <c r="AG1547" i="3"/>
  <c r="AH1547" i="3" s="1"/>
  <c r="AJ1547" i="3"/>
  <c r="AL1547" i="3"/>
  <c r="AN1547" i="3"/>
  <c r="AP1547" i="3"/>
  <c r="AR1547" i="3"/>
  <c r="P1548" i="3"/>
  <c r="T1548" i="3" s="1"/>
  <c r="AA1548" i="3"/>
  <c r="AB1548" i="3" s="1"/>
  <c r="AG1548" i="3"/>
  <c r="AH1548" i="3" s="1"/>
  <c r="AJ1548" i="3"/>
  <c r="AL1548" i="3"/>
  <c r="AN1548" i="3"/>
  <c r="AP1548" i="3"/>
  <c r="AR1548" i="3"/>
  <c r="P1549" i="3"/>
  <c r="Q1549" i="3" s="1"/>
  <c r="AA1549" i="3"/>
  <c r="AB1549" i="3" s="1"/>
  <c r="AG1549" i="3"/>
  <c r="AH1549" i="3" s="1"/>
  <c r="AJ1549" i="3"/>
  <c r="AL1549" i="3"/>
  <c r="AN1549" i="3"/>
  <c r="AP1549" i="3"/>
  <c r="AR1549" i="3"/>
  <c r="P1550" i="3"/>
  <c r="T1550" i="3" s="1"/>
  <c r="AA1550" i="3"/>
  <c r="AB1550" i="3" s="1"/>
  <c r="AG1550" i="3"/>
  <c r="AH1550" i="3" s="1"/>
  <c r="AJ1550" i="3"/>
  <c r="AL1550" i="3"/>
  <c r="AN1550" i="3"/>
  <c r="AP1550" i="3"/>
  <c r="AR1550" i="3"/>
  <c r="P1551" i="3"/>
  <c r="Q1551" i="3" s="1"/>
  <c r="AA1551" i="3"/>
  <c r="AB1551" i="3" s="1"/>
  <c r="AG1551" i="3"/>
  <c r="AH1551" i="3" s="1"/>
  <c r="AJ1551" i="3"/>
  <c r="AL1551" i="3"/>
  <c r="AN1551" i="3"/>
  <c r="AP1551" i="3"/>
  <c r="AR1551" i="3"/>
  <c r="P1552" i="3"/>
  <c r="T1552" i="3" s="1"/>
  <c r="AA1552" i="3"/>
  <c r="AB1552" i="3" s="1"/>
  <c r="AG1552" i="3"/>
  <c r="AH1552" i="3" s="1"/>
  <c r="AJ1552" i="3"/>
  <c r="AL1552" i="3"/>
  <c r="AN1552" i="3"/>
  <c r="AP1552" i="3"/>
  <c r="AR1552" i="3"/>
  <c r="P1553" i="3"/>
  <c r="T1553" i="3" s="1"/>
  <c r="AA1553" i="3"/>
  <c r="AB1553" i="3" s="1"/>
  <c r="AG1553" i="3"/>
  <c r="AH1553" i="3" s="1"/>
  <c r="AJ1553" i="3"/>
  <c r="AL1553" i="3"/>
  <c r="AN1553" i="3"/>
  <c r="AP1553" i="3"/>
  <c r="AR1553" i="3"/>
  <c r="P1554" i="3"/>
  <c r="T1554" i="3" s="1"/>
  <c r="AA1554" i="3"/>
  <c r="AB1554" i="3" s="1"/>
  <c r="AG1554" i="3"/>
  <c r="AH1554" i="3" s="1"/>
  <c r="AJ1554" i="3"/>
  <c r="AL1554" i="3"/>
  <c r="AN1554" i="3"/>
  <c r="AP1554" i="3"/>
  <c r="AR1554" i="3"/>
  <c r="P1555" i="3"/>
  <c r="T1555" i="3" s="1"/>
  <c r="AA1555" i="3"/>
  <c r="AB1555" i="3" s="1"/>
  <c r="AG1555" i="3"/>
  <c r="AH1555" i="3" s="1"/>
  <c r="AJ1555" i="3"/>
  <c r="AL1555" i="3"/>
  <c r="AN1555" i="3"/>
  <c r="AP1555" i="3"/>
  <c r="AR1555" i="3"/>
  <c r="P1556" i="3"/>
  <c r="Q1556" i="3" s="1"/>
  <c r="AA1556" i="3"/>
  <c r="AB1556" i="3" s="1"/>
  <c r="AG1556" i="3"/>
  <c r="AH1556" i="3" s="1"/>
  <c r="AJ1556" i="3"/>
  <c r="AL1556" i="3"/>
  <c r="AN1556" i="3"/>
  <c r="AP1556" i="3"/>
  <c r="AR1556" i="3"/>
  <c r="P1557" i="3"/>
  <c r="AD1557" i="3" s="1"/>
  <c r="AA1557" i="3"/>
  <c r="AB1557" i="3" s="1"/>
  <c r="AG1557" i="3"/>
  <c r="AH1557" i="3" s="1"/>
  <c r="AJ1557" i="3"/>
  <c r="AL1557" i="3"/>
  <c r="AN1557" i="3"/>
  <c r="AP1557" i="3"/>
  <c r="AR1557" i="3"/>
  <c r="P1558" i="3"/>
  <c r="T1558" i="3"/>
  <c r="AA1558" i="3"/>
  <c r="AB1558" i="3" s="1"/>
  <c r="AG1558" i="3"/>
  <c r="AH1558" i="3" s="1"/>
  <c r="AJ1558" i="3"/>
  <c r="AL1558" i="3"/>
  <c r="AN1558" i="3"/>
  <c r="AP1558" i="3"/>
  <c r="AR1558" i="3"/>
  <c r="P1559" i="3"/>
  <c r="Q1559" i="3" s="1"/>
  <c r="AA1559" i="3"/>
  <c r="AB1559" i="3" s="1"/>
  <c r="AG1559" i="3"/>
  <c r="AH1559" i="3" s="1"/>
  <c r="AJ1559" i="3"/>
  <c r="AL1559" i="3"/>
  <c r="AN1559" i="3"/>
  <c r="AP1559" i="3"/>
  <c r="AR1559" i="3"/>
  <c r="P1560" i="3"/>
  <c r="T1560" i="3" s="1"/>
  <c r="AA1560" i="3"/>
  <c r="AB1560" i="3" s="1"/>
  <c r="AG1560" i="3"/>
  <c r="AH1560" i="3" s="1"/>
  <c r="AJ1560" i="3"/>
  <c r="AL1560" i="3"/>
  <c r="AN1560" i="3"/>
  <c r="AP1560" i="3"/>
  <c r="AR1560" i="3"/>
  <c r="P1561" i="3"/>
  <c r="Q1561" i="3" s="1"/>
  <c r="AA1561" i="3"/>
  <c r="AB1561" i="3" s="1"/>
  <c r="AG1561" i="3"/>
  <c r="AH1561" i="3"/>
  <c r="AJ1561" i="3"/>
  <c r="AL1561" i="3"/>
  <c r="AN1561" i="3"/>
  <c r="AP1561" i="3"/>
  <c r="AR1561" i="3"/>
  <c r="P1562" i="3"/>
  <c r="T1562" i="3" s="1"/>
  <c r="AA1562" i="3"/>
  <c r="AB1562" i="3" s="1"/>
  <c r="AG1562" i="3"/>
  <c r="AH1562" i="3" s="1"/>
  <c r="AJ1562" i="3"/>
  <c r="AL1562" i="3"/>
  <c r="AN1562" i="3"/>
  <c r="AP1562" i="3"/>
  <c r="AR1562" i="3"/>
  <c r="P1563" i="3"/>
  <c r="AD1563" i="3" s="1"/>
  <c r="AA1563" i="3"/>
  <c r="AB1563" i="3" s="1"/>
  <c r="AG1563" i="3"/>
  <c r="AH1563" i="3" s="1"/>
  <c r="AJ1563" i="3"/>
  <c r="AL1563" i="3"/>
  <c r="AN1563" i="3"/>
  <c r="AP1563" i="3"/>
  <c r="AR1563" i="3"/>
  <c r="AW1563" i="3"/>
  <c r="AX1563" i="3" s="1"/>
  <c r="P1564" i="3"/>
  <c r="T1564" i="3" s="1"/>
  <c r="AA1564" i="3"/>
  <c r="AB1564" i="3" s="1"/>
  <c r="AG1564" i="3"/>
  <c r="AH1564" i="3" s="1"/>
  <c r="AJ1564" i="3"/>
  <c r="AL1564" i="3"/>
  <c r="AN1564" i="3"/>
  <c r="AP1564" i="3"/>
  <c r="AR1564" i="3"/>
  <c r="P1565" i="3"/>
  <c r="Q1565" i="3" s="1"/>
  <c r="AA1565" i="3"/>
  <c r="AB1565" i="3" s="1"/>
  <c r="AG1565" i="3"/>
  <c r="AH1565" i="3" s="1"/>
  <c r="AJ1565" i="3"/>
  <c r="AL1565" i="3"/>
  <c r="AN1565" i="3"/>
  <c r="AP1565" i="3"/>
  <c r="AR1565" i="3"/>
  <c r="P1566" i="3"/>
  <c r="T1566" i="3" s="1"/>
  <c r="AA1566" i="3"/>
  <c r="AB1566" i="3" s="1"/>
  <c r="AG1566" i="3"/>
  <c r="AH1566" i="3" s="1"/>
  <c r="AJ1566" i="3"/>
  <c r="AL1566" i="3"/>
  <c r="AN1566" i="3"/>
  <c r="AP1566" i="3"/>
  <c r="AR1566" i="3"/>
  <c r="P1567" i="3"/>
  <c r="AY1567" i="3" s="1"/>
  <c r="AZ1567" i="3" s="1"/>
  <c r="AA1567" i="3"/>
  <c r="AB1567" i="3" s="1"/>
  <c r="AG1567" i="3"/>
  <c r="AH1567" i="3" s="1"/>
  <c r="AJ1567" i="3"/>
  <c r="AL1567" i="3"/>
  <c r="AN1567" i="3"/>
  <c r="AP1567" i="3"/>
  <c r="AR1567" i="3"/>
  <c r="P1568" i="3"/>
  <c r="T1568" i="3" s="1"/>
  <c r="AA1568" i="3"/>
  <c r="AB1568" i="3" s="1"/>
  <c r="AG1568" i="3"/>
  <c r="AH1568" i="3" s="1"/>
  <c r="AJ1568" i="3"/>
  <c r="AL1568" i="3"/>
  <c r="AN1568" i="3"/>
  <c r="AP1568" i="3"/>
  <c r="AR1568" i="3"/>
  <c r="P1569" i="3"/>
  <c r="Q1569" i="3" s="1"/>
  <c r="AA1569" i="3"/>
  <c r="AB1569" i="3" s="1"/>
  <c r="AG1569" i="3"/>
  <c r="AH1569" i="3" s="1"/>
  <c r="AJ1569" i="3"/>
  <c r="AL1569" i="3"/>
  <c r="AN1569" i="3"/>
  <c r="AP1569" i="3"/>
  <c r="AR1569" i="3"/>
  <c r="P1570" i="3"/>
  <c r="T1570" i="3" s="1"/>
  <c r="AA1570" i="3"/>
  <c r="AB1570" i="3" s="1"/>
  <c r="AG1570" i="3"/>
  <c r="AH1570" i="3" s="1"/>
  <c r="AJ1570" i="3"/>
  <c r="AL1570" i="3"/>
  <c r="AN1570" i="3"/>
  <c r="AP1570" i="3"/>
  <c r="AR1570" i="3"/>
  <c r="P1571" i="3"/>
  <c r="T1571" i="3" s="1"/>
  <c r="AA1571" i="3"/>
  <c r="AB1571" i="3" s="1"/>
  <c r="AG1571" i="3"/>
  <c r="AH1571" i="3" s="1"/>
  <c r="AJ1571" i="3"/>
  <c r="AL1571" i="3"/>
  <c r="AN1571" i="3"/>
  <c r="AP1571" i="3"/>
  <c r="AR1571" i="3"/>
  <c r="P1572" i="3"/>
  <c r="T1572" i="3" s="1"/>
  <c r="AA1572" i="3"/>
  <c r="AB1572" i="3" s="1"/>
  <c r="AG1572" i="3"/>
  <c r="AH1572" i="3" s="1"/>
  <c r="AJ1572" i="3"/>
  <c r="AL1572" i="3"/>
  <c r="AN1572" i="3"/>
  <c r="AP1572" i="3"/>
  <c r="AR1572" i="3"/>
  <c r="P1573" i="3"/>
  <c r="Q1573" i="3" s="1"/>
  <c r="AA1573" i="3"/>
  <c r="AB1573" i="3" s="1"/>
  <c r="AG1573" i="3"/>
  <c r="AH1573" i="3" s="1"/>
  <c r="AJ1573" i="3"/>
  <c r="AL1573" i="3"/>
  <c r="AN1573" i="3"/>
  <c r="AP1573" i="3"/>
  <c r="AR1573" i="3"/>
  <c r="P1574" i="3"/>
  <c r="T1574" i="3" s="1"/>
  <c r="AA1574" i="3"/>
  <c r="AB1574" i="3" s="1"/>
  <c r="AG1574" i="3"/>
  <c r="AH1574" i="3" s="1"/>
  <c r="AJ1574" i="3"/>
  <c r="AL1574" i="3"/>
  <c r="AN1574" i="3"/>
  <c r="AP1574" i="3"/>
  <c r="AR1574" i="3"/>
  <c r="P1575" i="3"/>
  <c r="T1575" i="3" s="1"/>
  <c r="AA1575" i="3"/>
  <c r="AB1575" i="3" s="1"/>
  <c r="AG1575" i="3"/>
  <c r="AH1575" i="3" s="1"/>
  <c r="AJ1575" i="3"/>
  <c r="AL1575" i="3"/>
  <c r="AN1575" i="3"/>
  <c r="AP1575" i="3"/>
  <c r="AR1575" i="3"/>
  <c r="P1576" i="3"/>
  <c r="T1576" i="3" s="1"/>
  <c r="AA1576" i="3"/>
  <c r="AB1576" i="3" s="1"/>
  <c r="AG1576" i="3"/>
  <c r="AH1576" i="3" s="1"/>
  <c r="AJ1576" i="3"/>
  <c r="AL1576" i="3"/>
  <c r="AN1576" i="3"/>
  <c r="AP1576" i="3"/>
  <c r="AR1576" i="3"/>
  <c r="P1577" i="3"/>
  <c r="Q1577" i="3" s="1"/>
  <c r="AA1577" i="3"/>
  <c r="AB1577" i="3" s="1"/>
  <c r="AG1577" i="3"/>
  <c r="AH1577" i="3" s="1"/>
  <c r="AJ1577" i="3"/>
  <c r="AL1577" i="3"/>
  <c r="AN1577" i="3"/>
  <c r="AP1577" i="3"/>
  <c r="AR1577" i="3"/>
  <c r="P1578" i="3"/>
  <c r="Q1578" i="3" s="1"/>
  <c r="AA1578" i="3"/>
  <c r="AB1578" i="3" s="1"/>
  <c r="AG1578" i="3"/>
  <c r="AH1578" i="3" s="1"/>
  <c r="AJ1578" i="3"/>
  <c r="AL1578" i="3"/>
  <c r="AN1578" i="3"/>
  <c r="AP1578" i="3"/>
  <c r="AR1578" i="3"/>
  <c r="P1579" i="3"/>
  <c r="Q1579" i="3" s="1"/>
  <c r="AA1579" i="3"/>
  <c r="AB1579" i="3" s="1"/>
  <c r="AG1579" i="3"/>
  <c r="AH1579" i="3" s="1"/>
  <c r="AJ1579" i="3"/>
  <c r="AL1579" i="3"/>
  <c r="AN1579" i="3"/>
  <c r="AP1579" i="3"/>
  <c r="AR1579" i="3"/>
  <c r="P1580" i="3"/>
  <c r="Q1580" i="3" s="1"/>
  <c r="T1580" i="3"/>
  <c r="AA1580" i="3"/>
  <c r="AB1580" i="3" s="1"/>
  <c r="AG1580" i="3"/>
  <c r="AH1580" i="3" s="1"/>
  <c r="AJ1580" i="3"/>
  <c r="AL1580" i="3"/>
  <c r="AN1580" i="3"/>
  <c r="AP1580" i="3"/>
  <c r="AR1580" i="3"/>
  <c r="P1581" i="3"/>
  <c r="AY1581" i="3" s="1"/>
  <c r="AZ1581" i="3" s="1"/>
  <c r="AA1581" i="3"/>
  <c r="AB1581" i="3" s="1"/>
  <c r="AG1581" i="3"/>
  <c r="AH1581" i="3" s="1"/>
  <c r="AJ1581" i="3"/>
  <c r="AL1581" i="3"/>
  <c r="AN1581" i="3"/>
  <c r="AP1581" i="3"/>
  <c r="AR1581" i="3"/>
  <c r="P1582" i="3"/>
  <c r="Q1582" i="3" s="1"/>
  <c r="AA1582" i="3"/>
  <c r="AB1582" i="3" s="1"/>
  <c r="AG1582" i="3"/>
  <c r="AH1582" i="3" s="1"/>
  <c r="AJ1582" i="3"/>
  <c r="AL1582" i="3"/>
  <c r="AN1582" i="3"/>
  <c r="AP1582" i="3"/>
  <c r="AR1582" i="3"/>
  <c r="P1443" i="3"/>
  <c r="AY1443" i="3" s="1"/>
  <c r="AZ1443" i="3" s="1"/>
  <c r="AA1443" i="3"/>
  <c r="AB1443" i="3" s="1"/>
  <c r="AG1443" i="3"/>
  <c r="AH1443" i="3" s="1"/>
  <c r="AJ1443" i="3"/>
  <c r="AL1443" i="3"/>
  <c r="AN1443" i="3"/>
  <c r="AP1443" i="3"/>
  <c r="AR1443" i="3"/>
  <c r="P1444" i="3"/>
  <c r="T1444" i="3" s="1"/>
  <c r="AA1444" i="3"/>
  <c r="AB1444" i="3" s="1"/>
  <c r="AG1444" i="3"/>
  <c r="AH1444" i="3" s="1"/>
  <c r="AJ1444" i="3"/>
  <c r="AL1444" i="3"/>
  <c r="AN1444" i="3"/>
  <c r="AP1444" i="3"/>
  <c r="AR1444" i="3"/>
  <c r="P1445" i="3"/>
  <c r="T1445" i="3" s="1"/>
  <c r="AA1445" i="3"/>
  <c r="AB1445" i="3" s="1"/>
  <c r="AG1445" i="3"/>
  <c r="AH1445" i="3" s="1"/>
  <c r="AJ1445" i="3"/>
  <c r="AL1445" i="3"/>
  <c r="AN1445" i="3"/>
  <c r="AP1445" i="3"/>
  <c r="AR1445" i="3"/>
  <c r="P1446" i="3"/>
  <c r="T1446" i="3" s="1"/>
  <c r="AA1446" i="3"/>
  <c r="AB1446" i="3" s="1"/>
  <c r="AG1446" i="3"/>
  <c r="AH1446" i="3" s="1"/>
  <c r="AJ1446" i="3"/>
  <c r="AL1446" i="3"/>
  <c r="AN1446" i="3"/>
  <c r="AP1446" i="3"/>
  <c r="AR1446" i="3"/>
  <c r="P1447" i="3"/>
  <c r="Q1447" i="3" s="1"/>
  <c r="AA1447" i="3"/>
  <c r="AB1447" i="3" s="1"/>
  <c r="AG1447" i="3"/>
  <c r="AH1447" i="3" s="1"/>
  <c r="AJ1447" i="3"/>
  <c r="AL1447" i="3"/>
  <c r="AN1447" i="3"/>
  <c r="AP1447" i="3"/>
  <c r="AR1447" i="3"/>
  <c r="P1448" i="3"/>
  <c r="T1448" i="3" s="1"/>
  <c r="AA1448" i="3"/>
  <c r="AB1448" i="3" s="1"/>
  <c r="AG1448" i="3"/>
  <c r="AH1448" i="3" s="1"/>
  <c r="AJ1448" i="3"/>
  <c r="AL1448" i="3"/>
  <c r="AN1448" i="3"/>
  <c r="AP1448" i="3"/>
  <c r="AR1448" i="3"/>
  <c r="P1449" i="3"/>
  <c r="AY1449" i="3" s="1"/>
  <c r="AZ1449" i="3" s="1"/>
  <c r="AA1449" i="3"/>
  <c r="AB1449" i="3" s="1"/>
  <c r="AG1449" i="3"/>
  <c r="AH1449" i="3" s="1"/>
  <c r="AJ1449" i="3"/>
  <c r="AL1449" i="3"/>
  <c r="AN1449" i="3"/>
  <c r="AP1449" i="3"/>
  <c r="AR1449" i="3"/>
  <c r="P1450" i="3"/>
  <c r="AY1450" i="3" s="1"/>
  <c r="AZ1450" i="3" s="1"/>
  <c r="AA1450" i="3"/>
  <c r="AB1450" i="3" s="1"/>
  <c r="AG1450" i="3"/>
  <c r="AH1450" i="3" s="1"/>
  <c r="AJ1450" i="3"/>
  <c r="AL1450" i="3"/>
  <c r="AN1450" i="3"/>
  <c r="AP1450" i="3"/>
  <c r="AR1450" i="3"/>
  <c r="P1451" i="3"/>
  <c r="AY1451" i="3" s="1"/>
  <c r="AZ1451" i="3" s="1"/>
  <c r="AA1451" i="3"/>
  <c r="AB1451" i="3" s="1"/>
  <c r="AD1451" i="3"/>
  <c r="AG1451" i="3"/>
  <c r="AH1451" i="3" s="1"/>
  <c r="AJ1451" i="3"/>
  <c r="AL1451" i="3"/>
  <c r="AN1451" i="3"/>
  <c r="AP1451" i="3"/>
  <c r="AR1451" i="3"/>
  <c r="P1452" i="3"/>
  <c r="Q1452" i="3" s="1"/>
  <c r="AA1452" i="3"/>
  <c r="AB1452" i="3" s="1"/>
  <c r="AG1452" i="3"/>
  <c r="AH1452" i="3" s="1"/>
  <c r="AJ1452" i="3"/>
  <c r="AL1452" i="3"/>
  <c r="AN1452" i="3"/>
  <c r="AP1452" i="3"/>
  <c r="AR1452" i="3"/>
  <c r="P1453" i="3"/>
  <c r="T1453" i="3" s="1"/>
  <c r="AA1453" i="3"/>
  <c r="AB1453" i="3" s="1"/>
  <c r="AG1453" i="3"/>
  <c r="AH1453" i="3" s="1"/>
  <c r="AJ1453" i="3"/>
  <c r="AL1453" i="3"/>
  <c r="AN1453" i="3"/>
  <c r="AP1453" i="3"/>
  <c r="AR1453" i="3"/>
  <c r="P1454" i="3"/>
  <c r="AA1454" i="3"/>
  <c r="AB1454" i="3" s="1"/>
  <c r="AG1454" i="3"/>
  <c r="AH1454" i="3" s="1"/>
  <c r="AJ1454" i="3"/>
  <c r="AL1454" i="3"/>
  <c r="AN1454" i="3"/>
  <c r="AP1454" i="3"/>
  <c r="AR1454" i="3"/>
  <c r="P1455" i="3"/>
  <c r="Q1455" i="3" s="1"/>
  <c r="AA1455" i="3"/>
  <c r="AB1455" i="3" s="1"/>
  <c r="AD1455" i="3"/>
  <c r="AG1455" i="3"/>
  <c r="AH1455" i="3" s="1"/>
  <c r="AJ1455" i="3"/>
  <c r="AL1455" i="3"/>
  <c r="AN1455" i="3"/>
  <c r="AP1455" i="3"/>
  <c r="AR1455" i="3"/>
  <c r="P1456" i="3"/>
  <c r="AA1456" i="3"/>
  <c r="AB1456" i="3" s="1"/>
  <c r="AG1456" i="3"/>
  <c r="AH1456" i="3" s="1"/>
  <c r="AJ1456" i="3"/>
  <c r="AL1456" i="3"/>
  <c r="AN1456" i="3"/>
  <c r="AP1456" i="3"/>
  <c r="AR1456" i="3"/>
  <c r="P1457" i="3"/>
  <c r="T1457" i="3" s="1"/>
  <c r="AA1457" i="3"/>
  <c r="AB1457" i="3" s="1"/>
  <c r="AG1457" i="3"/>
  <c r="AH1457" i="3" s="1"/>
  <c r="AJ1457" i="3"/>
  <c r="AL1457" i="3"/>
  <c r="AN1457" i="3"/>
  <c r="AP1457" i="3"/>
  <c r="AR1457" i="3"/>
  <c r="P1458" i="3"/>
  <c r="AY1458" i="3" s="1"/>
  <c r="AZ1458" i="3" s="1"/>
  <c r="AA1458" i="3"/>
  <c r="AB1458" i="3" s="1"/>
  <c r="AG1458" i="3"/>
  <c r="AH1458" i="3" s="1"/>
  <c r="AJ1458" i="3"/>
  <c r="AL1458" i="3"/>
  <c r="AN1458" i="3"/>
  <c r="AP1458" i="3"/>
  <c r="AR1458" i="3"/>
  <c r="P1459" i="3"/>
  <c r="T1459" i="3" s="1"/>
  <c r="AA1459" i="3"/>
  <c r="AB1459" i="3" s="1"/>
  <c r="AG1459" i="3"/>
  <c r="AH1459" i="3" s="1"/>
  <c r="AJ1459" i="3"/>
  <c r="AL1459" i="3"/>
  <c r="AN1459" i="3"/>
  <c r="AP1459" i="3"/>
  <c r="AR1459" i="3"/>
  <c r="P1460" i="3"/>
  <c r="Q1460" i="3" s="1"/>
  <c r="AA1460" i="3"/>
  <c r="AB1460" i="3" s="1"/>
  <c r="AG1460" i="3"/>
  <c r="AH1460" i="3" s="1"/>
  <c r="AJ1460" i="3"/>
  <c r="AL1460" i="3"/>
  <c r="AN1460" i="3"/>
  <c r="AP1460" i="3"/>
  <c r="AR1460" i="3"/>
  <c r="P1461" i="3"/>
  <c r="T1461" i="3" s="1"/>
  <c r="AA1461" i="3"/>
  <c r="AB1461" i="3" s="1"/>
  <c r="AG1461" i="3"/>
  <c r="AH1461" i="3" s="1"/>
  <c r="AJ1461" i="3"/>
  <c r="AL1461" i="3"/>
  <c r="AN1461" i="3"/>
  <c r="AP1461" i="3"/>
  <c r="AR1461" i="3"/>
  <c r="P1462" i="3"/>
  <c r="AA1462" i="3"/>
  <c r="AB1462" i="3" s="1"/>
  <c r="AG1462" i="3"/>
  <c r="AH1462" i="3" s="1"/>
  <c r="AJ1462" i="3"/>
  <c r="AL1462" i="3"/>
  <c r="AN1462" i="3"/>
  <c r="AP1462" i="3"/>
  <c r="AR1462" i="3"/>
  <c r="P1463" i="3"/>
  <c r="T1463" i="3" s="1"/>
  <c r="AA1463" i="3"/>
  <c r="AB1463" i="3" s="1"/>
  <c r="AG1463" i="3"/>
  <c r="AH1463" i="3" s="1"/>
  <c r="AJ1463" i="3"/>
  <c r="AL1463" i="3"/>
  <c r="AN1463" i="3"/>
  <c r="AP1463" i="3"/>
  <c r="AR1463" i="3"/>
  <c r="P1464" i="3"/>
  <c r="Q1464" i="3" s="1"/>
  <c r="AA1464" i="3"/>
  <c r="AB1464" i="3" s="1"/>
  <c r="AG1464" i="3"/>
  <c r="AH1464" i="3" s="1"/>
  <c r="AJ1464" i="3"/>
  <c r="AL1464" i="3"/>
  <c r="AN1464" i="3"/>
  <c r="AP1464" i="3"/>
  <c r="AR1464" i="3"/>
  <c r="P1465" i="3"/>
  <c r="T1465" i="3" s="1"/>
  <c r="AA1465" i="3"/>
  <c r="AB1465" i="3" s="1"/>
  <c r="AG1465" i="3"/>
  <c r="AH1465" i="3" s="1"/>
  <c r="AJ1465" i="3"/>
  <c r="AL1465" i="3"/>
  <c r="AN1465" i="3"/>
  <c r="AP1465" i="3"/>
  <c r="AR1465" i="3"/>
  <c r="P1466" i="3"/>
  <c r="T1466" i="3" s="1"/>
  <c r="AA1466" i="3"/>
  <c r="AB1466" i="3" s="1"/>
  <c r="AG1466" i="3"/>
  <c r="AH1466" i="3" s="1"/>
  <c r="AJ1466" i="3"/>
  <c r="AL1466" i="3"/>
  <c r="AN1466" i="3"/>
  <c r="AP1466" i="3"/>
  <c r="AR1466" i="3"/>
  <c r="P1467" i="3"/>
  <c r="T1467" i="3" s="1"/>
  <c r="AA1467" i="3"/>
  <c r="AB1467" i="3" s="1"/>
  <c r="AG1467" i="3"/>
  <c r="AH1467" i="3" s="1"/>
  <c r="AJ1467" i="3"/>
  <c r="AL1467" i="3"/>
  <c r="AN1467" i="3"/>
  <c r="AP1467" i="3"/>
  <c r="AR1467" i="3"/>
  <c r="P1468" i="3"/>
  <c r="AD1468" i="3" s="1"/>
  <c r="AA1468" i="3"/>
  <c r="AB1468" i="3" s="1"/>
  <c r="AG1468" i="3"/>
  <c r="AH1468" i="3" s="1"/>
  <c r="AJ1468" i="3"/>
  <c r="AL1468" i="3"/>
  <c r="AN1468" i="3"/>
  <c r="AP1468" i="3"/>
  <c r="AR1468" i="3"/>
  <c r="P1469" i="3"/>
  <c r="T1469" i="3" s="1"/>
  <c r="AA1469" i="3"/>
  <c r="AB1469" i="3" s="1"/>
  <c r="AG1469" i="3"/>
  <c r="AH1469" i="3" s="1"/>
  <c r="AJ1469" i="3"/>
  <c r="AL1469" i="3"/>
  <c r="AN1469" i="3"/>
  <c r="AP1469" i="3"/>
  <c r="AR1469" i="3"/>
  <c r="P1470" i="3"/>
  <c r="Q1470" i="3" s="1"/>
  <c r="AA1470" i="3"/>
  <c r="AB1470" i="3" s="1"/>
  <c r="AG1470" i="3"/>
  <c r="AH1470" i="3" s="1"/>
  <c r="AJ1470" i="3"/>
  <c r="AL1470" i="3"/>
  <c r="AN1470" i="3"/>
  <c r="AP1470" i="3"/>
  <c r="AR1470" i="3"/>
  <c r="P1471" i="3"/>
  <c r="T1471" i="3" s="1"/>
  <c r="AA1471" i="3"/>
  <c r="AB1471" i="3" s="1"/>
  <c r="AG1471" i="3"/>
  <c r="AH1471" i="3" s="1"/>
  <c r="AJ1471" i="3"/>
  <c r="AL1471" i="3"/>
  <c r="AN1471" i="3"/>
  <c r="AP1471" i="3"/>
  <c r="AR1471" i="3"/>
  <c r="P1472" i="3"/>
  <c r="Q1472" i="3" s="1"/>
  <c r="AA1472" i="3"/>
  <c r="AB1472" i="3" s="1"/>
  <c r="AG1472" i="3"/>
  <c r="AH1472" i="3" s="1"/>
  <c r="AJ1472" i="3"/>
  <c r="AL1472" i="3"/>
  <c r="AN1472" i="3"/>
  <c r="AP1472" i="3"/>
  <c r="AR1472" i="3"/>
  <c r="P1473" i="3"/>
  <c r="T1473" i="3" s="1"/>
  <c r="AA1473" i="3"/>
  <c r="AB1473" i="3" s="1"/>
  <c r="AG1473" i="3"/>
  <c r="AH1473" i="3" s="1"/>
  <c r="AJ1473" i="3"/>
  <c r="AL1473" i="3"/>
  <c r="AN1473" i="3"/>
  <c r="AP1473" i="3"/>
  <c r="AR1473" i="3"/>
  <c r="P1474" i="3"/>
  <c r="T1474" i="3" s="1"/>
  <c r="AA1474" i="3"/>
  <c r="AB1474" i="3" s="1"/>
  <c r="AG1474" i="3"/>
  <c r="AH1474" i="3" s="1"/>
  <c r="AJ1474" i="3"/>
  <c r="AL1474" i="3"/>
  <c r="AN1474" i="3"/>
  <c r="AP1474" i="3"/>
  <c r="AR1474" i="3"/>
  <c r="P1475" i="3"/>
  <c r="T1475" i="3"/>
  <c r="AA1475" i="3"/>
  <c r="AB1475" i="3" s="1"/>
  <c r="AG1475" i="3"/>
  <c r="AH1475" i="3" s="1"/>
  <c r="AJ1475" i="3"/>
  <c r="AL1475" i="3"/>
  <c r="AN1475" i="3"/>
  <c r="AP1475" i="3"/>
  <c r="AR1475" i="3"/>
  <c r="P1476" i="3"/>
  <c r="Q1476" i="3" s="1"/>
  <c r="AA1476" i="3"/>
  <c r="AB1476" i="3" s="1"/>
  <c r="AG1476" i="3"/>
  <c r="AH1476" i="3" s="1"/>
  <c r="AJ1476" i="3"/>
  <c r="AL1476" i="3"/>
  <c r="AN1476" i="3"/>
  <c r="AP1476" i="3"/>
  <c r="AR1476" i="3"/>
  <c r="P1477" i="3"/>
  <c r="T1477" i="3" s="1"/>
  <c r="AA1477" i="3"/>
  <c r="AB1477" i="3" s="1"/>
  <c r="AG1477" i="3"/>
  <c r="AH1477" i="3" s="1"/>
  <c r="AJ1477" i="3"/>
  <c r="AL1477" i="3"/>
  <c r="AN1477" i="3"/>
  <c r="AP1477" i="3"/>
  <c r="AR1477" i="3"/>
  <c r="P1478" i="3"/>
  <c r="AD1478" i="3" s="1"/>
  <c r="AA1478" i="3"/>
  <c r="AB1478" i="3" s="1"/>
  <c r="AG1478" i="3"/>
  <c r="AH1478" i="3" s="1"/>
  <c r="AJ1478" i="3"/>
  <c r="AL1478" i="3"/>
  <c r="AN1478" i="3"/>
  <c r="AP1478" i="3"/>
  <c r="AR1478" i="3"/>
  <c r="P1479" i="3"/>
  <c r="T1479" i="3" s="1"/>
  <c r="AA1479" i="3"/>
  <c r="AB1479" i="3" s="1"/>
  <c r="AG1479" i="3"/>
  <c r="AH1479" i="3" s="1"/>
  <c r="AJ1479" i="3"/>
  <c r="AL1479" i="3"/>
  <c r="AN1479" i="3"/>
  <c r="AP1479" i="3"/>
  <c r="AR1479" i="3"/>
  <c r="P1480" i="3"/>
  <c r="Q1480" i="3" s="1"/>
  <c r="AA1480" i="3"/>
  <c r="AB1480" i="3" s="1"/>
  <c r="AG1480" i="3"/>
  <c r="AH1480" i="3" s="1"/>
  <c r="AJ1480" i="3"/>
  <c r="AL1480" i="3"/>
  <c r="AN1480" i="3"/>
  <c r="AP1480" i="3"/>
  <c r="AR1480" i="3"/>
  <c r="P1481" i="3"/>
  <c r="T1481" i="3" s="1"/>
  <c r="AA1481" i="3"/>
  <c r="AB1481" i="3" s="1"/>
  <c r="AG1481" i="3"/>
  <c r="AH1481" i="3" s="1"/>
  <c r="AJ1481" i="3"/>
  <c r="AL1481" i="3"/>
  <c r="AN1481" i="3"/>
  <c r="AP1481" i="3"/>
  <c r="AR1481" i="3"/>
  <c r="P1482" i="3"/>
  <c r="AY1482" i="3" s="1"/>
  <c r="AZ1482" i="3" s="1"/>
  <c r="AA1482" i="3"/>
  <c r="AB1482" i="3" s="1"/>
  <c r="AG1482" i="3"/>
  <c r="AH1482" i="3" s="1"/>
  <c r="AJ1482" i="3"/>
  <c r="AL1482" i="3"/>
  <c r="AN1482" i="3"/>
  <c r="AP1482" i="3"/>
  <c r="AR1482" i="3"/>
  <c r="P1483" i="3"/>
  <c r="T1483" i="3" s="1"/>
  <c r="AA1483" i="3"/>
  <c r="AB1483" i="3" s="1"/>
  <c r="AG1483" i="3"/>
  <c r="AH1483" i="3" s="1"/>
  <c r="AJ1483" i="3"/>
  <c r="AL1483" i="3"/>
  <c r="AN1483" i="3"/>
  <c r="AP1483" i="3"/>
  <c r="AR1483" i="3"/>
  <c r="P1484" i="3"/>
  <c r="Q1484" i="3" s="1"/>
  <c r="AA1484" i="3"/>
  <c r="AB1484" i="3" s="1"/>
  <c r="AG1484" i="3"/>
  <c r="AH1484" i="3" s="1"/>
  <c r="AJ1484" i="3"/>
  <c r="AL1484" i="3"/>
  <c r="AN1484" i="3"/>
  <c r="AP1484" i="3"/>
  <c r="AR1484" i="3"/>
  <c r="P1485" i="3"/>
  <c r="T1485" i="3" s="1"/>
  <c r="AA1485" i="3"/>
  <c r="AB1485" i="3" s="1"/>
  <c r="AG1485" i="3"/>
  <c r="AH1485" i="3" s="1"/>
  <c r="AJ1485" i="3"/>
  <c r="AL1485" i="3"/>
  <c r="AN1485" i="3"/>
  <c r="AP1485" i="3"/>
  <c r="AR1485" i="3"/>
  <c r="P1486" i="3"/>
  <c r="T1486" i="3" s="1"/>
  <c r="AA1486" i="3"/>
  <c r="AB1486" i="3" s="1"/>
  <c r="AG1486" i="3"/>
  <c r="AH1486" i="3" s="1"/>
  <c r="AJ1486" i="3"/>
  <c r="AL1486" i="3"/>
  <c r="AN1486" i="3"/>
  <c r="AP1486" i="3"/>
  <c r="AR1486" i="3"/>
  <c r="P1487" i="3"/>
  <c r="T1487" i="3" s="1"/>
  <c r="AA1487" i="3"/>
  <c r="AB1487" i="3" s="1"/>
  <c r="AG1487" i="3"/>
  <c r="AH1487" i="3" s="1"/>
  <c r="AJ1487" i="3"/>
  <c r="AL1487" i="3"/>
  <c r="AN1487" i="3"/>
  <c r="AP1487" i="3"/>
  <c r="AR1487" i="3"/>
  <c r="P1488" i="3"/>
  <c r="Q1488" i="3" s="1"/>
  <c r="AA1488" i="3"/>
  <c r="AB1488" i="3" s="1"/>
  <c r="AG1488" i="3"/>
  <c r="AH1488" i="3" s="1"/>
  <c r="AJ1488" i="3"/>
  <c r="AL1488" i="3"/>
  <c r="AN1488" i="3"/>
  <c r="AP1488" i="3"/>
  <c r="AR1488" i="3"/>
  <c r="P1489" i="3"/>
  <c r="T1489" i="3" s="1"/>
  <c r="AA1489" i="3"/>
  <c r="AB1489" i="3" s="1"/>
  <c r="AG1489" i="3"/>
  <c r="AH1489" i="3" s="1"/>
  <c r="AJ1489" i="3"/>
  <c r="AL1489" i="3"/>
  <c r="AN1489" i="3"/>
  <c r="AP1489" i="3"/>
  <c r="AR1489" i="3"/>
  <c r="P1490" i="3"/>
  <c r="T1490" i="3" s="1"/>
  <c r="AA1490" i="3"/>
  <c r="AB1490" i="3" s="1"/>
  <c r="AG1490" i="3"/>
  <c r="AH1490" i="3" s="1"/>
  <c r="AJ1490" i="3"/>
  <c r="AL1490" i="3"/>
  <c r="AN1490" i="3"/>
  <c r="AP1490" i="3"/>
  <c r="AR1490" i="3"/>
  <c r="P1491" i="3"/>
  <c r="T1491" i="3" s="1"/>
  <c r="AA1491" i="3"/>
  <c r="AB1491" i="3" s="1"/>
  <c r="AG1491" i="3"/>
  <c r="AH1491" i="3" s="1"/>
  <c r="AJ1491" i="3"/>
  <c r="AL1491" i="3"/>
  <c r="AN1491" i="3"/>
  <c r="AP1491" i="3"/>
  <c r="AR1491" i="3"/>
  <c r="P1492" i="3"/>
  <c r="AD1492" i="3" s="1"/>
  <c r="AA1492" i="3"/>
  <c r="AB1492" i="3" s="1"/>
  <c r="AG1492" i="3"/>
  <c r="AH1492" i="3" s="1"/>
  <c r="AJ1492" i="3"/>
  <c r="AL1492" i="3"/>
  <c r="AN1492" i="3"/>
  <c r="AP1492" i="3"/>
  <c r="AR1492" i="3"/>
  <c r="P1493" i="3"/>
  <c r="T1493" i="3" s="1"/>
  <c r="AA1493" i="3"/>
  <c r="AB1493" i="3" s="1"/>
  <c r="AG1493" i="3"/>
  <c r="AH1493" i="3" s="1"/>
  <c r="AJ1493" i="3"/>
  <c r="AL1493" i="3"/>
  <c r="AN1493" i="3"/>
  <c r="AP1493" i="3"/>
  <c r="AR1493" i="3"/>
  <c r="P1494" i="3"/>
  <c r="Q1494" i="3" s="1"/>
  <c r="AA1494" i="3"/>
  <c r="AB1494" i="3" s="1"/>
  <c r="AG1494" i="3"/>
  <c r="AH1494" i="3" s="1"/>
  <c r="AJ1494" i="3"/>
  <c r="AL1494" i="3"/>
  <c r="AN1494" i="3"/>
  <c r="AP1494" i="3"/>
  <c r="AR1494" i="3"/>
  <c r="P1495" i="3"/>
  <c r="T1495" i="3" s="1"/>
  <c r="AA1495" i="3"/>
  <c r="AB1495" i="3" s="1"/>
  <c r="AG1495" i="3"/>
  <c r="AH1495" i="3" s="1"/>
  <c r="AJ1495" i="3"/>
  <c r="AL1495" i="3"/>
  <c r="AN1495" i="3"/>
  <c r="AP1495" i="3"/>
  <c r="AR1495" i="3"/>
  <c r="P1496" i="3"/>
  <c r="Q1496" i="3" s="1"/>
  <c r="AA1496" i="3"/>
  <c r="AB1496" i="3" s="1"/>
  <c r="AG1496" i="3"/>
  <c r="AH1496" i="3" s="1"/>
  <c r="AJ1496" i="3"/>
  <c r="AL1496" i="3"/>
  <c r="AN1496" i="3"/>
  <c r="AP1496" i="3"/>
  <c r="AR1496" i="3"/>
  <c r="P1497" i="3"/>
  <c r="T1497" i="3" s="1"/>
  <c r="AA1497" i="3"/>
  <c r="AB1497" i="3" s="1"/>
  <c r="AG1497" i="3"/>
  <c r="AH1497" i="3" s="1"/>
  <c r="AJ1497" i="3"/>
  <c r="AL1497" i="3"/>
  <c r="AN1497" i="3"/>
  <c r="AP1497" i="3"/>
  <c r="AR1497" i="3"/>
  <c r="P1498" i="3"/>
  <c r="Q1498" i="3" s="1"/>
  <c r="AA1498" i="3"/>
  <c r="AB1498" i="3" s="1"/>
  <c r="AG1498" i="3"/>
  <c r="AH1498" i="3" s="1"/>
  <c r="AJ1498" i="3"/>
  <c r="AL1498" i="3"/>
  <c r="AN1498" i="3"/>
  <c r="AP1498" i="3"/>
  <c r="AR1498" i="3"/>
  <c r="P1499" i="3"/>
  <c r="T1499" i="3" s="1"/>
  <c r="AA1499" i="3"/>
  <c r="AB1499" i="3" s="1"/>
  <c r="AG1499" i="3"/>
  <c r="AH1499" i="3" s="1"/>
  <c r="AJ1499" i="3"/>
  <c r="AL1499" i="3"/>
  <c r="AN1499" i="3"/>
  <c r="AP1499" i="3"/>
  <c r="AR1499" i="3"/>
  <c r="P1500" i="3"/>
  <c r="Q1500" i="3" s="1"/>
  <c r="AA1500" i="3"/>
  <c r="AB1500" i="3" s="1"/>
  <c r="AG1500" i="3"/>
  <c r="AH1500" i="3" s="1"/>
  <c r="AJ1500" i="3"/>
  <c r="AL1500" i="3"/>
  <c r="AN1500" i="3"/>
  <c r="AP1500" i="3"/>
  <c r="AR1500" i="3"/>
  <c r="P1501" i="3"/>
  <c r="T1501" i="3" s="1"/>
  <c r="AA1501" i="3"/>
  <c r="AB1501" i="3" s="1"/>
  <c r="AG1501" i="3"/>
  <c r="AH1501" i="3" s="1"/>
  <c r="AJ1501" i="3"/>
  <c r="AL1501" i="3"/>
  <c r="AN1501" i="3"/>
  <c r="AP1501" i="3"/>
  <c r="AR1501" i="3"/>
  <c r="P1502" i="3"/>
  <c r="T1502" i="3" s="1"/>
  <c r="AA1502" i="3"/>
  <c r="AB1502" i="3" s="1"/>
  <c r="AG1502" i="3"/>
  <c r="AH1502" i="3" s="1"/>
  <c r="AJ1502" i="3"/>
  <c r="AL1502" i="3"/>
  <c r="AN1502" i="3"/>
  <c r="AP1502" i="3"/>
  <c r="AR1502" i="3"/>
  <c r="P1503" i="3"/>
  <c r="Q1503" i="3" s="1"/>
  <c r="AA1503" i="3"/>
  <c r="AB1503" i="3" s="1"/>
  <c r="AG1503" i="3"/>
  <c r="AH1503" i="3" s="1"/>
  <c r="AJ1503" i="3"/>
  <c r="AL1503" i="3"/>
  <c r="AN1503" i="3"/>
  <c r="AP1503" i="3"/>
  <c r="AR1503" i="3"/>
  <c r="P1504" i="3"/>
  <c r="T1504" i="3" s="1"/>
  <c r="AA1504" i="3"/>
  <c r="AB1504" i="3" s="1"/>
  <c r="AG1504" i="3"/>
  <c r="AH1504" i="3" s="1"/>
  <c r="AJ1504" i="3"/>
  <c r="AL1504" i="3"/>
  <c r="AN1504" i="3"/>
  <c r="AP1504" i="3"/>
  <c r="AR1504" i="3"/>
  <c r="P1505" i="3"/>
  <c r="T1505" i="3" s="1"/>
  <c r="AA1505" i="3"/>
  <c r="AB1505" i="3" s="1"/>
  <c r="AG1505" i="3"/>
  <c r="AH1505" i="3" s="1"/>
  <c r="AJ1505" i="3"/>
  <c r="AL1505" i="3"/>
  <c r="AN1505" i="3"/>
  <c r="AP1505" i="3"/>
  <c r="AR1505" i="3"/>
  <c r="P1506" i="3"/>
  <c r="AA1506" i="3"/>
  <c r="AB1506" i="3" s="1"/>
  <c r="AG1506" i="3"/>
  <c r="AH1506" i="3" s="1"/>
  <c r="AJ1506" i="3"/>
  <c r="AL1506" i="3"/>
  <c r="AN1506" i="3"/>
  <c r="AP1506" i="3"/>
  <c r="AR1506" i="3"/>
  <c r="P1507" i="3"/>
  <c r="T1507" i="3" s="1"/>
  <c r="AA1507" i="3"/>
  <c r="AB1507" i="3" s="1"/>
  <c r="AG1507" i="3"/>
  <c r="AH1507" i="3" s="1"/>
  <c r="AJ1507" i="3"/>
  <c r="AL1507" i="3"/>
  <c r="AN1507" i="3"/>
  <c r="AP1507" i="3"/>
  <c r="AR1507" i="3"/>
  <c r="P1508" i="3"/>
  <c r="Q1508" i="3" s="1"/>
  <c r="AA1508" i="3"/>
  <c r="AB1508" i="3" s="1"/>
  <c r="AG1508" i="3"/>
  <c r="AH1508" i="3" s="1"/>
  <c r="AJ1508" i="3"/>
  <c r="AL1508" i="3"/>
  <c r="AN1508" i="3"/>
  <c r="AP1508" i="3"/>
  <c r="AR1508" i="3"/>
  <c r="P1509" i="3"/>
  <c r="Q1509" i="3" s="1"/>
  <c r="AA1509" i="3"/>
  <c r="AB1509" i="3" s="1"/>
  <c r="AG1509" i="3"/>
  <c r="AH1509" i="3" s="1"/>
  <c r="AJ1509" i="3"/>
  <c r="AL1509" i="3"/>
  <c r="AN1509" i="3"/>
  <c r="AP1509" i="3"/>
  <c r="AR1509" i="3"/>
  <c r="P1510" i="3"/>
  <c r="Q1510" i="3" s="1"/>
  <c r="AA1510" i="3"/>
  <c r="AB1510" i="3" s="1"/>
  <c r="AG1510" i="3"/>
  <c r="AH1510" i="3" s="1"/>
  <c r="AJ1510" i="3"/>
  <c r="AL1510" i="3"/>
  <c r="AN1510" i="3"/>
  <c r="AP1510" i="3"/>
  <c r="AR1510" i="3"/>
  <c r="P1511" i="3"/>
  <c r="T1511" i="3" s="1"/>
  <c r="AA1511" i="3"/>
  <c r="AB1511" i="3" s="1"/>
  <c r="AG1511" i="3"/>
  <c r="AH1511" i="3" s="1"/>
  <c r="AJ1511" i="3"/>
  <c r="AL1511" i="3"/>
  <c r="AN1511" i="3"/>
  <c r="AP1511" i="3"/>
  <c r="AR1511" i="3"/>
  <c r="P1512" i="3"/>
  <c r="Q1512" i="3" s="1"/>
  <c r="AA1512" i="3"/>
  <c r="AB1512" i="3" s="1"/>
  <c r="AG1512" i="3"/>
  <c r="AH1512" i="3" s="1"/>
  <c r="AJ1512" i="3"/>
  <c r="AL1512" i="3"/>
  <c r="AN1512" i="3"/>
  <c r="AP1512" i="3"/>
  <c r="AR1512" i="3"/>
  <c r="P1513" i="3"/>
  <c r="AD1513" i="3" s="1"/>
  <c r="AA1513" i="3"/>
  <c r="AB1513" i="3" s="1"/>
  <c r="AG1513" i="3"/>
  <c r="AH1513" i="3" s="1"/>
  <c r="AJ1513" i="3"/>
  <c r="AL1513" i="3"/>
  <c r="AN1513" i="3"/>
  <c r="AP1513" i="3"/>
  <c r="AR1513" i="3"/>
  <c r="P1514" i="3"/>
  <c r="Q1514" i="3" s="1"/>
  <c r="AA1514" i="3"/>
  <c r="AB1514" i="3" s="1"/>
  <c r="AG1514" i="3"/>
  <c r="AH1514" i="3" s="1"/>
  <c r="AJ1514" i="3"/>
  <c r="AL1514" i="3"/>
  <c r="AN1514" i="3"/>
  <c r="AP1514" i="3"/>
  <c r="AR1514" i="3"/>
  <c r="P1515" i="3"/>
  <c r="AY1515" i="3" s="1"/>
  <c r="AZ1515" i="3" s="1"/>
  <c r="AA1515" i="3"/>
  <c r="AB1515" i="3" s="1"/>
  <c r="AG1515" i="3"/>
  <c r="AH1515" i="3" s="1"/>
  <c r="AJ1515" i="3"/>
  <c r="AL1515" i="3"/>
  <c r="AN1515" i="3"/>
  <c r="AP1515" i="3"/>
  <c r="AR1515" i="3"/>
  <c r="P1516" i="3"/>
  <c r="Q1516" i="3" s="1"/>
  <c r="AA1516" i="3"/>
  <c r="AB1516" i="3" s="1"/>
  <c r="AG1516" i="3"/>
  <c r="AH1516" i="3" s="1"/>
  <c r="AJ1516" i="3"/>
  <c r="AL1516" i="3"/>
  <c r="AN1516" i="3"/>
  <c r="AP1516" i="3"/>
  <c r="AR1516" i="3"/>
  <c r="P1517" i="3"/>
  <c r="AD1517" i="3" s="1"/>
  <c r="AA1517" i="3"/>
  <c r="AB1517" i="3" s="1"/>
  <c r="AG1517" i="3"/>
  <c r="AH1517" i="3" s="1"/>
  <c r="AJ1517" i="3"/>
  <c r="AL1517" i="3"/>
  <c r="AN1517" i="3"/>
  <c r="AP1517" i="3"/>
  <c r="AR1517" i="3"/>
  <c r="P1518" i="3"/>
  <c r="Q1518" i="3" s="1"/>
  <c r="AA1518" i="3"/>
  <c r="AB1518" i="3" s="1"/>
  <c r="AG1518" i="3"/>
  <c r="AH1518" i="3" s="1"/>
  <c r="AJ1518" i="3"/>
  <c r="AL1518" i="3"/>
  <c r="AN1518" i="3"/>
  <c r="AP1518" i="3"/>
  <c r="AR1518" i="3"/>
  <c r="P1519" i="3"/>
  <c r="AY1519" i="3" s="1"/>
  <c r="AZ1519" i="3" s="1"/>
  <c r="AA1519" i="3"/>
  <c r="AB1519" i="3" s="1"/>
  <c r="AG1519" i="3"/>
  <c r="AH1519" i="3" s="1"/>
  <c r="AJ1519" i="3"/>
  <c r="AL1519" i="3"/>
  <c r="AN1519" i="3"/>
  <c r="AP1519" i="3"/>
  <c r="AR1519" i="3"/>
  <c r="P1520" i="3"/>
  <c r="Q1520" i="3" s="1"/>
  <c r="AA1520" i="3"/>
  <c r="AB1520" i="3" s="1"/>
  <c r="AG1520" i="3"/>
  <c r="AH1520" i="3" s="1"/>
  <c r="AJ1520" i="3"/>
  <c r="AL1520" i="3"/>
  <c r="AN1520" i="3"/>
  <c r="AP1520" i="3"/>
  <c r="AR1520" i="3"/>
  <c r="P1521" i="3"/>
  <c r="Q1521" i="3" s="1"/>
  <c r="AA1521" i="3"/>
  <c r="AB1521" i="3" s="1"/>
  <c r="AG1521" i="3"/>
  <c r="AH1521" i="3" s="1"/>
  <c r="AJ1521" i="3"/>
  <c r="AL1521" i="3"/>
  <c r="AN1521" i="3"/>
  <c r="AP1521" i="3"/>
  <c r="AR1521" i="3"/>
  <c r="P1522" i="3"/>
  <c r="Q1522" i="3" s="1"/>
  <c r="AA1522" i="3"/>
  <c r="AB1522" i="3" s="1"/>
  <c r="AG1522" i="3"/>
  <c r="AH1522" i="3" s="1"/>
  <c r="AJ1522" i="3"/>
  <c r="AL1522" i="3"/>
  <c r="AN1522" i="3"/>
  <c r="AP1522" i="3"/>
  <c r="AR1522" i="3"/>
  <c r="P1523" i="3"/>
  <c r="AD1523" i="3" s="1"/>
  <c r="AA1523" i="3"/>
  <c r="AB1523" i="3" s="1"/>
  <c r="AG1523" i="3"/>
  <c r="AH1523" i="3" s="1"/>
  <c r="AJ1523" i="3"/>
  <c r="AL1523" i="3"/>
  <c r="AN1523" i="3"/>
  <c r="AP1523" i="3"/>
  <c r="AR1523" i="3"/>
  <c r="P1524" i="3"/>
  <c r="Q1524" i="3" s="1"/>
  <c r="AA1524" i="3"/>
  <c r="AB1524" i="3" s="1"/>
  <c r="AG1524" i="3"/>
  <c r="AH1524" i="3" s="1"/>
  <c r="AJ1524" i="3"/>
  <c r="AL1524" i="3"/>
  <c r="AN1524" i="3"/>
  <c r="AP1524" i="3"/>
  <c r="AR1524" i="3"/>
  <c r="P1525" i="3"/>
  <c r="Q1525" i="3" s="1"/>
  <c r="AA1525" i="3"/>
  <c r="AB1525" i="3" s="1"/>
  <c r="AG1525" i="3"/>
  <c r="AH1525" i="3" s="1"/>
  <c r="AJ1525" i="3"/>
  <c r="AL1525" i="3"/>
  <c r="AN1525" i="3"/>
  <c r="AP1525" i="3"/>
  <c r="AR1525" i="3"/>
  <c r="P1526" i="3"/>
  <c r="Q1526" i="3" s="1"/>
  <c r="AA1526" i="3"/>
  <c r="AB1526" i="3" s="1"/>
  <c r="AG1526" i="3"/>
  <c r="AH1526" i="3" s="1"/>
  <c r="AJ1526" i="3"/>
  <c r="AL1526" i="3"/>
  <c r="AN1526" i="3"/>
  <c r="AP1526" i="3"/>
  <c r="AR1526" i="3"/>
  <c r="P1527" i="3"/>
  <c r="T1527" i="3" s="1"/>
  <c r="AA1527" i="3"/>
  <c r="AB1527" i="3" s="1"/>
  <c r="AG1527" i="3"/>
  <c r="AH1527" i="3" s="1"/>
  <c r="AJ1527" i="3"/>
  <c r="AL1527" i="3"/>
  <c r="AN1527" i="3"/>
  <c r="AP1527" i="3"/>
  <c r="AR1527" i="3"/>
  <c r="P1528" i="3"/>
  <c r="Q1528" i="3" s="1"/>
  <c r="AA1528" i="3"/>
  <c r="AB1528" i="3" s="1"/>
  <c r="AG1528" i="3"/>
  <c r="AH1528" i="3" s="1"/>
  <c r="AJ1528" i="3"/>
  <c r="AL1528" i="3"/>
  <c r="AN1528" i="3"/>
  <c r="AP1528" i="3"/>
  <c r="AR1528" i="3"/>
  <c r="P1529" i="3"/>
  <c r="AD1529" i="3" s="1"/>
  <c r="AA1529" i="3"/>
  <c r="AB1529" i="3" s="1"/>
  <c r="AG1529" i="3"/>
  <c r="AH1529" i="3" s="1"/>
  <c r="AJ1529" i="3"/>
  <c r="AL1529" i="3"/>
  <c r="AN1529" i="3"/>
  <c r="AP1529" i="3"/>
  <c r="AR1529" i="3"/>
  <c r="P1530" i="3"/>
  <c r="Q1530" i="3" s="1"/>
  <c r="AA1530" i="3"/>
  <c r="AB1530" i="3" s="1"/>
  <c r="AG1530" i="3"/>
  <c r="AH1530" i="3" s="1"/>
  <c r="AJ1530" i="3"/>
  <c r="AL1530" i="3"/>
  <c r="AN1530" i="3"/>
  <c r="AP1530" i="3"/>
  <c r="AR1530" i="3"/>
  <c r="P1531" i="3"/>
  <c r="AY1531" i="3" s="1"/>
  <c r="AZ1531" i="3" s="1"/>
  <c r="AA1531" i="3"/>
  <c r="AB1531" i="3" s="1"/>
  <c r="AG1531" i="3"/>
  <c r="AH1531" i="3" s="1"/>
  <c r="AJ1531" i="3"/>
  <c r="AL1531" i="3"/>
  <c r="AN1531" i="3"/>
  <c r="AP1531" i="3"/>
  <c r="AR1531" i="3"/>
  <c r="P1532" i="3"/>
  <c r="Q1532" i="3" s="1"/>
  <c r="AA1532" i="3"/>
  <c r="AB1532" i="3" s="1"/>
  <c r="AG1532" i="3"/>
  <c r="AH1532" i="3" s="1"/>
  <c r="AJ1532" i="3"/>
  <c r="AL1532" i="3"/>
  <c r="AN1532" i="3"/>
  <c r="AP1532" i="3"/>
  <c r="AR1532" i="3"/>
  <c r="P1533" i="3"/>
  <c r="AD1533" i="3" s="1"/>
  <c r="AA1533" i="3"/>
  <c r="AB1533" i="3" s="1"/>
  <c r="AG1533" i="3"/>
  <c r="AH1533" i="3" s="1"/>
  <c r="AJ1533" i="3"/>
  <c r="AL1533" i="3"/>
  <c r="AN1533" i="3"/>
  <c r="AP1533" i="3"/>
  <c r="AR1533" i="3"/>
  <c r="P1534" i="3"/>
  <c r="Q1534" i="3" s="1"/>
  <c r="AA1534" i="3"/>
  <c r="AB1534" i="3" s="1"/>
  <c r="AG1534" i="3"/>
  <c r="AH1534" i="3" s="1"/>
  <c r="AJ1534" i="3"/>
  <c r="AL1534" i="3"/>
  <c r="AN1534" i="3"/>
  <c r="AP1534" i="3"/>
  <c r="AR1534" i="3"/>
  <c r="P1535" i="3"/>
  <c r="AY1535" i="3" s="1"/>
  <c r="AZ1535" i="3" s="1"/>
  <c r="AA1535" i="3"/>
  <c r="AB1535" i="3" s="1"/>
  <c r="AG1535" i="3"/>
  <c r="AH1535" i="3" s="1"/>
  <c r="AJ1535" i="3"/>
  <c r="AL1535" i="3"/>
  <c r="AN1535" i="3"/>
  <c r="AP1535" i="3"/>
  <c r="AR1535" i="3"/>
  <c r="Q1497" i="3" l="1"/>
  <c r="Q1474" i="3"/>
  <c r="AW1511" i="3"/>
  <c r="AX1511" i="3" s="1"/>
  <c r="Q1527" i="3"/>
  <c r="T1578" i="3"/>
  <c r="AY1466" i="3"/>
  <c r="AZ1466" i="3" s="1"/>
  <c r="T1545" i="3"/>
  <c r="AD1543" i="3"/>
  <c r="Q1535" i="3"/>
  <c r="Q1529" i="3"/>
  <c r="T1443" i="3"/>
  <c r="T1556" i="3"/>
  <c r="Q1507" i="3"/>
  <c r="T1551" i="3"/>
  <c r="AW1559" i="3"/>
  <c r="AX1559" i="3" s="1"/>
  <c r="AW1507" i="3"/>
  <c r="AX1507" i="3" s="1"/>
  <c r="AD1527" i="3"/>
  <c r="T1563" i="3"/>
  <c r="AY1551" i="3"/>
  <c r="AZ1551" i="3" s="1"/>
  <c r="AY1595" i="3"/>
  <c r="AZ1595" i="3" s="1"/>
  <c r="Q1523" i="3"/>
  <c r="AD1617" i="3"/>
  <c r="AY1474" i="3"/>
  <c r="AZ1474" i="3" s="1"/>
  <c r="AW1569" i="3"/>
  <c r="AX1569" i="3" s="1"/>
  <c r="AD1507" i="3"/>
  <c r="T1452" i="3"/>
  <c r="AW1527" i="3"/>
  <c r="AX1527" i="3" s="1"/>
  <c r="AW1535" i="3"/>
  <c r="AX1535" i="3" s="1"/>
  <c r="AD1535" i="3"/>
  <c r="AY1529" i="3"/>
  <c r="AZ1529" i="3" s="1"/>
  <c r="T1529" i="3"/>
  <c r="AY1523" i="3"/>
  <c r="AZ1523" i="3" s="1"/>
  <c r="T1523" i="3"/>
  <c r="T1515" i="3"/>
  <c r="Q1499" i="3"/>
  <c r="Q1486" i="3"/>
  <c r="AY1455" i="3"/>
  <c r="AZ1455" i="3" s="1"/>
  <c r="AD1569" i="3"/>
  <c r="Q1545" i="3"/>
  <c r="Q1641" i="3"/>
  <c r="AY1631" i="3"/>
  <c r="AZ1631" i="3" s="1"/>
  <c r="T1631" i="3"/>
  <c r="AY1610" i="3"/>
  <c r="AZ1610" i="3" s="1"/>
  <c r="T1610" i="3"/>
  <c r="AY1601" i="3"/>
  <c r="AZ1601" i="3" s="1"/>
  <c r="T1601" i="3"/>
  <c r="AD1519" i="3"/>
  <c r="AD1511" i="3"/>
  <c r="T1496" i="3"/>
  <c r="AY1464" i="3"/>
  <c r="AZ1464" i="3" s="1"/>
  <c r="AY1445" i="3"/>
  <c r="AZ1445" i="3" s="1"/>
  <c r="Q1563" i="3"/>
  <c r="Q1557" i="3"/>
  <c r="AW1543" i="3"/>
  <c r="AX1543" i="3" s="1"/>
  <c r="AY1639" i="3"/>
  <c r="AZ1639" i="3" s="1"/>
  <c r="T1639" i="3"/>
  <c r="AY1625" i="3"/>
  <c r="AZ1625" i="3" s="1"/>
  <c r="AD1625" i="3"/>
  <c r="AW1617" i="3"/>
  <c r="AX1617" i="3" s="1"/>
  <c r="AW1519" i="3"/>
  <c r="AX1519" i="3" s="1"/>
  <c r="AD1488" i="3"/>
  <c r="AW1464" i="3"/>
  <c r="AX1464" i="3" s="1"/>
  <c r="AD1464" i="3"/>
  <c r="AW1567" i="3"/>
  <c r="AX1567" i="3" s="1"/>
  <c r="AD1567" i="3"/>
  <c r="AW1625" i="3"/>
  <c r="AX1625" i="3" s="1"/>
  <c r="T1617" i="3"/>
  <c r="T1500" i="3"/>
  <c r="AW1495" i="3"/>
  <c r="AX1495" i="3" s="1"/>
  <c r="AD1495" i="3"/>
  <c r="AY1488" i="3"/>
  <c r="AZ1488" i="3" s="1"/>
  <c r="AW1474" i="3"/>
  <c r="AX1474" i="3" s="1"/>
  <c r="AD1474" i="3"/>
  <c r="AY1545" i="3"/>
  <c r="AZ1545" i="3" s="1"/>
  <c r="AY1540" i="3"/>
  <c r="AZ1540" i="3" s="1"/>
  <c r="T1540" i="3"/>
  <c r="Q1625" i="3"/>
  <c r="Q1590" i="3"/>
  <c r="T1449" i="3"/>
  <c r="T1567" i="3"/>
  <c r="AW1545" i="3"/>
  <c r="AX1545" i="3" s="1"/>
  <c r="AW1633" i="3"/>
  <c r="AX1633" i="3" s="1"/>
  <c r="T1633" i="3"/>
  <c r="T1531" i="3"/>
  <c r="T1464" i="3"/>
  <c r="Q1531" i="3"/>
  <c r="AW1515" i="3"/>
  <c r="AX1515" i="3" s="1"/>
  <c r="AD1515" i="3"/>
  <c r="AW1499" i="3"/>
  <c r="AX1499" i="3" s="1"/>
  <c r="AD1499" i="3"/>
  <c r="Q1495" i="3"/>
  <c r="AW1486" i="3"/>
  <c r="AX1486" i="3" s="1"/>
  <c r="AD1486" i="3"/>
  <c r="Q1478" i="3"/>
  <c r="AD1466" i="3"/>
  <c r="Q1449" i="3"/>
  <c r="Q1581" i="3"/>
  <c r="Q1567" i="3"/>
  <c r="AY1559" i="3"/>
  <c r="AZ1559" i="3" s="1"/>
  <c r="AD1559" i="3"/>
  <c r="Q1536" i="3"/>
  <c r="Q1633" i="3"/>
  <c r="AY1623" i="3"/>
  <c r="AZ1623" i="3" s="1"/>
  <c r="T1623" i="3"/>
  <c r="AW1603" i="3"/>
  <c r="AX1603" i="3" s="1"/>
  <c r="T1603" i="3"/>
  <c r="AW1531" i="3"/>
  <c r="AX1531" i="3" s="1"/>
  <c r="AD1531" i="3"/>
  <c r="AW1523" i="3"/>
  <c r="AX1523" i="3" s="1"/>
  <c r="T1521" i="3"/>
  <c r="Q1513" i="3"/>
  <c r="AY1507" i="3"/>
  <c r="AZ1507" i="3" s="1"/>
  <c r="Q1505" i="3"/>
  <c r="Q1501" i="3"/>
  <c r="AW1497" i="3"/>
  <c r="AX1497" i="3" s="1"/>
  <c r="AD1497" i="3"/>
  <c r="T1494" i="3"/>
  <c r="Q1490" i="3"/>
  <c r="AY1486" i="3"/>
  <c r="AZ1486" i="3" s="1"/>
  <c r="T1478" i="3"/>
  <c r="T1476" i="3"/>
  <c r="Q1468" i="3"/>
  <c r="Q1458" i="3"/>
  <c r="Q1453" i="3"/>
  <c r="AW1449" i="3"/>
  <c r="AX1449" i="3" s="1"/>
  <c r="AD1445" i="3"/>
  <c r="T1581" i="3"/>
  <c r="Q1575" i="3"/>
  <c r="Q1571" i="3"/>
  <c r="AY1563" i="3"/>
  <c r="AZ1563" i="3" s="1"/>
  <c r="Q1553" i="3"/>
  <c r="Q1542" i="3"/>
  <c r="T1536" i="3"/>
  <c r="T1641" i="3"/>
  <c r="AY1633" i="3"/>
  <c r="AZ1633" i="3" s="1"/>
  <c r="AY1612" i="3"/>
  <c r="AZ1612" i="3" s="1"/>
  <c r="T1612" i="3"/>
  <c r="AY1603" i="3"/>
  <c r="AZ1603" i="3" s="1"/>
  <c r="AD1603" i="3"/>
  <c r="T1590" i="3"/>
  <c r="AY1614" i="3"/>
  <c r="AZ1614" i="3" s="1"/>
  <c r="AD1614" i="3"/>
  <c r="T1535" i="3"/>
  <c r="Q1515" i="3"/>
  <c r="Q1511" i="3"/>
  <c r="AY1490" i="3"/>
  <c r="AZ1490" i="3" s="1"/>
  <c r="AW1488" i="3"/>
  <c r="AX1488" i="3" s="1"/>
  <c r="AY1476" i="3"/>
  <c r="AZ1476" i="3" s="1"/>
  <c r="AW1458" i="3"/>
  <c r="AX1458" i="3" s="1"/>
  <c r="AD1458" i="3"/>
  <c r="AW1455" i="3"/>
  <c r="AX1455" i="3" s="1"/>
  <c r="Q1451" i="3"/>
  <c r="AY1447" i="3"/>
  <c r="AZ1447" i="3" s="1"/>
  <c r="T1579" i="3"/>
  <c r="AY1575" i="3"/>
  <c r="AZ1575" i="3" s="1"/>
  <c r="AD1575" i="3"/>
  <c r="AW1614" i="3"/>
  <c r="AX1614" i="3" s="1"/>
  <c r="AD1521" i="3"/>
  <c r="AY1505" i="3"/>
  <c r="AZ1505" i="3" s="1"/>
  <c r="AW1490" i="3"/>
  <c r="AX1490" i="3" s="1"/>
  <c r="AD1490" i="3"/>
  <c r="AY1478" i="3"/>
  <c r="AZ1478" i="3" s="1"/>
  <c r="AW1476" i="3"/>
  <c r="AX1476" i="3" s="1"/>
  <c r="AD1476" i="3"/>
  <c r="T1455" i="3"/>
  <c r="AW1575" i="3"/>
  <c r="AX1575" i="3" s="1"/>
  <c r="AY1571" i="3"/>
  <c r="AZ1571" i="3" s="1"/>
  <c r="AD1571" i="3"/>
  <c r="AW1561" i="3"/>
  <c r="AX1561" i="3" s="1"/>
  <c r="AD1561" i="3"/>
  <c r="T1559" i="3"/>
  <c r="AY1553" i="3"/>
  <c r="AZ1553" i="3" s="1"/>
  <c r="AD1553" i="3"/>
  <c r="AW1549" i="3"/>
  <c r="AX1549" i="3" s="1"/>
  <c r="AD1549" i="3"/>
  <c r="AY1542" i="3"/>
  <c r="AZ1542" i="3" s="1"/>
  <c r="AD1542" i="3"/>
  <c r="T1614" i="3"/>
  <c r="AY1521" i="3"/>
  <c r="AZ1521" i="3" s="1"/>
  <c r="T1519" i="3"/>
  <c r="AW1521" i="3"/>
  <c r="AX1521" i="3" s="1"/>
  <c r="Q1519" i="3"/>
  <c r="AY1513" i="3"/>
  <c r="AZ1513" i="3" s="1"/>
  <c r="AW1505" i="3"/>
  <c r="AX1505" i="3" s="1"/>
  <c r="AD1505" i="3"/>
  <c r="AW1501" i="3"/>
  <c r="AX1501" i="3" s="1"/>
  <c r="AD1501" i="3"/>
  <c r="T1498" i="3"/>
  <c r="T1488" i="3"/>
  <c r="AW1478" i="3"/>
  <c r="AX1478" i="3" s="1"/>
  <c r="AY1468" i="3"/>
  <c r="AZ1468" i="3" s="1"/>
  <c r="AW1450" i="3"/>
  <c r="AX1450" i="3" s="1"/>
  <c r="T1450" i="3"/>
  <c r="T1447" i="3"/>
  <c r="T1582" i="3"/>
  <c r="AW1571" i="3"/>
  <c r="AX1571" i="3" s="1"/>
  <c r="AW1553" i="3"/>
  <c r="AX1553" i="3" s="1"/>
  <c r="AW1542" i="3"/>
  <c r="AX1542" i="3" s="1"/>
  <c r="AY1536" i="3"/>
  <c r="AZ1536" i="3" s="1"/>
  <c r="AD1536" i="3"/>
  <c r="AY1641" i="3"/>
  <c r="AZ1641" i="3" s="1"/>
  <c r="AD1641" i="3"/>
  <c r="AY1590" i="3"/>
  <c r="AZ1590" i="3" s="1"/>
  <c r="AD1590" i="3"/>
  <c r="AY1586" i="3"/>
  <c r="AZ1586" i="3" s="1"/>
  <c r="Q1586" i="3"/>
  <c r="T1513" i="3"/>
  <c r="T1468" i="3"/>
  <c r="T1458" i="3"/>
  <c r="AW1577" i="3"/>
  <c r="AX1577" i="3" s="1"/>
  <c r="AD1577" i="3"/>
  <c r="AW1466" i="3"/>
  <c r="AX1466" i="3" s="1"/>
  <c r="Q1608" i="3"/>
  <c r="T1608" i="3"/>
  <c r="AD1608" i="3"/>
  <c r="AW1608" i="3"/>
  <c r="AX1608" i="3" s="1"/>
  <c r="AY1608" i="3"/>
  <c r="AZ1608" i="3" s="1"/>
  <c r="Q1609" i="3"/>
  <c r="T1609" i="3"/>
  <c r="T1517" i="3"/>
  <c r="AY1509" i="3"/>
  <c r="AZ1509" i="3" s="1"/>
  <c r="AY1503" i="3"/>
  <c r="AZ1503" i="3" s="1"/>
  <c r="T1492" i="3"/>
  <c r="AY1484" i="3"/>
  <c r="AZ1484" i="3" s="1"/>
  <c r="AY1472" i="3"/>
  <c r="AZ1472" i="3" s="1"/>
  <c r="AD1443" i="3"/>
  <c r="AW1443" i="3"/>
  <c r="AX1443" i="3" s="1"/>
  <c r="Q1443" i="3"/>
  <c r="AD1462" i="3"/>
  <c r="AW1462" i="3"/>
  <c r="AX1462" i="3" s="1"/>
  <c r="Q1462" i="3"/>
  <c r="T1533" i="3"/>
  <c r="AY1525" i="3"/>
  <c r="AZ1525" i="3" s="1"/>
  <c r="Q1533" i="3"/>
  <c r="AY1527" i="3"/>
  <c r="AZ1527" i="3" s="1"/>
  <c r="AW1525" i="3"/>
  <c r="AX1525" i="3" s="1"/>
  <c r="AD1525" i="3"/>
  <c r="Q1517" i="3"/>
  <c r="AY1511" i="3"/>
  <c r="AZ1511" i="3" s="1"/>
  <c r="AW1509" i="3"/>
  <c r="AX1509" i="3" s="1"/>
  <c r="AD1509" i="3"/>
  <c r="AW1503" i="3"/>
  <c r="AX1503" i="3" s="1"/>
  <c r="AD1503" i="3"/>
  <c r="AY1501" i="3"/>
  <c r="AZ1501" i="3" s="1"/>
  <c r="AY1499" i="3"/>
  <c r="AZ1499" i="3" s="1"/>
  <c r="AY1497" i="3"/>
  <c r="AZ1497" i="3" s="1"/>
  <c r="AY1495" i="3"/>
  <c r="AZ1495" i="3" s="1"/>
  <c r="Q1492" i="3"/>
  <c r="AW1484" i="3"/>
  <c r="AX1484" i="3" s="1"/>
  <c r="AD1484" i="3"/>
  <c r="AW1482" i="3"/>
  <c r="AX1482" i="3" s="1"/>
  <c r="AD1482" i="3"/>
  <c r="AY1480" i="3"/>
  <c r="AZ1480" i="3" s="1"/>
  <c r="AD1480" i="3"/>
  <c r="AW1472" i="3"/>
  <c r="AX1472" i="3" s="1"/>
  <c r="AD1472" i="3"/>
  <c r="AY1470" i="3"/>
  <c r="AZ1470" i="3" s="1"/>
  <c r="Q1466" i="3"/>
  <c r="Q1454" i="3"/>
  <c r="T1454" i="3"/>
  <c r="AW1445" i="3"/>
  <c r="AX1445" i="3" s="1"/>
  <c r="AD1573" i="3"/>
  <c r="AW1573" i="3"/>
  <c r="AX1573" i="3" s="1"/>
  <c r="AY1573" i="3"/>
  <c r="AZ1573" i="3" s="1"/>
  <c r="T1573" i="3"/>
  <c r="Q1547" i="3"/>
  <c r="T1547" i="3"/>
  <c r="AD1547" i="3"/>
  <c r="AW1547" i="3"/>
  <c r="AX1547" i="3" s="1"/>
  <c r="AW1470" i="3"/>
  <c r="AX1470" i="3" s="1"/>
  <c r="AD1470" i="3"/>
  <c r="AD1555" i="3"/>
  <c r="AW1555" i="3"/>
  <c r="AX1555" i="3" s="1"/>
  <c r="AY1555" i="3"/>
  <c r="AZ1555" i="3" s="1"/>
  <c r="Q1555" i="3"/>
  <c r="Q1643" i="3"/>
  <c r="T1643" i="3"/>
  <c r="AW1480" i="3"/>
  <c r="AX1480" i="3" s="1"/>
  <c r="AW1529" i="3"/>
  <c r="AX1529" i="3" s="1"/>
  <c r="AW1513" i="3"/>
  <c r="AX1513" i="3" s="1"/>
  <c r="AD1460" i="3"/>
  <c r="AW1460" i="3"/>
  <c r="AX1460" i="3" s="1"/>
  <c r="AY1460" i="3"/>
  <c r="AZ1460" i="3" s="1"/>
  <c r="T1460" i="3"/>
  <c r="AY1453" i="3"/>
  <c r="AZ1453" i="3" s="1"/>
  <c r="AD1453" i="3"/>
  <c r="AW1451" i="3"/>
  <c r="AX1451" i="3" s="1"/>
  <c r="Q1450" i="3"/>
  <c r="AD1450" i="3"/>
  <c r="AD1449" i="3"/>
  <c r="Q1445" i="3"/>
  <c r="AD1581" i="3"/>
  <c r="Q1627" i="3"/>
  <c r="T1627" i="3"/>
  <c r="AD1627" i="3"/>
  <c r="AW1627" i="3"/>
  <c r="AX1627" i="3" s="1"/>
  <c r="AY1627" i="3"/>
  <c r="AZ1627" i="3" s="1"/>
  <c r="Q1605" i="3"/>
  <c r="T1605" i="3"/>
  <c r="AD1605" i="3"/>
  <c r="AW1605" i="3"/>
  <c r="AX1605" i="3" s="1"/>
  <c r="AY1605" i="3"/>
  <c r="AZ1605" i="3" s="1"/>
  <c r="AY1517" i="3"/>
  <c r="AZ1517" i="3" s="1"/>
  <c r="T1509" i="3"/>
  <c r="T1503" i="3"/>
  <c r="AY1492" i="3"/>
  <c r="AZ1492" i="3" s="1"/>
  <c r="T1484" i="3"/>
  <c r="T1482" i="3"/>
  <c r="T1480" i="3"/>
  <c r="T1472" i="3"/>
  <c r="T1470" i="3"/>
  <c r="AY1462" i="3"/>
  <c r="AZ1462" i="3" s="1"/>
  <c r="AW1453" i="3"/>
  <c r="AX1453" i="3" s="1"/>
  <c r="AW1581" i="3"/>
  <c r="AX1581" i="3" s="1"/>
  <c r="AD1579" i="3"/>
  <c r="AW1579" i="3"/>
  <c r="AX1579" i="3" s="1"/>
  <c r="AY1579" i="3"/>
  <c r="AZ1579" i="3" s="1"/>
  <c r="AD1565" i="3"/>
  <c r="AW1565" i="3"/>
  <c r="AX1565" i="3" s="1"/>
  <c r="AY1565" i="3"/>
  <c r="AZ1565" i="3" s="1"/>
  <c r="T1565" i="3"/>
  <c r="Q1647" i="3"/>
  <c r="T1647" i="3"/>
  <c r="AY1533" i="3"/>
  <c r="AZ1533" i="3" s="1"/>
  <c r="T1525" i="3"/>
  <c r="AW1533" i="3"/>
  <c r="AX1533" i="3" s="1"/>
  <c r="AW1517" i="3"/>
  <c r="AX1517" i="3" s="1"/>
  <c r="AW1492" i="3"/>
  <c r="AX1492" i="3" s="1"/>
  <c r="Q1482" i="3"/>
  <c r="T1462" i="3"/>
  <c r="T1451" i="3"/>
  <c r="Q1645" i="3"/>
  <c r="T1645" i="3"/>
  <c r="AW1468" i="3"/>
  <c r="AX1468" i="3" s="1"/>
  <c r="AW1447" i="3"/>
  <c r="AX1447" i="3" s="1"/>
  <c r="AD1447" i="3"/>
  <c r="AY1577" i="3"/>
  <c r="AZ1577" i="3" s="1"/>
  <c r="AY1569" i="3"/>
  <c r="AZ1569" i="3" s="1"/>
  <c r="AY1561" i="3"/>
  <c r="AZ1561" i="3" s="1"/>
  <c r="T1557" i="3"/>
  <c r="AW1551" i="3"/>
  <c r="AX1551" i="3" s="1"/>
  <c r="AD1551" i="3"/>
  <c r="AY1549" i="3"/>
  <c r="AZ1549" i="3" s="1"/>
  <c r="T1543" i="3"/>
  <c r="Q1540" i="3"/>
  <c r="T1538" i="3"/>
  <c r="AY1646" i="3"/>
  <c r="AZ1646" i="3" s="1"/>
  <c r="AY1644" i="3"/>
  <c r="AZ1644" i="3" s="1"/>
  <c r="Q1639" i="3"/>
  <c r="T1637" i="3"/>
  <c r="AW1631" i="3"/>
  <c r="AX1631" i="3" s="1"/>
  <c r="AD1631" i="3"/>
  <c r="AY1629" i="3"/>
  <c r="AZ1629" i="3" s="1"/>
  <c r="Q1623" i="3"/>
  <c r="T1621" i="3"/>
  <c r="AW1612" i="3"/>
  <c r="AX1612" i="3" s="1"/>
  <c r="AD1612" i="3"/>
  <c r="AW1610" i="3"/>
  <c r="AX1610" i="3" s="1"/>
  <c r="AD1610" i="3"/>
  <c r="AY1607" i="3"/>
  <c r="AZ1607" i="3" s="1"/>
  <c r="Q1601" i="3"/>
  <c r="T1599" i="3"/>
  <c r="AW1595" i="3"/>
  <c r="AX1595" i="3" s="1"/>
  <c r="AD1595" i="3"/>
  <c r="T1594" i="3"/>
  <c r="AY1588" i="3"/>
  <c r="AZ1588" i="3" s="1"/>
  <c r="T1584" i="3"/>
  <c r="Q1538" i="3"/>
  <c r="AW1646" i="3"/>
  <c r="AX1646" i="3" s="1"/>
  <c r="AD1646" i="3"/>
  <c r="AW1644" i="3"/>
  <c r="AX1644" i="3" s="1"/>
  <c r="AD1644" i="3"/>
  <c r="Q1637" i="3"/>
  <c r="T1635" i="3"/>
  <c r="AW1629" i="3"/>
  <c r="AX1629" i="3" s="1"/>
  <c r="AD1629" i="3"/>
  <c r="Q1621" i="3"/>
  <c r="T1619" i="3"/>
  <c r="T1616" i="3"/>
  <c r="AW1607" i="3"/>
  <c r="AX1607" i="3" s="1"/>
  <c r="AD1607" i="3"/>
  <c r="Q1599" i="3"/>
  <c r="T1597" i="3"/>
  <c r="Q1594" i="3"/>
  <c r="T1592" i="3"/>
  <c r="AW1588" i="3"/>
  <c r="AX1588" i="3" s="1"/>
  <c r="AD1588" i="3"/>
  <c r="Q1584" i="3"/>
  <c r="Q1635" i="3"/>
  <c r="Q1619" i="3"/>
  <c r="Q1616" i="3"/>
  <c r="Q1597" i="3"/>
  <c r="T1595" i="3"/>
  <c r="Q1592" i="3"/>
  <c r="AW1586" i="3"/>
  <c r="AX1586" i="3" s="1"/>
  <c r="AD1586" i="3"/>
  <c r="T1577" i="3"/>
  <c r="T1569" i="3"/>
  <c r="T1561" i="3"/>
  <c r="AY1557" i="3"/>
  <c r="AZ1557" i="3" s="1"/>
  <c r="T1549" i="3"/>
  <c r="AY1543" i="3"/>
  <c r="AZ1543" i="3" s="1"/>
  <c r="AW1540" i="3"/>
  <c r="AX1540" i="3" s="1"/>
  <c r="AY1538" i="3"/>
  <c r="AZ1538" i="3" s="1"/>
  <c r="T1646" i="3"/>
  <c r="T1644" i="3"/>
  <c r="AW1639" i="3"/>
  <c r="AX1639" i="3" s="1"/>
  <c r="AY1637" i="3"/>
  <c r="AZ1637" i="3" s="1"/>
  <c r="T1629" i="3"/>
  <c r="AW1623" i="3"/>
  <c r="AX1623" i="3" s="1"/>
  <c r="AY1621" i="3"/>
  <c r="AZ1621" i="3" s="1"/>
  <c r="T1607" i="3"/>
  <c r="AW1601" i="3"/>
  <c r="AX1601" i="3" s="1"/>
  <c r="AY1599" i="3"/>
  <c r="AZ1599" i="3" s="1"/>
  <c r="AY1594" i="3"/>
  <c r="AZ1594" i="3" s="1"/>
  <c r="T1588" i="3"/>
  <c r="AY1584" i="3"/>
  <c r="AZ1584" i="3" s="1"/>
  <c r="AW1557" i="3"/>
  <c r="AX1557" i="3" s="1"/>
  <c r="AW1538" i="3"/>
  <c r="AX1538" i="3" s="1"/>
  <c r="AW1637" i="3"/>
  <c r="AX1637" i="3" s="1"/>
  <c r="AY1635" i="3"/>
  <c r="AZ1635" i="3" s="1"/>
  <c r="AW1621" i="3"/>
  <c r="AX1621" i="3" s="1"/>
  <c r="AY1619" i="3"/>
  <c r="AZ1619" i="3" s="1"/>
  <c r="AY1616" i="3"/>
  <c r="AZ1616" i="3" s="1"/>
  <c r="T1611" i="3"/>
  <c r="AW1599" i="3"/>
  <c r="AX1599" i="3" s="1"/>
  <c r="AY1597" i="3"/>
  <c r="AZ1597" i="3" s="1"/>
  <c r="AW1594" i="3"/>
  <c r="AX1594" i="3" s="1"/>
  <c r="AY1592" i="3"/>
  <c r="AZ1592" i="3" s="1"/>
  <c r="AW1584" i="3"/>
  <c r="AX1584" i="3" s="1"/>
  <c r="AW1635" i="3"/>
  <c r="AX1635" i="3" s="1"/>
  <c r="AW1619" i="3"/>
  <c r="AX1619" i="3" s="1"/>
  <c r="AW1616" i="3"/>
  <c r="AX1616" i="3" s="1"/>
  <c r="AW1597" i="3"/>
  <c r="AX1597" i="3" s="1"/>
  <c r="AW1592" i="3"/>
  <c r="AX1592" i="3" s="1"/>
  <c r="AY1647" i="3"/>
  <c r="AZ1647" i="3" s="1"/>
  <c r="AW1647" i="3"/>
  <c r="AX1647" i="3" s="1"/>
  <c r="AD1647" i="3"/>
  <c r="AY1645" i="3"/>
  <c r="AZ1645" i="3" s="1"/>
  <c r="AW1645" i="3"/>
  <c r="AX1645" i="3" s="1"/>
  <c r="AD1645" i="3"/>
  <c r="AY1643" i="3"/>
  <c r="AZ1643" i="3" s="1"/>
  <c r="AW1643" i="3"/>
  <c r="AX1643" i="3" s="1"/>
  <c r="AD1643" i="3"/>
  <c r="Q1642" i="3"/>
  <c r="AD1642" i="3"/>
  <c r="AW1642" i="3"/>
  <c r="AX1642" i="3" s="1"/>
  <c r="AY1642" i="3"/>
  <c r="AZ1642" i="3" s="1"/>
  <c r="Q1640" i="3"/>
  <c r="AD1640" i="3"/>
  <c r="AW1640" i="3"/>
  <c r="AX1640" i="3" s="1"/>
  <c r="AY1640" i="3"/>
  <c r="AZ1640" i="3" s="1"/>
  <c r="Q1638" i="3"/>
  <c r="AD1638" i="3"/>
  <c r="AW1638" i="3"/>
  <c r="AX1638" i="3" s="1"/>
  <c r="AY1638" i="3"/>
  <c r="AZ1638" i="3" s="1"/>
  <c r="Q1636" i="3"/>
  <c r="AD1636" i="3"/>
  <c r="AW1636" i="3"/>
  <c r="AX1636" i="3" s="1"/>
  <c r="AY1636" i="3"/>
  <c r="AZ1636" i="3" s="1"/>
  <c r="Q1634" i="3"/>
  <c r="AD1634" i="3"/>
  <c r="AW1634" i="3"/>
  <c r="AX1634" i="3" s="1"/>
  <c r="AY1634" i="3"/>
  <c r="AZ1634" i="3" s="1"/>
  <c r="Q1632" i="3"/>
  <c r="AD1632" i="3"/>
  <c r="AW1632" i="3"/>
  <c r="AX1632" i="3" s="1"/>
  <c r="AY1632" i="3"/>
  <c r="AZ1632" i="3" s="1"/>
  <c r="Q1630" i="3"/>
  <c r="AD1630" i="3"/>
  <c r="AW1630" i="3"/>
  <c r="AX1630" i="3" s="1"/>
  <c r="AY1630" i="3"/>
  <c r="AZ1630" i="3" s="1"/>
  <c r="Q1628" i="3"/>
  <c r="AD1628" i="3"/>
  <c r="AW1628" i="3"/>
  <c r="AX1628" i="3" s="1"/>
  <c r="AY1628" i="3"/>
  <c r="AZ1628" i="3" s="1"/>
  <c r="Q1626" i="3"/>
  <c r="AD1626" i="3"/>
  <c r="AW1626" i="3"/>
  <c r="AX1626" i="3" s="1"/>
  <c r="AY1626" i="3"/>
  <c r="AZ1626" i="3" s="1"/>
  <c r="Q1624" i="3"/>
  <c r="AD1624" i="3"/>
  <c r="AW1624" i="3"/>
  <c r="AX1624" i="3" s="1"/>
  <c r="AY1624" i="3"/>
  <c r="AZ1624" i="3" s="1"/>
  <c r="Q1622" i="3"/>
  <c r="AD1622" i="3"/>
  <c r="AW1622" i="3"/>
  <c r="AX1622" i="3" s="1"/>
  <c r="AY1622" i="3"/>
  <c r="AZ1622" i="3" s="1"/>
  <c r="Q1620" i="3"/>
  <c r="AD1620" i="3"/>
  <c r="AW1620" i="3"/>
  <c r="AX1620" i="3" s="1"/>
  <c r="AY1620" i="3"/>
  <c r="AZ1620" i="3" s="1"/>
  <c r="Q1618" i="3"/>
  <c r="AD1618" i="3"/>
  <c r="AW1618" i="3"/>
  <c r="AX1618" i="3" s="1"/>
  <c r="AY1618" i="3"/>
  <c r="AZ1618" i="3" s="1"/>
  <c r="Q1615" i="3"/>
  <c r="AD1615" i="3"/>
  <c r="AW1615" i="3"/>
  <c r="AX1615" i="3" s="1"/>
  <c r="AY1615" i="3"/>
  <c r="AZ1615" i="3" s="1"/>
  <c r="Q1613" i="3"/>
  <c r="AD1613" i="3"/>
  <c r="AW1613" i="3"/>
  <c r="AX1613" i="3" s="1"/>
  <c r="AY1613" i="3"/>
  <c r="AZ1613" i="3" s="1"/>
  <c r="AY1611" i="3"/>
  <c r="AZ1611" i="3" s="1"/>
  <c r="AW1611" i="3"/>
  <c r="AX1611" i="3" s="1"/>
  <c r="AD1611" i="3"/>
  <c r="AY1609" i="3"/>
  <c r="AZ1609" i="3" s="1"/>
  <c r="AW1609" i="3"/>
  <c r="AX1609" i="3" s="1"/>
  <c r="AD1609" i="3"/>
  <c r="Q1606" i="3"/>
  <c r="AD1606" i="3"/>
  <c r="AW1606" i="3"/>
  <c r="AX1606" i="3" s="1"/>
  <c r="AY1606" i="3"/>
  <c r="AZ1606" i="3" s="1"/>
  <c r="Q1604" i="3"/>
  <c r="AD1604" i="3"/>
  <c r="AW1604" i="3"/>
  <c r="AX1604" i="3" s="1"/>
  <c r="AY1604" i="3"/>
  <c r="AZ1604" i="3" s="1"/>
  <c r="Q1602" i="3"/>
  <c r="AD1602" i="3"/>
  <c r="AW1602" i="3"/>
  <c r="AX1602" i="3" s="1"/>
  <c r="AY1602" i="3"/>
  <c r="AZ1602" i="3" s="1"/>
  <c r="Q1600" i="3"/>
  <c r="AD1600" i="3"/>
  <c r="AW1600" i="3"/>
  <c r="AX1600" i="3" s="1"/>
  <c r="AY1600" i="3"/>
  <c r="AZ1600" i="3" s="1"/>
  <c r="Q1598" i="3"/>
  <c r="AD1598" i="3"/>
  <c r="AW1598" i="3"/>
  <c r="AX1598" i="3" s="1"/>
  <c r="AY1598" i="3"/>
  <c r="AZ1598" i="3" s="1"/>
  <c r="Q1596" i="3"/>
  <c r="AD1596" i="3"/>
  <c r="AW1596" i="3"/>
  <c r="AX1596" i="3" s="1"/>
  <c r="AY1596" i="3"/>
  <c r="AZ1596" i="3" s="1"/>
  <c r="Q1593" i="3"/>
  <c r="AD1593" i="3"/>
  <c r="AW1593" i="3"/>
  <c r="AX1593" i="3" s="1"/>
  <c r="AY1593" i="3"/>
  <c r="AZ1593" i="3" s="1"/>
  <c r="Q1591" i="3"/>
  <c r="AD1591" i="3"/>
  <c r="AW1591" i="3"/>
  <c r="AX1591" i="3" s="1"/>
  <c r="AY1591" i="3"/>
  <c r="AZ1591" i="3" s="1"/>
  <c r="Q1589" i="3"/>
  <c r="AD1589" i="3"/>
  <c r="AW1589" i="3"/>
  <c r="AX1589" i="3" s="1"/>
  <c r="AY1589" i="3"/>
  <c r="AZ1589" i="3" s="1"/>
  <c r="Q1587" i="3"/>
  <c r="AD1587" i="3"/>
  <c r="AW1587" i="3"/>
  <c r="AX1587" i="3" s="1"/>
  <c r="AY1587" i="3"/>
  <c r="AZ1587" i="3" s="1"/>
  <c r="Q1585" i="3"/>
  <c r="AD1585" i="3"/>
  <c r="AW1585" i="3"/>
  <c r="AX1585" i="3" s="1"/>
  <c r="AY1585" i="3"/>
  <c r="AZ1585" i="3" s="1"/>
  <c r="Q1583" i="3"/>
  <c r="AD1583" i="3"/>
  <c r="AW1583" i="3"/>
  <c r="AX1583" i="3" s="1"/>
  <c r="AY1583" i="3"/>
  <c r="AZ1583" i="3" s="1"/>
  <c r="AY1582" i="3"/>
  <c r="AZ1582" i="3" s="1"/>
  <c r="AW1582" i="3"/>
  <c r="AX1582" i="3" s="1"/>
  <c r="AD1582" i="3"/>
  <c r="AY1580" i="3"/>
  <c r="AZ1580" i="3" s="1"/>
  <c r="AW1580" i="3"/>
  <c r="AX1580" i="3" s="1"/>
  <c r="AD1580" i="3"/>
  <c r="AY1578" i="3"/>
  <c r="AZ1578" i="3" s="1"/>
  <c r="AW1578" i="3"/>
  <c r="AX1578" i="3" s="1"/>
  <c r="AD1578" i="3"/>
  <c r="Q1576" i="3"/>
  <c r="AD1576" i="3"/>
  <c r="AW1576" i="3"/>
  <c r="AX1576" i="3" s="1"/>
  <c r="AY1576" i="3"/>
  <c r="AZ1576" i="3" s="1"/>
  <c r="Q1574" i="3"/>
  <c r="AD1574" i="3"/>
  <c r="AW1574" i="3"/>
  <c r="AX1574" i="3" s="1"/>
  <c r="AY1574" i="3"/>
  <c r="AZ1574" i="3" s="1"/>
  <c r="Q1572" i="3"/>
  <c r="AD1572" i="3"/>
  <c r="AW1572" i="3"/>
  <c r="AX1572" i="3" s="1"/>
  <c r="AY1572" i="3"/>
  <c r="AZ1572" i="3" s="1"/>
  <c r="Q1570" i="3"/>
  <c r="AD1570" i="3"/>
  <c r="AW1570" i="3"/>
  <c r="AX1570" i="3" s="1"/>
  <c r="AY1570" i="3"/>
  <c r="AZ1570" i="3" s="1"/>
  <c r="Q1568" i="3"/>
  <c r="AD1568" i="3"/>
  <c r="AW1568" i="3"/>
  <c r="AX1568" i="3" s="1"/>
  <c r="AY1568" i="3"/>
  <c r="AZ1568" i="3" s="1"/>
  <c r="Q1566" i="3"/>
  <c r="AD1566" i="3"/>
  <c r="AW1566" i="3"/>
  <c r="AX1566" i="3" s="1"/>
  <c r="AY1566" i="3"/>
  <c r="AZ1566" i="3" s="1"/>
  <c r="Q1564" i="3"/>
  <c r="AD1564" i="3"/>
  <c r="AW1564" i="3"/>
  <c r="AX1564" i="3" s="1"/>
  <c r="AY1564" i="3"/>
  <c r="AZ1564" i="3" s="1"/>
  <c r="Q1562" i="3"/>
  <c r="AD1562" i="3"/>
  <c r="AW1562" i="3"/>
  <c r="AX1562" i="3" s="1"/>
  <c r="AY1562" i="3"/>
  <c r="AZ1562" i="3" s="1"/>
  <c r="Q1560" i="3"/>
  <c r="AD1560" i="3"/>
  <c r="AW1560" i="3"/>
  <c r="AX1560" i="3" s="1"/>
  <c r="AY1560" i="3"/>
  <c r="AZ1560" i="3" s="1"/>
  <c r="Q1558" i="3"/>
  <c r="AD1558" i="3"/>
  <c r="AW1558" i="3"/>
  <c r="AX1558" i="3" s="1"/>
  <c r="AY1558" i="3"/>
  <c r="AZ1558" i="3" s="1"/>
  <c r="Q1554" i="3"/>
  <c r="AD1554" i="3"/>
  <c r="AW1554" i="3"/>
  <c r="AX1554" i="3" s="1"/>
  <c r="AY1554" i="3"/>
  <c r="AZ1554" i="3" s="1"/>
  <c r="Q1552" i="3"/>
  <c r="AD1552" i="3"/>
  <c r="AW1552" i="3"/>
  <c r="AX1552" i="3" s="1"/>
  <c r="AY1552" i="3"/>
  <c r="AZ1552" i="3" s="1"/>
  <c r="Q1550" i="3"/>
  <c r="AD1550" i="3"/>
  <c r="AW1550" i="3"/>
  <c r="AX1550" i="3" s="1"/>
  <c r="AY1550" i="3"/>
  <c r="AZ1550" i="3" s="1"/>
  <c r="Q1548" i="3"/>
  <c r="AD1548" i="3"/>
  <c r="AW1548" i="3"/>
  <c r="AX1548" i="3" s="1"/>
  <c r="AY1548" i="3"/>
  <c r="AZ1548" i="3" s="1"/>
  <c r="Q1546" i="3"/>
  <c r="AD1546" i="3"/>
  <c r="AW1546" i="3"/>
  <c r="AX1546" i="3" s="1"/>
  <c r="AY1546" i="3"/>
  <c r="AZ1546" i="3" s="1"/>
  <c r="Q1544" i="3"/>
  <c r="AD1544" i="3"/>
  <c r="AW1544" i="3"/>
  <c r="AX1544" i="3" s="1"/>
  <c r="AY1544" i="3"/>
  <c r="AZ1544" i="3" s="1"/>
  <c r="AY1556" i="3"/>
  <c r="AZ1556" i="3" s="1"/>
  <c r="AW1556" i="3"/>
  <c r="AX1556" i="3" s="1"/>
  <c r="AD1556" i="3"/>
  <c r="Q1541" i="3"/>
  <c r="AD1541" i="3"/>
  <c r="AW1541" i="3"/>
  <c r="AX1541" i="3" s="1"/>
  <c r="AY1541" i="3"/>
  <c r="AZ1541" i="3" s="1"/>
  <c r="Q1539" i="3"/>
  <c r="AD1539" i="3"/>
  <c r="AW1539" i="3"/>
  <c r="AX1539" i="3" s="1"/>
  <c r="AY1539" i="3"/>
  <c r="AZ1539" i="3" s="1"/>
  <c r="Q1537" i="3"/>
  <c r="AD1537" i="3"/>
  <c r="AW1537" i="3"/>
  <c r="AX1537" i="3" s="1"/>
  <c r="AY1537" i="3"/>
  <c r="AZ1537" i="3" s="1"/>
  <c r="T1530" i="3"/>
  <c r="T1528" i="3"/>
  <c r="T1526" i="3"/>
  <c r="T1524" i="3"/>
  <c r="T1522" i="3"/>
  <c r="T1520" i="3"/>
  <c r="T1512" i="3"/>
  <c r="T1510" i="3"/>
  <c r="Q1506" i="3"/>
  <c r="AD1506" i="3"/>
  <c r="Q1502" i="3"/>
  <c r="AD1502" i="3"/>
  <c r="AW1502" i="3"/>
  <c r="AX1502" i="3" s="1"/>
  <c r="AY1502" i="3"/>
  <c r="AZ1502" i="3" s="1"/>
  <c r="T1534" i="3"/>
  <c r="T1532" i="3"/>
  <c r="T1518" i="3"/>
  <c r="T1516" i="3"/>
  <c r="T1514" i="3"/>
  <c r="T1508" i="3"/>
  <c r="T1506" i="3"/>
  <c r="Q1504" i="3"/>
  <c r="AD1504" i="3"/>
  <c r="AW1504" i="3"/>
  <c r="AX1504" i="3" s="1"/>
  <c r="AY1504" i="3"/>
  <c r="AZ1504" i="3" s="1"/>
  <c r="AY1534" i="3"/>
  <c r="AZ1534" i="3" s="1"/>
  <c r="AW1534" i="3"/>
  <c r="AX1534" i="3" s="1"/>
  <c r="AD1534" i="3"/>
  <c r="AY1532" i="3"/>
  <c r="AZ1532" i="3" s="1"/>
  <c r="AW1532" i="3"/>
  <c r="AX1532" i="3" s="1"/>
  <c r="AD1532" i="3"/>
  <c r="AY1530" i="3"/>
  <c r="AZ1530" i="3" s="1"/>
  <c r="AW1530" i="3"/>
  <c r="AX1530" i="3" s="1"/>
  <c r="AD1530" i="3"/>
  <c r="AY1528" i="3"/>
  <c r="AZ1528" i="3" s="1"/>
  <c r="AW1528" i="3"/>
  <c r="AX1528" i="3" s="1"/>
  <c r="AD1528" i="3"/>
  <c r="AY1526" i="3"/>
  <c r="AZ1526" i="3" s="1"/>
  <c r="AW1526" i="3"/>
  <c r="AX1526" i="3" s="1"/>
  <c r="AD1526" i="3"/>
  <c r="AY1524" i="3"/>
  <c r="AZ1524" i="3" s="1"/>
  <c r="AW1524" i="3"/>
  <c r="AX1524" i="3" s="1"/>
  <c r="AD1524" i="3"/>
  <c r="AY1522" i="3"/>
  <c r="AZ1522" i="3" s="1"/>
  <c r="AW1522" i="3"/>
  <c r="AX1522" i="3" s="1"/>
  <c r="AD1522" i="3"/>
  <c r="AY1520" i="3"/>
  <c r="AZ1520" i="3" s="1"/>
  <c r="AW1520" i="3"/>
  <c r="AX1520" i="3" s="1"/>
  <c r="AD1520" i="3"/>
  <c r="AY1518" i="3"/>
  <c r="AZ1518" i="3" s="1"/>
  <c r="AW1518" i="3"/>
  <c r="AX1518" i="3" s="1"/>
  <c r="AD1518" i="3"/>
  <c r="AY1516" i="3"/>
  <c r="AZ1516" i="3" s="1"/>
  <c r="AW1516" i="3"/>
  <c r="AX1516" i="3" s="1"/>
  <c r="AD1516" i="3"/>
  <c r="AY1514" i="3"/>
  <c r="AZ1514" i="3" s="1"/>
  <c r="AW1514" i="3"/>
  <c r="AX1514" i="3" s="1"/>
  <c r="AD1514" i="3"/>
  <c r="AY1512" i="3"/>
  <c r="AZ1512" i="3" s="1"/>
  <c r="AW1512" i="3"/>
  <c r="AX1512" i="3" s="1"/>
  <c r="AD1512" i="3"/>
  <c r="AY1510" i="3"/>
  <c r="AZ1510" i="3" s="1"/>
  <c r="AW1510" i="3"/>
  <c r="AX1510" i="3" s="1"/>
  <c r="AD1510" i="3"/>
  <c r="AY1508" i="3"/>
  <c r="AZ1508" i="3" s="1"/>
  <c r="AW1508" i="3"/>
  <c r="AX1508" i="3" s="1"/>
  <c r="AD1508" i="3"/>
  <c r="AY1506" i="3"/>
  <c r="AZ1506" i="3" s="1"/>
  <c r="AW1506" i="3"/>
  <c r="AX1506" i="3" s="1"/>
  <c r="AY1500" i="3"/>
  <c r="AZ1500" i="3" s="1"/>
  <c r="AW1500" i="3"/>
  <c r="AX1500" i="3" s="1"/>
  <c r="AD1500" i="3"/>
  <c r="AY1498" i="3"/>
  <c r="AZ1498" i="3" s="1"/>
  <c r="AW1498" i="3"/>
  <c r="AX1498" i="3" s="1"/>
  <c r="AD1498" i="3"/>
  <c r="AY1496" i="3"/>
  <c r="AZ1496" i="3" s="1"/>
  <c r="AW1496" i="3"/>
  <c r="AX1496" i="3" s="1"/>
  <c r="AD1496" i="3"/>
  <c r="AY1494" i="3"/>
  <c r="AZ1494" i="3" s="1"/>
  <c r="AW1494" i="3"/>
  <c r="AX1494" i="3" s="1"/>
  <c r="AD1494" i="3"/>
  <c r="Q1493" i="3"/>
  <c r="AD1493" i="3"/>
  <c r="AW1493" i="3"/>
  <c r="AX1493" i="3" s="1"/>
  <c r="AY1493" i="3"/>
  <c r="AZ1493" i="3" s="1"/>
  <c r="Q1491" i="3"/>
  <c r="AD1491" i="3"/>
  <c r="AW1491" i="3"/>
  <c r="AX1491" i="3" s="1"/>
  <c r="AY1491" i="3"/>
  <c r="AZ1491" i="3" s="1"/>
  <c r="Q1489" i="3"/>
  <c r="AD1489" i="3"/>
  <c r="AW1489" i="3"/>
  <c r="AX1489" i="3" s="1"/>
  <c r="AY1489" i="3"/>
  <c r="AZ1489" i="3" s="1"/>
  <c r="Q1487" i="3"/>
  <c r="AD1487" i="3"/>
  <c r="AW1487" i="3"/>
  <c r="AX1487" i="3" s="1"/>
  <c r="AY1487" i="3"/>
  <c r="AZ1487" i="3" s="1"/>
  <c r="Q1485" i="3"/>
  <c r="AD1485" i="3"/>
  <c r="AW1485" i="3"/>
  <c r="AX1485" i="3" s="1"/>
  <c r="AY1485" i="3"/>
  <c r="AZ1485" i="3" s="1"/>
  <c r="Q1483" i="3"/>
  <c r="AD1483" i="3"/>
  <c r="AW1483" i="3"/>
  <c r="AX1483" i="3" s="1"/>
  <c r="AY1483" i="3"/>
  <c r="AZ1483" i="3" s="1"/>
  <c r="Q1481" i="3"/>
  <c r="AD1481" i="3"/>
  <c r="AW1481" i="3"/>
  <c r="AX1481" i="3" s="1"/>
  <c r="AY1481" i="3"/>
  <c r="AZ1481" i="3" s="1"/>
  <c r="Q1479" i="3"/>
  <c r="AD1479" i="3"/>
  <c r="AW1479" i="3"/>
  <c r="AX1479" i="3" s="1"/>
  <c r="AY1479" i="3"/>
  <c r="AZ1479" i="3" s="1"/>
  <c r="Q1477" i="3"/>
  <c r="AD1477" i="3"/>
  <c r="AW1477" i="3"/>
  <c r="AX1477" i="3" s="1"/>
  <c r="AY1477" i="3"/>
  <c r="AZ1477" i="3" s="1"/>
  <c r="Q1475" i="3"/>
  <c r="AD1475" i="3"/>
  <c r="AW1475" i="3"/>
  <c r="AX1475" i="3" s="1"/>
  <c r="AY1475" i="3"/>
  <c r="AZ1475" i="3" s="1"/>
  <c r="Q1473" i="3"/>
  <c r="AD1473" i="3"/>
  <c r="AW1473" i="3"/>
  <c r="AX1473" i="3" s="1"/>
  <c r="AY1473" i="3"/>
  <c r="AZ1473" i="3" s="1"/>
  <c r="Q1471" i="3"/>
  <c r="AD1471" i="3"/>
  <c r="AW1471" i="3"/>
  <c r="AX1471" i="3" s="1"/>
  <c r="AY1471" i="3"/>
  <c r="AZ1471" i="3" s="1"/>
  <c r="Q1456" i="3"/>
  <c r="AD1456" i="3"/>
  <c r="AW1456" i="3"/>
  <c r="AX1456" i="3" s="1"/>
  <c r="AY1456" i="3"/>
  <c r="AZ1456" i="3" s="1"/>
  <c r="Q1469" i="3"/>
  <c r="AD1469" i="3"/>
  <c r="AW1469" i="3"/>
  <c r="AX1469" i="3" s="1"/>
  <c r="AY1469" i="3"/>
  <c r="AZ1469" i="3" s="1"/>
  <c r="Q1467" i="3"/>
  <c r="AD1467" i="3"/>
  <c r="AW1467" i="3"/>
  <c r="AX1467" i="3" s="1"/>
  <c r="AY1467" i="3"/>
  <c r="AZ1467" i="3" s="1"/>
  <c r="Q1465" i="3"/>
  <c r="AD1465" i="3"/>
  <c r="AW1465" i="3"/>
  <c r="AX1465" i="3" s="1"/>
  <c r="AY1465" i="3"/>
  <c r="AZ1465" i="3" s="1"/>
  <c r="Q1463" i="3"/>
  <c r="AD1463" i="3"/>
  <c r="AW1463" i="3"/>
  <c r="AX1463" i="3" s="1"/>
  <c r="AY1463" i="3"/>
  <c r="AZ1463" i="3" s="1"/>
  <c r="Q1461" i="3"/>
  <c r="AD1461" i="3"/>
  <c r="AW1461" i="3"/>
  <c r="AX1461" i="3" s="1"/>
  <c r="AY1461" i="3"/>
  <c r="AZ1461" i="3" s="1"/>
  <c r="Q1459" i="3"/>
  <c r="AD1459" i="3"/>
  <c r="AW1459" i="3"/>
  <c r="AX1459" i="3" s="1"/>
  <c r="AY1459" i="3"/>
  <c r="AZ1459" i="3" s="1"/>
  <c r="Q1457" i="3"/>
  <c r="AD1457" i="3"/>
  <c r="AW1457" i="3"/>
  <c r="AX1457" i="3" s="1"/>
  <c r="AY1457" i="3"/>
  <c r="AZ1457" i="3" s="1"/>
  <c r="T1456" i="3"/>
  <c r="AY1454" i="3"/>
  <c r="AZ1454" i="3" s="1"/>
  <c r="AW1454" i="3"/>
  <c r="AX1454" i="3" s="1"/>
  <c r="AD1454" i="3"/>
  <c r="AY1452" i="3"/>
  <c r="AZ1452" i="3" s="1"/>
  <c r="AW1452" i="3"/>
  <c r="AX1452" i="3" s="1"/>
  <c r="AD1452" i="3"/>
  <c r="Q1448" i="3"/>
  <c r="AD1448" i="3"/>
  <c r="AW1448" i="3"/>
  <c r="AX1448" i="3" s="1"/>
  <c r="AY1448" i="3"/>
  <c r="AZ1448" i="3" s="1"/>
  <c r="Q1446" i="3"/>
  <c r="AD1446" i="3"/>
  <c r="AW1446" i="3"/>
  <c r="AX1446" i="3" s="1"/>
  <c r="AY1446" i="3"/>
  <c r="AZ1446" i="3" s="1"/>
  <c r="Q1444" i="3"/>
  <c r="AD1444" i="3"/>
  <c r="AW1444" i="3"/>
  <c r="AX1444" i="3" s="1"/>
  <c r="AY1444" i="3"/>
  <c r="AZ1444" i="3" s="1"/>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G9" i="3"/>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H58" i="3" s="1"/>
  <c r="AG59" i="3"/>
  <c r="AH59" i="3" s="1"/>
  <c r="AG60" i="3"/>
  <c r="AG61" i="3"/>
  <c r="AG62" i="3"/>
  <c r="AG63" i="3"/>
  <c r="AH63" i="3" s="1"/>
  <c r="AG64" i="3"/>
  <c r="AH64" i="3" s="1"/>
  <c r="AG65" i="3"/>
  <c r="AH65" i="3" s="1"/>
  <c r="AG66" i="3"/>
  <c r="AH66" i="3" s="1"/>
  <c r="AG67" i="3"/>
  <c r="AH67" i="3" s="1"/>
  <c r="AG68" i="3"/>
  <c r="AG69" i="3"/>
  <c r="AG70" i="3"/>
  <c r="AH70" i="3" s="1"/>
  <c r="AG71" i="3"/>
  <c r="AH71" i="3" s="1"/>
  <c r="AG72" i="3"/>
  <c r="AH72" i="3" s="1"/>
  <c r="AG73" i="3"/>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G89" i="3"/>
  <c r="AG90" i="3"/>
  <c r="AH90" i="3" s="1"/>
  <c r="AG91" i="3"/>
  <c r="AH91" i="3" s="1"/>
  <c r="AG92" i="3"/>
  <c r="AG93" i="3"/>
  <c r="AG94" i="3"/>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G122" i="3"/>
  <c r="AH122" i="3" s="1"/>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H144" i="3" s="1"/>
  <c r="AG145" i="3"/>
  <c r="AH145" i="3" s="1"/>
  <c r="AG146" i="3"/>
  <c r="AH146" i="3" s="1"/>
  <c r="AG147" i="3"/>
  <c r="AH147" i="3" s="1"/>
  <c r="AG148" i="3"/>
  <c r="AG149" i="3"/>
  <c r="AG150" i="3"/>
  <c r="AG151" i="3"/>
  <c r="AH151" i="3" s="1"/>
  <c r="AG152" i="3"/>
  <c r="AH152" i="3" s="1"/>
  <c r="AG153" i="3"/>
  <c r="AG154" i="3"/>
  <c r="AH154" i="3" s="1"/>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G169" i="3"/>
  <c r="AG170" i="3"/>
  <c r="AH170" i="3" s="1"/>
  <c r="AG171" i="3"/>
  <c r="AH171" i="3" s="1"/>
  <c r="AG172" i="3"/>
  <c r="AG173" i="3"/>
  <c r="AG174" i="3"/>
  <c r="AG175" i="3"/>
  <c r="AH175" i="3" s="1"/>
  <c r="AG176" i="3"/>
  <c r="AH176" i="3" s="1"/>
  <c r="AG177" i="3"/>
  <c r="AH177" i="3" s="1"/>
  <c r="AG178" i="3"/>
  <c r="AH178" i="3" s="1"/>
  <c r="AG179" i="3"/>
  <c r="AH179" i="3" s="1"/>
  <c r="AG180" i="3"/>
  <c r="AG181" i="3"/>
  <c r="AG182" i="3"/>
  <c r="AG183" i="3"/>
  <c r="AH183" i="3" s="1"/>
  <c r="AG184" i="3"/>
  <c r="AH184" i="3" s="1"/>
  <c r="AG185" i="3"/>
  <c r="AG186" i="3"/>
  <c r="AH186" i="3" s="1"/>
  <c r="AG187" i="3"/>
  <c r="AH187" i="3" s="1"/>
  <c r="AG188" i="3"/>
  <c r="AG189" i="3"/>
  <c r="AG190" i="3"/>
  <c r="AG191" i="3"/>
  <c r="AH191" i="3" s="1"/>
  <c r="AG192" i="3"/>
  <c r="AG193" i="3"/>
  <c r="AH193" i="3" s="1"/>
  <c r="AG194" i="3"/>
  <c r="AH194" i="3" s="1"/>
  <c r="AG195" i="3"/>
  <c r="AH195" i="3" s="1"/>
  <c r="AG196" i="3"/>
  <c r="AG197" i="3"/>
  <c r="AG198" i="3"/>
  <c r="AH198" i="3" s="1"/>
  <c r="AG199" i="3"/>
  <c r="AH199" i="3" s="1"/>
  <c r="AG200" i="3"/>
  <c r="AG201" i="3"/>
  <c r="AG202" i="3"/>
  <c r="AH202" i="3" s="1"/>
  <c r="AG203" i="3"/>
  <c r="AH203" i="3" s="1"/>
  <c r="AG204" i="3"/>
  <c r="AG205" i="3"/>
  <c r="AG206" i="3"/>
  <c r="AG207" i="3"/>
  <c r="AH207" i="3" s="1"/>
  <c r="AG208" i="3"/>
  <c r="AH208" i="3" s="1"/>
  <c r="AG209" i="3"/>
  <c r="AH209" i="3" s="1"/>
  <c r="AG210" i="3"/>
  <c r="AH210" i="3" s="1"/>
  <c r="AG211" i="3"/>
  <c r="AH211" i="3" s="1"/>
  <c r="AG212" i="3"/>
  <c r="AG213" i="3"/>
  <c r="AG214" i="3"/>
  <c r="AG215" i="3"/>
  <c r="AH215" i="3" s="1"/>
  <c r="AG216" i="3"/>
  <c r="AG217" i="3"/>
  <c r="AG218" i="3"/>
  <c r="AH218" i="3" s="1"/>
  <c r="AG219" i="3"/>
  <c r="AH219" i="3" s="1"/>
  <c r="AG220" i="3"/>
  <c r="AG221" i="3"/>
  <c r="AG222" i="3"/>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G238" i="3"/>
  <c r="AG239" i="3"/>
  <c r="AH239" i="3" s="1"/>
  <c r="AG240" i="3"/>
  <c r="AH240" i="3" s="1"/>
  <c r="AG241" i="3"/>
  <c r="AH241" i="3" s="1"/>
  <c r="AG242" i="3"/>
  <c r="AH242" i="3" s="1"/>
  <c r="AG243" i="3"/>
  <c r="AH243" i="3" s="1"/>
  <c r="AG244" i="3"/>
  <c r="AG245" i="3"/>
  <c r="AG246" i="3"/>
  <c r="AG247" i="3"/>
  <c r="AH247" i="3" s="1"/>
  <c r="AG248" i="3"/>
  <c r="AG249" i="3"/>
  <c r="AG250" i="3"/>
  <c r="AH250" i="3" s="1"/>
  <c r="AG251" i="3"/>
  <c r="AH251" i="3" s="1"/>
  <c r="AG252" i="3"/>
  <c r="AG253" i="3"/>
  <c r="AG254" i="3"/>
  <c r="AG255" i="3"/>
  <c r="AH255" i="3" s="1"/>
  <c r="AG256" i="3"/>
  <c r="AH256" i="3" s="1"/>
  <c r="AG257" i="3"/>
  <c r="AH257" i="3" s="1"/>
  <c r="AG258" i="3"/>
  <c r="AH258" i="3" s="1"/>
  <c r="AG259" i="3"/>
  <c r="AH259" i="3" s="1"/>
  <c r="AG260" i="3"/>
  <c r="AG261" i="3"/>
  <c r="AG262" i="3"/>
  <c r="AH262" i="3" s="1"/>
  <c r="AG263" i="3"/>
  <c r="AH263" i="3" s="1"/>
  <c r="AG264" i="3"/>
  <c r="AH264" i="3" s="1"/>
  <c r="AG265" i="3"/>
  <c r="AG266" i="3"/>
  <c r="AH266" i="3" s="1"/>
  <c r="AG267" i="3"/>
  <c r="AH267" i="3" s="1"/>
  <c r="AG268" i="3"/>
  <c r="AG269" i="3"/>
  <c r="AG270" i="3"/>
  <c r="AG271" i="3"/>
  <c r="AH271" i="3" s="1"/>
  <c r="AG272" i="3"/>
  <c r="AH272" i="3" s="1"/>
  <c r="AG273" i="3"/>
  <c r="AH273" i="3" s="1"/>
  <c r="AG274" i="3"/>
  <c r="AH274" i="3" s="1"/>
  <c r="AG275" i="3"/>
  <c r="AH275" i="3" s="1"/>
  <c r="AG276" i="3"/>
  <c r="AG277" i="3"/>
  <c r="AG278" i="3"/>
  <c r="AG279" i="3"/>
  <c r="AH279" i="3" s="1"/>
  <c r="AG280" i="3"/>
  <c r="AH280" i="3" s="1"/>
  <c r="AG281" i="3"/>
  <c r="AG282" i="3"/>
  <c r="AH282" i="3" s="1"/>
  <c r="AG283" i="3"/>
  <c r="AH283" i="3" s="1"/>
  <c r="AG284" i="3"/>
  <c r="AG285" i="3"/>
  <c r="AG286" i="3"/>
  <c r="AG287" i="3"/>
  <c r="AG288" i="3"/>
  <c r="AH288" i="3" s="1"/>
  <c r="AG289" i="3"/>
  <c r="AH289" i="3" s="1"/>
  <c r="AG290" i="3"/>
  <c r="AH290" i="3" s="1"/>
  <c r="AG291" i="3"/>
  <c r="AH291" i="3" s="1"/>
  <c r="AG292" i="3"/>
  <c r="AG293" i="3"/>
  <c r="AG294" i="3"/>
  <c r="AH294" i="3" s="1"/>
  <c r="AG295" i="3"/>
  <c r="AH295" i="3" s="1"/>
  <c r="AG296" i="3"/>
  <c r="AG297" i="3"/>
  <c r="AG298" i="3"/>
  <c r="AH298" i="3" s="1"/>
  <c r="AG299" i="3"/>
  <c r="AH299" i="3" s="1"/>
  <c r="AG300" i="3"/>
  <c r="AG301" i="3"/>
  <c r="AG302" i="3"/>
  <c r="AG303" i="3"/>
  <c r="AH303" i="3" s="1"/>
  <c r="AG304" i="3"/>
  <c r="AH304" i="3" s="1"/>
  <c r="AG305" i="3"/>
  <c r="AH305" i="3" s="1"/>
  <c r="AG306" i="3"/>
  <c r="AH306" i="3" s="1"/>
  <c r="AG307" i="3"/>
  <c r="AH307" i="3" s="1"/>
  <c r="AG308" i="3"/>
  <c r="AG309" i="3"/>
  <c r="AG310" i="3"/>
  <c r="AG311" i="3"/>
  <c r="AH311" i="3" s="1"/>
  <c r="AG312" i="3"/>
  <c r="AH312" i="3" s="1"/>
  <c r="AG313" i="3"/>
  <c r="AG314" i="3"/>
  <c r="AG315" i="3"/>
  <c r="AH315" i="3" s="1"/>
  <c r="AG316" i="3"/>
  <c r="AG317" i="3"/>
  <c r="AG318" i="3"/>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H336" i="3" s="1"/>
  <c r="AG337" i="3"/>
  <c r="AH337" i="3" s="1"/>
  <c r="AG338" i="3"/>
  <c r="AH338" i="3" s="1"/>
  <c r="AG339" i="3"/>
  <c r="AH339" i="3" s="1"/>
  <c r="AG340" i="3"/>
  <c r="AG341" i="3"/>
  <c r="AG342" i="3"/>
  <c r="AG343" i="3"/>
  <c r="AH343" i="3" s="1"/>
  <c r="AG344" i="3"/>
  <c r="AH344" i="3" s="1"/>
  <c r="AG345" i="3"/>
  <c r="AG346" i="3"/>
  <c r="AH346" i="3" s="1"/>
  <c r="AG347" i="3"/>
  <c r="AH347" i="3" s="1"/>
  <c r="AG348" i="3"/>
  <c r="AG349" i="3"/>
  <c r="AG350" i="3"/>
  <c r="AG351" i="3"/>
  <c r="AH351" i="3" s="1"/>
  <c r="AG352" i="3"/>
  <c r="AH352" i="3" s="1"/>
  <c r="AG353" i="3"/>
  <c r="AH353" i="3" s="1"/>
  <c r="AG354" i="3"/>
  <c r="AH354" i="3" s="1"/>
  <c r="AG355" i="3"/>
  <c r="AH355" i="3" s="1"/>
  <c r="AG356" i="3"/>
  <c r="AG357" i="3"/>
  <c r="AG358" i="3"/>
  <c r="AH358" i="3" s="1"/>
  <c r="AG359" i="3"/>
  <c r="AH359" i="3" s="1"/>
  <c r="AG360" i="3"/>
  <c r="AH360" i="3" s="1"/>
  <c r="AG361" i="3"/>
  <c r="AG362" i="3"/>
  <c r="AH362" i="3" s="1"/>
  <c r="AG363" i="3"/>
  <c r="AH363" i="3" s="1"/>
  <c r="AG364" i="3"/>
  <c r="AG365" i="3"/>
  <c r="AG366" i="3"/>
  <c r="AG367" i="3"/>
  <c r="AH367" i="3" s="1"/>
  <c r="AG368" i="3"/>
  <c r="AH368" i="3" s="1"/>
  <c r="AG369" i="3"/>
  <c r="AH369" i="3" s="1"/>
  <c r="AG370" i="3"/>
  <c r="AH370" i="3" s="1"/>
  <c r="AG371" i="3"/>
  <c r="AH371" i="3" s="1"/>
  <c r="AG372" i="3"/>
  <c r="AG373" i="3"/>
  <c r="AG374" i="3"/>
  <c r="AG375" i="3"/>
  <c r="AH375" i="3" s="1"/>
  <c r="AG376" i="3"/>
  <c r="AG377" i="3"/>
  <c r="AG378" i="3"/>
  <c r="AH378" i="3" s="1"/>
  <c r="AG379" i="3"/>
  <c r="AH379" i="3" s="1"/>
  <c r="AG380" i="3"/>
  <c r="AG381" i="3"/>
  <c r="AG382" i="3"/>
  <c r="AG383" i="3"/>
  <c r="AH383" i="3" s="1"/>
  <c r="AG384" i="3"/>
  <c r="AH384" i="3" s="1"/>
  <c r="AG385" i="3"/>
  <c r="AG386" i="3"/>
  <c r="AH386" i="3" s="1"/>
  <c r="AG387" i="3"/>
  <c r="AH387" i="3" s="1"/>
  <c r="AG388" i="3"/>
  <c r="AG389" i="3"/>
  <c r="AG390" i="3"/>
  <c r="AH390" i="3" s="1"/>
  <c r="AG391" i="3"/>
  <c r="AH391" i="3" s="1"/>
  <c r="AG392" i="3"/>
  <c r="AH392" i="3" s="1"/>
  <c r="AG393" i="3"/>
  <c r="AG394" i="3"/>
  <c r="AH394" i="3" s="1"/>
  <c r="AG395" i="3"/>
  <c r="AH395" i="3" s="1"/>
  <c r="AG396" i="3"/>
  <c r="AG397" i="3"/>
  <c r="AG398" i="3"/>
  <c r="AG399" i="3"/>
  <c r="AH399" i="3" s="1"/>
  <c r="AG400" i="3"/>
  <c r="AH400" i="3" s="1"/>
  <c r="AG401" i="3"/>
  <c r="AH401" i="3" s="1"/>
  <c r="AG402" i="3"/>
  <c r="AH402" i="3" s="1"/>
  <c r="AG403" i="3"/>
  <c r="AH403" i="3" s="1"/>
  <c r="AG404" i="3"/>
  <c r="AG405" i="3"/>
  <c r="AG406" i="3"/>
  <c r="AG407" i="3"/>
  <c r="AH407" i="3" s="1"/>
  <c r="AG408" i="3"/>
  <c r="AG409" i="3"/>
  <c r="AG410" i="3"/>
  <c r="AH410" i="3" s="1"/>
  <c r="AG411" i="3"/>
  <c r="AH411" i="3" s="1"/>
  <c r="AG412" i="3"/>
  <c r="AG413" i="3"/>
  <c r="AG414" i="3"/>
  <c r="AG415" i="3"/>
  <c r="AH415" i="3" s="1"/>
  <c r="AG416" i="3"/>
  <c r="AH416" i="3" s="1"/>
  <c r="AG417" i="3"/>
  <c r="AH417" i="3" s="1"/>
  <c r="AG418" i="3"/>
  <c r="AH418" i="3" s="1"/>
  <c r="AG419" i="3"/>
  <c r="AH419" i="3" s="1"/>
  <c r="AG420" i="3"/>
  <c r="AG421" i="3"/>
  <c r="AG422" i="3"/>
  <c r="AH422" i="3" s="1"/>
  <c r="AG423" i="3"/>
  <c r="AH423" i="3" s="1"/>
  <c r="AG424" i="3"/>
  <c r="AH424" i="3" s="1"/>
  <c r="AG425" i="3"/>
  <c r="AG426" i="3"/>
  <c r="AH426" i="3" s="1"/>
  <c r="AG427" i="3"/>
  <c r="AH427" i="3" s="1"/>
  <c r="AG428" i="3"/>
  <c r="AG429" i="3"/>
  <c r="AG430" i="3"/>
  <c r="AG431" i="3"/>
  <c r="AH431" i="3" s="1"/>
  <c r="AG432" i="3"/>
  <c r="AH432" i="3" s="1"/>
  <c r="AG433" i="3"/>
  <c r="AH433" i="3" s="1"/>
  <c r="AG434" i="3"/>
  <c r="AH434" i="3" s="1"/>
  <c r="AG435" i="3"/>
  <c r="AH435" i="3" s="1"/>
  <c r="AG436" i="3"/>
  <c r="AG437" i="3"/>
  <c r="AG438" i="3"/>
  <c r="AG439" i="3"/>
  <c r="AH439" i="3" s="1"/>
  <c r="AG440" i="3"/>
  <c r="AG441" i="3"/>
  <c r="AG442" i="3"/>
  <c r="AH442" i="3" s="1"/>
  <c r="AG443" i="3"/>
  <c r="AH443" i="3" s="1"/>
  <c r="AG444" i="3"/>
  <c r="AG445" i="3"/>
  <c r="AG446" i="3"/>
  <c r="AG447" i="3"/>
  <c r="AH447" i="3" s="1"/>
  <c r="AG448" i="3"/>
  <c r="AH448" i="3" s="1"/>
  <c r="AG449" i="3"/>
  <c r="AH449" i="3" s="1"/>
  <c r="AG450" i="3"/>
  <c r="AH450" i="3" s="1"/>
  <c r="AG451" i="3"/>
  <c r="AH451" i="3" s="1"/>
  <c r="AG452" i="3"/>
  <c r="AG453" i="3"/>
  <c r="AG454" i="3"/>
  <c r="AG455" i="3"/>
  <c r="AH455" i="3" s="1"/>
  <c r="AG456" i="3"/>
  <c r="AG457" i="3"/>
  <c r="AG458" i="3"/>
  <c r="AH458" i="3" s="1"/>
  <c r="AG459" i="3"/>
  <c r="AH459" i="3" s="1"/>
  <c r="AG460" i="3"/>
  <c r="AG461" i="3"/>
  <c r="AG462" i="3"/>
  <c r="AG463" i="3"/>
  <c r="AH463" i="3" s="1"/>
  <c r="AG464" i="3"/>
  <c r="AH464" i="3" s="1"/>
  <c r="AG465" i="3"/>
  <c r="AH465" i="3" s="1"/>
  <c r="AG466" i="3"/>
  <c r="AH466" i="3" s="1"/>
  <c r="AG467" i="3"/>
  <c r="AH467" i="3" s="1"/>
  <c r="AG468" i="3"/>
  <c r="AG469" i="3"/>
  <c r="AG470" i="3"/>
  <c r="AG471" i="3"/>
  <c r="AH471" i="3" s="1"/>
  <c r="AG472" i="3"/>
  <c r="AG473" i="3"/>
  <c r="AG474" i="3"/>
  <c r="AH474" i="3" s="1"/>
  <c r="AG475" i="3"/>
  <c r="AH475" i="3" s="1"/>
  <c r="AG476" i="3"/>
  <c r="AG477" i="3"/>
  <c r="AG478" i="3"/>
  <c r="AG479" i="3"/>
  <c r="AH479" i="3" s="1"/>
  <c r="AG480" i="3"/>
  <c r="AH480" i="3" s="1"/>
  <c r="AG481" i="3"/>
  <c r="AH481" i="3" s="1"/>
  <c r="AG482" i="3"/>
  <c r="AH482" i="3" s="1"/>
  <c r="AG483" i="3"/>
  <c r="AH483" i="3" s="1"/>
  <c r="AG484" i="3"/>
  <c r="AG485" i="3"/>
  <c r="AG486" i="3"/>
  <c r="AG487" i="3"/>
  <c r="AH487" i="3" s="1"/>
  <c r="AG488" i="3"/>
  <c r="AH488" i="3" s="1"/>
  <c r="AG489" i="3"/>
  <c r="AG490" i="3"/>
  <c r="AH490" i="3" s="1"/>
  <c r="AG491" i="3"/>
  <c r="AH491" i="3" s="1"/>
  <c r="AG492" i="3"/>
  <c r="AG493" i="3"/>
  <c r="AG494" i="3"/>
  <c r="AG495" i="3"/>
  <c r="AH495" i="3" s="1"/>
  <c r="AG496" i="3"/>
  <c r="AH496" i="3" s="1"/>
  <c r="AG497" i="3"/>
  <c r="AH497" i="3" s="1"/>
  <c r="AG498" i="3"/>
  <c r="AH498" i="3" s="1"/>
  <c r="AG499" i="3"/>
  <c r="AH499" i="3" s="1"/>
  <c r="AG500" i="3"/>
  <c r="AG501" i="3"/>
  <c r="AG502" i="3"/>
  <c r="AG503" i="3"/>
  <c r="AH503" i="3" s="1"/>
  <c r="AG504" i="3"/>
  <c r="AG505" i="3"/>
  <c r="AG506" i="3"/>
  <c r="AH506" i="3" s="1"/>
  <c r="AG507" i="3"/>
  <c r="AH507" i="3" s="1"/>
  <c r="AG508" i="3"/>
  <c r="AG509" i="3"/>
  <c r="AG510" i="3"/>
  <c r="AG511" i="3"/>
  <c r="AH511" i="3" s="1"/>
  <c r="AG512" i="3"/>
  <c r="AH512" i="3" s="1"/>
  <c r="AG513" i="3"/>
  <c r="AH513" i="3" s="1"/>
  <c r="AG514" i="3"/>
  <c r="AH514" i="3" s="1"/>
  <c r="AG515" i="3"/>
  <c r="AH515" i="3" s="1"/>
  <c r="AG516" i="3"/>
  <c r="AG517" i="3"/>
  <c r="AG518" i="3"/>
  <c r="AG519" i="3"/>
  <c r="AH519" i="3" s="1"/>
  <c r="AG520" i="3"/>
  <c r="AH520" i="3" s="1"/>
  <c r="AG521" i="3"/>
  <c r="AG522" i="3"/>
  <c r="AH522" i="3" s="1"/>
  <c r="AG523" i="3"/>
  <c r="AH523" i="3" s="1"/>
  <c r="AG524" i="3"/>
  <c r="AG525" i="3"/>
  <c r="AG526" i="3"/>
  <c r="AG527" i="3"/>
  <c r="AH527" i="3" s="1"/>
  <c r="AG528" i="3"/>
  <c r="AG529" i="3"/>
  <c r="AH529" i="3" s="1"/>
  <c r="AG530" i="3"/>
  <c r="AH530" i="3" s="1"/>
  <c r="AG531" i="3"/>
  <c r="AH531" i="3" s="1"/>
  <c r="AG532" i="3"/>
  <c r="AG533" i="3"/>
  <c r="AG534" i="3"/>
  <c r="AG535" i="3"/>
  <c r="AH535" i="3" s="1"/>
  <c r="AG536" i="3"/>
  <c r="AG537" i="3"/>
  <c r="AG538" i="3"/>
  <c r="AH538" i="3" s="1"/>
  <c r="AG539" i="3"/>
  <c r="AH539" i="3" s="1"/>
  <c r="AG540" i="3"/>
  <c r="AG541" i="3"/>
  <c r="AG542" i="3"/>
  <c r="AG543" i="3"/>
  <c r="AH543" i="3" s="1"/>
  <c r="AG544" i="3"/>
  <c r="AH544" i="3" s="1"/>
  <c r="AG545" i="3"/>
  <c r="AH545" i="3" s="1"/>
  <c r="AG546" i="3"/>
  <c r="AH546" i="3" s="1"/>
  <c r="AG547" i="3"/>
  <c r="AH547" i="3" s="1"/>
  <c r="AG548" i="3"/>
  <c r="AG549" i="3"/>
  <c r="AG550" i="3"/>
  <c r="AG551" i="3"/>
  <c r="AH551" i="3" s="1"/>
  <c r="AG552" i="3"/>
  <c r="AH552" i="3" s="1"/>
  <c r="AG553" i="3"/>
  <c r="AG554" i="3"/>
  <c r="AH554" i="3" s="1"/>
  <c r="AG555" i="3"/>
  <c r="AH555" i="3" s="1"/>
  <c r="AG556" i="3"/>
  <c r="AG557" i="3"/>
  <c r="AG558" i="3"/>
  <c r="AG559" i="3"/>
  <c r="AH559" i="3" s="1"/>
  <c r="AG560" i="3"/>
  <c r="AH560" i="3" s="1"/>
  <c r="AG561" i="3"/>
  <c r="AH561" i="3" s="1"/>
  <c r="AG562" i="3"/>
  <c r="AH562" i="3" s="1"/>
  <c r="AG563" i="3"/>
  <c r="AH563" i="3" s="1"/>
  <c r="AG564" i="3"/>
  <c r="AG565" i="3"/>
  <c r="AG566" i="3"/>
  <c r="AG567" i="3"/>
  <c r="AH567" i="3" s="1"/>
  <c r="AG568" i="3"/>
  <c r="AG569" i="3"/>
  <c r="AG570" i="3"/>
  <c r="AH570" i="3" s="1"/>
  <c r="AG571" i="3"/>
  <c r="AH571" i="3" s="1"/>
  <c r="AG572" i="3"/>
  <c r="AG573" i="3"/>
  <c r="AG574" i="3"/>
  <c r="AG575" i="3"/>
  <c r="AH575" i="3" s="1"/>
  <c r="AG576" i="3"/>
  <c r="AH576" i="3" s="1"/>
  <c r="AG577" i="3"/>
  <c r="AG578" i="3"/>
  <c r="AH578" i="3" s="1"/>
  <c r="AG579" i="3"/>
  <c r="AH579" i="3" s="1"/>
  <c r="AG580" i="3"/>
  <c r="AG581" i="3"/>
  <c r="AG582" i="3"/>
  <c r="AG583" i="3"/>
  <c r="AH583" i="3" s="1"/>
  <c r="AG584" i="3"/>
  <c r="AH584" i="3" s="1"/>
  <c r="AG585" i="3"/>
  <c r="AG586" i="3"/>
  <c r="AH586" i="3" s="1"/>
  <c r="AG587" i="3"/>
  <c r="AH587" i="3" s="1"/>
  <c r="AG588" i="3"/>
  <c r="AG589" i="3"/>
  <c r="AG590" i="3"/>
  <c r="AG591" i="3"/>
  <c r="AH591" i="3" s="1"/>
  <c r="AG592" i="3"/>
  <c r="AH592" i="3" s="1"/>
  <c r="AG593" i="3"/>
  <c r="AH593" i="3" s="1"/>
  <c r="AG594" i="3"/>
  <c r="AH594" i="3" s="1"/>
  <c r="AG595" i="3"/>
  <c r="AH595" i="3" s="1"/>
  <c r="AG596" i="3"/>
  <c r="AG597" i="3"/>
  <c r="AG598" i="3"/>
  <c r="AG599" i="3"/>
  <c r="AH599" i="3" s="1"/>
  <c r="AG600" i="3"/>
  <c r="AG601" i="3"/>
  <c r="AG602" i="3"/>
  <c r="AH602" i="3" s="1"/>
  <c r="AG603" i="3"/>
  <c r="AH603" i="3" s="1"/>
  <c r="AG604" i="3"/>
  <c r="AG605" i="3"/>
  <c r="AG606" i="3"/>
  <c r="AG607" i="3"/>
  <c r="AH607" i="3" s="1"/>
  <c r="AG608" i="3"/>
  <c r="AG609" i="3"/>
  <c r="AH609" i="3" s="1"/>
  <c r="AG610" i="3"/>
  <c r="AH610" i="3" s="1"/>
  <c r="AG611" i="3"/>
  <c r="AH611" i="3" s="1"/>
  <c r="AG612" i="3"/>
  <c r="AG613" i="3"/>
  <c r="AG614" i="3"/>
  <c r="AG615" i="3"/>
  <c r="AH615" i="3" s="1"/>
  <c r="AG616" i="3"/>
  <c r="AG617" i="3"/>
  <c r="AG618" i="3"/>
  <c r="AH618" i="3" s="1"/>
  <c r="AG619" i="3"/>
  <c r="AH619" i="3" s="1"/>
  <c r="AG620" i="3"/>
  <c r="AG621" i="3"/>
  <c r="AG622" i="3"/>
  <c r="AG623" i="3"/>
  <c r="AH623" i="3" s="1"/>
  <c r="AG624" i="3"/>
  <c r="AH624" i="3" s="1"/>
  <c r="AG625" i="3"/>
  <c r="AH625" i="3" s="1"/>
  <c r="AG626" i="3"/>
  <c r="AH626" i="3" s="1"/>
  <c r="AG627" i="3"/>
  <c r="AH627" i="3" s="1"/>
  <c r="AG628" i="3"/>
  <c r="AG629" i="3"/>
  <c r="AG630" i="3"/>
  <c r="AG631" i="3"/>
  <c r="AH631" i="3" s="1"/>
  <c r="AG632" i="3"/>
  <c r="AG633" i="3"/>
  <c r="AG634" i="3"/>
  <c r="AH634" i="3" s="1"/>
  <c r="AG635" i="3"/>
  <c r="AH635" i="3" s="1"/>
  <c r="AG636" i="3"/>
  <c r="AG637" i="3"/>
  <c r="AG638" i="3"/>
  <c r="AG639" i="3"/>
  <c r="AH639" i="3" s="1"/>
  <c r="AG640" i="3"/>
  <c r="AH640" i="3" s="1"/>
  <c r="AG641" i="3"/>
  <c r="AH641" i="3" s="1"/>
  <c r="AG642" i="3"/>
  <c r="AH642" i="3" s="1"/>
  <c r="AG643" i="3"/>
  <c r="AH643" i="3" s="1"/>
  <c r="AG644" i="3"/>
  <c r="AG645" i="3"/>
  <c r="AG646" i="3"/>
  <c r="AG647" i="3"/>
  <c r="AH647" i="3" s="1"/>
  <c r="AG648" i="3"/>
  <c r="AG649" i="3"/>
  <c r="AG650" i="3"/>
  <c r="AH650" i="3" s="1"/>
  <c r="AG651" i="3"/>
  <c r="AH651" i="3" s="1"/>
  <c r="AG652" i="3"/>
  <c r="AG653" i="3"/>
  <c r="AG654" i="3"/>
  <c r="AG655" i="3"/>
  <c r="AH655" i="3" s="1"/>
  <c r="AG656" i="3"/>
  <c r="AH656" i="3" s="1"/>
  <c r="AG657" i="3"/>
  <c r="AH657" i="3" s="1"/>
  <c r="AG658" i="3"/>
  <c r="AH658" i="3" s="1"/>
  <c r="AG659" i="3"/>
  <c r="AH659" i="3" s="1"/>
  <c r="AG660" i="3"/>
  <c r="AG661" i="3"/>
  <c r="AG662" i="3"/>
  <c r="AG663" i="3"/>
  <c r="AH663" i="3" s="1"/>
  <c r="AG664" i="3"/>
  <c r="AG665" i="3"/>
  <c r="AG666" i="3"/>
  <c r="AH666" i="3" s="1"/>
  <c r="AG667" i="3"/>
  <c r="AH667" i="3" s="1"/>
  <c r="AG668" i="3"/>
  <c r="AG669" i="3"/>
  <c r="AG670" i="3"/>
  <c r="AG671" i="3"/>
  <c r="AH671" i="3" s="1"/>
  <c r="AG672" i="3"/>
  <c r="AH672" i="3" s="1"/>
  <c r="AG673" i="3"/>
  <c r="AH673" i="3" s="1"/>
  <c r="AG674" i="3"/>
  <c r="AH674" i="3" s="1"/>
  <c r="AG675" i="3"/>
  <c r="AH675" i="3" s="1"/>
  <c r="AG676" i="3"/>
  <c r="AG677" i="3"/>
  <c r="AG678" i="3"/>
  <c r="AG679" i="3"/>
  <c r="AH679" i="3" s="1"/>
  <c r="AG680" i="3"/>
  <c r="AG681" i="3"/>
  <c r="AG682" i="3"/>
  <c r="AH682" i="3" s="1"/>
  <c r="AG683" i="3"/>
  <c r="AH683" i="3" s="1"/>
  <c r="AG684" i="3"/>
  <c r="AG685" i="3"/>
  <c r="AG686" i="3"/>
  <c r="AG687" i="3"/>
  <c r="AH687" i="3" s="1"/>
  <c r="AG688" i="3"/>
  <c r="AH688" i="3" s="1"/>
  <c r="AG689" i="3"/>
  <c r="AH689" i="3" s="1"/>
  <c r="AG690" i="3"/>
  <c r="AH690" i="3" s="1"/>
  <c r="AG691" i="3"/>
  <c r="AH691" i="3" s="1"/>
  <c r="AG692" i="3"/>
  <c r="AG693" i="3"/>
  <c r="AG694" i="3"/>
  <c r="AG695" i="3"/>
  <c r="AH695" i="3" s="1"/>
  <c r="AG696" i="3"/>
  <c r="AG697" i="3"/>
  <c r="AG698" i="3"/>
  <c r="AH698" i="3" s="1"/>
  <c r="AG699" i="3"/>
  <c r="AH699" i="3" s="1"/>
  <c r="AG700" i="3"/>
  <c r="AG701" i="3"/>
  <c r="AG702" i="3"/>
  <c r="AG703" i="3"/>
  <c r="AH703" i="3" s="1"/>
  <c r="AG704" i="3"/>
  <c r="AH704" i="3" s="1"/>
  <c r="AG705" i="3"/>
  <c r="AH705" i="3" s="1"/>
  <c r="AG706" i="3"/>
  <c r="AH706" i="3" s="1"/>
  <c r="AG707" i="3"/>
  <c r="AH707" i="3" s="1"/>
  <c r="AG708" i="3"/>
  <c r="AG709" i="3"/>
  <c r="AG710" i="3"/>
  <c r="AG711" i="3"/>
  <c r="AH711" i="3" s="1"/>
  <c r="AG712" i="3"/>
  <c r="AG713" i="3"/>
  <c r="AG714" i="3"/>
  <c r="AH714" i="3" s="1"/>
  <c r="AG715" i="3"/>
  <c r="AH715" i="3" s="1"/>
  <c r="AG716" i="3"/>
  <c r="AG717" i="3"/>
  <c r="AG718" i="3"/>
  <c r="AG719" i="3"/>
  <c r="AH719" i="3" s="1"/>
  <c r="AG720" i="3"/>
  <c r="AH720" i="3" s="1"/>
  <c r="AG721" i="3"/>
  <c r="AH721" i="3" s="1"/>
  <c r="AG722" i="3"/>
  <c r="AH722" i="3" s="1"/>
  <c r="AG723" i="3"/>
  <c r="AH723" i="3" s="1"/>
  <c r="AG724" i="3"/>
  <c r="AG725" i="3"/>
  <c r="AG726" i="3"/>
  <c r="AG727" i="3"/>
  <c r="AH727" i="3" s="1"/>
  <c r="AG728" i="3"/>
  <c r="AG729" i="3"/>
  <c r="AG730" i="3"/>
  <c r="AH730" i="3" s="1"/>
  <c r="AG731" i="3"/>
  <c r="AH731" i="3" s="1"/>
  <c r="AG732" i="3"/>
  <c r="AG733" i="3"/>
  <c r="AG734" i="3"/>
  <c r="AG735" i="3"/>
  <c r="AH735" i="3" s="1"/>
  <c r="AG736" i="3"/>
  <c r="AG737" i="3"/>
  <c r="AH737" i="3" s="1"/>
  <c r="AG738" i="3"/>
  <c r="AH738" i="3" s="1"/>
  <c r="AG739" i="3"/>
  <c r="AH739" i="3" s="1"/>
  <c r="AG740" i="3"/>
  <c r="AG741" i="3"/>
  <c r="AG742" i="3"/>
  <c r="AG743" i="3"/>
  <c r="AH743" i="3" s="1"/>
  <c r="AG744" i="3"/>
  <c r="AG745" i="3"/>
  <c r="AG746" i="3"/>
  <c r="AG747" i="3"/>
  <c r="AH747" i="3" s="1"/>
  <c r="AG748" i="3"/>
  <c r="AG749" i="3"/>
  <c r="AG750" i="3"/>
  <c r="AG751" i="3"/>
  <c r="AH751" i="3" s="1"/>
  <c r="AG752" i="3"/>
  <c r="AH752" i="3" s="1"/>
  <c r="AG753" i="3"/>
  <c r="AH753" i="3" s="1"/>
  <c r="AG754" i="3"/>
  <c r="AH754" i="3" s="1"/>
  <c r="AG755" i="3"/>
  <c r="AH755" i="3" s="1"/>
  <c r="AG756" i="3"/>
  <c r="AG757" i="3"/>
  <c r="AG758" i="3"/>
  <c r="AG759" i="3"/>
  <c r="AH759" i="3" s="1"/>
  <c r="AG760" i="3"/>
  <c r="AG761" i="3"/>
  <c r="AG762" i="3"/>
  <c r="AH762" i="3" s="1"/>
  <c r="AG763" i="3"/>
  <c r="AH763" i="3" s="1"/>
  <c r="AG764" i="3"/>
  <c r="AG765" i="3"/>
  <c r="AG766" i="3"/>
  <c r="AG767" i="3"/>
  <c r="AH767" i="3" s="1"/>
  <c r="AG768" i="3"/>
  <c r="AH768" i="3" s="1"/>
  <c r="AG769" i="3"/>
  <c r="AH769" i="3" s="1"/>
  <c r="AG770" i="3"/>
  <c r="AH770" i="3" s="1"/>
  <c r="AG771" i="3"/>
  <c r="AH771" i="3" s="1"/>
  <c r="AG772" i="3"/>
  <c r="AG773" i="3"/>
  <c r="AG774" i="3"/>
  <c r="AG775" i="3"/>
  <c r="AH775" i="3" s="1"/>
  <c r="AG776" i="3"/>
  <c r="AG777" i="3"/>
  <c r="AG778" i="3"/>
  <c r="AG779" i="3"/>
  <c r="AH779" i="3" s="1"/>
  <c r="AG780" i="3"/>
  <c r="AG781" i="3"/>
  <c r="AG782" i="3"/>
  <c r="AG783" i="3"/>
  <c r="AH783" i="3" s="1"/>
  <c r="AG784" i="3"/>
  <c r="AG785" i="3"/>
  <c r="AH785" i="3" s="1"/>
  <c r="AG786" i="3"/>
  <c r="AH786" i="3" s="1"/>
  <c r="AG787" i="3"/>
  <c r="AH787" i="3" s="1"/>
  <c r="AG788" i="3"/>
  <c r="AG789" i="3"/>
  <c r="AG790" i="3"/>
  <c r="AG791" i="3"/>
  <c r="AH791" i="3" s="1"/>
  <c r="AG792" i="3"/>
  <c r="AG793" i="3"/>
  <c r="AG794" i="3"/>
  <c r="AH794" i="3" s="1"/>
  <c r="AG795" i="3"/>
  <c r="AH795" i="3" s="1"/>
  <c r="AG796" i="3"/>
  <c r="AG797" i="3"/>
  <c r="AG798" i="3"/>
  <c r="AG799" i="3"/>
  <c r="AH799" i="3" s="1"/>
  <c r="AG800" i="3"/>
  <c r="AH800" i="3" s="1"/>
  <c r="AG801" i="3"/>
  <c r="AG802" i="3"/>
  <c r="AH802" i="3" s="1"/>
  <c r="AG803" i="3"/>
  <c r="AH803" i="3" s="1"/>
  <c r="AG804" i="3"/>
  <c r="AG805" i="3"/>
  <c r="AG806" i="3"/>
  <c r="AG807" i="3"/>
  <c r="AH807" i="3" s="1"/>
  <c r="AG808" i="3"/>
  <c r="AG809" i="3"/>
  <c r="AG810" i="3"/>
  <c r="AG811" i="3"/>
  <c r="AH811" i="3" s="1"/>
  <c r="AG812" i="3"/>
  <c r="AG813" i="3"/>
  <c r="AG814" i="3"/>
  <c r="AG815" i="3"/>
  <c r="AH815" i="3" s="1"/>
  <c r="AG816" i="3"/>
  <c r="AH816" i="3" s="1"/>
  <c r="AG817" i="3"/>
  <c r="AH817" i="3" s="1"/>
  <c r="AG818" i="3"/>
  <c r="AH818" i="3" s="1"/>
  <c r="AG819" i="3"/>
  <c r="AH819" i="3" s="1"/>
  <c r="AG820" i="3"/>
  <c r="AG821" i="3"/>
  <c r="AG822" i="3"/>
  <c r="AG823" i="3"/>
  <c r="AG824" i="3"/>
  <c r="AG825" i="3"/>
  <c r="AG826" i="3"/>
  <c r="AH826" i="3" s="1"/>
  <c r="AG827" i="3"/>
  <c r="AH827" i="3" s="1"/>
  <c r="AG828" i="3"/>
  <c r="AG829" i="3"/>
  <c r="AG830" i="3"/>
  <c r="AG831" i="3"/>
  <c r="AH831" i="3" s="1"/>
  <c r="AG832" i="3"/>
  <c r="AG833" i="3"/>
  <c r="AH833" i="3" s="1"/>
  <c r="AG834" i="3"/>
  <c r="AH834" i="3" s="1"/>
  <c r="AG835" i="3"/>
  <c r="AH835" i="3" s="1"/>
  <c r="AG836" i="3"/>
  <c r="AG837" i="3"/>
  <c r="AG838" i="3"/>
  <c r="AG839" i="3"/>
  <c r="AH839" i="3" s="1"/>
  <c r="AG840" i="3"/>
  <c r="AG841" i="3"/>
  <c r="AG842" i="3"/>
  <c r="AH842" i="3" s="1"/>
  <c r="AG843" i="3"/>
  <c r="AH843" i="3" s="1"/>
  <c r="AG844" i="3"/>
  <c r="AG845" i="3"/>
  <c r="AG846" i="3"/>
  <c r="AG847" i="3"/>
  <c r="AH847" i="3" s="1"/>
  <c r="AG848" i="3"/>
  <c r="AH848" i="3" s="1"/>
  <c r="AG849" i="3"/>
  <c r="AH849" i="3" s="1"/>
  <c r="AG850" i="3"/>
  <c r="AH850" i="3" s="1"/>
  <c r="AG851" i="3"/>
  <c r="AH851" i="3" s="1"/>
  <c r="AG852" i="3"/>
  <c r="AG853" i="3"/>
  <c r="AG854" i="3"/>
  <c r="AG855" i="3"/>
  <c r="AH855" i="3" s="1"/>
  <c r="AG856" i="3"/>
  <c r="AG857" i="3"/>
  <c r="AG858" i="3"/>
  <c r="AH858" i="3" s="1"/>
  <c r="AG859" i="3"/>
  <c r="AH859" i="3" s="1"/>
  <c r="AG860" i="3"/>
  <c r="AG861" i="3"/>
  <c r="AG862" i="3"/>
  <c r="AG863" i="3"/>
  <c r="AH863" i="3" s="1"/>
  <c r="AG864" i="3"/>
  <c r="AH864" i="3" s="1"/>
  <c r="AG865" i="3"/>
  <c r="AH865" i="3" s="1"/>
  <c r="AG866" i="3"/>
  <c r="AH866" i="3" s="1"/>
  <c r="AG867" i="3"/>
  <c r="AH867" i="3" s="1"/>
  <c r="AG868" i="3"/>
  <c r="AG869" i="3"/>
  <c r="AG870" i="3"/>
  <c r="AG871" i="3"/>
  <c r="AH871" i="3" s="1"/>
  <c r="AG872" i="3"/>
  <c r="AG873" i="3"/>
  <c r="AG874" i="3"/>
  <c r="AG875" i="3"/>
  <c r="AH875" i="3" s="1"/>
  <c r="AG876" i="3"/>
  <c r="AG877" i="3"/>
  <c r="AG878" i="3"/>
  <c r="AG879" i="3"/>
  <c r="AH879" i="3" s="1"/>
  <c r="AG880" i="3"/>
  <c r="AG881" i="3"/>
  <c r="AH881" i="3" s="1"/>
  <c r="AG882" i="3"/>
  <c r="AH882" i="3" s="1"/>
  <c r="AG883" i="3"/>
  <c r="AH883" i="3" s="1"/>
  <c r="AG884" i="3"/>
  <c r="AG885" i="3"/>
  <c r="AG886" i="3"/>
  <c r="AG887" i="3"/>
  <c r="AH887" i="3" s="1"/>
  <c r="AG888" i="3"/>
  <c r="AG889" i="3"/>
  <c r="AG890" i="3"/>
  <c r="AH890" i="3" s="1"/>
  <c r="AG891" i="3"/>
  <c r="AH891" i="3" s="1"/>
  <c r="AG892" i="3"/>
  <c r="AG893" i="3"/>
  <c r="AG894" i="3"/>
  <c r="AG895" i="3"/>
  <c r="AH895" i="3" s="1"/>
  <c r="AG896" i="3"/>
  <c r="AH896" i="3" s="1"/>
  <c r="AG897" i="3"/>
  <c r="AG898" i="3"/>
  <c r="AH898" i="3" s="1"/>
  <c r="AG899" i="3"/>
  <c r="AH899" i="3" s="1"/>
  <c r="AG900" i="3"/>
  <c r="AG901" i="3"/>
  <c r="AG902" i="3"/>
  <c r="AG903" i="3"/>
  <c r="AH903" i="3" s="1"/>
  <c r="AG904" i="3"/>
  <c r="AG905" i="3"/>
  <c r="AG906" i="3"/>
  <c r="AG907" i="3"/>
  <c r="AH907" i="3" s="1"/>
  <c r="AG908" i="3"/>
  <c r="AG909" i="3"/>
  <c r="AG910" i="3"/>
  <c r="AG911" i="3"/>
  <c r="AH911" i="3" s="1"/>
  <c r="AG912" i="3"/>
  <c r="AH912" i="3" s="1"/>
  <c r="AG913" i="3"/>
  <c r="AH913" i="3" s="1"/>
  <c r="AG914" i="3"/>
  <c r="AH914" i="3" s="1"/>
  <c r="AG915" i="3"/>
  <c r="AH915" i="3" s="1"/>
  <c r="AG916" i="3"/>
  <c r="AG917" i="3"/>
  <c r="AG918" i="3"/>
  <c r="AG919" i="3"/>
  <c r="AH919" i="3" s="1"/>
  <c r="AG920" i="3"/>
  <c r="AG921" i="3"/>
  <c r="AG922" i="3"/>
  <c r="AH922" i="3" s="1"/>
  <c r="AG923" i="3"/>
  <c r="AH923" i="3" s="1"/>
  <c r="AG924" i="3"/>
  <c r="AG925" i="3"/>
  <c r="AG926" i="3"/>
  <c r="AG927" i="3"/>
  <c r="AH927" i="3" s="1"/>
  <c r="AG928" i="3"/>
  <c r="AG929" i="3"/>
  <c r="AH929" i="3" s="1"/>
  <c r="AG930" i="3"/>
  <c r="AH930" i="3" s="1"/>
  <c r="AG931" i="3"/>
  <c r="AH931" i="3" s="1"/>
  <c r="AG932" i="3"/>
  <c r="AG933" i="3"/>
  <c r="AG934" i="3"/>
  <c r="AG935" i="3"/>
  <c r="AH935" i="3" s="1"/>
  <c r="AG936" i="3"/>
  <c r="AG937" i="3"/>
  <c r="AG938" i="3"/>
  <c r="AG939" i="3"/>
  <c r="AH939" i="3" s="1"/>
  <c r="AG940" i="3"/>
  <c r="AG941" i="3"/>
  <c r="AG942" i="3"/>
  <c r="AG943" i="3"/>
  <c r="AH943" i="3" s="1"/>
  <c r="AG944" i="3"/>
  <c r="AH944" i="3" s="1"/>
  <c r="AG945" i="3"/>
  <c r="AG946" i="3"/>
  <c r="AH946" i="3" s="1"/>
  <c r="AG947" i="3"/>
  <c r="AH947" i="3" s="1"/>
  <c r="AG948" i="3"/>
  <c r="AG949" i="3"/>
  <c r="AG950" i="3"/>
  <c r="AG951" i="3"/>
  <c r="AH951" i="3" s="1"/>
  <c r="AG952" i="3"/>
  <c r="AG953" i="3"/>
  <c r="AG954" i="3"/>
  <c r="AH954" i="3" s="1"/>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G971" i="3"/>
  <c r="AH971" i="3" s="1"/>
  <c r="AG972" i="3"/>
  <c r="AG973" i="3"/>
  <c r="AG974" i="3"/>
  <c r="AG975" i="3"/>
  <c r="AH975" i="3" s="1"/>
  <c r="AG976" i="3"/>
  <c r="AG977" i="3"/>
  <c r="AH977" i="3" s="1"/>
  <c r="AG978" i="3"/>
  <c r="AH978" i="3" s="1"/>
  <c r="AG979" i="3"/>
  <c r="AH979" i="3" s="1"/>
  <c r="AG980" i="3"/>
  <c r="AG981" i="3"/>
  <c r="AG982" i="3"/>
  <c r="AG983" i="3"/>
  <c r="AH983" i="3" s="1"/>
  <c r="AG984" i="3"/>
  <c r="AG985" i="3"/>
  <c r="AG986" i="3"/>
  <c r="AH986" i="3" s="1"/>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G1002" i="3"/>
  <c r="AG1003" i="3"/>
  <c r="AH1003" i="3" s="1"/>
  <c r="AG1004" i="3"/>
  <c r="AG1005" i="3"/>
  <c r="AG1006" i="3"/>
  <c r="AG1007" i="3"/>
  <c r="AH1007" i="3" s="1"/>
  <c r="AG1008" i="3"/>
  <c r="AH1008" i="3" s="1"/>
  <c r="AG1009" i="3"/>
  <c r="AH1009" i="3" s="1"/>
  <c r="AG1010" i="3"/>
  <c r="AH1010" i="3" s="1"/>
  <c r="AG1011" i="3"/>
  <c r="AH1011" i="3" s="1"/>
  <c r="AG1012" i="3"/>
  <c r="AG1014" i="3"/>
  <c r="AG1015" i="3"/>
  <c r="AH1015" i="3" s="1"/>
  <c r="AG1016" i="3"/>
  <c r="AG1017" i="3"/>
  <c r="AG1018" i="3"/>
  <c r="AH1018" i="3" s="1"/>
  <c r="AG1019" i="3"/>
  <c r="AH1019" i="3" s="1"/>
  <c r="AG1020" i="3"/>
  <c r="AG1021" i="3"/>
  <c r="AG1022" i="3"/>
  <c r="AG1023" i="3"/>
  <c r="AH1023" i="3" s="1"/>
  <c r="AG1024" i="3"/>
  <c r="AH1024" i="3" s="1"/>
  <c r="AG1025" i="3"/>
  <c r="AH1025" i="3" s="1"/>
  <c r="AG1026" i="3"/>
  <c r="AH1026" i="3" s="1"/>
  <c r="AG1027" i="3"/>
  <c r="AH1027" i="3" s="1"/>
  <c r="AG1028" i="3"/>
  <c r="AG1029" i="3"/>
  <c r="AG1030" i="3"/>
  <c r="AG1031" i="3"/>
  <c r="AH1031" i="3" s="1"/>
  <c r="AG1032" i="3"/>
  <c r="AG1033" i="3"/>
  <c r="AG1034" i="3"/>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H1050" i="3" s="1"/>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H1073" i="3" s="1"/>
  <c r="AG1074" i="3"/>
  <c r="AH1074" i="3" s="1"/>
  <c r="AG1075" i="3"/>
  <c r="AH1075" i="3" s="1"/>
  <c r="AG1076" i="3"/>
  <c r="AG1077" i="3"/>
  <c r="AG1078" i="3"/>
  <c r="AG1079" i="3"/>
  <c r="AG1080" i="3"/>
  <c r="AG1081" i="3"/>
  <c r="AG1082" i="3"/>
  <c r="AH1082" i="3" s="1"/>
  <c r="AG1083" i="3"/>
  <c r="AH1083" i="3" s="1"/>
  <c r="AG1084" i="3"/>
  <c r="AG1085" i="3"/>
  <c r="AG1086" i="3"/>
  <c r="AG1087" i="3"/>
  <c r="AH1087" i="3" s="1"/>
  <c r="AG1088" i="3"/>
  <c r="AH1088" i="3" s="1"/>
  <c r="AG1089" i="3"/>
  <c r="AH1089" i="3" s="1"/>
  <c r="AG1090" i="3"/>
  <c r="AH1090" i="3" s="1"/>
  <c r="AG1091" i="3"/>
  <c r="AH1091" i="3" s="1"/>
  <c r="AG1092" i="3"/>
  <c r="AG1093" i="3"/>
  <c r="AG1094" i="3"/>
  <c r="AG1095" i="3"/>
  <c r="AH1095" i="3" s="1"/>
  <c r="AG1096" i="3"/>
  <c r="AG1097" i="3"/>
  <c r="AG1098" i="3"/>
  <c r="AH1098" i="3" s="1"/>
  <c r="AG1099" i="3"/>
  <c r="AH1099" i="3" s="1"/>
  <c r="AG1100" i="3"/>
  <c r="AG1101" i="3"/>
  <c r="AG1102" i="3"/>
  <c r="AG1103" i="3"/>
  <c r="AH1103" i="3" s="1"/>
  <c r="AG1104" i="3"/>
  <c r="AH1104" i="3" s="1"/>
  <c r="AG1105" i="3"/>
  <c r="AH1105" i="3" s="1"/>
  <c r="AG1106" i="3"/>
  <c r="AH1106" i="3" s="1"/>
  <c r="AG1107" i="3"/>
  <c r="AH1107" i="3" s="1"/>
  <c r="AG1108" i="3"/>
  <c r="AG1109" i="3"/>
  <c r="AG1110" i="3"/>
  <c r="AG1111" i="3"/>
  <c r="AH1111" i="3" s="1"/>
  <c r="AG1112" i="3"/>
  <c r="AG1113" i="3"/>
  <c r="AG1114" i="3"/>
  <c r="AH1114" i="3" s="1"/>
  <c r="AG1115" i="3"/>
  <c r="AH1115" i="3" s="1"/>
  <c r="AG1116" i="3"/>
  <c r="AG1117" i="3"/>
  <c r="AG1118" i="3"/>
  <c r="AG1119" i="3"/>
  <c r="AH1119" i="3" s="1"/>
  <c r="AG1120" i="3"/>
  <c r="AH1120" i="3" s="1"/>
  <c r="AG1121" i="3"/>
  <c r="AH1121" i="3" s="1"/>
  <c r="AG1122" i="3"/>
  <c r="AH1122" i="3" s="1"/>
  <c r="AG1123" i="3"/>
  <c r="AH1123" i="3" s="1"/>
  <c r="AG1124" i="3"/>
  <c r="AG1125" i="3"/>
  <c r="AG1126" i="3"/>
  <c r="AG1127" i="3"/>
  <c r="AH1127" i="3" s="1"/>
  <c r="AG1128" i="3"/>
  <c r="AG1129" i="3"/>
  <c r="AG1130" i="3"/>
  <c r="AH1130" i="3" s="1"/>
  <c r="AG1131" i="3"/>
  <c r="AH1131" i="3" s="1"/>
  <c r="AG1132" i="3"/>
  <c r="AG1133" i="3"/>
  <c r="AG1134" i="3"/>
  <c r="AG1135" i="3"/>
  <c r="AH1135" i="3" s="1"/>
  <c r="AG1136" i="3"/>
  <c r="AH1136" i="3" s="1"/>
  <c r="AG1137" i="3"/>
  <c r="AH1137" i="3" s="1"/>
  <c r="AG1138" i="3"/>
  <c r="AH1138" i="3" s="1"/>
  <c r="AG1139" i="3"/>
  <c r="AH1139" i="3" s="1"/>
  <c r="AG1140" i="3"/>
  <c r="AG1141" i="3"/>
  <c r="AG1142" i="3"/>
  <c r="AG1143" i="3"/>
  <c r="AH1143" i="3" s="1"/>
  <c r="AG1144" i="3"/>
  <c r="AG1145" i="3"/>
  <c r="AG1146" i="3"/>
  <c r="AH1146" i="3" s="1"/>
  <c r="AG1147" i="3"/>
  <c r="AH1147" i="3" s="1"/>
  <c r="AG1148" i="3"/>
  <c r="AG1149" i="3"/>
  <c r="AG1150" i="3"/>
  <c r="AG1151" i="3"/>
  <c r="AH1151" i="3" s="1"/>
  <c r="AG1152" i="3"/>
  <c r="AH1152" i="3" s="1"/>
  <c r="AG1153" i="3"/>
  <c r="AH1153" i="3" s="1"/>
  <c r="AG1154" i="3"/>
  <c r="AH1154" i="3" s="1"/>
  <c r="AG1155" i="3"/>
  <c r="AH1155" i="3" s="1"/>
  <c r="AG1156" i="3"/>
  <c r="AG1157" i="3"/>
  <c r="AG1158" i="3"/>
  <c r="AG1159" i="3"/>
  <c r="AH1159" i="3" s="1"/>
  <c r="AG1160" i="3"/>
  <c r="AG1161" i="3"/>
  <c r="AG1162" i="3"/>
  <c r="AH1162" i="3" s="1"/>
  <c r="AG1163" i="3"/>
  <c r="AH1163" i="3" s="1"/>
  <c r="AG1164" i="3"/>
  <c r="AG1165" i="3"/>
  <c r="AG1166" i="3"/>
  <c r="AG1167" i="3"/>
  <c r="AH1167" i="3" s="1"/>
  <c r="AG1168" i="3"/>
  <c r="AH1168" i="3" s="1"/>
  <c r="AG1169" i="3"/>
  <c r="AH1169" i="3" s="1"/>
  <c r="AG1170" i="3"/>
  <c r="AH1170" i="3" s="1"/>
  <c r="AG1171" i="3"/>
  <c r="AH1171" i="3" s="1"/>
  <c r="AG1172" i="3"/>
  <c r="AG1173" i="3"/>
  <c r="AG1174" i="3"/>
  <c r="AG1175" i="3"/>
  <c r="AH1175" i="3" s="1"/>
  <c r="AG1176" i="3"/>
  <c r="AG1177" i="3"/>
  <c r="AG1178" i="3"/>
  <c r="AH1178" i="3" s="1"/>
  <c r="AG1179" i="3"/>
  <c r="AH1179" i="3" s="1"/>
  <c r="AG1180" i="3"/>
  <c r="AG1181" i="3"/>
  <c r="AG1182" i="3"/>
  <c r="AG1183" i="3"/>
  <c r="AH1183" i="3" s="1"/>
  <c r="AG1184" i="3"/>
  <c r="AH1184" i="3" s="1"/>
  <c r="AG1185" i="3"/>
  <c r="AH1185" i="3" s="1"/>
  <c r="AG1186" i="3"/>
  <c r="AH1186" i="3" s="1"/>
  <c r="AG1187" i="3"/>
  <c r="AH1187" i="3" s="1"/>
  <c r="AG1188" i="3"/>
  <c r="AG1189" i="3"/>
  <c r="AG1190" i="3"/>
  <c r="AG1191" i="3"/>
  <c r="AH1191" i="3" s="1"/>
  <c r="AG1192" i="3"/>
  <c r="AG1193" i="3"/>
  <c r="AG1194" i="3"/>
  <c r="AH1194" i="3" s="1"/>
  <c r="AG1195" i="3"/>
  <c r="AH1195" i="3" s="1"/>
  <c r="AG1196" i="3"/>
  <c r="AG1197" i="3"/>
  <c r="AG1198" i="3"/>
  <c r="AG1199" i="3"/>
  <c r="AH1199" i="3" s="1"/>
  <c r="AG1200" i="3"/>
  <c r="AG1201" i="3"/>
  <c r="AH1201" i="3" s="1"/>
  <c r="AG1202" i="3"/>
  <c r="AH1202" i="3" s="1"/>
  <c r="AG1203" i="3"/>
  <c r="AH1203" i="3" s="1"/>
  <c r="AG1204" i="3"/>
  <c r="AG1205" i="3"/>
  <c r="AG1206" i="3"/>
  <c r="AG1207" i="3"/>
  <c r="AH1207" i="3" s="1"/>
  <c r="AG1208" i="3"/>
  <c r="AG1209" i="3"/>
  <c r="AG1210" i="3"/>
  <c r="AH1210" i="3" s="1"/>
  <c r="AG1211" i="3"/>
  <c r="AH1211" i="3" s="1"/>
  <c r="AG1212" i="3"/>
  <c r="AG1213" i="3"/>
  <c r="AG1214" i="3"/>
  <c r="AG1215" i="3"/>
  <c r="AH1215" i="3" s="1"/>
  <c r="AG1216" i="3"/>
  <c r="AH1216" i="3" s="1"/>
  <c r="AG1217" i="3"/>
  <c r="AH1217" i="3" s="1"/>
  <c r="AG1218" i="3"/>
  <c r="AH1218" i="3" s="1"/>
  <c r="AG1219" i="3"/>
  <c r="AH1219" i="3" s="1"/>
  <c r="AG1220" i="3"/>
  <c r="AG1221" i="3"/>
  <c r="AG1222" i="3"/>
  <c r="AG1223" i="3"/>
  <c r="AH1223" i="3" s="1"/>
  <c r="AG1224" i="3"/>
  <c r="AG1225" i="3"/>
  <c r="AG1226" i="3"/>
  <c r="AH1226" i="3" s="1"/>
  <c r="AG1227" i="3"/>
  <c r="AH1227" i="3" s="1"/>
  <c r="AG1228" i="3"/>
  <c r="AG1229" i="3"/>
  <c r="AG1230" i="3"/>
  <c r="AG1231" i="3"/>
  <c r="AH1231" i="3" s="1"/>
  <c r="AG1232" i="3"/>
  <c r="AH1232" i="3" s="1"/>
  <c r="AG1233" i="3"/>
  <c r="AH1233" i="3" s="1"/>
  <c r="AG1234" i="3"/>
  <c r="AH1234" i="3" s="1"/>
  <c r="AG1235" i="3"/>
  <c r="AH1235" i="3" s="1"/>
  <c r="AG1236" i="3"/>
  <c r="AG1237" i="3"/>
  <c r="AG1238" i="3"/>
  <c r="AG1239" i="3"/>
  <c r="AH1239" i="3" s="1"/>
  <c r="AG1240" i="3"/>
  <c r="AG1241" i="3"/>
  <c r="AG1242" i="3"/>
  <c r="AH1242" i="3" s="1"/>
  <c r="AG1243" i="3"/>
  <c r="AH1243" i="3" s="1"/>
  <c r="AG1244" i="3"/>
  <c r="AG1245" i="3"/>
  <c r="AG1246" i="3"/>
  <c r="AG1247" i="3"/>
  <c r="AH1247" i="3" s="1"/>
  <c r="AG1248" i="3"/>
  <c r="AG1249" i="3"/>
  <c r="AH1249" i="3" s="1"/>
  <c r="AG1250" i="3"/>
  <c r="AH1250" i="3" s="1"/>
  <c r="AG1251" i="3"/>
  <c r="AH1251" i="3" s="1"/>
  <c r="AG1252" i="3"/>
  <c r="AG1253" i="3"/>
  <c r="AG1254" i="3"/>
  <c r="AG1255" i="3"/>
  <c r="AH1255" i="3" s="1"/>
  <c r="AG1256" i="3"/>
  <c r="AG1257" i="3"/>
  <c r="AG1258" i="3"/>
  <c r="AH1258" i="3" s="1"/>
  <c r="AG1259" i="3"/>
  <c r="AH1259" i="3" s="1"/>
  <c r="AG1260" i="3"/>
  <c r="AG1261" i="3"/>
  <c r="AG1262" i="3"/>
  <c r="AG1263" i="3"/>
  <c r="AH1263" i="3" s="1"/>
  <c r="AG1264" i="3"/>
  <c r="AH1264" i="3" s="1"/>
  <c r="AG1265" i="3"/>
  <c r="AG1266" i="3"/>
  <c r="AH1266" i="3" s="1"/>
  <c r="AG1267" i="3"/>
  <c r="AH1267" i="3" s="1"/>
  <c r="AG1268" i="3"/>
  <c r="AG1269" i="3"/>
  <c r="AG1270" i="3"/>
  <c r="AG1271" i="3"/>
  <c r="AH1271" i="3" s="1"/>
  <c r="AG1272" i="3"/>
  <c r="AG1273" i="3"/>
  <c r="AG1274" i="3"/>
  <c r="AH1274" i="3" s="1"/>
  <c r="AG1275" i="3"/>
  <c r="AH1275" i="3" s="1"/>
  <c r="AG1276" i="3"/>
  <c r="AG1277" i="3"/>
  <c r="AG1278" i="3"/>
  <c r="AG1279" i="3"/>
  <c r="AH1279" i="3" s="1"/>
  <c r="AG1280" i="3"/>
  <c r="AH1280" i="3" s="1"/>
  <c r="AG1281" i="3"/>
  <c r="AH1281" i="3" s="1"/>
  <c r="AG1282" i="3"/>
  <c r="AH1282" i="3" s="1"/>
  <c r="AG1283" i="3"/>
  <c r="AH1283" i="3" s="1"/>
  <c r="AG1284" i="3"/>
  <c r="AG1285" i="3"/>
  <c r="AG1286" i="3"/>
  <c r="AG1287" i="3"/>
  <c r="AH1287" i="3" s="1"/>
  <c r="AG1288" i="3"/>
  <c r="AG1289" i="3"/>
  <c r="AG1290" i="3"/>
  <c r="AH1290" i="3" s="1"/>
  <c r="AG1291" i="3"/>
  <c r="AH1291" i="3" s="1"/>
  <c r="AG1292" i="3"/>
  <c r="AG1293" i="3"/>
  <c r="AG1294" i="3"/>
  <c r="AG1295" i="3"/>
  <c r="AH1295" i="3" s="1"/>
  <c r="AG1296" i="3"/>
  <c r="AG1297" i="3"/>
  <c r="AH1297" i="3" s="1"/>
  <c r="AG1298" i="3"/>
  <c r="AH1298" i="3" s="1"/>
  <c r="AG1299" i="3"/>
  <c r="AH1299" i="3" s="1"/>
  <c r="AG1300" i="3"/>
  <c r="AG1301" i="3"/>
  <c r="AG1302" i="3"/>
  <c r="AG1303" i="3"/>
  <c r="AH1303" i="3" s="1"/>
  <c r="AG1304" i="3"/>
  <c r="AG1305" i="3"/>
  <c r="AG1306" i="3"/>
  <c r="AH1306" i="3" s="1"/>
  <c r="AG1307" i="3"/>
  <c r="AH1307" i="3" s="1"/>
  <c r="AG1308" i="3"/>
  <c r="AG1309" i="3"/>
  <c r="AG1310" i="3"/>
  <c r="AG1311" i="3"/>
  <c r="AH1311" i="3" s="1"/>
  <c r="AG1312" i="3"/>
  <c r="AH1312" i="3" s="1"/>
  <c r="AG1313" i="3"/>
  <c r="AG1314" i="3"/>
  <c r="AH1314" i="3" s="1"/>
  <c r="AG1315" i="3"/>
  <c r="AH1315" i="3" s="1"/>
  <c r="AG1316" i="3"/>
  <c r="AG1317" i="3"/>
  <c r="AG1318" i="3"/>
  <c r="AG1319" i="3"/>
  <c r="AH1319" i="3" s="1"/>
  <c r="AG1320" i="3"/>
  <c r="AG1321" i="3"/>
  <c r="AG1322" i="3"/>
  <c r="AH1322" i="3" s="1"/>
  <c r="AG1323" i="3"/>
  <c r="AH1323" i="3" s="1"/>
  <c r="AG1324" i="3"/>
  <c r="AG1325" i="3"/>
  <c r="AG1326" i="3"/>
  <c r="AG1327" i="3"/>
  <c r="AH1327" i="3" s="1"/>
  <c r="AG1328" i="3"/>
  <c r="AH1328" i="3" s="1"/>
  <c r="AG1329" i="3"/>
  <c r="AH1329" i="3" s="1"/>
  <c r="AG1330" i="3"/>
  <c r="AG1331" i="3"/>
  <c r="AH1331" i="3" s="1"/>
  <c r="AG1332" i="3"/>
  <c r="AG1333" i="3"/>
  <c r="AG1334" i="3"/>
  <c r="AG1335" i="3"/>
  <c r="AG1336" i="3"/>
  <c r="AG1337" i="3"/>
  <c r="AG1338" i="3"/>
  <c r="AH1338" i="3" s="1"/>
  <c r="AG1339" i="3"/>
  <c r="AH1339" i="3" s="1"/>
  <c r="AG1340" i="3"/>
  <c r="AG1341" i="3"/>
  <c r="AG1342" i="3"/>
  <c r="AG1343" i="3"/>
  <c r="AH1343" i="3" s="1"/>
  <c r="AG1344" i="3"/>
  <c r="AG1345" i="3"/>
  <c r="AH1345" i="3" s="1"/>
  <c r="AG1346" i="3"/>
  <c r="AH1346" i="3" s="1"/>
  <c r="AG1347" i="3"/>
  <c r="AH1347" i="3" s="1"/>
  <c r="AG1348" i="3"/>
  <c r="AG1349" i="3"/>
  <c r="AG1350" i="3"/>
  <c r="AG1351" i="3"/>
  <c r="AH1351" i="3" s="1"/>
  <c r="AG1352" i="3"/>
  <c r="AG1353" i="3"/>
  <c r="AG1354" i="3"/>
  <c r="AH1354" i="3" s="1"/>
  <c r="AG1355" i="3"/>
  <c r="AH1355" i="3" s="1"/>
  <c r="AG1356" i="3"/>
  <c r="AG1357" i="3"/>
  <c r="AG1358" i="3"/>
  <c r="AG1359" i="3"/>
  <c r="AH1359" i="3" s="1"/>
  <c r="AG1360" i="3"/>
  <c r="AH1360" i="3" s="1"/>
  <c r="AG1361" i="3"/>
  <c r="AG1362" i="3"/>
  <c r="AH1362" i="3" s="1"/>
  <c r="AG1363" i="3"/>
  <c r="AH1363" i="3" s="1"/>
  <c r="AG1364" i="3"/>
  <c r="AG1365" i="3"/>
  <c r="AG1366" i="3"/>
  <c r="AG1367" i="3"/>
  <c r="AH1367" i="3" s="1"/>
  <c r="AG1368" i="3"/>
  <c r="AG1369" i="3"/>
  <c r="AG1370" i="3"/>
  <c r="AH1370" i="3" s="1"/>
  <c r="AG1371" i="3"/>
  <c r="AH1371" i="3" s="1"/>
  <c r="AG1372" i="3"/>
  <c r="AG1373" i="3"/>
  <c r="AG1374" i="3"/>
  <c r="AG1375" i="3"/>
  <c r="AH1375" i="3" s="1"/>
  <c r="AG1376" i="3"/>
  <c r="AH1376" i="3" s="1"/>
  <c r="AG1377" i="3"/>
  <c r="AH1377" i="3" s="1"/>
  <c r="AG1378" i="3"/>
  <c r="AH1378" i="3" s="1"/>
  <c r="AG1379" i="3"/>
  <c r="AH1379" i="3" s="1"/>
  <c r="AG1380" i="3"/>
  <c r="AG1381" i="3"/>
  <c r="AG1382" i="3"/>
  <c r="AG1383" i="3"/>
  <c r="AH1383" i="3" s="1"/>
  <c r="AG1384" i="3"/>
  <c r="AG1385" i="3"/>
  <c r="AG1386" i="3"/>
  <c r="AH1386" i="3" s="1"/>
  <c r="AG1387" i="3"/>
  <c r="AH1387" i="3" s="1"/>
  <c r="AG1388" i="3"/>
  <c r="AG1389" i="3"/>
  <c r="AG1390" i="3"/>
  <c r="AG1391" i="3"/>
  <c r="AH1391" i="3" s="1"/>
  <c r="AG1392" i="3"/>
  <c r="AG1393" i="3"/>
  <c r="AH1393" i="3" s="1"/>
  <c r="AG1394" i="3"/>
  <c r="AH1394" i="3" s="1"/>
  <c r="AG1395" i="3"/>
  <c r="AH1395" i="3" s="1"/>
  <c r="AG1396" i="3"/>
  <c r="AG1397" i="3"/>
  <c r="AG1398" i="3"/>
  <c r="AG1399" i="3"/>
  <c r="AH1399" i="3" s="1"/>
  <c r="AG1400" i="3"/>
  <c r="AG1401" i="3"/>
  <c r="AG1402" i="3"/>
  <c r="AH1402" i="3" s="1"/>
  <c r="AG1403" i="3"/>
  <c r="AH1403" i="3" s="1"/>
  <c r="AG1404" i="3"/>
  <c r="AG1405" i="3"/>
  <c r="AG1406" i="3"/>
  <c r="AG1407" i="3"/>
  <c r="AH1407" i="3" s="1"/>
  <c r="AG1408" i="3"/>
  <c r="AH1408" i="3" s="1"/>
  <c r="AG1409" i="3"/>
  <c r="AG1410" i="3"/>
  <c r="AH1410" i="3" s="1"/>
  <c r="AG1411" i="3"/>
  <c r="AH1411" i="3" s="1"/>
  <c r="AG1412" i="3"/>
  <c r="AG1413" i="3"/>
  <c r="AG1414" i="3"/>
  <c r="AG1416" i="3"/>
  <c r="AG1417" i="3"/>
  <c r="AG1418" i="3"/>
  <c r="AH1418" i="3" s="1"/>
  <c r="AG1419" i="3"/>
  <c r="AH1419" i="3" s="1"/>
  <c r="AG1420" i="3"/>
  <c r="AG1421" i="3"/>
  <c r="AG1422" i="3"/>
  <c r="AG1423" i="3"/>
  <c r="AH1423" i="3" s="1"/>
  <c r="AG1424" i="3"/>
  <c r="AG1425" i="3"/>
  <c r="AH1425" i="3" s="1"/>
  <c r="AG1426" i="3"/>
  <c r="AG1427" i="3"/>
  <c r="AH1427" i="3" s="1"/>
  <c r="AG1428" i="3"/>
  <c r="AH1428" i="3" s="1"/>
  <c r="AG1429" i="3"/>
  <c r="AG1430" i="3"/>
  <c r="AG1431" i="3"/>
  <c r="AH1431" i="3" s="1"/>
  <c r="AG1432" i="3"/>
  <c r="AG1433" i="3"/>
  <c r="AG1434" i="3"/>
  <c r="AH1434" i="3" s="1"/>
  <c r="AG1435" i="3"/>
  <c r="AH1435" i="3" s="1"/>
  <c r="AG1436" i="3"/>
  <c r="AG1437" i="3"/>
  <c r="AG1438" i="3"/>
  <c r="AG1439" i="3"/>
  <c r="AH1439" i="3" s="1"/>
  <c r="AG1440" i="3"/>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H8"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H88"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H168"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H287"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J344" i="3"/>
  <c r="AL344" i="3"/>
  <c r="AN344" i="3"/>
  <c r="AP344" i="3"/>
  <c r="AR344" i="3"/>
  <c r="AH345"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H385"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J552" i="3"/>
  <c r="AL552" i="3"/>
  <c r="AN552" i="3"/>
  <c r="AP552" i="3"/>
  <c r="AR552" i="3"/>
  <c r="AH553"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H577"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H760" i="3"/>
  <c r="AJ760" i="3"/>
  <c r="AL760" i="3"/>
  <c r="AN760" i="3"/>
  <c r="AP760" i="3"/>
  <c r="AR760" i="3"/>
  <c r="AH761"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H776"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H784"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H792"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H808"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H823"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H832"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H840"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H872"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H880"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H897"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H904"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H928"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H976"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H1079" i="3"/>
  <c r="AJ1079" i="3"/>
  <c r="AL1079" i="3"/>
  <c r="AN1079" i="3"/>
  <c r="AP1079" i="3"/>
  <c r="AR1079" i="3"/>
  <c r="AH1080"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H1313"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H1335"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H1426" i="3"/>
  <c r="AJ1426" i="3"/>
  <c r="AL1426" i="3"/>
  <c r="AN1426" i="3"/>
  <c r="AP1426" i="3"/>
  <c r="AR1426" i="3"/>
  <c r="AJ1427" i="3"/>
  <c r="AL1427" i="3"/>
  <c r="AN1427" i="3"/>
  <c r="AP1427" i="3"/>
  <c r="AR1427"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T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T981" i="3"/>
  <c r="P981" i="3"/>
  <c r="Q981" i="3" s="1"/>
  <c r="AB980" i="3"/>
  <c r="P980" i="3"/>
  <c r="AB979" i="3"/>
  <c r="P979" i="3"/>
  <c r="AB978" i="3"/>
  <c r="P978" i="3"/>
  <c r="AB977" i="3"/>
  <c r="P977" i="3"/>
  <c r="AB976" i="3"/>
  <c r="P976" i="3"/>
  <c r="AD976" i="3" s="1"/>
  <c r="AB975" i="3"/>
  <c r="P975" i="3"/>
  <c r="AD975" i="3" s="1"/>
  <c r="AB974" i="3"/>
  <c r="P974" i="3"/>
  <c r="AB973" i="3"/>
  <c r="P973" i="3"/>
  <c r="Q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Q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Q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1523" i="3" s="1"/>
  <c r="N1524" i="3" s="1"/>
  <c r="N1525" i="3" s="1"/>
  <c r="N1526" i="3" s="1"/>
  <c r="N1527" i="3" s="1"/>
  <c r="N1528" i="3" s="1"/>
  <c r="N1529" i="3" s="1"/>
  <c r="N1530" i="3" s="1"/>
  <c r="N1531" i="3" s="1"/>
  <c r="N1532" i="3" s="1"/>
  <c r="N1533" i="3" s="1"/>
  <c r="N1534" i="3" s="1"/>
  <c r="N1535" i="3" s="1"/>
  <c r="N1536" i="3" s="1"/>
  <c r="N1537" i="3" s="1"/>
  <c r="N1538" i="3" s="1"/>
  <c r="N1539" i="3" s="1"/>
  <c r="N1540" i="3" s="1"/>
  <c r="N1541" i="3" s="1"/>
  <c r="N1542" i="3" s="1"/>
  <c r="N1543" i="3" s="1"/>
  <c r="N1544" i="3" s="1"/>
  <c r="N1545" i="3" s="1"/>
  <c r="N1546" i="3" s="1"/>
  <c r="N1547" i="3" s="1"/>
  <c r="N1548" i="3" s="1"/>
  <c r="N1549" i="3" s="1"/>
  <c r="N1550" i="3" s="1"/>
  <c r="N1551" i="3" s="1"/>
  <c r="N1552" i="3" s="1"/>
  <c r="N1553" i="3" s="1"/>
  <c r="N1554" i="3" s="1"/>
  <c r="N1555" i="3" s="1"/>
  <c r="N1556" i="3" s="1"/>
  <c r="N1557" i="3" s="1"/>
  <c r="N1558" i="3" s="1"/>
  <c r="N1559" i="3" s="1"/>
  <c r="N1560" i="3" s="1"/>
  <c r="N1561" i="3" s="1"/>
  <c r="N1562" i="3" s="1"/>
  <c r="N1563" i="3" s="1"/>
  <c r="N1564" i="3" s="1"/>
  <c r="N1565" i="3" s="1"/>
  <c r="N1566" i="3" s="1"/>
  <c r="N1567" i="3" s="1"/>
  <c r="N1568" i="3" s="1"/>
  <c r="N1569" i="3" s="1"/>
  <c r="N1570" i="3" s="1"/>
  <c r="N1571" i="3" s="1"/>
  <c r="N1572" i="3" s="1"/>
  <c r="N1573" i="3" s="1"/>
  <c r="N1574" i="3" s="1"/>
  <c r="N1575" i="3" s="1"/>
  <c r="N1576" i="3" s="1"/>
  <c r="N1577" i="3" s="1"/>
  <c r="N1578" i="3" s="1"/>
  <c r="N1579" i="3" s="1"/>
  <c r="N1580" i="3" s="1"/>
  <c r="N1581" i="3" s="1"/>
  <c r="N1582" i="3" s="1"/>
  <c r="N1583" i="3" s="1"/>
  <c r="N1584" i="3" s="1"/>
  <c r="N1585" i="3" s="1"/>
  <c r="N1586" i="3" s="1"/>
  <c r="N1587" i="3" s="1"/>
  <c r="N1588" i="3" s="1"/>
  <c r="N1589" i="3" s="1"/>
  <c r="N1590" i="3" s="1"/>
  <c r="N1591" i="3" s="1"/>
  <c r="N1592" i="3" s="1"/>
  <c r="N1593" i="3" s="1"/>
  <c r="N1594" i="3" s="1"/>
  <c r="N1595" i="3" s="1"/>
  <c r="N1596" i="3" s="1"/>
  <c r="N1597" i="3" s="1"/>
  <c r="N1598" i="3" s="1"/>
  <c r="N1599" i="3" s="1"/>
  <c r="N1600" i="3" s="1"/>
  <c r="N1601" i="3" s="1"/>
  <c r="N1602" i="3" s="1"/>
  <c r="N1603" i="3" s="1"/>
  <c r="N1604" i="3" s="1"/>
  <c r="N1605" i="3" s="1"/>
  <c r="N1606" i="3" s="1"/>
  <c r="N1607" i="3" s="1"/>
  <c r="N1608" i="3" s="1"/>
  <c r="N1609" i="3" s="1"/>
  <c r="N1610" i="3" s="1"/>
  <c r="N1611" i="3" s="1"/>
  <c r="N1612" i="3" s="1"/>
  <c r="N1613" i="3" s="1"/>
  <c r="N1614" i="3" s="1"/>
  <c r="N1615" i="3" s="1"/>
  <c r="N1616" i="3" s="1"/>
  <c r="N1617" i="3" s="1"/>
  <c r="N1618" i="3" s="1"/>
  <c r="N1619" i="3" s="1"/>
  <c r="N1620" i="3" s="1"/>
  <c r="N1621" i="3" s="1"/>
  <c r="N1622" i="3" s="1"/>
  <c r="N1623" i="3" s="1"/>
  <c r="N1624" i="3" s="1"/>
  <c r="N1625" i="3" s="1"/>
  <c r="N1626" i="3" s="1"/>
  <c r="N1627" i="3" s="1"/>
  <c r="N1628" i="3" s="1"/>
  <c r="N1629" i="3" s="1"/>
  <c r="N1630" i="3" s="1"/>
  <c r="N1631" i="3" s="1"/>
  <c r="N1632" i="3" s="1"/>
  <c r="N1633" i="3" s="1"/>
  <c r="N1634" i="3" s="1"/>
  <c r="N1635" i="3" s="1"/>
  <c r="N1636" i="3" s="1"/>
  <c r="N1637" i="3" s="1"/>
  <c r="N1638" i="3" s="1"/>
  <c r="N1639" i="3" s="1"/>
  <c r="N1640" i="3" s="1"/>
  <c r="N1641" i="3" s="1"/>
  <c r="N1642" i="3" s="1"/>
  <c r="N1643" i="3" s="1"/>
  <c r="N1644" i="3" s="1"/>
  <c r="N1645" i="3" s="1"/>
  <c r="N1646" i="3" s="1"/>
  <c r="N1647"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M1521" i="3" s="1"/>
  <c r="M1522" i="3" s="1"/>
  <c r="M1523" i="3" s="1"/>
  <c r="M1524" i="3" s="1"/>
  <c r="M1525" i="3" s="1"/>
  <c r="M1526" i="3" s="1"/>
  <c r="M1527" i="3" s="1"/>
  <c r="M1528" i="3" s="1"/>
  <c r="M1529" i="3" s="1"/>
  <c r="M1530" i="3" s="1"/>
  <c r="M1531" i="3" s="1"/>
  <c r="M1532" i="3" s="1"/>
  <c r="M1533" i="3" s="1"/>
  <c r="M1534" i="3" s="1"/>
  <c r="M1535" i="3" s="1"/>
  <c r="M1536" i="3" s="1"/>
  <c r="M1537" i="3" s="1"/>
  <c r="M1538" i="3" s="1"/>
  <c r="M1539" i="3" s="1"/>
  <c r="M1540" i="3" s="1"/>
  <c r="M1541" i="3" s="1"/>
  <c r="M1542" i="3" s="1"/>
  <c r="M1543" i="3" s="1"/>
  <c r="M1544" i="3" s="1"/>
  <c r="M1545" i="3" s="1"/>
  <c r="M1546" i="3" s="1"/>
  <c r="M1547" i="3" s="1"/>
  <c r="M1548" i="3" s="1"/>
  <c r="M1549" i="3" s="1"/>
  <c r="M1550" i="3" s="1"/>
  <c r="M1551" i="3" s="1"/>
  <c r="M1552" i="3" s="1"/>
  <c r="M1553" i="3" s="1"/>
  <c r="M1554" i="3" s="1"/>
  <c r="M1555" i="3" s="1"/>
  <c r="M1556" i="3" s="1"/>
  <c r="M1557" i="3" s="1"/>
  <c r="M1558" i="3" s="1"/>
  <c r="M1559" i="3" s="1"/>
  <c r="M1560" i="3" s="1"/>
  <c r="M1561" i="3" s="1"/>
  <c r="M1562" i="3" s="1"/>
  <c r="M1563" i="3" s="1"/>
  <c r="M1564" i="3" s="1"/>
  <c r="M1565" i="3" s="1"/>
  <c r="M1566" i="3" s="1"/>
  <c r="M1567" i="3" s="1"/>
  <c r="M1568" i="3" s="1"/>
  <c r="M1569" i="3" s="1"/>
  <c r="M1570" i="3" s="1"/>
  <c r="M1571" i="3" s="1"/>
  <c r="M1572" i="3" s="1"/>
  <c r="M1573" i="3" s="1"/>
  <c r="M1574" i="3" s="1"/>
  <c r="M1575" i="3" s="1"/>
  <c r="M1576" i="3" s="1"/>
  <c r="M1577" i="3" s="1"/>
  <c r="M1578" i="3" s="1"/>
  <c r="M1579" i="3" s="1"/>
  <c r="M1580" i="3" s="1"/>
  <c r="M1581" i="3" s="1"/>
  <c r="M1582" i="3" s="1"/>
  <c r="M1583" i="3" s="1"/>
  <c r="M1584" i="3" s="1"/>
  <c r="M1585" i="3" s="1"/>
  <c r="M1586" i="3" s="1"/>
  <c r="M1587" i="3" s="1"/>
  <c r="M1588" i="3" s="1"/>
  <c r="M1589" i="3" s="1"/>
  <c r="M1590" i="3" s="1"/>
  <c r="M1591" i="3" s="1"/>
  <c r="M1592" i="3" s="1"/>
  <c r="M1593" i="3" s="1"/>
  <c r="M1594" i="3" s="1"/>
  <c r="M1595" i="3" s="1"/>
  <c r="M1596" i="3" s="1"/>
  <c r="M1597" i="3" s="1"/>
  <c r="M1598" i="3" s="1"/>
  <c r="M1599" i="3" s="1"/>
  <c r="M1600" i="3" s="1"/>
  <c r="M1601" i="3" s="1"/>
  <c r="M1602" i="3" s="1"/>
  <c r="M1603" i="3" s="1"/>
  <c r="M1604" i="3" s="1"/>
  <c r="M1605" i="3" s="1"/>
  <c r="M1606" i="3" s="1"/>
  <c r="M1607" i="3" s="1"/>
  <c r="M1608" i="3" s="1"/>
  <c r="M1609" i="3" s="1"/>
  <c r="M1610" i="3" s="1"/>
  <c r="M1611" i="3" s="1"/>
  <c r="M1612" i="3" s="1"/>
  <c r="M1613" i="3" s="1"/>
  <c r="M1614" i="3" s="1"/>
  <c r="M1615" i="3" s="1"/>
  <c r="M1616" i="3" s="1"/>
  <c r="M1617" i="3" s="1"/>
  <c r="M1618" i="3" s="1"/>
  <c r="M1619" i="3" s="1"/>
  <c r="M1620" i="3" s="1"/>
  <c r="M1621" i="3" s="1"/>
  <c r="M1622" i="3" s="1"/>
  <c r="M1623" i="3" s="1"/>
  <c r="M1624" i="3" s="1"/>
  <c r="M1625" i="3" s="1"/>
  <c r="M1626" i="3" s="1"/>
  <c r="M1627" i="3" s="1"/>
  <c r="M1628" i="3" s="1"/>
  <c r="M1629" i="3" s="1"/>
  <c r="M1630" i="3" s="1"/>
  <c r="M1631" i="3" s="1"/>
  <c r="M1632" i="3" s="1"/>
  <c r="M1633" i="3" s="1"/>
  <c r="M1634" i="3" s="1"/>
  <c r="M1635" i="3" s="1"/>
  <c r="M1636" i="3" s="1"/>
  <c r="M1637" i="3" s="1"/>
  <c r="M1638" i="3" s="1"/>
  <c r="M1639" i="3" s="1"/>
  <c r="M1640" i="3" s="1"/>
  <c r="M1641" i="3" s="1"/>
  <c r="M1642" i="3" s="1"/>
  <c r="M1643" i="3" s="1"/>
  <c r="M1644" i="3" s="1"/>
  <c r="M1645" i="3" s="1"/>
  <c r="M1646" i="3" s="1"/>
  <c r="M1647"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L1521" i="3" s="1"/>
  <c r="L1522" i="3" s="1"/>
  <c r="L1523" i="3" s="1"/>
  <c r="L1524" i="3" s="1"/>
  <c r="L1525" i="3" s="1"/>
  <c r="L1526" i="3" s="1"/>
  <c r="L1527" i="3" s="1"/>
  <c r="L1528" i="3" s="1"/>
  <c r="L1529" i="3" s="1"/>
  <c r="L1530" i="3" s="1"/>
  <c r="L1531" i="3" s="1"/>
  <c r="L1532" i="3" s="1"/>
  <c r="L1533" i="3" s="1"/>
  <c r="L1534" i="3" s="1"/>
  <c r="L1535" i="3" s="1"/>
  <c r="L1536" i="3" s="1"/>
  <c r="L1537" i="3" s="1"/>
  <c r="L1538" i="3" s="1"/>
  <c r="L1539" i="3" s="1"/>
  <c r="L1540" i="3" s="1"/>
  <c r="L1541" i="3" s="1"/>
  <c r="L1542" i="3" s="1"/>
  <c r="L1543" i="3" s="1"/>
  <c r="L1544" i="3" s="1"/>
  <c r="L1545" i="3" s="1"/>
  <c r="L1546" i="3" s="1"/>
  <c r="L1547" i="3" s="1"/>
  <c r="L1548" i="3" s="1"/>
  <c r="L1549" i="3" s="1"/>
  <c r="L1550" i="3" s="1"/>
  <c r="L1551" i="3" s="1"/>
  <c r="L1552" i="3" s="1"/>
  <c r="L1553" i="3" s="1"/>
  <c r="L1554" i="3" s="1"/>
  <c r="L1555" i="3" s="1"/>
  <c r="L1556" i="3" s="1"/>
  <c r="L1557" i="3" s="1"/>
  <c r="L1558" i="3" s="1"/>
  <c r="L1559" i="3" s="1"/>
  <c r="L1560" i="3" s="1"/>
  <c r="L1561" i="3" s="1"/>
  <c r="L1562" i="3" s="1"/>
  <c r="L1563" i="3" s="1"/>
  <c r="L1564" i="3" s="1"/>
  <c r="L1565" i="3" s="1"/>
  <c r="L1566" i="3" s="1"/>
  <c r="L1567" i="3" s="1"/>
  <c r="L1568" i="3" s="1"/>
  <c r="L1569" i="3" s="1"/>
  <c r="L1570" i="3" s="1"/>
  <c r="L1571" i="3" s="1"/>
  <c r="L1572" i="3" s="1"/>
  <c r="L1573" i="3" s="1"/>
  <c r="L1574" i="3" s="1"/>
  <c r="L1575" i="3" s="1"/>
  <c r="L1576" i="3" s="1"/>
  <c r="L1577" i="3" s="1"/>
  <c r="L1578" i="3" s="1"/>
  <c r="L1579" i="3" s="1"/>
  <c r="L1580" i="3" s="1"/>
  <c r="L1581" i="3" s="1"/>
  <c r="L1582" i="3" s="1"/>
  <c r="L1583" i="3" s="1"/>
  <c r="L1584" i="3" s="1"/>
  <c r="L1585" i="3" s="1"/>
  <c r="L1586" i="3" s="1"/>
  <c r="L1587" i="3" s="1"/>
  <c r="L1588" i="3" s="1"/>
  <c r="L1589" i="3" s="1"/>
  <c r="L1590" i="3" s="1"/>
  <c r="L1591" i="3" s="1"/>
  <c r="L1592" i="3" s="1"/>
  <c r="L1593" i="3" s="1"/>
  <c r="L1594" i="3" s="1"/>
  <c r="L1595" i="3" s="1"/>
  <c r="L1596" i="3" s="1"/>
  <c r="L1597" i="3" s="1"/>
  <c r="L1598" i="3" s="1"/>
  <c r="L1599" i="3" s="1"/>
  <c r="L1600" i="3" s="1"/>
  <c r="L1601" i="3" s="1"/>
  <c r="L1602" i="3" s="1"/>
  <c r="L1603" i="3" s="1"/>
  <c r="L1604" i="3" s="1"/>
  <c r="L1605" i="3" s="1"/>
  <c r="L1606" i="3" s="1"/>
  <c r="L1607" i="3" s="1"/>
  <c r="L1608" i="3" s="1"/>
  <c r="L1609" i="3" s="1"/>
  <c r="L1610" i="3" s="1"/>
  <c r="L1611" i="3" s="1"/>
  <c r="L1612" i="3" s="1"/>
  <c r="L1613" i="3" s="1"/>
  <c r="L1614" i="3" s="1"/>
  <c r="L1615" i="3" s="1"/>
  <c r="L1616" i="3" s="1"/>
  <c r="L1617" i="3" s="1"/>
  <c r="L1618" i="3" s="1"/>
  <c r="L1619" i="3" s="1"/>
  <c r="L1620" i="3" s="1"/>
  <c r="L1621" i="3" s="1"/>
  <c r="L1622" i="3" s="1"/>
  <c r="L1623" i="3" s="1"/>
  <c r="L1624" i="3" s="1"/>
  <c r="L1625" i="3" s="1"/>
  <c r="L1626" i="3" s="1"/>
  <c r="L1627" i="3" s="1"/>
  <c r="L1628" i="3" s="1"/>
  <c r="L1629" i="3" s="1"/>
  <c r="L1630" i="3" s="1"/>
  <c r="L1631" i="3" s="1"/>
  <c r="L1632" i="3" s="1"/>
  <c r="L1633" i="3" s="1"/>
  <c r="L1634" i="3" s="1"/>
  <c r="L1635" i="3" s="1"/>
  <c r="L1636" i="3" s="1"/>
  <c r="L1637" i="3" s="1"/>
  <c r="L1638" i="3" s="1"/>
  <c r="L1639" i="3" s="1"/>
  <c r="L1640" i="3" s="1"/>
  <c r="L1641" i="3" s="1"/>
  <c r="L1642" i="3" s="1"/>
  <c r="L1643" i="3" s="1"/>
  <c r="L1644" i="3" s="1"/>
  <c r="L1645" i="3" s="1"/>
  <c r="L1646" i="3" s="1"/>
  <c r="L1647"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K1535" i="3" s="1"/>
  <c r="K1536" i="3" s="1"/>
  <c r="K1537" i="3" s="1"/>
  <c r="K1538" i="3" s="1"/>
  <c r="K1539" i="3" s="1"/>
  <c r="K1540" i="3" s="1"/>
  <c r="K1541" i="3" s="1"/>
  <c r="K1542" i="3" s="1"/>
  <c r="K1543" i="3" s="1"/>
  <c r="K1544" i="3" s="1"/>
  <c r="K1545" i="3" s="1"/>
  <c r="K1546" i="3" s="1"/>
  <c r="K1547" i="3" s="1"/>
  <c r="K1548" i="3" s="1"/>
  <c r="K1549" i="3" s="1"/>
  <c r="K1550" i="3" s="1"/>
  <c r="K1551" i="3" s="1"/>
  <c r="K1552" i="3" s="1"/>
  <c r="K1553" i="3" s="1"/>
  <c r="K1554" i="3" s="1"/>
  <c r="K1555" i="3" s="1"/>
  <c r="K1556" i="3" s="1"/>
  <c r="K1557" i="3" s="1"/>
  <c r="K1558" i="3" s="1"/>
  <c r="K1559" i="3" s="1"/>
  <c r="K1560" i="3" s="1"/>
  <c r="K1561" i="3" s="1"/>
  <c r="K1562" i="3" s="1"/>
  <c r="K1563" i="3" s="1"/>
  <c r="K1564" i="3" s="1"/>
  <c r="K1565" i="3" s="1"/>
  <c r="K1566" i="3" s="1"/>
  <c r="K1567" i="3" s="1"/>
  <c r="K1568" i="3" s="1"/>
  <c r="K1569" i="3" s="1"/>
  <c r="K1570" i="3" s="1"/>
  <c r="K1571" i="3" s="1"/>
  <c r="K1572" i="3" s="1"/>
  <c r="K1573" i="3" s="1"/>
  <c r="K1574" i="3" s="1"/>
  <c r="K1575" i="3" s="1"/>
  <c r="K1576" i="3" s="1"/>
  <c r="K1577" i="3" s="1"/>
  <c r="K1578" i="3" s="1"/>
  <c r="K1579" i="3" s="1"/>
  <c r="K1580" i="3" s="1"/>
  <c r="K1581" i="3" s="1"/>
  <c r="K1582" i="3" s="1"/>
  <c r="K1583" i="3" s="1"/>
  <c r="K1584" i="3" s="1"/>
  <c r="K1585" i="3" s="1"/>
  <c r="K1586" i="3" s="1"/>
  <c r="K1587" i="3" s="1"/>
  <c r="K1588" i="3" s="1"/>
  <c r="K1589" i="3" s="1"/>
  <c r="K1590" i="3" s="1"/>
  <c r="K1591" i="3" s="1"/>
  <c r="K1592" i="3" s="1"/>
  <c r="K1593" i="3" s="1"/>
  <c r="K1594" i="3" s="1"/>
  <c r="K1595" i="3" s="1"/>
  <c r="K1596" i="3" s="1"/>
  <c r="K1597" i="3" s="1"/>
  <c r="K1598" i="3" s="1"/>
  <c r="K1599" i="3" s="1"/>
  <c r="K1600" i="3" s="1"/>
  <c r="K1601" i="3" s="1"/>
  <c r="K1602" i="3" s="1"/>
  <c r="K1603" i="3" s="1"/>
  <c r="K1604" i="3" s="1"/>
  <c r="K1605" i="3" s="1"/>
  <c r="K1606" i="3" s="1"/>
  <c r="K1607" i="3" s="1"/>
  <c r="K1608" i="3" s="1"/>
  <c r="K1609" i="3" s="1"/>
  <c r="K1610" i="3" s="1"/>
  <c r="K1611" i="3" s="1"/>
  <c r="K1612" i="3" s="1"/>
  <c r="K1613" i="3" s="1"/>
  <c r="K1614" i="3" s="1"/>
  <c r="K1615" i="3" s="1"/>
  <c r="K1616" i="3" s="1"/>
  <c r="K1617" i="3" s="1"/>
  <c r="K1618" i="3" s="1"/>
  <c r="K1619" i="3" s="1"/>
  <c r="K1620" i="3" s="1"/>
  <c r="K1621" i="3" s="1"/>
  <c r="K1622" i="3" s="1"/>
  <c r="K1623" i="3" s="1"/>
  <c r="K1624" i="3" s="1"/>
  <c r="K1625" i="3" s="1"/>
  <c r="K1626" i="3" s="1"/>
  <c r="K1627" i="3" s="1"/>
  <c r="K1628" i="3" s="1"/>
  <c r="K1629" i="3" s="1"/>
  <c r="K1630" i="3" s="1"/>
  <c r="K1631" i="3" s="1"/>
  <c r="K1632" i="3" s="1"/>
  <c r="K1633" i="3" s="1"/>
  <c r="K1634" i="3" s="1"/>
  <c r="K1635" i="3" s="1"/>
  <c r="K1636" i="3" s="1"/>
  <c r="K1637" i="3" s="1"/>
  <c r="K1638" i="3" s="1"/>
  <c r="K1639" i="3" s="1"/>
  <c r="K1640" i="3" s="1"/>
  <c r="K1641" i="3" s="1"/>
  <c r="K1642" i="3" s="1"/>
  <c r="K1643" i="3" s="1"/>
  <c r="K1644" i="3" s="1"/>
  <c r="K1645" i="3" s="1"/>
  <c r="K1646" i="3" s="1"/>
  <c r="K1647"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J1521" i="3" s="1"/>
  <c r="J1522" i="3" s="1"/>
  <c r="J1523" i="3" s="1"/>
  <c r="J1524" i="3" s="1"/>
  <c r="J1525" i="3" s="1"/>
  <c r="J1526" i="3" s="1"/>
  <c r="J1527" i="3" s="1"/>
  <c r="J1528" i="3" s="1"/>
  <c r="J1529" i="3" s="1"/>
  <c r="J1530" i="3" s="1"/>
  <c r="J1531" i="3" s="1"/>
  <c r="J1532" i="3" s="1"/>
  <c r="J1533" i="3" s="1"/>
  <c r="J1534" i="3" s="1"/>
  <c r="J1535" i="3" s="1"/>
  <c r="J1536" i="3" s="1"/>
  <c r="J1537" i="3" s="1"/>
  <c r="J1538" i="3" s="1"/>
  <c r="J1539" i="3" s="1"/>
  <c r="J1540" i="3" s="1"/>
  <c r="J1541" i="3" s="1"/>
  <c r="J1542" i="3" s="1"/>
  <c r="J1543" i="3" s="1"/>
  <c r="J1544" i="3" s="1"/>
  <c r="J1545" i="3" s="1"/>
  <c r="J1546" i="3" s="1"/>
  <c r="J1547" i="3" s="1"/>
  <c r="J1548" i="3" s="1"/>
  <c r="J1549" i="3" s="1"/>
  <c r="J1550" i="3" s="1"/>
  <c r="J1551" i="3" s="1"/>
  <c r="J1552" i="3" s="1"/>
  <c r="J1553" i="3" s="1"/>
  <c r="J1554" i="3" s="1"/>
  <c r="J1555" i="3" s="1"/>
  <c r="J1556" i="3" s="1"/>
  <c r="J1557" i="3" s="1"/>
  <c r="J1558" i="3" s="1"/>
  <c r="J1559" i="3" s="1"/>
  <c r="J1560" i="3" s="1"/>
  <c r="J1561" i="3" s="1"/>
  <c r="J1562" i="3" s="1"/>
  <c r="J1563" i="3" s="1"/>
  <c r="J1564" i="3" s="1"/>
  <c r="J1565" i="3" s="1"/>
  <c r="J1566" i="3" s="1"/>
  <c r="J1567" i="3" s="1"/>
  <c r="J1568" i="3" s="1"/>
  <c r="J1569" i="3" s="1"/>
  <c r="J1570" i="3" s="1"/>
  <c r="J1571" i="3" s="1"/>
  <c r="J1572" i="3" s="1"/>
  <c r="J1573" i="3" s="1"/>
  <c r="J1574" i="3" s="1"/>
  <c r="J1575" i="3" s="1"/>
  <c r="J1576" i="3" s="1"/>
  <c r="J1577" i="3" s="1"/>
  <c r="J1578" i="3" s="1"/>
  <c r="J1579" i="3" s="1"/>
  <c r="J1580" i="3" s="1"/>
  <c r="J1581" i="3" s="1"/>
  <c r="J1582" i="3" s="1"/>
  <c r="J1583" i="3" s="1"/>
  <c r="J1584" i="3" s="1"/>
  <c r="J1585" i="3" s="1"/>
  <c r="J1586" i="3" s="1"/>
  <c r="J1587" i="3" s="1"/>
  <c r="J1588" i="3" s="1"/>
  <c r="J1589" i="3" s="1"/>
  <c r="J1590" i="3" s="1"/>
  <c r="J1591" i="3" s="1"/>
  <c r="J1592" i="3" s="1"/>
  <c r="J1593" i="3" s="1"/>
  <c r="J1594" i="3" s="1"/>
  <c r="J1595" i="3" s="1"/>
  <c r="J1596" i="3" s="1"/>
  <c r="J1597" i="3" s="1"/>
  <c r="J1598" i="3" s="1"/>
  <c r="J1599" i="3" s="1"/>
  <c r="J1600" i="3" s="1"/>
  <c r="J1601" i="3" s="1"/>
  <c r="J1602" i="3" s="1"/>
  <c r="J1603" i="3" s="1"/>
  <c r="J1604" i="3" s="1"/>
  <c r="J1605" i="3" s="1"/>
  <c r="J1606" i="3" s="1"/>
  <c r="J1607" i="3" s="1"/>
  <c r="J1608" i="3" s="1"/>
  <c r="J1609" i="3" s="1"/>
  <c r="J1610" i="3" s="1"/>
  <c r="J1611" i="3" s="1"/>
  <c r="J1612" i="3" s="1"/>
  <c r="J1613" i="3" s="1"/>
  <c r="J1614" i="3" s="1"/>
  <c r="J1615" i="3" s="1"/>
  <c r="J1616" i="3" s="1"/>
  <c r="J1617" i="3" s="1"/>
  <c r="J1618" i="3" s="1"/>
  <c r="J1619" i="3" s="1"/>
  <c r="J1620" i="3" s="1"/>
  <c r="J1621" i="3" s="1"/>
  <c r="J1622" i="3" s="1"/>
  <c r="J1623" i="3" s="1"/>
  <c r="J1624" i="3" s="1"/>
  <c r="J1625" i="3" s="1"/>
  <c r="J1626" i="3" s="1"/>
  <c r="J1627" i="3" s="1"/>
  <c r="J1628" i="3" s="1"/>
  <c r="J1629" i="3" s="1"/>
  <c r="J1630" i="3" s="1"/>
  <c r="J1631" i="3" s="1"/>
  <c r="J1632" i="3" s="1"/>
  <c r="J1633" i="3" s="1"/>
  <c r="J1634" i="3" s="1"/>
  <c r="J1635" i="3" s="1"/>
  <c r="J1636" i="3" s="1"/>
  <c r="J1637" i="3" s="1"/>
  <c r="J1638" i="3" s="1"/>
  <c r="J1639" i="3" s="1"/>
  <c r="J1640" i="3" s="1"/>
  <c r="J1641" i="3" s="1"/>
  <c r="J1642" i="3" s="1"/>
  <c r="J1643" i="3" s="1"/>
  <c r="J1644" i="3" s="1"/>
  <c r="J1645" i="3" s="1"/>
  <c r="J1646" i="3" s="1"/>
  <c r="J1647"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I1521" i="3" s="1"/>
  <c r="I1522" i="3" s="1"/>
  <c r="I1523" i="3" s="1"/>
  <c r="I1524" i="3" s="1"/>
  <c r="I1525" i="3" s="1"/>
  <c r="I1526" i="3" s="1"/>
  <c r="I1527" i="3" s="1"/>
  <c r="I1528" i="3" s="1"/>
  <c r="I1529" i="3" s="1"/>
  <c r="I1530" i="3" s="1"/>
  <c r="I1531" i="3" s="1"/>
  <c r="I1532" i="3" s="1"/>
  <c r="I1533" i="3" s="1"/>
  <c r="I1534" i="3" s="1"/>
  <c r="I1535" i="3" s="1"/>
  <c r="I1536" i="3" s="1"/>
  <c r="I1537" i="3" s="1"/>
  <c r="I1538" i="3" s="1"/>
  <c r="I1539" i="3" s="1"/>
  <c r="I1540" i="3" s="1"/>
  <c r="I1541" i="3" s="1"/>
  <c r="I1542" i="3" s="1"/>
  <c r="I1543" i="3" s="1"/>
  <c r="I1544" i="3" s="1"/>
  <c r="I1545" i="3" s="1"/>
  <c r="I1546" i="3" s="1"/>
  <c r="I1547" i="3" s="1"/>
  <c r="I1548" i="3" s="1"/>
  <c r="I1549" i="3" s="1"/>
  <c r="I1550" i="3" s="1"/>
  <c r="I1551" i="3" s="1"/>
  <c r="I1552" i="3" s="1"/>
  <c r="I1553" i="3" s="1"/>
  <c r="I1554" i="3" s="1"/>
  <c r="I1555" i="3" s="1"/>
  <c r="I1556" i="3" s="1"/>
  <c r="I1557" i="3" s="1"/>
  <c r="I1558" i="3" s="1"/>
  <c r="I1559" i="3" s="1"/>
  <c r="I1560" i="3" s="1"/>
  <c r="I1561" i="3" s="1"/>
  <c r="I1562" i="3" s="1"/>
  <c r="I1563" i="3" s="1"/>
  <c r="I1564" i="3" s="1"/>
  <c r="I1565" i="3" s="1"/>
  <c r="I1566" i="3" s="1"/>
  <c r="I1567" i="3" s="1"/>
  <c r="I1568" i="3" s="1"/>
  <c r="I1569" i="3" s="1"/>
  <c r="I1570" i="3" s="1"/>
  <c r="I1571" i="3" s="1"/>
  <c r="I1572" i="3" s="1"/>
  <c r="I1573" i="3" s="1"/>
  <c r="I1574" i="3" s="1"/>
  <c r="I1575" i="3" s="1"/>
  <c r="I1576" i="3" s="1"/>
  <c r="I1577" i="3" s="1"/>
  <c r="I1578" i="3" s="1"/>
  <c r="I1579" i="3" s="1"/>
  <c r="I1580" i="3" s="1"/>
  <c r="I1581" i="3" s="1"/>
  <c r="I1582" i="3" s="1"/>
  <c r="I1583" i="3" s="1"/>
  <c r="I1584" i="3" s="1"/>
  <c r="I1585" i="3" s="1"/>
  <c r="I1586" i="3" s="1"/>
  <c r="I1587" i="3" s="1"/>
  <c r="I1588" i="3" s="1"/>
  <c r="I1589" i="3" s="1"/>
  <c r="I1590" i="3" s="1"/>
  <c r="I1591" i="3" s="1"/>
  <c r="I1592" i="3" s="1"/>
  <c r="I1593" i="3" s="1"/>
  <c r="I1594" i="3" s="1"/>
  <c r="I1595" i="3" s="1"/>
  <c r="I1596" i="3" s="1"/>
  <c r="I1597" i="3" s="1"/>
  <c r="I1598" i="3" s="1"/>
  <c r="I1599" i="3" s="1"/>
  <c r="I1600" i="3" s="1"/>
  <c r="I1601" i="3" s="1"/>
  <c r="I1602" i="3" s="1"/>
  <c r="I1603" i="3" s="1"/>
  <c r="I1604" i="3" s="1"/>
  <c r="I1605" i="3" s="1"/>
  <c r="I1606" i="3" s="1"/>
  <c r="I1607" i="3" s="1"/>
  <c r="I1608" i="3" s="1"/>
  <c r="I1609" i="3" s="1"/>
  <c r="I1610" i="3" s="1"/>
  <c r="I1611" i="3" s="1"/>
  <c r="I1612" i="3" s="1"/>
  <c r="I1613" i="3" s="1"/>
  <c r="I1614" i="3" s="1"/>
  <c r="I1615" i="3" s="1"/>
  <c r="I1616" i="3" s="1"/>
  <c r="I1617" i="3" s="1"/>
  <c r="I1618" i="3" s="1"/>
  <c r="I1619" i="3" s="1"/>
  <c r="I1620" i="3" s="1"/>
  <c r="I1621" i="3" s="1"/>
  <c r="I1622" i="3" s="1"/>
  <c r="I1623" i="3" s="1"/>
  <c r="I1624" i="3" s="1"/>
  <c r="I1625" i="3" s="1"/>
  <c r="I1626" i="3" s="1"/>
  <c r="I1627" i="3" s="1"/>
  <c r="I1628" i="3" s="1"/>
  <c r="I1629" i="3" s="1"/>
  <c r="I1630" i="3" s="1"/>
  <c r="I1631" i="3" s="1"/>
  <c r="I1632" i="3" s="1"/>
  <c r="I1633" i="3" s="1"/>
  <c r="I1634" i="3" s="1"/>
  <c r="I1635" i="3" s="1"/>
  <c r="I1636" i="3" s="1"/>
  <c r="I1637" i="3" s="1"/>
  <c r="I1638" i="3" s="1"/>
  <c r="I1639" i="3" s="1"/>
  <c r="I1640" i="3" s="1"/>
  <c r="I1641" i="3" s="1"/>
  <c r="I1642" i="3" s="1"/>
  <c r="I1643" i="3" s="1"/>
  <c r="I1644" i="3" s="1"/>
  <c r="I1645" i="3" s="1"/>
  <c r="I1646" i="3" s="1"/>
  <c r="I1647"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612" i="3" s="1"/>
  <c r="A1613" i="3" s="1"/>
  <c r="A1614" i="3" s="1"/>
  <c r="A1615" i="3" s="1"/>
  <c r="A1616" i="3" s="1"/>
  <c r="A1617" i="3" s="1"/>
  <c r="A1618" i="3" s="1"/>
  <c r="A1619" i="3" s="1"/>
  <c r="A1620" i="3" s="1"/>
  <c r="A1621" i="3" s="1"/>
  <c r="A1622" i="3" s="1"/>
  <c r="A1623" i="3" s="1"/>
  <c r="A1624" i="3" s="1"/>
  <c r="A1625" i="3" s="1"/>
  <c r="A1626" i="3" s="1"/>
  <c r="A1627" i="3" s="1"/>
  <c r="A1628" i="3" s="1"/>
  <c r="A1629" i="3" s="1"/>
  <c r="A1630" i="3" s="1"/>
  <c r="A1631" i="3" s="1"/>
  <c r="A1632" i="3" s="1"/>
  <c r="A1633" i="3" s="1"/>
  <c r="A1634" i="3" s="1"/>
  <c r="A1635" i="3" s="1"/>
  <c r="A1636" i="3" s="1"/>
  <c r="A1637" i="3" s="1"/>
  <c r="A1638" i="3" s="1"/>
  <c r="A1639" i="3" s="1"/>
  <c r="A1640" i="3" s="1"/>
  <c r="A1641" i="3" s="1"/>
  <c r="A1642" i="3" s="1"/>
  <c r="A1643" i="3" s="1"/>
  <c r="A1644" i="3" s="1"/>
  <c r="A1645" i="3" s="1"/>
  <c r="A1646" i="3" s="1"/>
  <c r="A1647" i="3" s="1"/>
  <c r="AB3" i="3"/>
  <c r="P3" i="3"/>
  <c r="H3" i="3"/>
  <c r="Q1431" i="3" l="1"/>
  <c r="Q536" i="3"/>
  <c r="T561" i="3"/>
  <c r="Q1015" i="3"/>
  <c r="Q1267" i="3"/>
  <c r="AD560" i="3"/>
  <c r="T1247" i="3"/>
  <c r="T576" i="3"/>
  <c r="Q403" i="3"/>
  <c r="Q754" i="3"/>
  <c r="T986" i="3"/>
  <c r="Q1370" i="3"/>
  <c r="T25" i="3"/>
  <c r="T1157" i="3"/>
  <c r="Q1173" i="3"/>
  <c r="AD40" i="3"/>
  <c r="T422" i="3"/>
  <c r="AD545" i="3"/>
  <c r="T973" i="3"/>
  <c r="Q297" i="3"/>
  <c r="Q428" i="3"/>
  <c r="T435" i="3"/>
  <c r="AD526" i="3"/>
  <c r="T583" i="3"/>
  <c r="Q584" i="3"/>
  <c r="Q778" i="3"/>
  <c r="Q880" i="3"/>
  <c r="AD887" i="3"/>
  <c r="Q946" i="3"/>
  <c r="AD949" i="3"/>
  <c r="Q1116" i="3"/>
  <c r="T1168" i="3"/>
  <c r="Q1244" i="3"/>
  <c r="T1333"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T1416" i="3"/>
  <c r="T1410" i="3"/>
  <c r="T1411" i="3"/>
  <c r="T1412" i="3"/>
  <c r="T1413" i="3"/>
  <c r="T1414"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H5" i="3"/>
  <c r="R5" i="3" s="1"/>
  <c r="W5" i="3" s="1"/>
  <c r="R4" i="3"/>
  <c r="W4" i="3" s="1"/>
  <c r="E7" i="3"/>
  <c r="D6" i="3"/>
  <c r="C6" i="3" l="1"/>
  <c r="S6" i="3"/>
  <c r="AC6" i="3" s="1"/>
  <c r="B5" i="3"/>
  <c r="H6" i="3"/>
  <c r="D7" i="3"/>
  <c r="C7" i="3" s="1"/>
  <c r="E8" i="3"/>
  <c r="B6" i="3" l="1"/>
  <c r="B7" i="3" s="1"/>
  <c r="D8" i="3"/>
  <c r="S8" i="3" s="1"/>
  <c r="AC8" i="3" s="1"/>
  <c r="E9" i="3"/>
  <c r="S7" i="3"/>
  <c r="AC7" i="3" s="1"/>
  <c r="H7" i="3"/>
  <c r="R6" i="3"/>
  <c r="W6" i="3" s="1"/>
  <c r="D9" i="3" l="1"/>
  <c r="D10" i="3" s="1"/>
  <c r="C8" i="3"/>
  <c r="R7" i="3"/>
  <c r="W7" i="3" s="1"/>
  <c r="H8" i="3"/>
  <c r="E10" i="3"/>
  <c r="C9" i="3" l="1"/>
  <c r="C10" i="3" s="1"/>
  <c r="S9" i="3"/>
  <c r="AC9" i="3" s="1"/>
  <c r="R8" i="3"/>
  <c r="W8" i="3" s="1"/>
  <c r="B8" i="3"/>
  <c r="S10" i="3"/>
  <c r="AC10" i="3" s="1"/>
  <c r="D11" i="3"/>
  <c r="E11" i="3"/>
  <c r="C11" i="3" l="1"/>
  <c r="E12" i="3"/>
  <c r="D12" i="3"/>
  <c r="B9" i="3"/>
  <c r="H9" i="3" s="1"/>
  <c r="S11" i="3"/>
  <c r="AC11" i="3" s="1"/>
  <c r="R9" i="3" l="1"/>
  <c r="W9" i="3" s="1"/>
  <c r="C12" i="3"/>
  <c r="S12" i="3"/>
  <c r="AC12" i="3" s="1"/>
  <c r="E13" i="3"/>
  <c r="D13" i="3"/>
  <c r="B10" i="3"/>
  <c r="B11" i="3" s="1"/>
  <c r="H10" i="3" l="1"/>
  <c r="S13" i="3"/>
  <c r="AC13" i="3" s="1"/>
  <c r="E14" i="3"/>
  <c r="D14" i="3"/>
  <c r="B12" i="3"/>
  <c r="H11" i="3" l="1"/>
  <c r="R10" i="3"/>
  <c r="W10" i="3" s="1"/>
  <c r="C13" i="3"/>
  <c r="B13" i="3" s="1"/>
  <c r="S14" i="3"/>
  <c r="AC14" i="3" s="1"/>
  <c r="D15" i="3"/>
  <c r="E15" i="3"/>
  <c r="H12" i="3" l="1"/>
  <c r="R12" i="3" s="1"/>
  <c r="W12" i="3" s="1"/>
  <c r="R11" i="3"/>
  <c r="W11" i="3" s="1"/>
  <c r="C14" i="3"/>
  <c r="B14" i="3" s="1"/>
  <c r="S15" i="3"/>
  <c r="AC15" i="3" s="1"/>
  <c r="E16" i="3"/>
  <c r="D16" i="3"/>
  <c r="H13" i="3" l="1"/>
  <c r="R13" i="3" s="1"/>
  <c r="W13" i="3" s="1"/>
  <c r="C15" i="3"/>
  <c r="C16" i="3" s="1"/>
  <c r="D17" i="3"/>
  <c r="E17" i="3"/>
  <c r="S16" i="3"/>
  <c r="AC16" i="3" s="1"/>
  <c r="B15" i="3" l="1"/>
  <c r="B16" i="3" s="1"/>
  <c r="H14" i="3"/>
  <c r="C17" i="3"/>
  <c r="D18" i="3"/>
  <c r="E18" i="3"/>
  <c r="S17" i="3"/>
  <c r="AC17" i="3" s="1"/>
  <c r="H15" i="3" l="1"/>
  <c r="R14" i="3"/>
  <c r="W14" i="3" s="1"/>
  <c r="C18" i="3"/>
  <c r="D19" i="3"/>
  <c r="E19" i="3"/>
  <c r="S18" i="3"/>
  <c r="AC18" i="3" s="1"/>
  <c r="B17" i="3"/>
  <c r="B18" i="3" l="1"/>
  <c r="R15" i="3"/>
  <c r="W15" i="3" s="1"/>
  <c r="H16" i="3"/>
  <c r="C19" i="3"/>
  <c r="D20" i="3"/>
  <c r="E20" i="3"/>
  <c r="S19" i="3"/>
  <c r="AC19" i="3" s="1"/>
  <c r="R16" i="3" l="1"/>
  <c r="W16" i="3" s="1"/>
  <c r="H17" i="3"/>
  <c r="C20" i="3"/>
  <c r="E21" i="3"/>
  <c r="D21" i="3"/>
  <c r="S20" i="3"/>
  <c r="AC20" i="3" s="1"/>
  <c r="B19" i="3"/>
  <c r="H18" i="3" l="1"/>
  <c r="R17" i="3"/>
  <c r="W17" i="3" s="1"/>
  <c r="C21" i="3"/>
  <c r="S21" i="3"/>
  <c r="AC21" i="3" s="1"/>
  <c r="D22" i="3"/>
  <c r="E22" i="3"/>
  <c r="B20" i="3"/>
  <c r="H19" i="3" l="1"/>
  <c r="R18" i="3"/>
  <c r="W18" i="3" s="1"/>
  <c r="B21" i="3"/>
  <c r="C22" i="3"/>
  <c r="S22" i="3"/>
  <c r="AC22" i="3" s="1"/>
  <c r="D23" i="3"/>
  <c r="E23" i="3"/>
  <c r="H20" i="3" l="1"/>
  <c r="R19" i="3"/>
  <c r="W19" i="3" s="1"/>
  <c r="B22" i="3"/>
  <c r="C23" i="3"/>
  <c r="D24" i="3"/>
  <c r="E24" i="3"/>
  <c r="S23" i="3"/>
  <c r="AC23" i="3" s="1"/>
  <c r="B23" i="3" l="1"/>
  <c r="H21" i="3"/>
  <c r="R20" i="3"/>
  <c r="W20" i="3" s="1"/>
  <c r="C24" i="3"/>
  <c r="D25" i="3"/>
  <c r="E25" i="3"/>
  <c r="S24" i="3"/>
  <c r="AC24" i="3" s="1"/>
  <c r="C25" i="3" l="1"/>
  <c r="R21" i="3"/>
  <c r="W21" i="3" s="1"/>
  <c r="H22" i="3"/>
  <c r="D26" i="3"/>
  <c r="E26" i="3"/>
  <c r="S25" i="3"/>
  <c r="AC25" i="3" s="1"/>
  <c r="B24" i="3"/>
  <c r="H23" i="3" l="1"/>
  <c r="R22" i="3"/>
  <c r="W22" i="3" s="1"/>
  <c r="C26" i="3"/>
  <c r="D27" i="3"/>
  <c r="E27" i="3"/>
  <c r="S26" i="3"/>
  <c r="AC26" i="3" s="1"/>
  <c r="B25" i="3"/>
  <c r="H24" i="3" l="1"/>
  <c r="R23" i="3"/>
  <c r="W23" i="3" s="1"/>
  <c r="C27" i="3"/>
  <c r="S27" i="3"/>
  <c r="AC27" i="3" s="1"/>
  <c r="D28" i="3"/>
  <c r="E28" i="3"/>
  <c r="B26" i="3"/>
  <c r="H25" i="3" l="1"/>
  <c r="R24" i="3"/>
  <c r="W24" i="3" s="1"/>
  <c r="C28" i="3"/>
  <c r="S28" i="3"/>
  <c r="AC28" i="3" s="1"/>
  <c r="D29" i="3"/>
  <c r="E29" i="3"/>
  <c r="B27" i="3"/>
  <c r="B28" i="3" s="1"/>
  <c r="R25" i="3" l="1"/>
  <c r="W25" i="3" s="1"/>
  <c r="H26" i="3"/>
  <c r="C29" i="3"/>
  <c r="D30" i="3"/>
  <c r="E30" i="3"/>
  <c r="S29" i="3"/>
  <c r="AC29" i="3" s="1"/>
  <c r="R26" i="3" l="1"/>
  <c r="W26" i="3" s="1"/>
  <c r="H27" i="3"/>
  <c r="C30" i="3"/>
  <c r="E31" i="3"/>
  <c r="D31" i="3"/>
  <c r="B29" i="3"/>
  <c r="S30" i="3"/>
  <c r="AC30" i="3" s="1"/>
  <c r="H28" i="3" l="1"/>
  <c r="R27" i="3"/>
  <c r="W27" i="3" s="1"/>
  <c r="C31" i="3"/>
  <c r="S31" i="3"/>
  <c r="AC31" i="3" s="1"/>
  <c r="E32" i="3"/>
  <c r="D32" i="3"/>
  <c r="B30" i="3"/>
  <c r="R28" i="3" l="1"/>
  <c r="W28" i="3" s="1"/>
  <c r="H29" i="3"/>
  <c r="C32" i="3"/>
  <c r="S32" i="3"/>
  <c r="AC32" i="3" s="1"/>
  <c r="E33" i="3"/>
  <c r="D33" i="3"/>
  <c r="B31" i="3"/>
  <c r="H30" i="3" l="1"/>
  <c r="R29" i="3"/>
  <c r="W29" i="3" s="1"/>
  <c r="C33" i="3"/>
  <c r="S33" i="3"/>
  <c r="AC33" i="3" s="1"/>
  <c r="D34" i="3"/>
  <c r="E34" i="3"/>
  <c r="B32" i="3"/>
  <c r="B33" i="3" l="1"/>
  <c r="R30" i="3"/>
  <c r="W30" i="3" s="1"/>
  <c r="H31" i="3"/>
  <c r="C34" i="3"/>
  <c r="D35" i="3"/>
  <c r="E35" i="3"/>
  <c r="S34" i="3"/>
  <c r="AC34" i="3" s="1"/>
  <c r="B34" i="3" l="1"/>
  <c r="R31" i="3"/>
  <c r="W31" i="3" s="1"/>
  <c r="H32" i="3"/>
  <c r="C35" i="3"/>
  <c r="D36" i="3"/>
  <c r="E36" i="3"/>
  <c r="S35" i="3"/>
  <c r="AC35" i="3" s="1"/>
  <c r="R32" i="3" l="1"/>
  <c r="W32" i="3" s="1"/>
  <c r="H33" i="3"/>
  <c r="C36" i="3"/>
  <c r="E37" i="3"/>
  <c r="D37" i="3"/>
  <c r="S36" i="3"/>
  <c r="AC36" i="3" s="1"/>
  <c r="B35" i="3"/>
  <c r="H34" i="3" l="1"/>
  <c r="R33" i="3"/>
  <c r="W33" i="3" s="1"/>
  <c r="C37" i="3"/>
  <c r="B36" i="3"/>
  <c r="S37" i="3"/>
  <c r="AC37" i="3" s="1"/>
  <c r="E38" i="3"/>
  <c r="D38" i="3"/>
  <c r="R34" i="3" l="1"/>
  <c r="W34" i="3" s="1"/>
  <c r="H35" i="3"/>
  <c r="C38" i="3"/>
  <c r="S38" i="3"/>
  <c r="AC38" i="3" s="1"/>
  <c r="E39" i="3"/>
  <c r="D39" i="3"/>
  <c r="C39" i="3" s="1"/>
  <c r="B37" i="3"/>
  <c r="H36" i="3" l="1"/>
  <c r="R35" i="3"/>
  <c r="W35" i="3" s="1"/>
  <c r="D40" i="3"/>
  <c r="E40" i="3"/>
  <c r="S39" i="3"/>
  <c r="AC39" i="3" s="1"/>
  <c r="B38" i="3"/>
  <c r="B39" i="3" s="1"/>
  <c r="R36" i="3" l="1"/>
  <c r="W36" i="3" s="1"/>
  <c r="H37" i="3"/>
  <c r="C40" i="3"/>
  <c r="D41" i="3"/>
  <c r="E41" i="3"/>
  <c r="S40" i="3"/>
  <c r="AC40" i="3" s="1"/>
  <c r="R37" i="3" l="1"/>
  <c r="W37" i="3" s="1"/>
  <c r="H38" i="3"/>
  <c r="C41" i="3"/>
  <c r="D42" i="3"/>
  <c r="E42" i="3"/>
  <c r="S41" i="3"/>
  <c r="AC41" i="3" s="1"/>
  <c r="B40" i="3"/>
  <c r="R38" i="3" l="1"/>
  <c r="W38" i="3" s="1"/>
  <c r="H39" i="3"/>
  <c r="C42" i="3"/>
  <c r="D43" i="3"/>
  <c r="E43" i="3"/>
  <c r="S42" i="3"/>
  <c r="AC42" i="3" s="1"/>
  <c r="B41" i="3"/>
  <c r="H40" i="3" l="1"/>
  <c r="R39" i="3"/>
  <c r="W39" i="3" s="1"/>
  <c r="C43" i="3"/>
  <c r="B42" i="3"/>
  <c r="D44" i="3"/>
  <c r="E44" i="3"/>
  <c r="S43" i="3"/>
  <c r="AC43" i="3" s="1"/>
  <c r="R40" i="3" l="1"/>
  <c r="W40" i="3" s="1"/>
  <c r="H41" i="3"/>
  <c r="C44" i="3"/>
  <c r="D45" i="3"/>
  <c r="E45" i="3"/>
  <c r="S44" i="3"/>
  <c r="AC44" i="3" s="1"/>
  <c r="B43" i="3"/>
  <c r="B44" i="3" s="1"/>
  <c r="H42" i="3" l="1"/>
  <c r="R41" i="3"/>
  <c r="W41" i="3" s="1"/>
  <c r="C45" i="3"/>
  <c r="D46" i="3"/>
  <c r="E46" i="3"/>
  <c r="S45" i="3"/>
  <c r="AC45" i="3" s="1"/>
  <c r="R42" i="3" l="1"/>
  <c r="W42" i="3" s="1"/>
  <c r="H43" i="3"/>
  <c r="C46" i="3"/>
  <c r="S46" i="3"/>
  <c r="AC46" i="3" s="1"/>
  <c r="D47" i="3"/>
  <c r="E47" i="3"/>
  <c r="B45" i="3"/>
  <c r="B46" i="3" s="1"/>
  <c r="H44" i="3" l="1"/>
  <c r="R43" i="3"/>
  <c r="W43" i="3" s="1"/>
  <c r="C47" i="3"/>
  <c r="B47" i="3" s="1"/>
  <c r="S47" i="3"/>
  <c r="AC47" i="3" s="1"/>
  <c r="D48" i="3"/>
  <c r="E48" i="3"/>
  <c r="R44" i="3" l="1"/>
  <c r="W44" i="3" s="1"/>
  <c r="H45" i="3"/>
  <c r="C48" i="3"/>
  <c r="D49" i="3"/>
  <c r="E49" i="3"/>
  <c r="S48" i="3"/>
  <c r="AC48" i="3" s="1"/>
  <c r="R45" i="3" l="1"/>
  <c r="W45" i="3" s="1"/>
  <c r="H46" i="3"/>
  <c r="C49" i="3"/>
  <c r="D50" i="3"/>
  <c r="E50" i="3"/>
  <c r="B48" i="3"/>
  <c r="S49" i="3"/>
  <c r="AC49" i="3" s="1"/>
  <c r="H47" i="3" l="1"/>
  <c r="R46" i="3"/>
  <c r="W46" i="3" s="1"/>
  <c r="C50" i="3"/>
  <c r="D51" i="3"/>
  <c r="E51" i="3"/>
  <c r="S50" i="3"/>
  <c r="AC50" i="3" s="1"/>
  <c r="B49" i="3"/>
  <c r="H48" i="3" l="1"/>
  <c r="R47" i="3"/>
  <c r="W47" i="3" s="1"/>
  <c r="C51" i="3"/>
  <c r="E52" i="3"/>
  <c r="D52" i="3"/>
  <c r="S51" i="3"/>
  <c r="AC51" i="3" s="1"/>
  <c r="B50" i="3"/>
  <c r="H49" i="3" l="1"/>
  <c r="R48" i="3"/>
  <c r="W48" i="3" s="1"/>
  <c r="C52" i="3"/>
  <c r="S52" i="3"/>
  <c r="AC52" i="3" s="1"/>
  <c r="D53" i="3"/>
  <c r="E53" i="3"/>
  <c r="B51" i="3"/>
  <c r="B52" i="3" s="1"/>
  <c r="H50" i="3" l="1"/>
  <c r="R49" i="3"/>
  <c r="W49" i="3" s="1"/>
  <c r="C53" i="3"/>
  <c r="B53" i="3" s="1"/>
  <c r="D54" i="3"/>
  <c r="E54" i="3"/>
  <c r="S53" i="3"/>
  <c r="AC53" i="3" s="1"/>
  <c r="H51" i="3" l="1"/>
  <c r="R50" i="3"/>
  <c r="W50" i="3" s="1"/>
  <c r="C54" i="3"/>
  <c r="D55" i="3"/>
  <c r="E55" i="3"/>
  <c r="S54" i="3"/>
  <c r="AC54" i="3" s="1"/>
  <c r="R51" i="3" l="1"/>
  <c r="W51" i="3" s="1"/>
  <c r="H52" i="3"/>
  <c r="C55" i="3"/>
  <c r="D56" i="3"/>
  <c r="E56" i="3"/>
  <c r="S55" i="3"/>
  <c r="AC55" i="3" s="1"/>
  <c r="B54" i="3"/>
  <c r="B55" i="3" s="1"/>
  <c r="H53" i="3" l="1"/>
  <c r="R52" i="3"/>
  <c r="W52" i="3" s="1"/>
  <c r="C56" i="3"/>
  <c r="D57" i="3"/>
  <c r="E57" i="3"/>
  <c r="S56" i="3"/>
  <c r="AC56" i="3" s="1"/>
  <c r="R53" i="3" l="1"/>
  <c r="W53" i="3" s="1"/>
  <c r="H54" i="3"/>
  <c r="C57" i="3"/>
  <c r="D58" i="3"/>
  <c r="E58" i="3"/>
  <c r="B56" i="3"/>
  <c r="S57" i="3"/>
  <c r="AC57" i="3" s="1"/>
  <c r="H55" i="3" l="1"/>
  <c r="R54" i="3"/>
  <c r="W54" i="3" s="1"/>
  <c r="C58" i="3"/>
  <c r="D59" i="3"/>
  <c r="E59" i="3"/>
  <c r="S58" i="3"/>
  <c r="AC58" i="3" s="1"/>
  <c r="B57" i="3"/>
  <c r="H56" i="3" l="1"/>
  <c r="R55" i="3"/>
  <c r="W55" i="3" s="1"/>
  <c r="C59" i="3"/>
  <c r="D60" i="3"/>
  <c r="E60" i="3"/>
  <c r="S59" i="3"/>
  <c r="AC59" i="3" s="1"/>
  <c r="B58" i="3"/>
  <c r="H57" i="3" l="1"/>
  <c r="R56" i="3"/>
  <c r="W56" i="3" s="1"/>
  <c r="C60" i="3"/>
  <c r="E61" i="3"/>
  <c r="D61" i="3"/>
  <c r="S60" i="3"/>
  <c r="AC60" i="3" s="1"/>
  <c r="B59" i="3"/>
  <c r="H58" i="3" l="1"/>
  <c r="R57" i="3"/>
  <c r="W57" i="3" s="1"/>
  <c r="C61" i="3"/>
  <c r="S61" i="3"/>
  <c r="AC61" i="3" s="1"/>
  <c r="E62" i="3"/>
  <c r="D62" i="3"/>
  <c r="B60" i="3"/>
  <c r="B61" i="3" l="1"/>
  <c r="C62" i="3"/>
  <c r="H59" i="3"/>
  <c r="R58" i="3"/>
  <c r="W58" i="3" s="1"/>
  <c r="E63" i="3"/>
  <c r="D63" i="3"/>
  <c r="C63" i="3" s="1"/>
  <c r="S62" i="3"/>
  <c r="AC62" i="3" s="1"/>
  <c r="B62" i="3"/>
  <c r="H60" i="3" l="1"/>
  <c r="R59" i="3"/>
  <c r="W59" i="3" s="1"/>
  <c r="S63" i="3"/>
  <c r="AC63" i="3" s="1"/>
  <c r="D64" i="3"/>
  <c r="E64" i="3"/>
  <c r="H61" i="3" l="1"/>
  <c r="R60" i="3"/>
  <c r="W60" i="3" s="1"/>
  <c r="C64" i="3"/>
  <c r="D65" i="3"/>
  <c r="E65" i="3"/>
  <c r="S64" i="3"/>
  <c r="AC64" i="3" s="1"/>
  <c r="B63" i="3"/>
  <c r="R61" i="3" l="1"/>
  <c r="W61" i="3" s="1"/>
  <c r="H62" i="3"/>
  <c r="R62" i="3" s="1"/>
  <c r="W62" i="3" s="1"/>
  <c r="C65" i="3"/>
  <c r="D66" i="3"/>
  <c r="E66" i="3"/>
  <c r="S65" i="3"/>
  <c r="AC65" i="3" s="1"/>
  <c r="B64" i="3"/>
  <c r="H63" i="3" l="1"/>
  <c r="R63" i="3" s="1"/>
  <c r="W63" i="3" s="1"/>
  <c r="C66" i="3"/>
  <c r="B65" i="3"/>
  <c r="E67" i="3"/>
  <c r="D67" i="3"/>
  <c r="S66" i="3"/>
  <c r="AC66" i="3" s="1"/>
  <c r="C67" i="3" l="1"/>
  <c r="H64" i="3"/>
  <c r="S67" i="3"/>
  <c r="AC67" i="3" s="1"/>
  <c r="E68" i="3"/>
  <c r="D68" i="3"/>
  <c r="C68" i="3" s="1"/>
  <c r="B66" i="3"/>
  <c r="R64" i="3" l="1"/>
  <c r="W64" i="3" s="1"/>
  <c r="H65" i="3"/>
  <c r="S68" i="3"/>
  <c r="AC68" i="3" s="1"/>
  <c r="E69" i="3"/>
  <c r="D69" i="3"/>
  <c r="C69" i="3" s="1"/>
  <c r="B67" i="3"/>
  <c r="B68" i="3" s="1"/>
  <c r="H66" i="3" l="1"/>
  <c r="R65" i="3"/>
  <c r="W65" i="3" s="1"/>
  <c r="S69" i="3"/>
  <c r="AC69" i="3" s="1"/>
  <c r="E70" i="3"/>
  <c r="D70" i="3"/>
  <c r="C70" i="3" s="1"/>
  <c r="B69" i="3"/>
  <c r="R66" i="3" l="1"/>
  <c r="W66" i="3" s="1"/>
  <c r="H67" i="3"/>
  <c r="S70" i="3"/>
  <c r="AC70" i="3" s="1"/>
  <c r="E71" i="3"/>
  <c r="D71" i="3"/>
  <c r="B70" i="3"/>
  <c r="R67" i="3" l="1"/>
  <c r="W67" i="3" s="1"/>
  <c r="H68" i="3"/>
  <c r="C71" i="3"/>
  <c r="E72" i="3"/>
  <c r="D72" i="3"/>
  <c r="S71" i="3"/>
  <c r="AC71" i="3" s="1"/>
  <c r="C72" i="3" l="1"/>
  <c r="H69" i="3"/>
  <c r="R68" i="3"/>
  <c r="W68" i="3" s="1"/>
  <c r="B71" i="3"/>
  <c r="S72" i="3"/>
  <c r="AC72" i="3" s="1"/>
  <c r="E73" i="3"/>
  <c r="D73" i="3"/>
  <c r="R69" i="3" l="1"/>
  <c r="W69" i="3" s="1"/>
  <c r="H70" i="3"/>
  <c r="C73" i="3"/>
  <c r="S73" i="3"/>
  <c r="AC73" i="3" s="1"/>
  <c r="E74" i="3"/>
  <c r="D74" i="3"/>
  <c r="B72" i="3"/>
  <c r="R70" i="3" l="1"/>
  <c r="W70" i="3" s="1"/>
  <c r="H71" i="3"/>
  <c r="C74" i="3"/>
  <c r="S74" i="3"/>
  <c r="AC74" i="3" s="1"/>
  <c r="E75" i="3"/>
  <c r="D75" i="3"/>
  <c r="B73" i="3"/>
  <c r="B74" i="3" s="1"/>
  <c r="H72" i="3" l="1"/>
  <c r="R71" i="3"/>
  <c r="W71" i="3" s="1"/>
  <c r="C75" i="3"/>
  <c r="B75" i="3" s="1"/>
  <c r="S75" i="3"/>
  <c r="AC75" i="3" s="1"/>
  <c r="E76" i="3"/>
  <c r="D76" i="3"/>
  <c r="C76" i="3" l="1"/>
  <c r="H73" i="3"/>
  <c r="R72" i="3"/>
  <c r="W72" i="3" s="1"/>
  <c r="S76" i="3"/>
  <c r="AC76" i="3" s="1"/>
  <c r="E77" i="3"/>
  <c r="D77" i="3"/>
  <c r="C77" i="3" s="1"/>
  <c r="B76" i="3"/>
  <c r="R73" i="3" l="1"/>
  <c r="W73" i="3" s="1"/>
  <c r="H74" i="3"/>
  <c r="S77" i="3"/>
  <c r="AC77" i="3" s="1"/>
  <c r="E78" i="3"/>
  <c r="D78" i="3"/>
  <c r="B77" i="3"/>
  <c r="R74" i="3" l="1"/>
  <c r="W74" i="3" s="1"/>
  <c r="H75" i="3"/>
  <c r="C78" i="3"/>
  <c r="S78" i="3"/>
  <c r="AC78" i="3" s="1"/>
  <c r="E79" i="3"/>
  <c r="D79" i="3"/>
  <c r="B78" i="3"/>
  <c r="R75" i="3" l="1"/>
  <c r="W75" i="3" s="1"/>
  <c r="H76" i="3"/>
  <c r="C79" i="3"/>
  <c r="E80" i="3"/>
  <c r="D80" i="3"/>
  <c r="S79" i="3"/>
  <c r="AC79" i="3" s="1"/>
  <c r="R76" i="3" l="1"/>
  <c r="W76" i="3" s="1"/>
  <c r="H77" i="3"/>
  <c r="C80" i="3"/>
  <c r="B79" i="3"/>
  <c r="S80" i="3"/>
  <c r="AC80" i="3" s="1"/>
  <c r="E81" i="3"/>
  <c r="D81" i="3"/>
  <c r="R77" i="3" l="1"/>
  <c r="W77" i="3" s="1"/>
  <c r="H78" i="3"/>
  <c r="C81" i="3"/>
  <c r="E82" i="3"/>
  <c r="D82" i="3"/>
  <c r="S81" i="3"/>
  <c r="AC81" i="3" s="1"/>
  <c r="B80" i="3"/>
  <c r="R78" i="3" l="1"/>
  <c r="W78" i="3" s="1"/>
  <c r="H79" i="3"/>
  <c r="C82" i="3"/>
  <c r="B81" i="3"/>
  <c r="S82" i="3"/>
  <c r="AC82" i="3" s="1"/>
  <c r="E83" i="3"/>
  <c r="D83" i="3"/>
  <c r="R79" i="3" l="1"/>
  <c r="W79" i="3" s="1"/>
  <c r="H80" i="3"/>
  <c r="C83" i="3"/>
  <c r="S83" i="3"/>
  <c r="AC83" i="3" s="1"/>
  <c r="E84" i="3"/>
  <c r="D84" i="3"/>
  <c r="C84" i="3" s="1"/>
  <c r="B82" i="3"/>
  <c r="R80" i="3" l="1"/>
  <c r="W80" i="3" s="1"/>
  <c r="H81" i="3"/>
  <c r="S84" i="3"/>
  <c r="AC84" i="3" s="1"/>
  <c r="E85" i="3"/>
  <c r="D85" i="3"/>
  <c r="B83" i="3"/>
  <c r="B84" i="3" s="1"/>
  <c r="R81" i="3" l="1"/>
  <c r="W81" i="3" s="1"/>
  <c r="H82" i="3"/>
  <c r="C85" i="3"/>
  <c r="S85" i="3"/>
  <c r="AC85" i="3" s="1"/>
  <c r="E86" i="3"/>
  <c r="D86" i="3"/>
  <c r="B85" i="3"/>
  <c r="C86" i="3" l="1"/>
  <c r="H83" i="3"/>
  <c r="R82" i="3"/>
  <c r="W82" i="3" s="1"/>
  <c r="S86" i="3"/>
  <c r="AC86" i="3" s="1"/>
  <c r="E87" i="3"/>
  <c r="D87" i="3"/>
  <c r="B86" i="3"/>
  <c r="R83" i="3" l="1"/>
  <c r="W83" i="3" s="1"/>
  <c r="H84" i="3"/>
  <c r="C87" i="3"/>
  <c r="E88" i="3"/>
  <c r="D88" i="3"/>
  <c r="S87" i="3"/>
  <c r="AC87" i="3" s="1"/>
  <c r="R84" i="3" l="1"/>
  <c r="W84" i="3" s="1"/>
  <c r="H85" i="3"/>
  <c r="C88" i="3"/>
  <c r="B87" i="3"/>
  <c r="S88" i="3"/>
  <c r="AC88" i="3" s="1"/>
  <c r="E89" i="3"/>
  <c r="D89" i="3"/>
  <c r="R85" i="3" l="1"/>
  <c r="W85" i="3" s="1"/>
  <c r="H86" i="3"/>
  <c r="C89" i="3"/>
  <c r="E90" i="3"/>
  <c r="D90" i="3"/>
  <c r="S89" i="3"/>
  <c r="AC89" i="3" s="1"/>
  <c r="B88" i="3"/>
  <c r="R86" i="3" l="1"/>
  <c r="W86" i="3" s="1"/>
  <c r="H87" i="3"/>
  <c r="C90" i="3"/>
  <c r="B89" i="3"/>
  <c r="S90" i="3"/>
  <c r="AC90" i="3" s="1"/>
  <c r="E91" i="3"/>
  <c r="D91" i="3"/>
  <c r="R87" i="3" l="1"/>
  <c r="W87" i="3" s="1"/>
  <c r="H88" i="3"/>
  <c r="C91" i="3"/>
  <c r="E92" i="3"/>
  <c r="D92" i="3"/>
  <c r="S91" i="3"/>
  <c r="AC91" i="3" s="1"/>
  <c r="B90" i="3"/>
  <c r="R88" i="3" l="1"/>
  <c r="W88" i="3" s="1"/>
  <c r="H89" i="3"/>
  <c r="C92" i="3"/>
  <c r="S92" i="3"/>
  <c r="AC92" i="3" s="1"/>
  <c r="E93" i="3"/>
  <c r="D93" i="3"/>
  <c r="B91" i="3"/>
  <c r="C93" i="3" l="1"/>
  <c r="R89" i="3"/>
  <c r="W89" i="3" s="1"/>
  <c r="H90" i="3"/>
  <c r="E94" i="3"/>
  <c r="D94" i="3"/>
  <c r="S93" i="3"/>
  <c r="AC93" i="3" s="1"/>
  <c r="B92" i="3"/>
  <c r="H91" i="3" l="1"/>
  <c r="R90" i="3"/>
  <c r="W90" i="3" s="1"/>
  <c r="C94" i="3"/>
  <c r="B93" i="3"/>
  <c r="S94" i="3"/>
  <c r="AC94" i="3" s="1"/>
  <c r="E95" i="3"/>
  <c r="D95" i="3"/>
  <c r="H92" i="3" l="1"/>
  <c r="R92" i="3" s="1"/>
  <c r="W92" i="3" s="1"/>
  <c r="R91" i="3"/>
  <c r="W91" i="3" s="1"/>
  <c r="C95" i="3"/>
  <c r="E96" i="3"/>
  <c r="D96" i="3"/>
  <c r="S95" i="3"/>
  <c r="AC95" i="3" s="1"/>
  <c r="B94" i="3"/>
  <c r="H93" i="3" l="1"/>
  <c r="R93" i="3" s="1"/>
  <c r="W93" i="3" s="1"/>
  <c r="C96" i="3"/>
  <c r="B95" i="3"/>
  <c r="S96" i="3"/>
  <c r="AC96" i="3" s="1"/>
  <c r="E97" i="3"/>
  <c r="D97" i="3"/>
  <c r="H94" i="3" l="1"/>
  <c r="C97" i="3"/>
  <c r="E98" i="3"/>
  <c r="D98" i="3"/>
  <c r="S97" i="3"/>
  <c r="AC97" i="3" s="1"/>
  <c r="B96" i="3"/>
  <c r="H95" i="3" l="1"/>
  <c r="R94" i="3"/>
  <c r="W94" i="3" s="1"/>
  <c r="C98" i="3"/>
  <c r="B97" i="3"/>
  <c r="S98" i="3"/>
  <c r="AC98" i="3" s="1"/>
  <c r="D99" i="3"/>
  <c r="E99" i="3"/>
  <c r="R95" i="3" l="1"/>
  <c r="W95" i="3" s="1"/>
  <c r="H96" i="3"/>
  <c r="C99" i="3"/>
  <c r="S99" i="3"/>
  <c r="AC99" i="3" s="1"/>
  <c r="D100" i="3"/>
  <c r="E100" i="3"/>
  <c r="B98" i="3"/>
  <c r="B99" i="3" s="1"/>
  <c r="H97" i="3" l="1"/>
  <c r="R96" i="3"/>
  <c r="W96" i="3" s="1"/>
  <c r="C100" i="3"/>
  <c r="B100" i="3" s="1"/>
  <c r="S100" i="3"/>
  <c r="AC100" i="3" s="1"/>
  <c r="D101" i="3"/>
  <c r="E101" i="3"/>
  <c r="R97" i="3" l="1"/>
  <c r="W97" i="3" s="1"/>
  <c r="H98" i="3"/>
  <c r="C101" i="3"/>
  <c r="E102" i="3"/>
  <c r="D102" i="3"/>
  <c r="S101" i="3"/>
  <c r="AC101" i="3" s="1"/>
  <c r="R98" i="3" l="1"/>
  <c r="W98" i="3" s="1"/>
  <c r="H99" i="3"/>
  <c r="C102" i="3"/>
  <c r="S102" i="3"/>
  <c r="AC102" i="3" s="1"/>
  <c r="E103" i="3"/>
  <c r="D103" i="3"/>
  <c r="B101" i="3"/>
  <c r="H100" i="3" l="1"/>
  <c r="R99" i="3"/>
  <c r="W99" i="3" s="1"/>
  <c r="C103" i="3"/>
  <c r="E104" i="3"/>
  <c r="D104" i="3"/>
  <c r="S103" i="3"/>
  <c r="AC103" i="3" s="1"/>
  <c r="B102" i="3"/>
  <c r="B103" i="3" s="1"/>
  <c r="R100" i="3" l="1"/>
  <c r="W100" i="3" s="1"/>
  <c r="H101" i="3"/>
  <c r="C104" i="3"/>
  <c r="S104" i="3"/>
  <c r="AC104" i="3" s="1"/>
  <c r="E105" i="3"/>
  <c r="D105" i="3"/>
  <c r="C105" i="3" s="1"/>
  <c r="B104" i="3"/>
  <c r="H102" i="3" l="1"/>
  <c r="R101" i="3"/>
  <c r="W101" i="3" s="1"/>
  <c r="E106" i="3"/>
  <c r="D106" i="3"/>
  <c r="S105" i="3"/>
  <c r="AC105" i="3" s="1"/>
  <c r="H103" i="3" l="1"/>
  <c r="R102" i="3"/>
  <c r="W102" i="3" s="1"/>
  <c r="C106" i="3"/>
  <c r="B105" i="3"/>
  <c r="S106" i="3"/>
  <c r="AC106" i="3" s="1"/>
  <c r="D107" i="3"/>
  <c r="E107" i="3"/>
  <c r="R103" i="3" l="1"/>
  <c r="W103" i="3" s="1"/>
  <c r="H104" i="3"/>
  <c r="C107" i="3"/>
  <c r="S107" i="3"/>
  <c r="AC107" i="3" s="1"/>
  <c r="E108" i="3"/>
  <c r="D108" i="3"/>
  <c r="B106" i="3"/>
  <c r="H105" i="3" l="1"/>
  <c r="R104" i="3"/>
  <c r="W104" i="3" s="1"/>
  <c r="C108" i="3"/>
  <c r="D109" i="3"/>
  <c r="E109" i="3"/>
  <c r="S108" i="3"/>
  <c r="AC108" i="3" s="1"/>
  <c r="B107" i="3"/>
  <c r="R105" i="3" l="1"/>
  <c r="W105" i="3" s="1"/>
  <c r="H106" i="3"/>
  <c r="C109" i="3"/>
  <c r="B108" i="3"/>
  <c r="E110" i="3"/>
  <c r="D110" i="3"/>
  <c r="S109" i="3"/>
  <c r="AC109" i="3" s="1"/>
  <c r="H107" i="3" l="1"/>
  <c r="R106" i="3"/>
  <c r="W106" i="3" s="1"/>
  <c r="C110" i="3"/>
  <c r="E111" i="3"/>
  <c r="D111" i="3"/>
  <c r="S110" i="3"/>
  <c r="AC110" i="3" s="1"/>
  <c r="B109" i="3"/>
  <c r="B110" i="3" s="1"/>
  <c r="H108" i="3" l="1"/>
  <c r="R107" i="3"/>
  <c r="W107" i="3" s="1"/>
  <c r="C111" i="3"/>
  <c r="S111" i="3"/>
  <c r="AC111" i="3" s="1"/>
  <c r="E112" i="3"/>
  <c r="D112" i="3"/>
  <c r="C112" i="3" s="1"/>
  <c r="R108" i="3" l="1"/>
  <c r="W108" i="3" s="1"/>
  <c r="H109" i="3"/>
  <c r="E113" i="3"/>
  <c r="D113" i="3"/>
  <c r="S112" i="3"/>
  <c r="AC112" i="3" s="1"/>
  <c r="B111" i="3"/>
  <c r="B112" i="3" s="1"/>
  <c r="H110" i="3" l="1"/>
  <c r="R109" i="3"/>
  <c r="W109" i="3" s="1"/>
  <c r="C113" i="3"/>
  <c r="B113" i="3" s="1"/>
  <c r="S113" i="3"/>
  <c r="AC113" i="3" s="1"/>
  <c r="E114" i="3"/>
  <c r="D114" i="3"/>
  <c r="R110" i="3" l="1"/>
  <c r="W110" i="3" s="1"/>
  <c r="H111" i="3"/>
  <c r="C114" i="3"/>
  <c r="S114" i="3"/>
  <c r="AC114" i="3" s="1"/>
  <c r="D115" i="3"/>
  <c r="E115" i="3"/>
  <c r="B114" i="3"/>
  <c r="R111" i="3" l="1"/>
  <c r="W111" i="3" s="1"/>
  <c r="H112" i="3"/>
  <c r="C115" i="3"/>
  <c r="B115" i="3" s="1"/>
  <c r="S115" i="3"/>
  <c r="AC115" i="3" s="1"/>
  <c r="E116" i="3"/>
  <c r="D116" i="3"/>
  <c r="H113" i="3" l="1"/>
  <c r="R112" i="3"/>
  <c r="W112" i="3" s="1"/>
  <c r="C116" i="3"/>
  <c r="E117" i="3"/>
  <c r="D117" i="3"/>
  <c r="S116" i="3"/>
  <c r="AC116" i="3" s="1"/>
  <c r="C117" i="3" l="1"/>
  <c r="R113" i="3"/>
  <c r="W113" i="3" s="1"/>
  <c r="H114" i="3"/>
  <c r="S117" i="3"/>
  <c r="AC117" i="3" s="1"/>
  <c r="E118" i="3"/>
  <c r="D118" i="3"/>
  <c r="B116" i="3"/>
  <c r="H115" i="3" l="1"/>
  <c r="R114" i="3"/>
  <c r="W114" i="3" s="1"/>
  <c r="C118" i="3"/>
  <c r="S118" i="3"/>
  <c r="AC118" i="3" s="1"/>
  <c r="E119" i="3"/>
  <c r="D119" i="3"/>
  <c r="B117" i="3"/>
  <c r="B118" i="3" s="1"/>
  <c r="C119" i="3" l="1"/>
  <c r="H116" i="3"/>
  <c r="R115" i="3"/>
  <c r="W115" i="3" s="1"/>
  <c r="S119" i="3"/>
  <c r="AC119" i="3" s="1"/>
  <c r="E120" i="3"/>
  <c r="D120" i="3"/>
  <c r="B119" i="3"/>
  <c r="C120" i="3" l="1"/>
  <c r="R116" i="3"/>
  <c r="W116" i="3" s="1"/>
  <c r="H117" i="3"/>
  <c r="E121" i="3"/>
  <c r="D121" i="3"/>
  <c r="S120" i="3"/>
  <c r="AC120" i="3" s="1"/>
  <c r="B120" i="3"/>
  <c r="R117" i="3" l="1"/>
  <c r="W117" i="3" s="1"/>
  <c r="H118" i="3"/>
  <c r="C121" i="3"/>
  <c r="S121" i="3"/>
  <c r="AC121" i="3" s="1"/>
  <c r="E122" i="3"/>
  <c r="D122" i="3"/>
  <c r="C122" i="3" l="1"/>
  <c r="H119" i="3"/>
  <c r="R118" i="3"/>
  <c r="W118" i="3" s="1"/>
  <c r="D123" i="3"/>
  <c r="E123" i="3"/>
  <c r="S122" i="3"/>
  <c r="AC122" i="3" s="1"/>
  <c r="B121" i="3"/>
  <c r="H120" i="3" l="1"/>
  <c r="R119" i="3"/>
  <c r="W119" i="3" s="1"/>
  <c r="C123" i="3"/>
  <c r="B122" i="3"/>
  <c r="E124" i="3"/>
  <c r="D124" i="3"/>
  <c r="S123" i="3"/>
  <c r="AC123" i="3" s="1"/>
  <c r="H121" i="3" l="1"/>
  <c r="R120" i="3"/>
  <c r="W120" i="3" s="1"/>
  <c r="C124" i="3"/>
  <c r="S124" i="3"/>
  <c r="AC124" i="3" s="1"/>
  <c r="D125" i="3"/>
  <c r="E125" i="3"/>
  <c r="B123" i="3"/>
  <c r="B124" i="3" s="1"/>
  <c r="H122" i="3" l="1"/>
  <c r="R122" i="3" s="1"/>
  <c r="W122" i="3" s="1"/>
  <c r="R121" i="3"/>
  <c r="W121" i="3" s="1"/>
  <c r="C125" i="3"/>
  <c r="S125" i="3"/>
  <c r="AC125" i="3" s="1"/>
  <c r="E126" i="3"/>
  <c r="D126" i="3"/>
  <c r="B125" i="3"/>
  <c r="H123" i="3" l="1"/>
  <c r="R123" i="3" s="1"/>
  <c r="W123" i="3" s="1"/>
  <c r="C126" i="3"/>
  <c r="S126" i="3"/>
  <c r="AC126" i="3" s="1"/>
  <c r="E127" i="3"/>
  <c r="D127" i="3"/>
  <c r="B126" i="3"/>
  <c r="H124" i="3" l="1"/>
  <c r="R124" i="3" s="1"/>
  <c r="W124" i="3" s="1"/>
  <c r="C127" i="3"/>
  <c r="S127" i="3"/>
  <c r="AC127" i="3" s="1"/>
  <c r="E128" i="3"/>
  <c r="D128" i="3"/>
  <c r="B127" i="3"/>
  <c r="H125" i="3" l="1"/>
  <c r="R125" i="3" s="1"/>
  <c r="W125" i="3" s="1"/>
  <c r="C128" i="3"/>
  <c r="S128" i="3"/>
  <c r="AC128" i="3" s="1"/>
  <c r="E129" i="3"/>
  <c r="D129" i="3"/>
  <c r="B128" i="3"/>
  <c r="H126" i="3" l="1"/>
  <c r="H127" i="3" s="1"/>
  <c r="R127" i="3" s="1"/>
  <c r="W127" i="3" s="1"/>
  <c r="C129" i="3"/>
  <c r="S129" i="3"/>
  <c r="AC129" i="3" s="1"/>
  <c r="E130" i="3"/>
  <c r="D130" i="3"/>
  <c r="B129" i="3"/>
  <c r="H128" i="3" l="1"/>
  <c r="R128" i="3" s="1"/>
  <c r="W128" i="3" s="1"/>
  <c r="R126" i="3"/>
  <c r="W126" i="3" s="1"/>
  <c r="C130" i="3"/>
  <c r="S130" i="3"/>
  <c r="AC130" i="3" s="1"/>
  <c r="D131" i="3"/>
  <c r="E131" i="3"/>
  <c r="H129" i="3"/>
  <c r="B130" i="3"/>
  <c r="C131" i="3" l="1"/>
  <c r="B131" i="3" s="1"/>
  <c r="S131" i="3"/>
  <c r="AC131" i="3" s="1"/>
  <c r="E132" i="3"/>
  <c r="D132" i="3"/>
  <c r="C132" i="3" s="1"/>
  <c r="R129" i="3"/>
  <c r="W129" i="3" s="1"/>
  <c r="H130" i="3"/>
  <c r="R130" i="3" l="1"/>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R133" i="3"/>
  <c r="W133" i="3" s="1"/>
  <c r="H134" i="3"/>
  <c r="B134" i="3"/>
  <c r="B135" i="3" s="1"/>
  <c r="C136" i="3" l="1"/>
  <c r="E137" i="3"/>
  <c r="D137" i="3"/>
  <c r="C137" i="3" s="1"/>
  <c r="S136" i="3"/>
  <c r="AC136" i="3" s="1"/>
  <c r="R134" i="3"/>
  <c r="W134" i="3" s="1"/>
  <c r="H135" i="3"/>
  <c r="B136" i="3"/>
  <c r="R135" i="3" l="1"/>
  <c r="W135" i="3" s="1"/>
  <c r="H136" i="3"/>
  <c r="S137" i="3"/>
  <c r="AC137" i="3" s="1"/>
  <c r="E138" i="3"/>
  <c r="D138" i="3"/>
  <c r="C138" i="3" s="1"/>
  <c r="D139" i="3" l="1"/>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C199" i="3" l="1"/>
  <c r="H197" i="3"/>
  <c r="H198" i="3" s="1"/>
  <c r="S199" i="3"/>
  <c r="AC199" i="3" s="1"/>
  <c r="E200" i="3"/>
  <c r="D200" i="3"/>
  <c r="B199" i="3"/>
  <c r="C200" i="3" l="1"/>
  <c r="R197" i="3"/>
  <c r="W197" i="3" s="1"/>
  <c r="S200" i="3"/>
  <c r="AC200" i="3" s="1"/>
  <c r="E201" i="3"/>
  <c r="D201" i="3"/>
  <c r="R198" i="3"/>
  <c r="W198" i="3" s="1"/>
  <c r="H199" i="3"/>
  <c r="B200" i="3"/>
  <c r="C201" i="3" l="1"/>
  <c r="S201" i="3"/>
  <c r="AC201" i="3" s="1"/>
  <c r="R199" i="3"/>
  <c r="W199" i="3" s="1"/>
  <c r="H200" i="3"/>
  <c r="E202" i="3"/>
  <c r="D202" i="3"/>
  <c r="B201" i="3"/>
  <c r="C202" i="3" l="1"/>
  <c r="R200" i="3"/>
  <c r="W200" i="3" s="1"/>
  <c r="H201" i="3"/>
  <c r="S202" i="3"/>
  <c r="AC202" i="3" s="1"/>
  <c r="B202" i="3"/>
  <c r="E203" i="3"/>
  <c r="D203" i="3"/>
  <c r="C203" i="3" l="1"/>
  <c r="B203" i="3" s="1"/>
  <c r="S203" i="3"/>
  <c r="AC203" i="3" s="1"/>
  <c r="E204" i="3"/>
  <c r="D204" i="3"/>
  <c r="R201" i="3"/>
  <c r="W201" i="3" s="1"/>
  <c r="H202" i="3"/>
  <c r="C204" i="3" l="1"/>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C220" i="3" l="1"/>
  <c r="S220" i="3"/>
  <c r="AC220" i="3" s="1"/>
  <c r="E221" i="3"/>
  <c r="D221" i="3"/>
  <c r="C221" i="3" s="1"/>
  <c r="B219" i="3"/>
  <c r="R218" i="3"/>
  <c r="W218" i="3" s="1"/>
  <c r="H219" i="3"/>
  <c r="E222" i="3" l="1"/>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B226" i="3"/>
  <c r="C228" i="3" l="1"/>
  <c r="S228" i="3"/>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S231" i="3"/>
  <c r="AC231" i="3" s="1"/>
  <c r="C232" i="3" l="1"/>
  <c r="S232" i="3"/>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C246" i="3" s="1"/>
  <c r="R243" i="3"/>
  <c r="W243" i="3" s="1"/>
  <c r="B244" i="3"/>
  <c r="B245" i="3" s="1"/>
  <c r="H244" i="3" l="1"/>
  <c r="R244" i="3" s="1"/>
  <c r="W244" i="3" s="1"/>
  <c r="E247" i="3"/>
  <c r="D247" i="3"/>
  <c r="C247" i="3" s="1"/>
  <c r="S246" i="3"/>
  <c r="AC246" i="3" s="1"/>
  <c r="H245" i="3" l="1"/>
  <c r="R245" i="3" s="1"/>
  <c r="W245" i="3" s="1"/>
  <c r="S247" i="3"/>
  <c r="AC247" i="3" s="1"/>
  <c r="E248" i="3"/>
  <c r="D248" i="3"/>
  <c r="B246" i="3"/>
  <c r="B247" i="3" s="1"/>
  <c r="H246" i="3" l="1"/>
  <c r="H247" i="3" s="1"/>
  <c r="C248" i="3"/>
  <c r="E249" i="3"/>
  <c r="D249" i="3"/>
  <c r="C249" i="3" s="1"/>
  <c r="S248" i="3"/>
  <c r="AC248" i="3" s="1"/>
  <c r="R246" i="3" l="1"/>
  <c r="W246" i="3" s="1"/>
  <c r="B248" i="3"/>
  <c r="R247" i="3"/>
  <c r="W247" i="3" s="1"/>
  <c r="H248" i="3"/>
  <c r="S249" i="3"/>
  <c r="AC249" i="3" s="1"/>
  <c r="E250" i="3"/>
  <c r="D250" i="3"/>
  <c r="C250" i="3" s="1"/>
  <c r="R248" i="3" l="1"/>
  <c r="W248" i="3" s="1"/>
  <c r="S250" i="3"/>
  <c r="AC250" i="3" s="1"/>
  <c r="E251" i="3"/>
  <c r="D251" i="3"/>
  <c r="C251" i="3" s="1"/>
  <c r="B249" i="3"/>
  <c r="H249" i="3" s="1"/>
  <c r="R249" i="3" l="1"/>
  <c r="W249" i="3" s="1"/>
  <c r="S251" i="3"/>
  <c r="AC251" i="3" s="1"/>
  <c r="D252" i="3"/>
  <c r="E252" i="3"/>
  <c r="B250" i="3"/>
  <c r="H250" i="3" s="1"/>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B276" i="3"/>
  <c r="C277" i="3" l="1"/>
  <c r="E278" i="3"/>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R284" i="3"/>
  <c r="W284" i="3" s="1"/>
  <c r="H285" i="3"/>
  <c r="B286" i="3"/>
  <c r="C287" i="3" l="1"/>
  <c r="S287" i="3"/>
  <c r="AC287" i="3" s="1"/>
  <c r="E288" i="3"/>
  <c r="D288" i="3"/>
  <c r="R285" i="3"/>
  <c r="W285" i="3" s="1"/>
  <c r="H286" i="3"/>
  <c r="B287" i="3"/>
  <c r="C288" i="3" l="1"/>
  <c r="B288" i="3" s="1"/>
  <c r="S288" i="3"/>
  <c r="AC288" i="3" s="1"/>
  <c r="E289" i="3"/>
  <c r="D289" i="3"/>
  <c r="R286" i="3"/>
  <c r="W286" i="3" s="1"/>
  <c r="H287" i="3"/>
  <c r="C289" i="3" l="1"/>
  <c r="B289" i="3" s="1"/>
  <c r="S289" i="3"/>
  <c r="AC289" i="3" s="1"/>
  <c r="R287" i="3"/>
  <c r="W287" i="3" s="1"/>
  <c r="H288" i="3"/>
  <c r="E290" i="3"/>
  <c r="D290" i="3"/>
  <c r="C290" i="3" l="1"/>
  <c r="B290" i="3" s="1"/>
  <c r="R288" i="3"/>
  <c r="W288" i="3" s="1"/>
  <c r="H289" i="3"/>
  <c r="S290" i="3"/>
  <c r="AC290" i="3" s="1"/>
  <c r="E291" i="3"/>
  <c r="D291"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R299" i="3"/>
  <c r="W299" i="3" s="1"/>
  <c r="H300" i="3"/>
  <c r="C302" i="3" l="1"/>
  <c r="B302" i="3" s="1"/>
  <c r="S302" i="3"/>
  <c r="AC302" i="3" s="1"/>
  <c r="E303" i="3"/>
  <c r="D303" i="3"/>
  <c r="R300" i="3"/>
  <c r="W300" i="3" s="1"/>
  <c r="H301" i="3"/>
  <c r="C303" i="3" l="1"/>
  <c r="R301" i="3"/>
  <c r="W301" i="3" s="1"/>
  <c r="H302" i="3"/>
  <c r="E304" i="3"/>
  <c r="D304" i="3"/>
  <c r="S303" i="3"/>
  <c r="AC303" i="3" s="1"/>
  <c r="C304" i="3" l="1"/>
  <c r="S304" i="3"/>
  <c r="AC304" i="3" s="1"/>
  <c r="E305" i="3"/>
  <c r="D305" i="3"/>
  <c r="B303" i="3"/>
  <c r="B304" i="3" s="1"/>
  <c r="R302" i="3"/>
  <c r="W302" i="3" s="1"/>
  <c r="C305" i="3" l="1"/>
  <c r="B305" i="3" s="1"/>
  <c r="H303" i="3"/>
  <c r="H304" i="3" s="1"/>
  <c r="E306" i="3"/>
  <c r="D306" i="3"/>
  <c r="S305" i="3"/>
  <c r="AC305" i="3" s="1"/>
  <c r="C306" i="3" l="1"/>
  <c r="R303" i="3"/>
  <c r="W303" i="3" s="1"/>
  <c r="R304" i="3"/>
  <c r="W304" i="3" s="1"/>
  <c r="H305" i="3"/>
  <c r="S306" i="3"/>
  <c r="AC306" i="3" s="1"/>
  <c r="E307" i="3"/>
  <c r="D307" i="3"/>
  <c r="C307" i="3" l="1"/>
  <c r="S307" i="3"/>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E311" i="3"/>
  <c r="D311" i="3"/>
  <c r="B309" i="3"/>
  <c r="H309" i="3" s="1"/>
  <c r="C311" i="3" l="1"/>
  <c r="S311" i="3"/>
  <c r="AC311" i="3" s="1"/>
  <c r="E312" i="3"/>
  <c r="D312" i="3"/>
  <c r="C312" i="3" s="1"/>
  <c r="R309" i="3"/>
  <c r="W309" i="3" s="1"/>
  <c r="B310" i="3"/>
  <c r="B311" i="3" s="1"/>
  <c r="H310" i="3" l="1"/>
  <c r="H311" i="3" s="1"/>
  <c r="S312" i="3"/>
  <c r="AC312" i="3" s="1"/>
  <c r="E313" i="3"/>
  <c r="D313" i="3"/>
  <c r="B312" i="3"/>
  <c r="R310" i="3" l="1"/>
  <c r="W310" i="3" s="1"/>
  <c r="C313" i="3"/>
  <c r="S313" i="3"/>
  <c r="AC313" i="3" s="1"/>
  <c r="E314" i="3"/>
  <c r="D314" i="3"/>
  <c r="R311" i="3"/>
  <c r="W311" i="3" s="1"/>
  <c r="H312" i="3"/>
  <c r="B313" i="3"/>
  <c r="C314" i="3" l="1"/>
  <c r="S314" i="3"/>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C324" i="3" s="1"/>
  <c r="B323" i="3"/>
  <c r="R322" i="3" l="1"/>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C331" i="3" s="1"/>
  <c r="R328" i="3"/>
  <c r="W328" i="3" s="1"/>
  <c r="H329" i="3"/>
  <c r="B329" i="3"/>
  <c r="B330" i="3" s="1"/>
  <c r="S331" i="3" l="1"/>
  <c r="AC331" i="3" s="1"/>
  <c r="E332" i="3"/>
  <c r="D332" i="3"/>
  <c r="R329" i="3"/>
  <c r="W329" i="3" s="1"/>
  <c r="H330" i="3"/>
  <c r="B331" i="3"/>
  <c r="C332" i="3" l="1"/>
  <c r="S332" i="3"/>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C338" i="3" s="1"/>
  <c r="R335" i="3"/>
  <c r="W335" i="3" s="1"/>
  <c r="H336" i="3"/>
  <c r="B336" i="3"/>
  <c r="E339" i="3" l="1"/>
  <c r="D339" i="3"/>
  <c r="C339" i="3" s="1"/>
  <c r="R336" i="3"/>
  <c r="W336" i="3" s="1"/>
  <c r="H337" i="3"/>
  <c r="S338" i="3"/>
  <c r="AC338" i="3" s="1"/>
  <c r="B337" i="3"/>
  <c r="B338" i="3" s="1"/>
  <c r="R337" i="3" l="1"/>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B370" i="3"/>
  <c r="H370" i="3" s="1"/>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C400" i="3" l="1"/>
  <c r="H398" i="3"/>
  <c r="H399" i="3" s="1"/>
  <c r="D401" i="3"/>
  <c r="E401" i="3"/>
  <c r="S400" i="3"/>
  <c r="AC400" i="3" s="1"/>
  <c r="B399" i="3"/>
  <c r="B400" i="3" l="1"/>
  <c r="R398" i="3"/>
  <c r="W398" i="3" s="1"/>
  <c r="C401" i="3"/>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C407" i="3" s="1"/>
  <c r="R404" i="3"/>
  <c r="W404" i="3" s="1"/>
  <c r="H405" i="3"/>
  <c r="S407" i="3" l="1"/>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C483" i="3" s="1"/>
  <c r="S482" i="3"/>
  <c r="AC482" i="3" s="1"/>
  <c r="R480" i="3"/>
  <c r="W480" i="3" s="1"/>
  <c r="H481" i="3"/>
  <c r="B481" i="3"/>
  <c r="R481" i="3" l="1"/>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C490" i="3" s="1"/>
  <c r="S489" i="3"/>
  <c r="AC489" i="3" s="1"/>
  <c r="R487" i="3"/>
  <c r="W487" i="3" s="1"/>
  <c r="H488" i="3"/>
  <c r="B489" i="3"/>
  <c r="R488" i="3" l="1"/>
  <c r="W488" i="3" s="1"/>
  <c r="H489" i="3"/>
  <c r="S490" i="3"/>
  <c r="AC490" i="3" s="1"/>
  <c r="E491" i="3"/>
  <c r="D491" i="3"/>
  <c r="C491" i="3" l="1"/>
  <c r="E492" i="3"/>
  <c r="D492" i="3"/>
  <c r="C492" i="3" s="1"/>
  <c r="S491" i="3"/>
  <c r="AC491" i="3" s="1"/>
  <c r="R489" i="3"/>
  <c r="W489" i="3" s="1"/>
  <c r="B490" i="3"/>
  <c r="H490" i="3" s="1"/>
  <c r="R490" i="3" l="1"/>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R498" i="3"/>
  <c r="W498" i="3" s="1"/>
  <c r="H499" i="3"/>
  <c r="B500" i="3"/>
  <c r="C501" i="3" l="1"/>
  <c r="R499" i="3"/>
  <c r="W499" i="3" s="1"/>
  <c r="H500" i="3"/>
  <c r="S501" i="3"/>
  <c r="AC501" i="3" s="1"/>
  <c r="E502" i="3"/>
  <c r="D502" i="3"/>
  <c r="C502" i="3" s="1"/>
  <c r="B501" i="3"/>
  <c r="S502" i="3" l="1"/>
  <c r="AC502" i="3" s="1"/>
  <c r="B502" i="3"/>
  <c r="E503" i="3"/>
  <c r="D503" i="3"/>
  <c r="R500" i="3"/>
  <c r="W500" i="3" s="1"/>
  <c r="H501" i="3"/>
  <c r="C503" i="3" l="1"/>
  <c r="E504" i="3"/>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C545" i="3" s="1"/>
  <c r="S544" i="3"/>
  <c r="AC544" i="3" s="1"/>
  <c r="B543" i="3"/>
  <c r="H543" i="3" s="1"/>
  <c r="S545" i="3" l="1"/>
  <c r="AC545" i="3" s="1"/>
  <c r="E546" i="3"/>
  <c r="D546" i="3"/>
  <c r="C546" i="3" s="1"/>
  <c r="R543" i="3"/>
  <c r="W543" i="3" s="1"/>
  <c r="B544" i="3"/>
  <c r="H544" i="3" s="1"/>
  <c r="R544" i="3" l="1"/>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E550" i="3" l="1"/>
  <c r="D550" i="3"/>
  <c r="S549" i="3"/>
  <c r="AC549" i="3" s="1"/>
  <c r="R547" i="3"/>
  <c r="W547" i="3" s="1"/>
  <c r="H548" i="3"/>
  <c r="B548" i="3"/>
  <c r="C549" i="3" s="1"/>
  <c r="C550" i="3" l="1"/>
  <c r="R548" i="3"/>
  <c r="W548" i="3" s="1"/>
  <c r="B549" i="3"/>
  <c r="H549" i="3" s="1"/>
  <c r="S550" i="3"/>
  <c r="AC550" i="3" s="1"/>
  <c r="E551" i="3"/>
  <c r="D551" i="3"/>
  <c r="C551" i="3" l="1"/>
  <c r="S551" i="3"/>
  <c r="AC551" i="3" s="1"/>
  <c r="R549" i="3"/>
  <c r="W549" i="3" s="1"/>
  <c r="E552" i="3"/>
  <c r="D552" i="3"/>
  <c r="B550" i="3"/>
  <c r="B551" i="3" s="1"/>
  <c r="C552" i="3" l="1"/>
  <c r="H550" i="3"/>
  <c r="R550" i="3" s="1"/>
  <c r="W550" i="3" s="1"/>
  <c r="S552" i="3"/>
  <c r="AC552" i="3" s="1"/>
  <c r="E553" i="3"/>
  <c r="D553" i="3"/>
  <c r="B552" i="3"/>
  <c r="H551" i="3" l="1"/>
  <c r="R551" i="3" s="1"/>
  <c r="W551" i="3" s="1"/>
  <c r="C553" i="3"/>
  <c r="S553" i="3"/>
  <c r="AC553" i="3" s="1"/>
  <c r="E554" i="3"/>
  <c r="D554" i="3"/>
  <c r="C554" i="3" s="1"/>
  <c r="H552" i="3" l="1"/>
  <c r="H553" i="3" s="1"/>
  <c r="S554" i="3"/>
  <c r="AC554" i="3" s="1"/>
  <c r="E555" i="3"/>
  <c r="D555" i="3"/>
  <c r="C555" i="3" s="1"/>
  <c r="B553" i="3"/>
  <c r="B554" i="3" s="1"/>
  <c r="R552" i="3" l="1"/>
  <c r="W552" i="3" s="1"/>
  <c r="S555" i="3"/>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C562" i="3" s="1"/>
  <c r="S561" i="3"/>
  <c r="AC561" i="3" s="1"/>
  <c r="R559" i="3"/>
  <c r="W559" i="3" s="1"/>
  <c r="H560" i="3"/>
  <c r="B560" i="3"/>
  <c r="R560" i="3" l="1"/>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C568" i="3" s="1"/>
  <c r="S567" i="3"/>
  <c r="AC567" i="3" s="1"/>
  <c r="R565" i="3"/>
  <c r="W565" i="3" s="1"/>
  <c r="H566" i="3"/>
  <c r="B566" i="3"/>
  <c r="R566" i="3" l="1"/>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C576" i="3" s="1"/>
  <c r="R573" i="3"/>
  <c r="W573" i="3" s="1"/>
  <c r="H574" i="3"/>
  <c r="S576" i="3" l="1"/>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B583" i="3"/>
  <c r="C585" i="3" l="1"/>
  <c r="S585" i="3"/>
  <c r="AC585" i="3" s="1"/>
  <c r="R583" i="3"/>
  <c r="W583" i="3" s="1"/>
  <c r="H584" i="3"/>
  <c r="E586" i="3"/>
  <c r="D586" i="3"/>
  <c r="C586" i="3" s="1"/>
  <c r="B584" i="3"/>
  <c r="S586" i="3" l="1"/>
  <c r="AC586" i="3" s="1"/>
  <c r="E587" i="3"/>
  <c r="D587" i="3"/>
  <c r="C587" i="3" s="1"/>
  <c r="R584" i="3"/>
  <c r="W584" i="3" s="1"/>
  <c r="H585" i="3"/>
  <c r="B585" i="3"/>
  <c r="B586" i="3" s="1"/>
  <c r="S587" i="3" l="1"/>
  <c r="AC587" i="3" s="1"/>
  <c r="E588" i="3"/>
  <c r="D588" i="3"/>
  <c r="C588" i="3" s="1"/>
  <c r="R585" i="3"/>
  <c r="W585" i="3" s="1"/>
  <c r="H586" i="3"/>
  <c r="B587" i="3"/>
  <c r="S588" i="3" l="1"/>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C594" i="3" s="1"/>
  <c r="R591" i="3"/>
  <c r="W591" i="3" s="1"/>
  <c r="H592" i="3"/>
  <c r="B593" i="3"/>
  <c r="B594" i="3" l="1"/>
  <c r="S594" i="3"/>
  <c r="AC594" i="3" s="1"/>
  <c r="E595" i="3"/>
  <c r="D595" i="3"/>
  <c r="C595" i="3" s="1"/>
  <c r="R592" i="3"/>
  <c r="W592" i="3" s="1"/>
  <c r="H593" i="3"/>
  <c r="S595" i="3" l="1"/>
  <c r="AC595" i="3" s="1"/>
  <c r="E596" i="3"/>
  <c r="D596" i="3"/>
  <c r="C596" i="3" s="1"/>
  <c r="R593" i="3"/>
  <c r="W593" i="3" s="1"/>
  <c r="H594" i="3"/>
  <c r="B595" i="3"/>
  <c r="S596" i="3" l="1"/>
  <c r="AC596" i="3" s="1"/>
  <c r="E597" i="3"/>
  <c r="D597" i="3"/>
  <c r="C597" i="3" s="1"/>
  <c r="R594" i="3"/>
  <c r="W594" i="3" s="1"/>
  <c r="H595" i="3"/>
  <c r="B596" i="3"/>
  <c r="S597" i="3" l="1"/>
  <c r="AC597" i="3" s="1"/>
  <c r="E598" i="3"/>
  <c r="D598" i="3"/>
  <c r="C598" i="3" s="1"/>
  <c r="R595" i="3"/>
  <c r="W595" i="3" s="1"/>
  <c r="H596" i="3"/>
  <c r="B597" i="3"/>
  <c r="S598" i="3" l="1"/>
  <c r="AC598" i="3" s="1"/>
  <c r="E599" i="3"/>
  <c r="D599" i="3"/>
  <c r="C599" i="3" s="1"/>
  <c r="R596" i="3"/>
  <c r="W596" i="3" s="1"/>
  <c r="H597" i="3"/>
  <c r="B598" i="3"/>
  <c r="S599" i="3" l="1"/>
  <c r="AC599" i="3" s="1"/>
  <c r="E600" i="3"/>
  <c r="D600" i="3"/>
  <c r="C600" i="3" s="1"/>
  <c r="R597" i="3"/>
  <c r="W597" i="3" s="1"/>
  <c r="H598" i="3"/>
  <c r="B599" i="3"/>
  <c r="S600" i="3" l="1"/>
  <c r="AC600" i="3" s="1"/>
  <c r="E601" i="3"/>
  <c r="D601" i="3"/>
  <c r="R598" i="3"/>
  <c r="W598" i="3" s="1"/>
  <c r="H599" i="3"/>
  <c r="B600" i="3"/>
  <c r="C601" i="3" l="1"/>
  <c r="B601" i="3" s="1"/>
  <c r="S601" i="3"/>
  <c r="AC601" i="3" s="1"/>
  <c r="E602" i="3"/>
  <c r="D602" i="3"/>
  <c r="C602" i="3" s="1"/>
  <c r="R599" i="3"/>
  <c r="W599" i="3" s="1"/>
  <c r="H600" i="3"/>
  <c r="B602" i="3" l="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C611" i="3" s="1"/>
  <c r="B610" i="3"/>
  <c r="R608" i="3"/>
  <c r="W608" i="3" s="1"/>
  <c r="H609" i="3"/>
  <c r="S611" i="3" l="1"/>
  <c r="AC611" i="3" s="1"/>
  <c r="D612" i="3"/>
  <c r="E612" i="3"/>
  <c r="R609" i="3"/>
  <c r="W609" i="3" s="1"/>
  <c r="H610" i="3"/>
  <c r="B611" i="3"/>
  <c r="C612" i="3" l="1"/>
  <c r="E613" i="3"/>
  <c r="D613" i="3"/>
  <c r="C613" i="3" s="1"/>
  <c r="S612" i="3"/>
  <c r="AC612" i="3" s="1"/>
  <c r="R610" i="3"/>
  <c r="W610" i="3" s="1"/>
  <c r="H611" i="3"/>
  <c r="B612" i="3"/>
  <c r="R611" i="3" l="1"/>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C617" i="3" s="1"/>
  <c r="R614" i="3"/>
  <c r="W614" i="3" s="1"/>
  <c r="H615" i="3"/>
  <c r="B615" i="3"/>
  <c r="D618" i="3" l="1"/>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C621" i="3" s="1"/>
  <c r="R618" i="3"/>
  <c r="W618" i="3" s="1"/>
  <c r="H619" i="3"/>
  <c r="S620" i="3"/>
  <c r="AC620" i="3" s="1"/>
  <c r="R619" i="3" l="1"/>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E638" i="3"/>
  <c r="D638" i="3"/>
  <c r="C638" i="3" s="1"/>
  <c r="S637" i="3"/>
  <c r="AC637" i="3" s="1"/>
  <c r="R635" i="3"/>
  <c r="W635" i="3" s="1"/>
  <c r="H636" i="3"/>
  <c r="B637" i="3"/>
  <c r="R636" i="3" l="1"/>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B647" i="3"/>
  <c r="C649" i="3" l="1"/>
  <c r="S649" i="3"/>
  <c r="AC649" i="3" s="1"/>
  <c r="E650" i="3"/>
  <c r="D650" i="3"/>
  <c r="C650" i="3" s="1"/>
  <c r="R647" i="3"/>
  <c r="W647" i="3" s="1"/>
  <c r="H648" i="3"/>
  <c r="B648" i="3"/>
  <c r="B649" i="3" s="1"/>
  <c r="S650" i="3" l="1"/>
  <c r="AC650" i="3" s="1"/>
  <c r="E651" i="3"/>
  <c r="D651" i="3"/>
  <c r="R648" i="3"/>
  <c r="W648" i="3" s="1"/>
  <c r="H649" i="3"/>
  <c r="B650" i="3"/>
  <c r="C651" i="3" l="1"/>
  <c r="S651" i="3"/>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S671" i="3"/>
  <c r="AC671" i="3" s="1"/>
  <c r="E672" i="3"/>
  <c r="D672" i="3"/>
  <c r="C672" i="3" s="1"/>
  <c r="B670" i="3"/>
  <c r="H670" i="3" s="1"/>
  <c r="E673" i="3" l="1"/>
  <c r="D673" i="3"/>
  <c r="C673" i="3" s="1"/>
  <c r="S672" i="3"/>
  <c r="AC672" i="3" s="1"/>
  <c r="B671" i="3"/>
  <c r="R670" i="3"/>
  <c r="W670" i="3" s="1"/>
  <c r="H671" i="3"/>
  <c r="B672" i="3" l="1"/>
  <c r="S673" i="3"/>
  <c r="AC673" i="3" s="1"/>
  <c r="R671" i="3"/>
  <c r="W671" i="3" s="1"/>
  <c r="H672" i="3"/>
  <c r="E674" i="3"/>
  <c r="D674" i="3"/>
  <c r="C674" i="3" s="1"/>
  <c r="S674" i="3" l="1"/>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B678" i="3"/>
  <c r="C679" i="3" l="1"/>
  <c r="E680" i="3"/>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C684" i="3" s="1"/>
  <c r="B682" i="3"/>
  <c r="B683" i="3" s="1"/>
  <c r="S684" i="3" l="1"/>
  <c r="AC684" i="3" s="1"/>
  <c r="E685" i="3"/>
  <c r="D685" i="3"/>
  <c r="B684" i="3"/>
  <c r="R682" i="3"/>
  <c r="W682" i="3" s="1"/>
  <c r="H683" i="3"/>
  <c r="C685" i="3" l="1"/>
  <c r="S685" i="3"/>
  <c r="AC685" i="3" s="1"/>
  <c r="E686" i="3"/>
  <c r="D686" i="3"/>
  <c r="C686" i="3" s="1"/>
  <c r="R683" i="3"/>
  <c r="W683" i="3" s="1"/>
  <c r="H684" i="3"/>
  <c r="B685" i="3"/>
  <c r="S686" i="3" l="1"/>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C692" i="3" s="1"/>
  <c r="R689" i="3"/>
  <c r="W689" i="3" s="1"/>
  <c r="H690" i="3"/>
  <c r="B691" i="3"/>
  <c r="S692" i="3" l="1"/>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C707" i="3" s="1"/>
  <c r="R704" i="3"/>
  <c r="W704" i="3" s="1"/>
  <c r="H705" i="3"/>
  <c r="S706" i="3"/>
  <c r="AC706" i="3" s="1"/>
  <c r="B705" i="3"/>
  <c r="R705" i="3" l="1"/>
  <c r="W705" i="3" s="1"/>
  <c r="H706" i="3"/>
  <c r="B706" i="3"/>
  <c r="S707" i="3"/>
  <c r="AC707" i="3" s="1"/>
  <c r="E708" i="3"/>
  <c r="D708" i="3"/>
  <c r="C708" i="3" l="1"/>
  <c r="S708" i="3"/>
  <c r="AC708" i="3" s="1"/>
  <c r="E709" i="3"/>
  <c r="D709" i="3"/>
  <c r="C709" i="3" s="1"/>
  <c r="R706" i="3"/>
  <c r="W706" i="3" s="1"/>
  <c r="H707" i="3"/>
  <c r="B707" i="3"/>
  <c r="E710" i="3" l="1"/>
  <c r="D710" i="3"/>
  <c r="R707" i="3"/>
  <c r="W707" i="3" s="1"/>
  <c r="H708" i="3"/>
  <c r="S709" i="3"/>
  <c r="AC709" i="3" s="1"/>
  <c r="B708" i="3"/>
  <c r="B709" i="3" s="1"/>
  <c r="C710" i="3" l="1"/>
  <c r="R708" i="3"/>
  <c r="W708" i="3" s="1"/>
  <c r="H709" i="3"/>
  <c r="S710" i="3"/>
  <c r="AC710" i="3" s="1"/>
  <c r="E711" i="3"/>
  <c r="D711" i="3"/>
  <c r="C711" i="3" s="1"/>
  <c r="B710" i="3"/>
  <c r="E712" i="3" l="1"/>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C718" i="3" s="1"/>
  <c r="S717" i="3"/>
  <c r="AC717" i="3" s="1"/>
  <c r="R715" i="3"/>
  <c r="W715" i="3" s="1"/>
  <c r="H716" i="3"/>
  <c r="B716" i="3"/>
  <c r="R716" i="3" l="1"/>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S723" i="3"/>
  <c r="AC723" i="3" s="1"/>
  <c r="E724" i="3"/>
  <c r="D724" i="3"/>
  <c r="C724" i="3" s="1"/>
  <c r="R721" i="3"/>
  <c r="W721" i="3" s="1"/>
  <c r="H722" i="3"/>
  <c r="B723" i="3"/>
  <c r="S724" i="3" l="1"/>
  <c r="AC724" i="3" s="1"/>
  <c r="E725" i="3"/>
  <c r="D725" i="3"/>
  <c r="C725" i="3" s="1"/>
  <c r="R722" i="3"/>
  <c r="W722" i="3" s="1"/>
  <c r="H723" i="3"/>
  <c r="B724" i="3"/>
  <c r="E726" i="3" l="1"/>
  <c r="D726" i="3"/>
  <c r="C726" i="3" s="1"/>
  <c r="S725" i="3"/>
  <c r="AC725" i="3" s="1"/>
  <c r="R723" i="3"/>
  <c r="W723" i="3" s="1"/>
  <c r="H724" i="3"/>
  <c r="B725" i="3"/>
  <c r="R724" i="3" l="1"/>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S730" i="3"/>
  <c r="AC730" i="3" s="1"/>
  <c r="B729" i="3"/>
  <c r="B730" i="3" s="1"/>
  <c r="C731" i="3" l="1"/>
  <c r="H729" i="3"/>
  <c r="R729" i="3" s="1"/>
  <c r="W729" i="3" s="1"/>
  <c r="S731" i="3"/>
  <c r="AC731" i="3" s="1"/>
  <c r="E732" i="3"/>
  <c r="D732" i="3"/>
  <c r="B731" i="3"/>
  <c r="H730" i="3" l="1"/>
  <c r="R730" i="3" s="1"/>
  <c r="W730" i="3" s="1"/>
  <c r="C732" i="3"/>
  <c r="E733" i="3"/>
  <c r="D733" i="3"/>
  <c r="S732" i="3"/>
  <c r="AC732" i="3" s="1"/>
  <c r="H731" i="3" l="1"/>
  <c r="H732" i="3" s="1"/>
  <c r="C733" i="3"/>
  <c r="B732" i="3"/>
  <c r="S733" i="3"/>
  <c r="AC733" i="3" s="1"/>
  <c r="D734" i="3"/>
  <c r="E734" i="3"/>
  <c r="C734" i="3" l="1"/>
  <c r="R731" i="3"/>
  <c r="W731" i="3" s="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B763" i="3" s="1"/>
  <c r="S763" i="3"/>
  <c r="AC763" i="3" s="1"/>
  <c r="E764" i="3"/>
  <c r="D764" i="3"/>
  <c r="R761" i="3"/>
  <c r="W761" i="3" s="1"/>
  <c r="H762" i="3"/>
  <c r="C764" i="3" l="1"/>
  <c r="S764" i="3"/>
  <c r="AC764" i="3" s="1"/>
  <c r="E765" i="3"/>
  <c r="D765" i="3"/>
  <c r="C765" i="3" s="1"/>
  <c r="R762" i="3"/>
  <c r="W762" i="3" s="1"/>
  <c r="H763" i="3"/>
  <c r="B764" i="3"/>
  <c r="S765" i="3" l="1"/>
  <c r="AC765" i="3" s="1"/>
  <c r="R763" i="3"/>
  <c r="W763" i="3" s="1"/>
  <c r="H764" i="3"/>
  <c r="E766" i="3"/>
  <c r="D766" i="3"/>
  <c r="B765" i="3"/>
  <c r="C766" i="3" l="1"/>
  <c r="B766" i="3" s="1"/>
  <c r="R764" i="3"/>
  <c r="W764" i="3" s="1"/>
  <c r="H765" i="3"/>
  <c r="S766" i="3"/>
  <c r="AC766" i="3" s="1"/>
  <c r="E767" i="3"/>
  <c r="D767" i="3"/>
  <c r="C767" i="3" l="1"/>
  <c r="B767" i="3" s="1"/>
  <c r="S767" i="3"/>
  <c r="AC767" i="3" s="1"/>
  <c r="E768" i="3"/>
  <c r="D768" i="3"/>
  <c r="R765" i="3"/>
  <c r="W765" i="3" s="1"/>
  <c r="H766" i="3"/>
  <c r="C768" i="3" l="1"/>
  <c r="S768" i="3"/>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C773" i="3" s="1"/>
  <c r="S772" i="3"/>
  <c r="AC772" i="3" s="1"/>
  <c r="R770" i="3"/>
  <c r="W770" i="3" s="1"/>
  <c r="H771" i="3"/>
  <c r="R771" i="3" l="1"/>
  <c r="W771" i="3" s="1"/>
  <c r="H772" i="3"/>
  <c r="B772" i="3"/>
  <c r="S773" i="3"/>
  <c r="AC773" i="3" s="1"/>
  <c r="E774" i="3"/>
  <c r="D774" i="3"/>
  <c r="C774" i="3" l="1"/>
  <c r="E775" i="3"/>
  <c r="D775" i="3"/>
  <c r="C775" i="3" s="1"/>
  <c r="S774" i="3"/>
  <c r="AC774" i="3" s="1"/>
  <c r="R772" i="3"/>
  <c r="W772" i="3" s="1"/>
  <c r="H773" i="3"/>
  <c r="B773" i="3"/>
  <c r="R773" i="3" l="1"/>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C785" i="3" s="1"/>
  <c r="B783" i="3"/>
  <c r="H783" i="3" s="1"/>
  <c r="R783" i="3" l="1"/>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C798" i="3" s="1"/>
  <c r="S797" i="3"/>
  <c r="AC797" i="3" s="1"/>
  <c r="R795" i="3"/>
  <c r="W795" i="3" s="1"/>
  <c r="H796" i="3"/>
  <c r="B796" i="3"/>
  <c r="R796" i="3" l="1"/>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C807" i="3" s="1"/>
  <c r="R804" i="3"/>
  <c r="W804" i="3" s="1"/>
  <c r="H805" i="3"/>
  <c r="S806" i="3"/>
  <c r="AC806" i="3" s="1"/>
  <c r="B805" i="3"/>
  <c r="B806" i="3" s="1"/>
  <c r="R805" i="3" l="1"/>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B822" i="3"/>
  <c r="E823" i="3"/>
  <c r="D823" i="3"/>
  <c r="C823" i="3" l="1"/>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B829" i="3" s="1"/>
  <c r="S829" i="3"/>
  <c r="AC829" i="3" s="1"/>
  <c r="E830" i="3"/>
  <c r="D830" i="3"/>
  <c r="R827" i="3"/>
  <c r="W827" i="3" s="1"/>
  <c r="H828"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H845" i="3" s="1"/>
  <c r="C846" i="3"/>
  <c r="D847" i="3"/>
  <c r="E847" i="3"/>
  <c r="S846" i="3"/>
  <c r="AC846" i="3" s="1"/>
  <c r="R844" i="3" l="1"/>
  <c r="W844" i="3" s="1"/>
  <c r="C847" i="3"/>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B850" i="3"/>
  <c r="B851" i="3" s="1"/>
  <c r="H850" i="3" l="1"/>
  <c r="H851" i="3" s="1"/>
  <c r="C852" i="3"/>
  <c r="D853" i="3"/>
  <c r="E853" i="3"/>
  <c r="S852" i="3"/>
  <c r="AC852" i="3" s="1"/>
  <c r="C853" i="3" l="1"/>
  <c r="R850" i="3"/>
  <c r="W850" i="3" s="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C864" i="3" s="1"/>
  <c r="S863" i="3"/>
  <c r="AC863" i="3" s="1"/>
  <c r="R861" i="3"/>
  <c r="W861" i="3" s="1"/>
  <c r="H862" i="3"/>
  <c r="B862" i="3"/>
  <c r="B863" i="3" s="1"/>
  <c r="R862" i="3" l="1"/>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C876" i="3" s="1"/>
  <c r="R873" i="3"/>
  <c r="W873" i="3" s="1"/>
  <c r="B874" i="3"/>
  <c r="B875" i="3" s="1"/>
  <c r="H874" i="3" l="1"/>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B903" i="3"/>
  <c r="B904" i="3" s="1"/>
  <c r="H903" i="3" l="1"/>
  <c r="H904" i="3" s="1"/>
  <c r="S905" i="3"/>
  <c r="AC905" i="3" s="1"/>
  <c r="E906" i="3"/>
  <c r="D906" i="3"/>
  <c r="B905" i="3"/>
  <c r="C906" i="3" l="1"/>
  <c r="R903" i="3"/>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B910" i="3"/>
  <c r="C911" i="3" l="1"/>
  <c r="S911" i="3"/>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E942" i="3"/>
  <c r="D942" i="3"/>
  <c r="C942" i="3" s="1"/>
  <c r="R939" i="3"/>
  <c r="W939" i="3" s="1"/>
  <c r="H940" i="3"/>
  <c r="S941" i="3"/>
  <c r="AC941" i="3" s="1"/>
  <c r="B941" i="3"/>
  <c r="R940" i="3" l="1"/>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s="1"/>
  <c r="C945" i="3" l="1"/>
  <c r="S945" i="3"/>
  <c r="AC945" i="3" s="1"/>
  <c r="E946" i="3"/>
  <c r="D946" i="3"/>
  <c r="C946" i="3" s="1"/>
  <c r="R943" i="3"/>
  <c r="W943" i="3" s="1"/>
  <c r="H944" i="3"/>
  <c r="B945" i="3"/>
  <c r="S946" i="3" l="1"/>
  <c r="AC946" i="3" s="1"/>
  <c r="E947" i="3"/>
  <c r="D947" i="3"/>
  <c r="C947" i="3" s="1"/>
  <c r="R944" i="3"/>
  <c r="W944" i="3" s="1"/>
  <c r="H945" i="3"/>
  <c r="B946" i="3"/>
  <c r="S947" i="3" l="1"/>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S955" i="3"/>
  <c r="AC955" i="3" s="1"/>
  <c r="E956" i="3"/>
  <c r="D956" i="3"/>
  <c r="C956" i="3" s="1"/>
  <c r="R953" i="3"/>
  <c r="W953" i="3" s="1"/>
  <c r="H954" i="3"/>
  <c r="B955" i="3"/>
  <c r="S956" i="3" l="1"/>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S970" i="3"/>
  <c r="AC970" i="3" s="1"/>
  <c r="E971" i="3"/>
  <c r="D971" i="3"/>
  <c r="C971" i="3" s="1"/>
  <c r="B969" i="3"/>
  <c r="H969" i="3" s="1"/>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C981" i="3" s="1"/>
  <c r="S980" i="3"/>
  <c r="AC980" i="3" s="1"/>
  <c r="R978" i="3"/>
  <c r="W978" i="3" s="1"/>
  <c r="H979" i="3"/>
  <c r="B979" i="3"/>
  <c r="R979" i="3" l="1"/>
  <c r="W979" i="3" s="1"/>
  <c r="H980" i="3"/>
  <c r="B980" i="3"/>
  <c r="S981" i="3"/>
  <c r="AC981" i="3" s="1"/>
  <c r="E982" i="3"/>
  <c r="D982" i="3"/>
  <c r="C982" i="3" l="1"/>
  <c r="E983" i="3"/>
  <c r="D983" i="3"/>
  <c r="C983" i="3" s="1"/>
  <c r="S982" i="3"/>
  <c r="AC982" i="3" s="1"/>
  <c r="R980" i="3"/>
  <c r="W980" i="3" s="1"/>
  <c r="H981" i="3"/>
  <c r="B981" i="3"/>
  <c r="R981" i="3" l="1"/>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Q1013" i="3"/>
  <c r="T1013" i="3"/>
  <c r="S1013" i="3" s="1"/>
  <c r="R1011" i="3"/>
  <c r="W1011" i="3" s="1"/>
  <c r="H1012" i="3"/>
  <c r="E1014" i="3"/>
  <c r="D1014" i="3"/>
  <c r="B1012" i="3"/>
  <c r="AH1013" i="3" l="1"/>
  <c r="AC1013" i="3" s="1"/>
  <c r="C1014" i="3"/>
  <c r="T1014" i="3"/>
  <c r="S1014" i="3" s="1"/>
  <c r="AC1014" i="3" s="1"/>
  <c r="Q1014" i="3"/>
  <c r="R1012" i="3"/>
  <c r="W1012" i="3" s="1"/>
  <c r="H1013" i="3"/>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C1019" i="3" s="1"/>
  <c r="S1018" i="3"/>
  <c r="AC1018" i="3" s="1"/>
  <c r="R1016" i="3"/>
  <c r="W1016" i="3" s="1"/>
  <c r="H1017" i="3"/>
  <c r="B1018" i="3"/>
  <c r="R1017" i="3" l="1"/>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B1029" i="3"/>
  <c r="H1029" i="3" s="1"/>
  <c r="S1030" i="3"/>
  <c r="AC1030" i="3" s="1"/>
  <c r="E1031" i="3"/>
  <c r="D1031" i="3"/>
  <c r="C1031" i="3" l="1"/>
  <c r="S1031" i="3"/>
  <c r="AC1031" i="3" s="1"/>
  <c r="E1032" i="3"/>
  <c r="D1032" i="3"/>
  <c r="C1032" i="3" s="1"/>
  <c r="R1029" i="3"/>
  <c r="W1029" i="3" s="1"/>
  <c r="B1030" i="3"/>
  <c r="B1031" i="3" s="1"/>
  <c r="H1030" i="3" l="1"/>
  <c r="H1031" i="3" s="1"/>
  <c r="E1033" i="3"/>
  <c r="D1033" i="3"/>
  <c r="C1033" i="3" s="1"/>
  <c r="S1032" i="3"/>
  <c r="AC1032" i="3" s="1"/>
  <c r="B1032" i="3"/>
  <c r="R1030" i="3" l="1"/>
  <c r="W1030" i="3" s="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C1090" i="3" s="1"/>
  <c r="S1089" i="3"/>
  <c r="AC1089" i="3" s="1"/>
  <c r="R1087" i="3"/>
  <c r="W1087" i="3" s="1"/>
  <c r="H1088" i="3"/>
  <c r="R1088" i="3" l="1"/>
  <c r="W1088" i="3" s="1"/>
  <c r="S1090" i="3"/>
  <c r="AC1090" i="3" s="1"/>
  <c r="E1091" i="3"/>
  <c r="D1091" i="3"/>
  <c r="B1089" i="3"/>
  <c r="H1089" i="3" s="1"/>
  <c r="C1091" i="3" l="1"/>
  <c r="R1089" i="3"/>
  <c r="W1089" i="3" s="1"/>
  <c r="S1091" i="3"/>
  <c r="AC1091" i="3" s="1"/>
  <c r="E1092" i="3"/>
  <c r="D1092" i="3"/>
  <c r="B1090" i="3"/>
  <c r="H1090" i="3" s="1"/>
  <c r="C1092" i="3" l="1"/>
  <c r="S1092" i="3"/>
  <c r="AC1092" i="3" s="1"/>
  <c r="R1090" i="3"/>
  <c r="W1090" i="3" s="1"/>
  <c r="H1091" i="3"/>
  <c r="E1093" i="3"/>
  <c r="D1093" i="3"/>
  <c r="B1091" i="3"/>
  <c r="C1093" i="3" l="1"/>
  <c r="S1093" i="3"/>
  <c r="AC1093" i="3" s="1"/>
  <c r="E1094" i="3"/>
  <c r="D1094" i="3"/>
  <c r="C1094" i="3" s="1"/>
  <c r="R1091" i="3"/>
  <c r="W1091" i="3" s="1"/>
  <c r="H1092" i="3"/>
  <c r="B1092" i="3"/>
  <c r="B1093" i="3" s="1"/>
  <c r="S1094" i="3" l="1"/>
  <c r="AC1094" i="3" s="1"/>
  <c r="E1095" i="3"/>
  <c r="D1095" i="3"/>
  <c r="C1095" i="3" s="1"/>
  <c r="R1092" i="3"/>
  <c r="W1092" i="3" s="1"/>
  <c r="H1093" i="3"/>
  <c r="B1094" i="3"/>
  <c r="S1095" i="3" l="1"/>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s="1"/>
  <c r="C1119" i="3" l="1"/>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B1121" i="3" s="1"/>
  <c r="C1122" i="3" l="1"/>
  <c r="S1122" i="3"/>
  <c r="AC1122" i="3" s="1"/>
  <c r="E1123" i="3"/>
  <c r="D1123" i="3"/>
  <c r="R1120" i="3"/>
  <c r="W1120" i="3" s="1"/>
  <c r="H1121" i="3"/>
  <c r="B1122" i="3"/>
  <c r="C1123" i="3" l="1"/>
  <c r="S1123" i="3"/>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B1149" i="3" s="1"/>
  <c r="E1150" i="3"/>
  <c r="D1150" i="3"/>
  <c r="C1150" i="3" s="1"/>
  <c r="S1149" i="3"/>
  <c r="AC1149" i="3" s="1"/>
  <c r="R1147" i="3"/>
  <c r="W1147" i="3" s="1"/>
  <c r="H1148" i="3"/>
  <c r="R1148" i="3" l="1"/>
  <c r="W1148" i="3" s="1"/>
  <c r="H1149" i="3"/>
  <c r="S1150" i="3"/>
  <c r="AC1150" i="3" s="1"/>
  <c r="E1151" i="3"/>
  <c r="D1151" i="3"/>
  <c r="C1151" i="3" l="1"/>
  <c r="R1149" i="3"/>
  <c r="W1149" i="3" s="1"/>
  <c r="S1151" i="3"/>
  <c r="AC1151" i="3" s="1"/>
  <c r="E1152" i="3"/>
  <c r="D1152" i="3"/>
  <c r="B1150" i="3"/>
  <c r="H1150" i="3" s="1"/>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R1156" i="3"/>
  <c r="W1156" i="3" s="1"/>
  <c r="H1157" i="3"/>
  <c r="B1158"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S1199" i="3"/>
  <c r="AC1199" i="3" s="1"/>
  <c r="E1200" i="3"/>
  <c r="D1200" i="3"/>
  <c r="R1197" i="3"/>
  <c r="W1197" i="3" s="1"/>
  <c r="H1198" i="3"/>
  <c r="B1199" i="3"/>
  <c r="C1200" i="3" l="1"/>
  <c r="S1200" i="3"/>
  <c r="AC1200" i="3" s="1"/>
  <c r="E1201" i="3"/>
  <c r="D1201" i="3"/>
  <c r="R1198" i="3"/>
  <c r="W1198" i="3" s="1"/>
  <c r="H1199" i="3"/>
  <c r="B1200"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B1204" i="3"/>
  <c r="C1205" i="3" l="1"/>
  <c r="S1205" i="3"/>
  <c r="AC1205" i="3" s="1"/>
  <c r="E1206" i="3"/>
  <c r="D1206" i="3"/>
  <c r="B1205"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C1211" i="3" s="1"/>
  <c r="S1210" i="3"/>
  <c r="AC1210" i="3" s="1"/>
  <c r="E1212" i="3" l="1"/>
  <c r="D1212" i="3"/>
  <c r="S1211" i="3"/>
  <c r="AC1211" i="3" s="1"/>
  <c r="R1209" i="3"/>
  <c r="W1209" i="3" s="1"/>
  <c r="B1210" i="3"/>
  <c r="B1211" i="3" s="1"/>
  <c r="C1212" i="3" l="1"/>
  <c r="H1210" i="3"/>
  <c r="R1210" i="3" s="1"/>
  <c r="W1210" i="3" s="1"/>
  <c r="S1212" i="3"/>
  <c r="AC1212" i="3" s="1"/>
  <c r="E1213" i="3"/>
  <c r="D1213" i="3"/>
  <c r="H1211" i="3" l="1"/>
  <c r="H1212" i="3" s="1"/>
  <c r="C1213" i="3"/>
  <c r="S1213" i="3"/>
  <c r="AC1213" i="3" s="1"/>
  <c r="E1214" i="3"/>
  <c r="D1214" i="3"/>
  <c r="C1214" i="3" s="1"/>
  <c r="B1212" i="3"/>
  <c r="R1211" i="3" l="1"/>
  <c r="W1211" i="3" s="1"/>
  <c r="R1212" i="3"/>
  <c r="W1212" i="3" s="1"/>
  <c r="H1213" i="3"/>
  <c r="S1214" i="3"/>
  <c r="AC1214" i="3" s="1"/>
  <c r="E1215" i="3"/>
  <c r="D1215" i="3"/>
  <c r="B1213" i="3"/>
  <c r="C1215" i="3" l="1"/>
  <c r="R1213" i="3"/>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C1218" i="3" s="1"/>
  <c r="B1216" i="3"/>
  <c r="S1218" i="3" l="1"/>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B1225" i="3"/>
  <c r="C1227" i="3" l="1"/>
  <c r="E1228" i="3"/>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B1232" i="3"/>
  <c r="C1234" i="3" l="1"/>
  <c r="S1234" i="3"/>
  <c r="AC1234" i="3" s="1"/>
  <c r="R1232" i="3"/>
  <c r="W1232" i="3" s="1"/>
  <c r="E1235" i="3"/>
  <c r="D1235" i="3"/>
  <c r="B1233" i="3"/>
  <c r="B1234" i="3" s="1"/>
  <c r="C1235" i="3" l="1"/>
  <c r="H1233" i="3"/>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s="1"/>
  <c r="R1243" i="3" l="1"/>
  <c r="W1243" i="3" s="1"/>
  <c r="S1245" i="3"/>
  <c r="AC1245" i="3" s="1"/>
  <c r="E1246" i="3"/>
  <c r="D1246" i="3"/>
  <c r="C1246" i="3" s="1"/>
  <c r="B1244" i="3"/>
  <c r="H1244" i="3" s="1"/>
  <c r="R1244" i="3" l="1"/>
  <c r="W1244" i="3" s="1"/>
  <c r="H1245" i="3"/>
  <c r="S1246" i="3"/>
  <c r="AC1246" i="3" s="1"/>
  <c r="E1247" i="3"/>
  <c r="D1247" i="3"/>
  <c r="B1245" i="3"/>
  <c r="C1247" i="3" l="1"/>
  <c r="R1245" i="3"/>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S1250" i="3"/>
  <c r="AC1250" i="3" s="1"/>
  <c r="E1251" i="3"/>
  <c r="D1251" i="3"/>
  <c r="R1248" i="3"/>
  <c r="W1248" i="3" s="1"/>
  <c r="H1249" i="3"/>
  <c r="B1250"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C1257" i="3" s="1"/>
  <c r="S1256" i="3"/>
  <c r="AC1256" i="3" s="1"/>
  <c r="R1254" i="3"/>
  <c r="W1254" i="3" s="1"/>
  <c r="H1255" i="3"/>
  <c r="B1255" i="3"/>
  <c r="R1255" i="3" l="1"/>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S1270" i="3"/>
  <c r="AC1270" i="3" s="1"/>
  <c r="B1269" i="3"/>
  <c r="H1269" i="3" s="1"/>
  <c r="E1271" i="3"/>
  <c r="D1271" i="3"/>
  <c r="C1271" i="3" l="1"/>
  <c r="S1271" i="3"/>
  <c r="AC1271" i="3" s="1"/>
  <c r="E1272" i="3"/>
  <c r="D1272" i="3"/>
  <c r="R1269" i="3"/>
  <c r="W1269" i="3" s="1"/>
  <c r="B1270" i="3"/>
  <c r="B1271" i="3" s="1"/>
  <c r="C1272" i="3" l="1"/>
  <c r="H1270" i="3"/>
  <c r="R1270" i="3" s="1"/>
  <c r="W1270" i="3" s="1"/>
  <c r="D1273" i="3"/>
  <c r="E1273" i="3"/>
  <c r="S1272" i="3"/>
  <c r="AC1272" i="3" s="1"/>
  <c r="B1272" i="3"/>
  <c r="H1271" i="3" l="1"/>
  <c r="H1272" i="3" s="1"/>
  <c r="C1273" i="3"/>
  <c r="E1274" i="3"/>
  <c r="D1274" i="3"/>
  <c r="S1273" i="3"/>
  <c r="AC1273" i="3" s="1"/>
  <c r="R1271" i="3" l="1"/>
  <c r="W1271" i="3" s="1"/>
  <c r="C1274" i="3"/>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C1282" i="3" s="1"/>
  <c r="R1279" i="3"/>
  <c r="W1279" i="3" s="1"/>
  <c r="H1280" i="3"/>
  <c r="B1281" i="3"/>
  <c r="S1282" i="3" l="1"/>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R1284" i="3"/>
  <c r="W1284" i="3" s="1"/>
  <c r="H1285" i="3"/>
  <c r="B1286" i="3"/>
  <c r="C1287" i="3" l="1"/>
  <c r="S1287" i="3"/>
  <c r="AC1287" i="3" s="1"/>
  <c r="R1285" i="3"/>
  <c r="W1285" i="3" s="1"/>
  <c r="H1286" i="3"/>
  <c r="E1288" i="3"/>
  <c r="D1288" i="3"/>
  <c r="C1288" i="3" s="1"/>
  <c r="B1287" i="3"/>
  <c r="R1286" i="3" l="1"/>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B1296" i="3"/>
  <c r="C1298" i="3" l="1"/>
  <c r="S1298" i="3"/>
  <c r="AC1298" i="3" s="1"/>
  <c r="R1296" i="3"/>
  <c r="W1296" i="3" s="1"/>
  <c r="H1297" i="3"/>
  <c r="E1299" i="3"/>
  <c r="D1299" i="3"/>
  <c r="C1299" i="3" s="1"/>
  <c r="B1297" i="3"/>
  <c r="S1299" i="3" l="1"/>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E1331" i="3"/>
  <c r="D1331" i="3"/>
  <c r="C1331" i="3" s="1"/>
  <c r="B1329" i="3"/>
  <c r="B1330" i="3" s="1"/>
  <c r="H1329" i="3" l="1"/>
  <c r="R1329" i="3" s="1"/>
  <c r="W1329" i="3" s="1"/>
  <c r="S1331" i="3"/>
  <c r="AC1331" i="3" s="1"/>
  <c r="E1332" i="3"/>
  <c r="D1332" i="3"/>
  <c r="B1331" i="3"/>
  <c r="H1330" i="3" l="1"/>
  <c r="R1330" i="3" s="1"/>
  <c r="W1330" i="3" s="1"/>
  <c r="C1332" i="3"/>
  <c r="B1332" i="3" s="1"/>
  <c r="S1332" i="3"/>
  <c r="AC1332" i="3" s="1"/>
  <c r="E1333" i="3"/>
  <c r="D1333" i="3"/>
  <c r="C1333" i="3" s="1"/>
  <c r="H1331" i="3" l="1"/>
  <c r="H1332" i="3" s="1"/>
  <c r="S1333" i="3"/>
  <c r="AC1333" i="3" s="1"/>
  <c r="E1334" i="3"/>
  <c r="D1334" i="3"/>
  <c r="C1334" i="3" s="1"/>
  <c r="B1333" i="3"/>
  <c r="R1331" i="3" l="1"/>
  <c r="W1331" i="3" s="1"/>
  <c r="R1332" i="3"/>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C1341" i="3" s="1"/>
  <c r="B1339" i="3"/>
  <c r="S1341" i="3" l="1"/>
  <c r="AC1341" i="3" s="1"/>
  <c r="E1342" i="3"/>
  <c r="D1342" i="3"/>
  <c r="R1339" i="3"/>
  <c r="W1339" i="3" s="1"/>
  <c r="H1340" i="3"/>
  <c r="B1340" i="3"/>
  <c r="B1341" i="3" s="1"/>
  <c r="C1342" i="3" l="1"/>
  <c r="S1342" i="3"/>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B1352" i="3"/>
  <c r="C1353" i="3" l="1"/>
  <c r="R1351" i="3"/>
  <c r="W1351" i="3" s="1"/>
  <c r="H1352" i="3"/>
  <c r="S1353" i="3"/>
  <c r="AC1353" i="3" s="1"/>
  <c r="E1354" i="3"/>
  <c r="D1354" i="3"/>
  <c r="B1353" i="3"/>
  <c r="C1354" i="3" l="1"/>
  <c r="S1354" i="3"/>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S1357" i="3"/>
  <c r="AC1357" i="3" s="1"/>
  <c r="B1357" i="3"/>
  <c r="C1358" i="3" l="1"/>
  <c r="S1358" i="3"/>
  <c r="AC1358" i="3" s="1"/>
  <c r="B1358" i="3"/>
  <c r="E1359" i="3"/>
  <c r="D1359" i="3"/>
  <c r="R1356" i="3"/>
  <c r="W1356" i="3" s="1"/>
  <c r="H1357" i="3"/>
  <c r="C1359" i="3" l="1"/>
  <c r="E1360" i="3"/>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C1363" i="3" s="1"/>
  <c r="B1361" i="3"/>
  <c r="S1363" i="3" l="1"/>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C1368" i="3" l="1"/>
  <c r="E1369" i="3"/>
  <c r="D1369" i="3"/>
  <c r="C1369" i="3" s="1"/>
  <c r="S1368" i="3"/>
  <c r="AC1368" i="3" s="1"/>
  <c r="R1366" i="3"/>
  <c r="W1366" i="3" s="1"/>
  <c r="H1367" i="3"/>
  <c r="R1367" i="3" l="1"/>
  <c r="W1367" i="3" s="1"/>
  <c r="H1368" i="3"/>
  <c r="B1368" i="3"/>
  <c r="S1369" i="3"/>
  <c r="AC1369" i="3" s="1"/>
  <c r="E1370" i="3"/>
  <c r="D1370" i="3"/>
  <c r="C1370" i="3" l="1"/>
  <c r="E1371" i="3"/>
  <c r="D1371" i="3"/>
  <c r="C1371" i="3" s="1"/>
  <c r="R1368" i="3"/>
  <c r="W1368" i="3" s="1"/>
  <c r="H1369" i="3"/>
  <c r="S1370" i="3"/>
  <c r="AC1370" i="3" s="1"/>
  <c r="B1369" i="3"/>
  <c r="R1369" i="3" l="1"/>
  <c r="W1369" i="3" s="1"/>
  <c r="H1370" i="3"/>
  <c r="S1371" i="3"/>
  <c r="AC1371" i="3" s="1"/>
  <c r="E1372" i="3"/>
  <c r="D1372" i="3"/>
  <c r="B1370" i="3"/>
  <c r="C1372" i="3" l="1"/>
  <c r="S1372" i="3"/>
  <c r="AC1372" i="3" s="1"/>
  <c r="R1370" i="3"/>
  <c r="W1370" i="3" s="1"/>
  <c r="H1371" i="3"/>
  <c r="E1373" i="3"/>
  <c r="D1373" i="3"/>
  <c r="C1373" i="3" s="1"/>
  <c r="B1371" i="3"/>
  <c r="B1372" i="3" s="1"/>
  <c r="S1373" i="3" l="1"/>
  <c r="AC1373" i="3" s="1"/>
  <c r="E1374" i="3"/>
  <c r="D1374" i="3"/>
  <c r="B1373" i="3"/>
  <c r="R1371" i="3"/>
  <c r="W1371" i="3" s="1"/>
  <c r="H1372" i="3"/>
  <c r="C1374" i="3" l="1"/>
  <c r="S1374" i="3"/>
  <c r="AC1374" i="3" s="1"/>
  <c r="E1375" i="3"/>
  <c r="D1375" i="3"/>
  <c r="C1375" i="3" s="1"/>
  <c r="R1372" i="3"/>
  <c r="W1372" i="3" s="1"/>
  <c r="H1373" i="3"/>
  <c r="B1374" i="3"/>
  <c r="S1375" i="3" l="1"/>
  <c r="AC1375" i="3" s="1"/>
  <c r="E1376" i="3"/>
  <c r="D1376" i="3"/>
  <c r="R1373" i="3"/>
  <c r="W1373" i="3" s="1"/>
  <c r="H1374" i="3"/>
  <c r="B1375" i="3"/>
  <c r="C1376" i="3" l="1"/>
  <c r="S1376" i="3"/>
  <c r="AC1376" i="3" s="1"/>
  <c r="E1377" i="3"/>
  <c r="D1377" i="3"/>
  <c r="C1377" i="3" s="1"/>
  <c r="R1374" i="3"/>
  <c r="W1374" i="3" s="1"/>
  <c r="H1375" i="3"/>
  <c r="B1376" i="3"/>
  <c r="S1377" i="3" l="1"/>
  <c r="AC1377" i="3" s="1"/>
  <c r="E1378" i="3"/>
  <c r="D1378" i="3"/>
  <c r="R1375" i="3"/>
  <c r="W1375" i="3" s="1"/>
  <c r="H1376" i="3"/>
  <c r="B1377" i="3"/>
  <c r="C1378" i="3" l="1"/>
  <c r="S1378" i="3"/>
  <c r="AC1378" i="3" s="1"/>
  <c r="R1376" i="3"/>
  <c r="W1376" i="3" s="1"/>
  <c r="H1377" i="3"/>
  <c r="E1379" i="3"/>
  <c r="D1379" i="3"/>
  <c r="C1379" i="3" s="1"/>
  <c r="B1378" i="3"/>
  <c r="R1377" i="3" l="1"/>
  <c r="W1377" i="3" s="1"/>
  <c r="H1378" i="3"/>
  <c r="S1379" i="3"/>
  <c r="AC1379" i="3" s="1"/>
  <c r="E1380" i="3"/>
  <c r="D1380" i="3"/>
  <c r="B1379" i="3"/>
  <c r="C1380" i="3" l="1"/>
  <c r="S1380" i="3"/>
  <c r="AC1380" i="3" s="1"/>
  <c r="E1381" i="3"/>
  <c r="D1381" i="3"/>
  <c r="B1380" i="3"/>
  <c r="R1378" i="3"/>
  <c r="W1378" i="3" s="1"/>
  <c r="H1379" i="3"/>
  <c r="C1381" i="3" l="1"/>
  <c r="S1381" i="3"/>
  <c r="AC1381" i="3" s="1"/>
  <c r="E1382" i="3"/>
  <c r="D1382" i="3"/>
  <c r="R1379" i="3"/>
  <c r="W1379" i="3" s="1"/>
  <c r="H1380" i="3"/>
  <c r="B1381" i="3"/>
  <c r="C1382" i="3" l="1"/>
  <c r="S1382" i="3"/>
  <c r="AC1382" i="3" s="1"/>
  <c r="E1383" i="3"/>
  <c r="D1383" i="3"/>
  <c r="C1383" i="3" s="1"/>
  <c r="R1380" i="3"/>
  <c r="W1380" i="3" s="1"/>
  <c r="H1381" i="3"/>
  <c r="B1382" i="3"/>
  <c r="S1383" i="3" l="1"/>
  <c r="AC1383" i="3" s="1"/>
  <c r="E1384" i="3"/>
  <c r="D1384" i="3"/>
  <c r="R1381" i="3"/>
  <c r="W1381" i="3" s="1"/>
  <c r="H1382" i="3"/>
  <c r="B1383" i="3"/>
  <c r="C1384" i="3" l="1"/>
  <c r="S1384" i="3"/>
  <c r="AC1384" i="3" s="1"/>
  <c r="E1385" i="3"/>
  <c r="D1385" i="3"/>
  <c r="C1385" i="3" s="1"/>
  <c r="R1382" i="3"/>
  <c r="W1382" i="3" s="1"/>
  <c r="H1383" i="3"/>
  <c r="B1384" i="3"/>
  <c r="S1385" i="3" l="1"/>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C1395" i="3" s="1"/>
  <c r="B1393" i="3"/>
  <c r="S1395" i="3" l="1"/>
  <c r="AC1395" i="3" s="1"/>
  <c r="E1396" i="3"/>
  <c r="D1396" i="3"/>
  <c r="C1396" i="3" s="1"/>
  <c r="R1393" i="3"/>
  <c r="W1393" i="3" s="1"/>
  <c r="H1394" i="3"/>
  <c r="B1394" i="3"/>
  <c r="B1395" i="3" s="1"/>
  <c r="E1397" i="3" l="1"/>
  <c r="D1397" i="3"/>
  <c r="C1397" i="3" s="1"/>
  <c r="S1396" i="3"/>
  <c r="AC1396" i="3" s="1"/>
  <c r="R1394" i="3"/>
  <c r="W1394" i="3" s="1"/>
  <c r="H1395" i="3"/>
  <c r="B1396" i="3"/>
  <c r="R1395" i="3" l="1"/>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T1415" i="3" l="1"/>
  <c r="S1415" i="3" s="1"/>
  <c r="Q1415" i="3"/>
  <c r="C1415" i="3"/>
  <c r="E1416" i="3"/>
  <c r="D1416" i="3"/>
  <c r="R1413" i="3"/>
  <c r="W1413" i="3" s="1"/>
  <c r="B1414" i="3"/>
  <c r="H1414" i="3" s="1"/>
  <c r="C1416" i="3" l="1"/>
  <c r="AH1415" i="3"/>
  <c r="AC1415" i="3" s="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C1419" i="3" s="1"/>
  <c r="B1417" i="3"/>
  <c r="B1418" i="3" s="1"/>
  <c r="S1419" i="3" l="1"/>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C1425" i="3" s="1"/>
  <c r="S1424" i="3"/>
  <c r="AC1424" i="3" s="1"/>
  <c r="R1422" i="3"/>
  <c r="W1422" i="3" s="1"/>
  <c r="H1423" i="3"/>
  <c r="B1423" i="3"/>
  <c r="R1423" i="3" l="1"/>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C1430" i="3" s="1"/>
  <c r="S1429" i="3"/>
  <c r="AC1429" i="3" s="1"/>
  <c r="R1427" i="3"/>
  <c r="W1427" i="3" s="1"/>
  <c r="H1428" i="3"/>
  <c r="R1428" i="3" l="1"/>
  <c r="W1428" i="3" s="1"/>
  <c r="H1429" i="3"/>
  <c r="B1429" i="3"/>
  <c r="S1430" i="3"/>
  <c r="AC1430" i="3" s="1"/>
  <c r="E1431" i="3"/>
  <c r="D1431" i="3"/>
  <c r="C1431" i="3" l="1"/>
  <c r="E1432" i="3"/>
  <c r="D1432" i="3"/>
  <c r="C1432" i="3" s="1"/>
  <c r="S1431" i="3"/>
  <c r="AC1431" i="3" s="1"/>
  <c r="R1429" i="3"/>
  <c r="W1429" i="3" s="1"/>
  <c r="H1430" i="3"/>
  <c r="B1430" i="3"/>
  <c r="R1430" i="3" l="1"/>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C1440" i="3" s="1"/>
  <c r="R1437" i="3"/>
  <c r="W1437" i="3" s="1"/>
  <c r="H1438" i="3"/>
  <c r="S1439" i="3"/>
  <c r="AC1439" i="3" s="1"/>
  <c r="B1438" i="3"/>
  <c r="B1439" i="3" l="1"/>
  <c r="R1438" i="3"/>
  <c r="W1438" i="3" s="1"/>
  <c r="H1439" i="3"/>
  <c r="S1440" i="3"/>
  <c r="AC1440" i="3" s="1"/>
  <c r="E1441" i="3"/>
  <c r="D1441" i="3"/>
  <c r="C1441" i="3" s="1"/>
  <c r="R1439" i="3" l="1"/>
  <c r="W1439" i="3" s="1"/>
  <c r="H1440" i="3"/>
  <c r="S1441" i="3"/>
  <c r="AC1441" i="3" s="1"/>
  <c r="E1442" i="3"/>
  <c r="E1443" i="3" s="1"/>
  <c r="E1444" i="3" s="1"/>
  <c r="E1445" i="3" s="1"/>
  <c r="E1446" i="3" s="1"/>
  <c r="E1447" i="3" s="1"/>
  <c r="E1448" i="3" s="1"/>
  <c r="E1449" i="3" s="1"/>
  <c r="E1450" i="3" s="1"/>
  <c r="E1451" i="3" s="1"/>
  <c r="E1452" i="3" s="1"/>
  <c r="E1453" i="3" s="1"/>
  <c r="E1454" i="3" s="1"/>
  <c r="E1455" i="3" s="1"/>
  <c r="E1456" i="3" s="1"/>
  <c r="E1457" i="3" s="1"/>
  <c r="E1458" i="3" s="1"/>
  <c r="E1459" i="3" s="1"/>
  <c r="E1460" i="3" s="1"/>
  <c r="E1461" i="3" s="1"/>
  <c r="E1462" i="3" s="1"/>
  <c r="E1463" i="3" s="1"/>
  <c r="E1464" i="3" s="1"/>
  <c r="E1465" i="3" s="1"/>
  <c r="E1466" i="3" s="1"/>
  <c r="E1467" i="3" s="1"/>
  <c r="E1468" i="3" s="1"/>
  <c r="E1469" i="3" s="1"/>
  <c r="E1470" i="3" s="1"/>
  <c r="E1471" i="3" s="1"/>
  <c r="E1472" i="3" s="1"/>
  <c r="E1473" i="3" s="1"/>
  <c r="E1474" i="3" s="1"/>
  <c r="E1475" i="3" s="1"/>
  <c r="E1476" i="3" s="1"/>
  <c r="E1477" i="3" s="1"/>
  <c r="E1478" i="3" s="1"/>
  <c r="E1479" i="3" s="1"/>
  <c r="E1480" i="3" s="1"/>
  <c r="E1481" i="3" s="1"/>
  <c r="E1482" i="3" s="1"/>
  <c r="E1483" i="3" s="1"/>
  <c r="E1484" i="3" s="1"/>
  <c r="E1485" i="3" s="1"/>
  <c r="E1486" i="3" s="1"/>
  <c r="E1487" i="3" s="1"/>
  <c r="E1488" i="3" s="1"/>
  <c r="E1489" i="3" s="1"/>
  <c r="E1490" i="3" s="1"/>
  <c r="E1491" i="3" s="1"/>
  <c r="E1492" i="3" s="1"/>
  <c r="E1493" i="3" s="1"/>
  <c r="E1494" i="3" s="1"/>
  <c r="E1495" i="3" s="1"/>
  <c r="E1496" i="3" s="1"/>
  <c r="E1497" i="3" s="1"/>
  <c r="E1498" i="3" s="1"/>
  <c r="E1499" i="3" s="1"/>
  <c r="E1500" i="3" s="1"/>
  <c r="E1501" i="3" s="1"/>
  <c r="E1502" i="3" s="1"/>
  <c r="E1503" i="3" s="1"/>
  <c r="E1504" i="3" s="1"/>
  <c r="E1505" i="3" s="1"/>
  <c r="E1506" i="3" s="1"/>
  <c r="E1507" i="3" s="1"/>
  <c r="E1508" i="3" s="1"/>
  <c r="E1509" i="3" s="1"/>
  <c r="E1510" i="3" s="1"/>
  <c r="E1511" i="3" s="1"/>
  <c r="E1512" i="3" s="1"/>
  <c r="E1513" i="3" s="1"/>
  <c r="E1514" i="3" s="1"/>
  <c r="E1515" i="3" s="1"/>
  <c r="E1516" i="3" s="1"/>
  <c r="E1517" i="3" s="1"/>
  <c r="E1518" i="3" s="1"/>
  <c r="E1519" i="3" s="1"/>
  <c r="E1520" i="3" s="1"/>
  <c r="E1521" i="3" s="1"/>
  <c r="E1522" i="3" s="1"/>
  <c r="E1523" i="3" s="1"/>
  <c r="E1524" i="3" s="1"/>
  <c r="E1525" i="3" s="1"/>
  <c r="E1526" i="3" s="1"/>
  <c r="E1527" i="3" s="1"/>
  <c r="E1528" i="3" s="1"/>
  <c r="E1529" i="3" s="1"/>
  <c r="E1530" i="3" s="1"/>
  <c r="E1531" i="3" s="1"/>
  <c r="E1532" i="3" s="1"/>
  <c r="E1533" i="3" s="1"/>
  <c r="E1534" i="3" s="1"/>
  <c r="E1535" i="3" s="1"/>
  <c r="E1536" i="3" s="1"/>
  <c r="E1537" i="3" s="1"/>
  <c r="E1538" i="3" s="1"/>
  <c r="E1539" i="3" s="1"/>
  <c r="E1540" i="3" s="1"/>
  <c r="E1541" i="3" s="1"/>
  <c r="E1542" i="3" s="1"/>
  <c r="E1543" i="3" s="1"/>
  <c r="E1544" i="3" s="1"/>
  <c r="E1545" i="3" s="1"/>
  <c r="E1546" i="3" s="1"/>
  <c r="E1547" i="3" s="1"/>
  <c r="E1548" i="3" s="1"/>
  <c r="E1549" i="3" s="1"/>
  <c r="E1550" i="3" s="1"/>
  <c r="E1551" i="3" s="1"/>
  <c r="E1552" i="3" s="1"/>
  <c r="E1553" i="3" s="1"/>
  <c r="E1554" i="3" s="1"/>
  <c r="E1555" i="3" s="1"/>
  <c r="E1556" i="3" s="1"/>
  <c r="E1557" i="3" s="1"/>
  <c r="E1558" i="3" s="1"/>
  <c r="E1559" i="3" s="1"/>
  <c r="E1560" i="3" s="1"/>
  <c r="E1561" i="3" s="1"/>
  <c r="E1562" i="3" s="1"/>
  <c r="E1563" i="3" s="1"/>
  <c r="E1564" i="3" s="1"/>
  <c r="E1565" i="3" s="1"/>
  <c r="E1566" i="3" s="1"/>
  <c r="E1567" i="3" s="1"/>
  <c r="E1568" i="3" s="1"/>
  <c r="E1569" i="3" s="1"/>
  <c r="E1570" i="3" s="1"/>
  <c r="E1571" i="3" s="1"/>
  <c r="E1572" i="3" s="1"/>
  <c r="E1573" i="3" s="1"/>
  <c r="E1574" i="3" s="1"/>
  <c r="E1575" i="3" s="1"/>
  <c r="E1576" i="3" s="1"/>
  <c r="E1577" i="3" s="1"/>
  <c r="E1578" i="3" s="1"/>
  <c r="E1579" i="3" s="1"/>
  <c r="E1580" i="3" s="1"/>
  <c r="E1581" i="3" s="1"/>
  <c r="E1582" i="3" s="1"/>
  <c r="E1583" i="3" s="1"/>
  <c r="E1584" i="3" s="1"/>
  <c r="E1585" i="3" s="1"/>
  <c r="E1586" i="3" s="1"/>
  <c r="E1587" i="3" s="1"/>
  <c r="E1588" i="3" s="1"/>
  <c r="E1589" i="3" s="1"/>
  <c r="E1590" i="3" s="1"/>
  <c r="E1591" i="3" s="1"/>
  <c r="E1592" i="3" s="1"/>
  <c r="E1593" i="3" s="1"/>
  <c r="E1594" i="3" s="1"/>
  <c r="E1595" i="3" s="1"/>
  <c r="E1596" i="3" s="1"/>
  <c r="E1597" i="3" s="1"/>
  <c r="E1598" i="3" s="1"/>
  <c r="E1599" i="3" s="1"/>
  <c r="E1600" i="3" s="1"/>
  <c r="E1601" i="3" s="1"/>
  <c r="E1602" i="3" s="1"/>
  <c r="E1603" i="3" s="1"/>
  <c r="E1604" i="3" s="1"/>
  <c r="E1605" i="3" s="1"/>
  <c r="E1606" i="3" s="1"/>
  <c r="E1607" i="3" s="1"/>
  <c r="E1608" i="3" s="1"/>
  <c r="E1609" i="3" s="1"/>
  <c r="E1610" i="3" s="1"/>
  <c r="E1611" i="3" s="1"/>
  <c r="E1612" i="3" s="1"/>
  <c r="E1613" i="3" s="1"/>
  <c r="E1614" i="3" s="1"/>
  <c r="E1615" i="3" s="1"/>
  <c r="E1616" i="3" s="1"/>
  <c r="E1617" i="3" s="1"/>
  <c r="E1618" i="3" s="1"/>
  <c r="E1619" i="3" s="1"/>
  <c r="E1620" i="3" s="1"/>
  <c r="E1621" i="3" s="1"/>
  <c r="E1622" i="3" s="1"/>
  <c r="E1623" i="3" s="1"/>
  <c r="E1624" i="3" s="1"/>
  <c r="E1625" i="3" s="1"/>
  <c r="E1626" i="3" s="1"/>
  <c r="E1627" i="3" s="1"/>
  <c r="E1628" i="3" s="1"/>
  <c r="E1629" i="3" s="1"/>
  <c r="E1630" i="3" s="1"/>
  <c r="E1631" i="3" s="1"/>
  <c r="E1632" i="3" s="1"/>
  <c r="E1633" i="3" s="1"/>
  <c r="E1634" i="3" s="1"/>
  <c r="E1635" i="3" s="1"/>
  <c r="E1636" i="3" s="1"/>
  <c r="E1637" i="3" s="1"/>
  <c r="E1638" i="3" s="1"/>
  <c r="E1639" i="3" s="1"/>
  <c r="E1640" i="3" s="1"/>
  <c r="E1641" i="3" s="1"/>
  <c r="E1642" i="3" s="1"/>
  <c r="E1643" i="3" s="1"/>
  <c r="E1644" i="3" s="1"/>
  <c r="E1645" i="3" s="1"/>
  <c r="E1646" i="3" s="1"/>
  <c r="E1647" i="3" s="1"/>
  <c r="D1442" i="3"/>
  <c r="D1443" i="3" s="1"/>
  <c r="B1440" i="3"/>
  <c r="S1443" i="3" l="1"/>
  <c r="AC1443" i="3" s="1"/>
  <c r="D1444" i="3"/>
  <c r="C1442" i="3"/>
  <c r="R1440" i="3"/>
  <c r="W1440" i="3" s="1"/>
  <c r="H1441" i="3"/>
  <c r="S1442" i="3"/>
  <c r="AC1442" i="3" s="1"/>
  <c r="B1441" i="3"/>
  <c r="B1442" i="3" s="1"/>
  <c r="S1444" i="3" l="1"/>
  <c r="AC1444" i="3" s="1"/>
  <c r="D1445" i="3"/>
  <c r="C1443" i="3"/>
  <c r="B1443" i="3" s="1"/>
  <c r="R1441" i="3"/>
  <c r="W1441" i="3" s="1"/>
  <c r="H1442" i="3"/>
  <c r="S1445" i="3" l="1"/>
  <c r="AC1445" i="3" s="1"/>
  <c r="D1446" i="3"/>
  <c r="H1443" i="3"/>
  <c r="R1443" i="3" s="1"/>
  <c r="W1443" i="3" s="1"/>
  <c r="C1444" i="3"/>
  <c r="B1444" i="3" s="1"/>
  <c r="R1442" i="3"/>
  <c r="W1442" i="3" s="1"/>
  <c r="H1444" i="3" l="1"/>
  <c r="H1445" i="3" s="1"/>
  <c r="S1446" i="3"/>
  <c r="AC1446" i="3" s="1"/>
  <c r="D1447" i="3"/>
  <c r="C1445" i="3"/>
  <c r="B1445" i="3" s="1"/>
  <c r="R1444" i="3" l="1"/>
  <c r="W1444" i="3" s="1"/>
  <c r="S1447" i="3"/>
  <c r="AC1447" i="3" s="1"/>
  <c r="D1448" i="3"/>
  <c r="C1446" i="3"/>
  <c r="H1446" i="3"/>
  <c r="R1445" i="3"/>
  <c r="W1445" i="3" s="1"/>
  <c r="S1448" i="3" l="1"/>
  <c r="AC1448" i="3" s="1"/>
  <c r="D1449" i="3"/>
  <c r="C1447" i="3"/>
  <c r="H1447" i="3"/>
  <c r="R1446" i="3"/>
  <c r="W1446" i="3" s="1"/>
  <c r="B1446" i="3"/>
  <c r="B1447" i="3" l="1"/>
  <c r="S1449" i="3"/>
  <c r="AC1449" i="3" s="1"/>
  <c r="D1450" i="3"/>
  <c r="R1447" i="3"/>
  <c r="W1447" i="3" s="1"/>
  <c r="H1448" i="3"/>
  <c r="C1448" i="3"/>
  <c r="B1448" i="3" s="1"/>
  <c r="S1450" i="3" l="1"/>
  <c r="AC1450" i="3" s="1"/>
  <c r="D1451" i="3"/>
  <c r="C1449" i="3"/>
  <c r="B1449" i="3" s="1"/>
  <c r="H1449" i="3" s="1"/>
  <c r="R1448" i="3"/>
  <c r="W1448" i="3" s="1"/>
  <c r="S1451" i="3" l="1"/>
  <c r="AC1451" i="3" s="1"/>
  <c r="D1452" i="3"/>
  <c r="R1449" i="3"/>
  <c r="W1449" i="3" s="1"/>
  <c r="C1450" i="3"/>
  <c r="B1450" i="3" s="1"/>
  <c r="H1450" i="3" s="1"/>
  <c r="S1452" i="3" l="1"/>
  <c r="AC1452" i="3" s="1"/>
  <c r="D1453" i="3"/>
  <c r="C1451" i="3"/>
  <c r="B1451" i="3" s="1"/>
  <c r="H1451" i="3"/>
  <c r="R1450" i="3"/>
  <c r="W1450" i="3" s="1"/>
  <c r="D1454" i="3" l="1"/>
  <c r="S1453" i="3"/>
  <c r="AC1453" i="3" s="1"/>
  <c r="H1452" i="3"/>
  <c r="R1451" i="3"/>
  <c r="W1451" i="3" s="1"/>
  <c r="C1452" i="3"/>
  <c r="B1452" i="3" s="1"/>
  <c r="S1454" i="3" l="1"/>
  <c r="AC1454" i="3" s="1"/>
  <c r="D1455" i="3"/>
  <c r="C1453" i="3"/>
  <c r="B1453" i="3" s="1"/>
  <c r="R1452" i="3"/>
  <c r="W1452" i="3" s="1"/>
  <c r="H1453" i="3"/>
  <c r="D1456" i="3" l="1"/>
  <c r="S1455" i="3"/>
  <c r="AC1455" i="3" s="1"/>
  <c r="H1454" i="3"/>
  <c r="R1453" i="3"/>
  <c r="W1453" i="3" s="1"/>
  <c r="C1454" i="3"/>
  <c r="B1454" i="3" s="1"/>
  <c r="S1456" i="3" l="1"/>
  <c r="AC1456" i="3" s="1"/>
  <c r="D1457" i="3"/>
  <c r="C1455" i="3"/>
  <c r="B1455" i="3" s="1"/>
  <c r="R1454" i="3"/>
  <c r="W1454" i="3" s="1"/>
  <c r="H1455" i="3"/>
  <c r="D1458" i="3" l="1"/>
  <c r="S1457" i="3"/>
  <c r="AC1457" i="3" s="1"/>
  <c r="R1455" i="3"/>
  <c r="W1455" i="3" s="1"/>
  <c r="H1456" i="3"/>
  <c r="C1456" i="3"/>
  <c r="S1458" i="3" l="1"/>
  <c r="AC1458" i="3" s="1"/>
  <c r="D1459" i="3"/>
  <c r="C1457" i="3"/>
  <c r="B1456" i="3"/>
  <c r="R1456" i="3"/>
  <c r="W1456" i="3" s="1"/>
  <c r="H1457" i="3"/>
  <c r="B1457" i="3" l="1"/>
  <c r="D1460" i="3"/>
  <c r="S1459" i="3"/>
  <c r="AC1459" i="3" s="1"/>
  <c r="H1458" i="3"/>
  <c r="R1457" i="3"/>
  <c r="W1457" i="3" s="1"/>
  <c r="C1458" i="3"/>
  <c r="B1458" i="3" s="1"/>
  <c r="S1460" i="3" l="1"/>
  <c r="AC1460" i="3" s="1"/>
  <c r="D1461" i="3"/>
  <c r="C1459" i="3"/>
  <c r="B1459" i="3" s="1"/>
  <c r="R1458" i="3"/>
  <c r="W1458" i="3" s="1"/>
  <c r="H1459" i="3"/>
  <c r="D1462" i="3" l="1"/>
  <c r="S1461" i="3"/>
  <c r="AC1461" i="3" s="1"/>
  <c r="H1460" i="3"/>
  <c r="R1459" i="3"/>
  <c r="W1459" i="3" s="1"/>
  <c r="C1460" i="3"/>
  <c r="B1460" i="3" s="1"/>
  <c r="S1462" i="3" l="1"/>
  <c r="AC1462" i="3" s="1"/>
  <c r="D1463" i="3"/>
  <c r="C1461" i="3"/>
  <c r="B1461" i="3" s="1"/>
  <c r="H1461" i="3"/>
  <c r="R1460" i="3"/>
  <c r="W1460" i="3" s="1"/>
  <c r="D1464" i="3" l="1"/>
  <c r="S1463" i="3"/>
  <c r="AC1463" i="3" s="1"/>
  <c r="R1461" i="3"/>
  <c r="W1461" i="3" s="1"/>
  <c r="H1462" i="3"/>
  <c r="C1462" i="3"/>
  <c r="D1465" i="3" l="1"/>
  <c r="S1464" i="3"/>
  <c r="AC1464" i="3" s="1"/>
  <c r="C1463" i="3"/>
  <c r="B1462" i="3"/>
  <c r="B1463" i="3" s="1"/>
  <c r="H1463" i="3"/>
  <c r="R1462" i="3"/>
  <c r="W1462" i="3" s="1"/>
  <c r="D1466" i="3" l="1"/>
  <c r="S1465" i="3"/>
  <c r="AC1465" i="3" s="1"/>
  <c r="H1464" i="3"/>
  <c r="R1463" i="3"/>
  <c r="W1463" i="3" s="1"/>
  <c r="C1464" i="3"/>
  <c r="S1466" i="3" l="1"/>
  <c r="AC1466" i="3" s="1"/>
  <c r="D1467" i="3"/>
  <c r="C1465" i="3"/>
  <c r="B1464" i="3"/>
  <c r="H1465" i="3"/>
  <c r="R1464" i="3"/>
  <c r="W1464" i="3" s="1"/>
  <c r="B1465" i="3" l="1"/>
  <c r="D1468" i="3"/>
  <c r="S1467" i="3"/>
  <c r="AC1467" i="3" s="1"/>
  <c r="H1466" i="3"/>
  <c r="R1465" i="3"/>
  <c r="W1465" i="3" s="1"/>
  <c r="C1466" i="3"/>
  <c r="D1469" i="3" l="1"/>
  <c r="S1468" i="3"/>
  <c r="AC1468" i="3" s="1"/>
  <c r="C1467" i="3"/>
  <c r="B1466" i="3"/>
  <c r="B1467" i="3" s="1"/>
  <c r="R1466" i="3"/>
  <c r="W1466" i="3" s="1"/>
  <c r="H1467" i="3"/>
  <c r="D1470" i="3" l="1"/>
  <c r="S1469" i="3"/>
  <c r="AC1469" i="3" s="1"/>
  <c r="R1467" i="3"/>
  <c r="W1467" i="3" s="1"/>
  <c r="H1468" i="3"/>
  <c r="C1468" i="3"/>
  <c r="S1470" i="3" l="1"/>
  <c r="AC1470" i="3" s="1"/>
  <c r="D1471" i="3"/>
  <c r="C1469" i="3"/>
  <c r="B1468" i="3"/>
  <c r="R1468" i="3"/>
  <c r="W1468" i="3" s="1"/>
  <c r="H1469" i="3"/>
  <c r="B1469" i="3" l="1"/>
  <c r="D1472" i="3"/>
  <c r="S1471" i="3"/>
  <c r="AC1471" i="3" s="1"/>
  <c r="H1470" i="3"/>
  <c r="R1469" i="3"/>
  <c r="W1469" i="3" s="1"/>
  <c r="C1470" i="3"/>
  <c r="B1470" i="3" s="1"/>
  <c r="S1472" i="3" l="1"/>
  <c r="AC1472" i="3" s="1"/>
  <c r="D1473" i="3"/>
  <c r="C1471" i="3"/>
  <c r="B1471" i="3" s="1"/>
  <c r="H1471" i="3"/>
  <c r="R1470" i="3"/>
  <c r="W1470" i="3" s="1"/>
  <c r="D1474" i="3" l="1"/>
  <c r="S1473" i="3"/>
  <c r="AC1473" i="3" s="1"/>
  <c r="R1471" i="3"/>
  <c r="W1471" i="3" s="1"/>
  <c r="H1472" i="3"/>
  <c r="C1472" i="3"/>
  <c r="B1472" i="3" s="1"/>
  <c r="D1475" i="3" l="1"/>
  <c r="S1474" i="3"/>
  <c r="AC1474" i="3" s="1"/>
  <c r="C1473" i="3"/>
  <c r="H1473" i="3"/>
  <c r="R1472" i="3"/>
  <c r="W1472" i="3" s="1"/>
  <c r="D1476" i="3" l="1"/>
  <c r="S1475" i="3"/>
  <c r="AC1475" i="3" s="1"/>
  <c r="C1474" i="3"/>
  <c r="R1473" i="3"/>
  <c r="W1473" i="3" s="1"/>
  <c r="H1474" i="3"/>
  <c r="B1473" i="3"/>
  <c r="B1474" i="3" s="1"/>
  <c r="D1477" i="3" l="1"/>
  <c r="S1476" i="3"/>
  <c r="AC1476" i="3" s="1"/>
  <c r="R1474" i="3"/>
  <c r="W1474" i="3" s="1"/>
  <c r="H1475" i="3"/>
  <c r="C1475" i="3"/>
  <c r="D1478" i="3" l="1"/>
  <c r="S1477" i="3"/>
  <c r="AC1477" i="3" s="1"/>
  <c r="C1476" i="3"/>
  <c r="B1475" i="3"/>
  <c r="B1476" i="3" s="1"/>
  <c r="R1475" i="3"/>
  <c r="W1475" i="3" s="1"/>
  <c r="H1476" i="3"/>
  <c r="D1479" i="3" l="1"/>
  <c r="S1478" i="3"/>
  <c r="AC1478" i="3" s="1"/>
  <c r="H1477" i="3"/>
  <c r="R1476" i="3"/>
  <c r="W1476" i="3" s="1"/>
  <c r="C1477" i="3"/>
  <c r="B1477" i="3" s="1"/>
  <c r="D1480" i="3" l="1"/>
  <c r="S1479" i="3"/>
  <c r="AC1479" i="3" s="1"/>
  <c r="C1478" i="3"/>
  <c r="B1478" i="3" s="1"/>
  <c r="R1477" i="3"/>
  <c r="W1477" i="3" s="1"/>
  <c r="H1478" i="3"/>
  <c r="D1481" i="3" l="1"/>
  <c r="S1480" i="3"/>
  <c r="AC1480" i="3" s="1"/>
  <c r="H1479" i="3"/>
  <c r="R1478" i="3"/>
  <c r="W1478" i="3" s="1"/>
  <c r="C1479" i="3"/>
  <c r="B1479" i="3" s="1"/>
  <c r="D1482" i="3" l="1"/>
  <c r="S1481" i="3"/>
  <c r="AC1481" i="3" s="1"/>
  <c r="C1480" i="3"/>
  <c r="B1480" i="3" s="1"/>
  <c r="H1480" i="3"/>
  <c r="R1479" i="3"/>
  <c r="W1479" i="3" s="1"/>
  <c r="D1483" i="3" l="1"/>
  <c r="S1482" i="3"/>
  <c r="AC1482" i="3" s="1"/>
  <c r="R1480" i="3"/>
  <c r="W1480" i="3" s="1"/>
  <c r="H1481" i="3"/>
  <c r="C1481" i="3"/>
  <c r="D1484" i="3" l="1"/>
  <c r="S1483" i="3"/>
  <c r="AC1483" i="3" s="1"/>
  <c r="C1482" i="3"/>
  <c r="B1481" i="3"/>
  <c r="H1482" i="3"/>
  <c r="R1481" i="3"/>
  <c r="W1481" i="3" s="1"/>
  <c r="B1482" i="3" l="1"/>
  <c r="S1484" i="3"/>
  <c r="AC1484" i="3" s="1"/>
  <c r="D1485" i="3"/>
  <c r="R1482" i="3"/>
  <c r="W1482" i="3" s="1"/>
  <c r="H1483" i="3"/>
  <c r="C1483" i="3"/>
  <c r="D1486" i="3" l="1"/>
  <c r="S1485" i="3"/>
  <c r="AC1485" i="3" s="1"/>
  <c r="C1484" i="3"/>
  <c r="B1483" i="3"/>
  <c r="R1483" i="3"/>
  <c r="W1483" i="3" s="1"/>
  <c r="H1484" i="3"/>
  <c r="B1484" i="3" l="1"/>
  <c r="S1486" i="3"/>
  <c r="AC1486" i="3" s="1"/>
  <c r="D1487" i="3"/>
  <c r="H1485" i="3"/>
  <c r="R1484" i="3"/>
  <c r="W1484" i="3" s="1"/>
  <c r="C1485" i="3"/>
  <c r="B1485" i="3" s="1"/>
  <c r="D1488" i="3" l="1"/>
  <c r="S1487" i="3"/>
  <c r="AC1487" i="3" s="1"/>
  <c r="C1486" i="3"/>
  <c r="R1485" i="3"/>
  <c r="W1485" i="3" s="1"/>
  <c r="H1486" i="3"/>
  <c r="S1488" i="3" l="1"/>
  <c r="AC1488" i="3" s="1"/>
  <c r="D1489" i="3"/>
  <c r="R1486" i="3"/>
  <c r="W1486" i="3" s="1"/>
  <c r="H1487" i="3"/>
  <c r="C1487" i="3"/>
  <c r="B1486" i="3"/>
  <c r="S1489" i="3" l="1"/>
  <c r="AC1489" i="3" s="1"/>
  <c r="D1490" i="3"/>
  <c r="B1487" i="3"/>
  <c r="C1488" i="3"/>
  <c r="R1487" i="3"/>
  <c r="W1487" i="3" s="1"/>
  <c r="H1488" i="3"/>
  <c r="B1488" i="3" l="1"/>
  <c r="D1491" i="3"/>
  <c r="S1490" i="3"/>
  <c r="AC1490" i="3" s="1"/>
  <c r="H1489" i="3"/>
  <c r="R1488" i="3"/>
  <c r="W1488" i="3" s="1"/>
  <c r="C1489" i="3"/>
  <c r="D1492" i="3" l="1"/>
  <c r="S1491" i="3"/>
  <c r="AC1491" i="3" s="1"/>
  <c r="C1490" i="3"/>
  <c r="B1489" i="3"/>
  <c r="B1490" i="3" s="1"/>
  <c r="H1490" i="3"/>
  <c r="R1489" i="3"/>
  <c r="W1489" i="3" s="1"/>
  <c r="D1493" i="3" l="1"/>
  <c r="S1492" i="3"/>
  <c r="AC1492" i="3" s="1"/>
  <c r="H1491" i="3"/>
  <c r="R1490" i="3"/>
  <c r="W1490" i="3" s="1"/>
  <c r="C1491" i="3"/>
  <c r="B1491" i="3" s="1"/>
  <c r="D1494" i="3" l="1"/>
  <c r="S1493" i="3"/>
  <c r="AC1493" i="3" s="1"/>
  <c r="C1492" i="3"/>
  <c r="B1492" i="3" s="1"/>
  <c r="H1492" i="3"/>
  <c r="R1491" i="3"/>
  <c r="W1491" i="3" s="1"/>
  <c r="D1495" i="3" l="1"/>
  <c r="S1494" i="3"/>
  <c r="AC1494" i="3" s="1"/>
  <c r="H1493" i="3"/>
  <c r="R1492" i="3"/>
  <c r="W1492" i="3" s="1"/>
  <c r="C1493" i="3"/>
  <c r="B1493" i="3" s="1"/>
  <c r="D1496" i="3" l="1"/>
  <c r="S1495" i="3"/>
  <c r="AC1495" i="3" s="1"/>
  <c r="C1494" i="3"/>
  <c r="B1494" i="3" s="1"/>
  <c r="H1494" i="3"/>
  <c r="R1493" i="3"/>
  <c r="W1493" i="3" s="1"/>
  <c r="S1496" i="3" l="1"/>
  <c r="AC1496" i="3" s="1"/>
  <c r="D1497" i="3"/>
  <c r="H1495" i="3"/>
  <c r="R1494" i="3"/>
  <c r="W1494" i="3" s="1"/>
  <c r="C1495" i="3"/>
  <c r="B1495" i="3" s="1"/>
  <c r="D1498" i="3" l="1"/>
  <c r="S1497" i="3"/>
  <c r="AC1497" i="3" s="1"/>
  <c r="C1496" i="3"/>
  <c r="B1496" i="3" s="1"/>
  <c r="R1495" i="3"/>
  <c r="W1495" i="3" s="1"/>
  <c r="H1496" i="3"/>
  <c r="D1499" i="3" l="1"/>
  <c r="S1498" i="3"/>
  <c r="AC1498" i="3" s="1"/>
  <c r="H1497" i="3"/>
  <c r="R1496" i="3"/>
  <c r="W1496" i="3" s="1"/>
  <c r="C1497" i="3"/>
  <c r="B1497" i="3" s="1"/>
  <c r="D1500" i="3" l="1"/>
  <c r="S1499" i="3"/>
  <c r="AC1499" i="3" s="1"/>
  <c r="C1498" i="3"/>
  <c r="B1498" i="3" s="1"/>
  <c r="H1498" i="3"/>
  <c r="R1497" i="3"/>
  <c r="W1497" i="3" s="1"/>
  <c r="S1500" i="3" l="1"/>
  <c r="AC1500" i="3" s="1"/>
  <c r="D1501" i="3"/>
  <c r="H1499" i="3"/>
  <c r="R1498" i="3"/>
  <c r="W1498" i="3" s="1"/>
  <c r="C1499" i="3"/>
  <c r="B1499" i="3" s="1"/>
  <c r="D1502" i="3" l="1"/>
  <c r="S1501" i="3"/>
  <c r="AC1501" i="3" s="1"/>
  <c r="C1500" i="3"/>
  <c r="B1500" i="3" s="1"/>
  <c r="R1499" i="3"/>
  <c r="W1499" i="3" s="1"/>
  <c r="H1500" i="3"/>
  <c r="D1503" i="3" l="1"/>
  <c r="S1502" i="3"/>
  <c r="AC1502" i="3" s="1"/>
  <c r="H1501" i="3"/>
  <c r="R1500" i="3"/>
  <c r="W1500" i="3" s="1"/>
  <c r="C1501" i="3"/>
  <c r="B1501" i="3" s="1"/>
  <c r="D1504" i="3" l="1"/>
  <c r="S1503" i="3"/>
  <c r="AC1503" i="3" s="1"/>
  <c r="C1502" i="3"/>
  <c r="B1502" i="3" s="1"/>
  <c r="H1502" i="3"/>
  <c r="R1501" i="3"/>
  <c r="W1501" i="3" s="1"/>
  <c r="D1505" i="3" l="1"/>
  <c r="S1504" i="3"/>
  <c r="AC1504" i="3" s="1"/>
  <c r="R1502" i="3"/>
  <c r="W1502" i="3" s="1"/>
  <c r="C1503" i="3"/>
  <c r="B1503" i="3" s="1"/>
  <c r="H1503" i="3" s="1"/>
  <c r="S1505" i="3" l="1"/>
  <c r="AC1505" i="3" s="1"/>
  <c r="D1506" i="3"/>
  <c r="R1503" i="3"/>
  <c r="W1503" i="3" s="1"/>
  <c r="C1504" i="3"/>
  <c r="B1504" i="3" s="1"/>
  <c r="H1504" i="3" s="1"/>
  <c r="D1507" i="3" l="1"/>
  <c r="S1506" i="3"/>
  <c r="AC1506" i="3" s="1"/>
  <c r="R1504" i="3"/>
  <c r="W1504" i="3" s="1"/>
  <c r="H1505" i="3"/>
  <c r="C1505" i="3"/>
  <c r="B1505" i="3" s="1"/>
  <c r="S1507" i="3" l="1"/>
  <c r="AC1507" i="3" s="1"/>
  <c r="D1508" i="3"/>
  <c r="C1506" i="3"/>
  <c r="B1506" i="3" s="1"/>
  <c r="R1505" i="3"/>
  <c r="W1505" i="3" s="1"/>
  <c r="H1506" i="3"/>
  <c r="S1508" i="3" l="1"/>
  <c r="AC1508" i="3" s="1"/>
  <c r="D1509" i="3"/>
  <c r="H1507" i="3"/>
  <c r="R1506" i="3"/>
  <c r="W1506" i="3" s="1"/>
  <c r="C1507" i="3"/>
  <c r="B1507" i="3" s="1"/>
  <c r="D1510" i="3" l="1"/>
  <c r="S1509" i="3"/>
  <c r="AC1509" i="3" s="1"/>
  <c r="C1508" i="3"/>
  <c r="B1508" i="3" s="1"/>
  <c r="H1508" i="3"/>
  <c r="R1507" i="3"/>
  <c r="W1507" i="3" s="1"/>
  <c r="S1510" i="3" l="1"/>
  <c r="AC1510" i="3" s="1"/>
  <c r="D1511" i="3"/>
  <c r="R1508" i="3"/>
  <c r="W1508" i="3" s="1"/>
  <c r="C1509" i="3"/>
  <c r="B1509" i="3" s="1"/>
  <c r="H1509" i="3" s="1"/>
  <c r="D1512" i="3" l="1"/>
  <c r="S1511" i="3"/>
  <c r="AC1511" i="3" s="1"/>
  <c r="C1510" i="3"/>
  <c r="B1510" i="3" s="1"/>
  <c r="R1509" i="3"/>
  <c r="W1509" i="3" s="1"/>
  <c r="H1510" i="3"/>
  <c r="S1512" i="3" l="1"/>
  <c r="AC1512" i="3" s="1"/>
  <c r="D1513" i="3"/>
  <c r="R1510" i="3"/>
  <c r="W1510" i="3" s="1"/>
  <c r="H1511" i="3"/>
  <c r="C1511" i="3"/>
  <c r="B1511" i="3" s="1"/>
  <c r="D1514" i="3" l="1"/>
  <c r="S1513" i="3"/>
  <c r="AC1513" i="3" s="1"/>
  <c r="C1512" i="3"/>
  <c r="B1512" i="3" s="1"/>
  <c r="R1511" i="3"/>
  <c r="W1511" i="3" s="1"/>
  <c r="H1512" i="3"/>
  <c r="S1514" i="3" l="1"/>
  <c r="AC1514" i="3" s="1"/>
  <c r="D1515" i="3"/>
  <c r="R1512" i="3"/>
  <c r="W1512" i="3" s="1"/>
  <c r="H1513" i="3"/>
  <c r="C1513" i="3"/>
  <c r="C1514" i="3" s="1"/>
  <c r="S1515" i="3" l="1"/>
  <c r="AC1515" i="3" s="1"/>
  <c r="D1516" i="3"/>
  <c r="C1515" i="3"/>
  <c r="B1513" i="3"/>
  <c r="B1514" i="3" s="1"/>
  <c r="H1514" i="3"/>
  <c r="R1513" i="3"/>
  <c r="W1513" i="3" s="1"/>
  <c r="B1515" i="3" l="1"/>
  <c r="D1517" i="3"/>
  <c r="S1516" i="3"/>
  <c r="AC1516" i="3" s="1"/>
  <c r="H1515" i="3"/>
  <c r="R1514" i="3"/>
  <c r="W1514" i="3" s="1"/>
  <c r="C1516" i="3"/>
  <c r="B1516" i="3" s="1"/>
  <c r="S1517" i="3" l="1"/>
  <c r="AC1517" i="3" s="1"/>
  <c r="D1518" i="3"/>
  <c r="C1517" i="3"/>
  <c r="B1517" i="3" s="1"/>
  <c r="R1515" i="3"/>
  <c r="W1515" i="3" s="1"/>
  <c r="H1516" i="3"/>
  <c r="S1518" i="3" l="1"/>
  <c r="AC1518" i="3" s="1"/>
  <c r="D1519" i="3"/>
  <c r="H1517" i="3"/>
  <c r="R1516" i="3"/>
  <c r="W1516" i="3" s="1"/>
  <c r="C1518" i="3"/>
  <c r="B1518" i="3" s="1"/>
  <c r="S1519" i="3" l="1"/>
  <c r="AC1519" i="3" s="1"/>
  <c r="D1520" i="3"/>
  <c r="C1519" i="3"/>
  <c r="B1519" i="3" s="1"/>
  <c r="R1517" i="3"/>
  <c r="W1517" i="3" s="1"/>
  <c r="H1518" i="3"/>
  <c r="D1521" i="3" l="1"/>
  <c r="S1520" i="3"/>
  <c r="AC1520" i="3" s="1"/>
  <c r="H1519" i="3"/>
  <c r="R1518" i="3"/>
  <c r="W1518" i="3" s="1"/>
  <c r="C1520" i="3"/>
  <c r="B1520" i="3" s="1"/>
  <c r="S1521" i="3" l="1"/>
  <c r="AC1521" i="3" s="1"/>
  <c r="D1522" i="3"/>
  <c r="C1521" i="3"/>
  <c r="B1521" i="3" s="1"/>
  <c r="R1519" i="3"/>
  <c r="W1519" i="3" s="1"/>
  <c r="H1520" i="3"/>
  <c r="S1522" i="3" l="1"/>
  <c r="AC1522" i="3" s="1"/>
  <c r="D1523" i="3"/>
  <c r="H1521" i="3"/>
  <c r="R1520" i="3"/>
  <c r="W1520" i="3" s="1"/>
  <c r="C1522" i="3"/>
  <c r="B1522" i="3" s="1"/>
  <c r="S1523" i="3" l="1"/>
  <c r="AC1523" i="3" s="1"/>
  <c r="D1524" i="3"/>
  <c r="C1523" i="3"/>
  <c r="B1523" i="3" s="1"/>
  <c r="R1521" i="3"/>
  <c r="W1521" i="3" s="1"/>
  <c r="H1522" i="3"/>
  <c r="S1524" i="3" l="1"/>
  <c r="AC1524" i="3" s="1"/>
  <c r="D1525" i="3"/>
  <c r="R1522" i="3"/>
  <c r="W1522" i="3" s="1"/>
  <c r="H1523" i="3"/>
  <c r="C1524" i="3"/>
  <c r="S1525" i="3" l="1"/>
  <c r="AC1525" i="3" s="1"/>
  <c r="D1526" i="3"/>
  <c r="C1525" i="3"/>
  <c r="B1524" i="3"/>
  <c r="H1524" i="3"/>
  <c r="R1523" i="3"/>
  <c r="W1523" i="3" s="1"/>
  <c r="B1525" i="3" l="1"/>
  <c r="S1526" i="3"/>
  <c r="AC1526" i="3" s="1"/>
  <c r="D1527" i="3"/>
  <c r="R1524" i="3"/>
  <c r="W1524" i="3" s="1"/>
  <c r="H1525" i="3"/>
  <c r="C1526" i="3"/>
  <c r="S1527" i="3" l="1"/>
  <c r="AC1527" i="3" s="1"/>
  <c r="D1528" i="3"/>
  <c r="C1527" i="3"/>
  <c r="B1526" i="3"/>
  <c r="H1526" i="3"/>
  <c r="R1525" i="3"/>
  <c r="W1525" i="3" s="1"/>
  <c r="B1527" i="3" l="1"/>
  <c r="S1528" i="3"/>
  <c r="AC1528" i="3" s="1"/>
  <c r="D1529" i="3"/>
  <c r="R1526" i="3"/>
  <c r="W1526" i="3" s="1"/>
  <c r="H1527" i="3"/>
  <c r="C1528" i="3"/>
  <c r="S1529" i="3" l="1"/>
  <c r="AC1529" i="3" s="1"/>
  <c r="D1530" i="3"/>
  <c r="C1529" i="3"/>
  <c r="B1528" i="3"/>
  <c r="H1528" i="3"/>
  <c r="R1527" i="3"/>
  <c r="W1527" i="3" s="1"/>
  <c r="B1529" i="3" l="1"/>
  <c r="S1530" i="3"/>
  <c r="AC1530" i="3" s="1"/>
  <c r="D1531" i="3"/>
  <c r="R1528" i="3"/>
  <c r="W1528" i="3" s="1"/>
  <c r="H1529" i="3"/>
  <c r="C1530" i="3"/>
  <c r="S1531" i="3" l="1"/>
  <c r="AC1531" i="3" s="1"/>
  <c r="D1532" i="3"/>
  <c r="C1531" i="3"/>
  <c r="B1530" i="3"/>
  <c r="H1530" i="3"/>
  <c r="R1529" i="3"/>
  <c r="W1529" i="3" s="1"/>
  <c r="B1531" i="3" l="1"/>
  <c r="S1532" i="3"/>
  <c r="AC1532" i="3" s="1"/>
  <c r="D1533" i="3"/>
  <c r="R1530" i="3"/>
  <c r="W1530" i="3" s="1"/>
  <c r="H1531" i="3"/>
  <c r="C1532" i="3"/>
  <c r="S1533" i="3" l="1"/>
  <c r="AC1533" i="3" s="1"/>
  <c r="D1534" i="3"/>
  <c r="C1533" i="3"/>
  <c r="B1532" i="3"/>
  <c r="H1532" i="3"/>
  <c r="R1531" i="3"/>
  <c r="W1531" i="3" s="1"/>
  <c r="B1533" i="3" l="1"/>
  <c r="S1534" i="3"/>
  <c r="AC1534" i="3" s="1"/>
  <c r="D1535" i="3"/>
  <c r="R1532" i="3"/>
  <c r="W1532" i="3" s="1"/>
  <c r="H1533" i="3"/>
  <c r="C1534" i="3"/>
  <c r="C1535" i="3" s="1"/>
  <c r="D1536" i="3" l="1"/>
  <c r="S1535" i="3"/>
  <c r="AC1535" i="3" s="1"/>
  <c r="C1536" i="3"/>
  <c r="B1534" i="3"/>
  <c r="B1535" i="3" s="1"/>
  <c r="R1533" i="3"/>
  <c r="W1533" i="3" s="1"/>
  <c r="H1534" i="3"/>
  <c r="S1536" i="3" l="1"/>
  <c r="AC1536" i="3" s="1"/>
  <c r="D1537" i="3"/>
  <c r="R1534" i="3"/>
  <c r="W1534" i="3" s="1"/>
  <c r="H1535" i="3"/>
  <c r="C1537" i="3"/>
  <c r="B1536" i="3"/>
  <c r="S1537" i="3" l="1"/>
  <c r="AC1537" i="3" s="1"/>
  <c r="D1538" i="3"/>
  <c r="C1538" i="3" s="1"/>
  <c r="B1537" i="3"/>
  <c r="R1535" i="3"/>
  <c r="W1535" i="3" s="1"/>
  <c r="H1536" i="3"/>
  <c r="B1538" i="3" l="1"/>
  <c r="D1539" i="3"/>
  <c r="S1538" i="3"/>
  <c r="AC1538" i="3" s="1"/>
  <c r="R1536" i="3"/>
  <c r="W1536" i="3" s="1"/>
  <c r="H1537" i="3"/>
  <c r="C1539" i="3"/>
  <c r="S1539" i="3" l="1"/>
  <c r="AC1539" i="3" s="1"/>
  <c r="D1540" i="3"/>
  <c r="C1540" i="3" s="1"/>
  <c r="B1539" i="3"/>
  <c r="H1538" i="3"/>
  <c r="R1537" i="3"/>
  <c r="W1537" i="3" s="1"/>
  <c r="B1540" i="3" l="1"/>
  <c r="D1541" i="3"/>
  <c r="S1540" i="3"/>
  <c r="AC1540" i="3" s="1"/>
  <c r="R1538" i="3"/>
  <c r="W1538" i="3" s="1"/>
  <c r="H1539" i="3"/>
  <c r="C1541" i="3"/>
  <c r="S1541" i="3" l="1"/>
  <c r="AC1541" i="3" s="1"/>
  <c r="D1542" i="3"/>
  <c r="C1542" i="3" s="1"/>
  <c r="B1541" i="3"/>
  <c r="H1540" i="3"/>
  <c r="R1539" i="3"/>
  <c r="W1539" i="3" s="1"/>
  <c r="B1542" i="3" l="1"/>
  <c r="D1543" i="3"/>
  <c r="C1543" i="3" s="1"/>
  <c r="B1543" i="3" s="1"/>
  <c r="S1542" i="3"/>
  <c r="AC1542" i="3" s="1"/>
  <c r="R1540" i="3"/>
  <c r="W1540" i="3" s="1"/>
  <c r="H1541" i="3"/>
  <c r="S1543" i="3" l="1"/>
  <c r="AC1543" i="3" s="1"/>
  <c r="D1544" i="3"/>
  <c r="H1542" i="3"/>
  <c r="R1541" i="3"/>
  <c r="W1541" i="3" s="1"/>
  <c r="S1544" i="3" l="1"/>
  <c r="AC1544" i="3" s="1"/>
  <c r="D1545" i="3"/>
  <c r="C1544" i="3"/>
  <c r="B1544" i="3" s="1"/>
  <c r="R1542" i="3"/>
  <c r="W1542" i="3" s="1"/>
  <c r="H1543" i="3"/>
  <c r="D1546" i="3" l="1"/>
  <c r="S1545" i="3"/>
  <c r="AC1545" i="3" s="1"/>
  <c r="C1545" i="3"/>
  <c r="B1545" i="3" s="1"/>
  <c r="H1544" i="3"/>
  <c r="R1543" i="3"/>
  <c r="W1543" i="3" s="1"/>
  <c r="S1546" i="3" l="1"/>
  <c r="AC1546" i="3" s="1"/>
  <c r="D1547" i="3"/>
  <c r="C1546" i="3"/>
  <c r="B1546" i="3" s="1"/>
  <c r="R1544" i="3"/>
  <c r="W1544" i="3" s="1"/>
  <c r="H1545" i="3"/>
  <c r="D1548" i="3" l="1"/>
  <c r="S1547" i="3"/>
  <c r="AC1547" i="3" s="1"/>
  <c r="C1547" i="3"/>
  <c r="B1547" i="3" s="1"/>
  <c r="H1546" i="3"/>
  <c r="R1545" i="3"/>
  <c r="W1545" i="3" s="1"/>
  <c r="S1548" i="3" l="1"/>
  <c r="AC1548" i="3" s="1"/>
  <c r="D1549" i="3"/>
  <c r="C1548" i="3"/>
  <c r="B1548" i="3" s="1"/>
  <c r="R1546" i="3"/>
  <c r="W1546" i="3" s="1"/>
  <c r="H1547" i="3"/>
  <c r="D1550" i="3" l="1"/>
  <c r="S1549" i="3"/>
  <c r="AC1549" i="3" s="1"/>
  <c r="C1549" i="3"/>
  <c r="B1549" i="3"/>
  <c r="H1548" i="3"/>
  <c r="R1547" i="3"/>
  <c r="W1547" i="3" s="1"/>
  <c r="S1550" i="3" l="1"/>
  <c r="AC1550" i="3" s="1"/>
  <c r="D1551" i="3"/>
  <c r="C1550" i="3"/>
  <c r="B1550" i="3" s="1"/>
  <c r="H1549" i="3"/>
  <c r="R1548" i="3"/>
  <c r="W1548" i="3" s="1"/>
  <c r="D1552" i="3" l="1"/>
  <c r="S1551" i="3"/>
  <c r="AC1551" i="3" s="1"/>
  <c r="C1551" i="3"/>
  <c r="B1551" i="3"/>
  <c r="H1550" i="3"/>
  <c r="R1549" i="3"/>
  <c r="W1549" i="3" s="1"/>
  <c r="S1552" i="3" l="1"/>
  <c r="AC1552" i="3" s="1"/>
  <c r="D1553" i="3"/>
  <c r="C1552" i="3"/>
  <c r="B1552" i="3" s="1"/>
  <c r="H1551" i="3"/>
  <c r="R1550" i="3"/>
  <c r="W1550" i="3" s="1"/>
  <c r="D1554" i="3" l="1"/>
  <c r="S1553" i="3"/>
  <c r="AC1553" i="3" s="1"/>
  <c r="C1553" i="3"/>
  <c r="C1554" i="3" s="1"/>
  <c r="H1552" i="3"/>
  <c r="R1551" i="3"/>
  <c r="W1551" i="3" s="1"/>
  <c r="S1554" i="3" l="1"/>
  <c r="AC1554" i="3" s="1"/>
  <c r="D1555" i="3"/>
  <c r="B1553" i="3"/>
  <c r="B1554" i="3" s="1"/>
  <c r="R1552" i="3"/>
  <c r="W1552" i="3" s="1"/>
  <c r="H1553" i="3"/>
  <c r="D1556" i="3" l="1"/>
  <c r="S1555" i="3"/>
  <c r="AC1555" i="3" s="1"/>
  <c r="C1555" i="3"/>
  <c r="B1555" i="3" s="1"/>
  <c r="R1553" i="3"/>
  <c r="W1553" i="3" s="1"/>
  <c r="H1554" i="3"/>
  <c r="S1556" i="3" l="1"/>
  <c r="AC1556" i="3" s="1"/>
  <c r="D1557" i="3"/>
  <c r="C1556" i="3"/>
  <c r="H1555" i="3"/>
  <c r="R1554" i="3"/>
  <c r="W1554" i="3" s="1"/>
  <c r="S1557" i="3" l="1"/>
  <c r="AC1557" i="3" s="1"/>
  <c r="D1558" i="3"/>
  <c r="C1557" i="3"/>
  <c r="B1556" i="3"/>
  <c r="R1555" i="3"/>
  <c r="W1555" i="3" s="1"/>
  <c r="H1556" i="3"/>
  <c r="B1557" i="3" l="1"/>
  <c r="S1558" i="3"/>
  <c r="AC1558" i="3" s="1"/>
  <c r="D1559" i="3"/>
  <c r="C1558" i="3"/>
  <c r="R1556" i="3"/>
  <c r="W1556" i="3" s="1"/>
  <c r="H1557" i="3"/>
  <c r="D1560" i="3" l="1"/>
  <c r="S1559" i="3"/>
  <c r="AC1559" i="3" s="1"/>
  <c r="C1559" i="3"/>
  <c r="B1558" i="3"/>
  <c r="H1558" i="3"/>
  <c r="R1557" i="3"/>
  <c r="W1557" i="3" s="1"/>
  <c r="B1559" i="3" l="1"/>
  <c r="S1560" i="3"/>
  <c r="AC1560" i="3" s="1"/>
  <c r="D1561" i="3"/>
  <c r="C1560" i="3"/>
  <c r="R1558" i="3"/>
  <c r="W1558" i="3" s="1"/>
  <c r="H1559" i="3"/>
  <c r="S1561" i="3" l="1"/>
  <c r="AC1561" i="3" s="1"/>
  <c r="D1562" i="3"/>
  <c r="C1561" i="3"/>
  <c r="B1560" i="3"/>
  <c r="R1559" i="3"/>
  <c r="W1559" i="3" s="1"/>
  <c r="H1560" i="3"/>
  <c r="B1561" i="3" l="1"/>
  <c r="S1562" i="3"/>
  <c r="AC1562" i="3" s="1"/>
  <c r="D1563" i="3"/>
  <c r="C1562" i="3"/>
  <c r="C1563" i="3" s="1"/>
  <c r="R1560" i="3"/>
  <c r="W1560" i="3" s="1"/>
  <c r="H1561" i="3"/>
  <c r="B1562" i="3" l="1"/>
  <c r="B1563" i="3" s="1"/>
  <c r="D1564" i="3"/>
  <c r="S1563" i="3"/>
  <c r="AC1563" i="3" s="1"/>
  <c r="H1562" i="3"/>
  <c r="R1561" i="3"/>
  <c r="W1561" i="3" s="1"/>
  <c r="S1564" i="3" l="1"/>
  <c r="AC1564" i="3" s="1"/>
  <c r="D1565" i="3"/>
  <c r="C1564" i="3"/>
  <c r="B1564" i="3" s="1"/>
  <c r="R1562" i="3"/>
  <c r="W1562" i="3" s="1"/>
  <c r="H1563" i="3"/>
  <c r="D1566" i="3" l="1"/>
  <c r="S1565" i="3"/>
  <c r="AC1565" i="3" s="1"/>
  <c r="C1565" i="3"/>
  <c r="B1565" i="3" s="1"/>
  <c r="R1563" i="3"/>
  <c r="W1563" i="3" s="1"/>
  <c r="H1564" i="3"/>
  <c r="S1566" i="3" l="1"/>
  <c r="AC1566" i="3" s="1"/>
  <c r="D1567" i="3"/>
  <c r="C1566" i="3"/>
  <c r="B1566" i="3" s="1"/>
  <c r="R1564" i="3"/>
  <c r="W1564" i="3" s="1"/>
  <c r="H1565" i="3"/>
  <c r="D1568" i="3" l="1"/>
  <c r="S1567" i="3"/>
  <c r="AC1567" i="3" s="1"/>
  <c r="C1567" i="3"/>
  <c r="R1565" i="3"/>
  <c r="W1565" i="3" s="1"/>
  <c r="H1566" i="3"/>
  <c r="B1567" i="3" l="1"/>
  <c r="S1568" i="3"/>
  <c r="AC1568" i="3" s="1"/>
  <c r="D1569" i="3"/>
  <c r="C1568" i="3"/>
  <c r="H1567" i="3"/>
  <c r="R1566" i="3"/>
  <c r="W1566" i="3" s="1"/>
  <c r="D1570" i="3" l="1"/>
  <c r="S1569" i="3"/>
  <c r="AC1569" i="3" s="1"/>
  <c r="C1569" i="3"/>
  <c r="B1568" i="3"/>
  <c r="H1568" i="3"/>
  <c r="R1567" i="3"/>
  <c r="W1567" i="3" s="1"/>
  <c r="B1569" i="3" l="1"/>
  <c r="S1570" i="3"/>
  <c r="AC1570" i="3" s="1"/>
  <c r="D1571" i="3"/>
  <c r="C1570" i="3"/>
  <c r="H1569" i="3"/>
  <c r="R1568" i="3"/>
  <c r="W1568" i="3" s="1"/>
  <c r="D1572" i="3" l="1"/>
  <c r="S1571" i="3"/>
  <c r="AC1571" i="3" s="1"/>
  <c r="C1571" i="3"/>
  <c r="B1570" i="3"/>
  <c r="B1571" i="3" s="1"/>
  <c r="R1569" i="3"/>
  <c r="W1569" i="3" s="1"/>
  <c r="H1570" i="3"/>
  <c r="S1572" i="3" l="1"/>
  <c r="AC1572" i="3" s="1"/>
  <c r="D1573" i="3"/>
  <c r="C1572" i="3"/>
  <c r="H1571" i="3"/>
  <c r="R1570" i="3"/>
  <c r="W1570" i="3" s="1"/>
  <c r="D1574" i="3" l="1"/>
  <c r="S1573" i="3"/>
  <c r="AC1573" i="3" s="1"/>
  <c r="C1573" i="3"/>
  <c r="B1572" i="3"/>
  <c r="R1571" i="3"/>
  <c r="W1571" i="3" s="1"/>
  <c r="H1572" i="3"/>
  <c r="B1573" i="3" l="1"/>
  <c r="S1574" i="3"/>
  <c r="AC1574" i="3" s="1"/>
  <c r="D1575" i="3"/>
  <c r="C1574" i="3"/>
  <c r="R1572" i="3"/>
  <c r="W1572" i="3" s="1"/>
  <c r="H1573" i="3"/>
  <c r="D1576" i="3" l="1"/>
  <c r="S1575" i="3"/>
  <c r="AC1575" i="3" s="1"/>
  <c r="C1575" i="3"/>
  <c r="B1574" i="3"/>
  <c r="B1575" i="3" s="1"/>
  <c r="H1574" i="3"/>
  <c r="R1573" i="3"/>
  <c r="W1573" i="3" s="1"/>
  <c r="S1576" i="3" l="1"/>
  <c r="AC1576" i="3" s="1"/>
  <c r="D1577" i="3"/>
  <c r="C1576" i="3"/>
  <c r="H1575" i="3"/>
  <c r="R1574" i="3"/>
  <c r="W1574" i="3" s="1"/>
  <c r="D1578" i="3" l="1"/>
  <c r="S1577" i="3"/>
  <c r="AC1577" i="3" s="1"/>
  <c r="C1577" i="3"/>
  <c r="B1576" i="3"/>
  <c r="H1576" i="3"/>
  <c r="R1575" i="3"/>
  <c r="W1575" i="3" s="1"/>
  <c r="S1578" i="3" l="1"/>
  <c r="AC1578" i="3" s="1"/>
  <c r="D1579" i="3"/>
  <c r="C1578" i="3"/>
  <c r="B1577" i="3"/>
  <c r="H1577" i="3"/>
  <c r="R1576" i="3"/>
  <c r="W1576" i="3" s="1"/>
  <c r="S1579" i="3" l="1"/>
  <c r="AC1579" i="3" s="1"/>
  <c r="D1580" i="3"/>
  <c r="C1579" i="3"/>
  <c r="B1578" i="3"/>
  <c r="R1577" i="3"/>
  <c r="W1577" i="3" s="1"/>
  <c r="H1578" i="3"/>
  <c r="S1580" i="3" l="1"/>
  <c r="AC1580" i="3" s="1"/>
  <c r="D1581" i="3"/>
  <c r="C1580" i="3"/>
  <c r="B1579" i="3"/>
  <c r="R1578" i="3"/>
  <c r="W1578" i="3" s="1"/>
  <c r="H1579" i="3"/>
  <c r="D1582" i="3" l="1"/>
  <c r="S1581" i="3"/>
  <c r="AC1581" i="3" s="1"/>
  <c r="C1581" i="3"/>
  <c r="B1580" i="3"/>
  <c r="R1579" i="3"/>
  <c r="W1579" i="3" s="1"/>
  <c r="H1580" i="3"/>
  <c r="B1581" i="3" l="1"/>
  <c r="D1583" i="3"/>
  <c r="S1582" i="3"/>
  <c r="AC1582" i="3" s="1"/>
  <c r="C1582" i="3"/>
  <c r="R1580" i="3"/>
  <c r="W1580" i="3" s="1"/>
  <c r="H1581" i="3"/>
  <c r="D1584" i="3" l="1"/>
  <c r="S1583" i="3"/>
  <c r="AC1583" i="3" s="1"/>
  <c r="C1583" i="3"/>
  <c r="B1582" i="3"/>
  <c r="H1582" i="3"/>
  <c r="R1581" i="3"/>
  <c r="W1581" i="3" s="1"/>
  <c r="B1583" i="3" l="1"/>
  <c r="S1584" i="3"/>
  <c r="AC1584" i="3" s="1"/>
  <c r="D1585" i="3"/>
  <c r="C1584" i="3"/>
  <c r="R1582" i="3"/>
  <c r="W1582" i="3" s="1"/>
  <c r="H1583" i="3"/>
  <c r="S1585" i="3" l="1"/>
  <c r="AC1585" i="3" s="1"/>
  <c r="D1586" i="3"/>
  <c r="C1585" i="3"/>
  <c r="B1584" i="3"/>
  <c r="H1584" i="3"/>
  <c r="R1583" i="3"/>
  <c r="W1583" i="3" s="1"/>
  <c r="B1585" i="3" l="1"/>
  <c r="S1586" i="3"/>
  <c r="AC1586" i="3" s="1"/>
  <c r="D1587" i="3"/>
  <c r="C1586" i="3"/>
  <c r="B1586" i="3" s="1"/>
  <c r="R1584" i="3"/>
  <c r="W1584" i="3" s="1"/>
  <c r="H1585" i="3"/>
  <c r="S1587" i="3" l="1"/>
  <c r="AC1587" i="3" s="1"/>
  <c r="D1588" i="3"/>
  <c r="C1587" i="3"/>
  <c r="B1587" i="3" s="1"/>
  <c r="R1585" i="3"/>
  <c r="W1585" i="3" s="1"/>
  <c r="H1586" i="3"/>
  <c r="S1588" i="3" l="1"/>
  <c r="AC1588" i="3" s="1"/>
  <c r="D1589" i="3"/>
  <c r="C1588" i="3"/>
  <c r="R1586" i="3"/>
  <c r="W1586" i="3" s="1"/>
  <c r="H1587" i="3"/>
  <c r="S1589" i="3" l="1"/>
  <c r="AC1589" i="3" s="1"/>
  <c r="D1590" i="3"/>
  <c r="C1589" i="3"/>
  <c r="B1588" i="3"/>
  <c r="R1587" i="3"/>
  <c r="W1587" i="3" s="1"/>
  <c r="H1588" i="3"/>
  <c r="B1589" i="3" l="1"/>
  <c r="C1590" i="3"/>
  <c r="B1590" i="3" s="1"/>
  <c r="D1591" i="3"/>
  <c r="S1590" i="3"/>
  <c r="AC1590" i="3" s="1"/>
  <c r="R1588" i="3"/>
  <c r="W1588" i="3" s="1"/>
  <c r="H1589" i="3"/>
  <c r="S1591" i="3" l="1"/>
  <c r="AC1591" i="3" s="1"/>
  <c r="D1592" i="3"/>
  <c r="C1591" i="3"/>
  <c r="R1589" i="3"/>
  <c r="W1589" i="3" s="1"/>
  <c r="H1590" i="3"/>
  <c r="D1593" i="3" l="1"/>
  <c r="S1592" i="3"/>
  <c r="AC1592" i="3" s="1"/>
  <c r="C1592" i="3"/>
  <c r="B1591" i="3"/>
  <c r="R1590" i="3"/>
  <c r="W1590" i="3" s="1"/>
  <c r="H1591" i="3"/>
  <c r="B1592" i="3" l="1"/>
  <c r="S1593" i="3"/>
  <c r="AC1593" i="3" s="1"/>
  <c r="D1594" i="3"/>
  <c r="C1593" i="3"/>
  <c r="C1594" i="3" s="1"/>
  <c r="R1591" i="3"/>
  <c r="W1591" i="3" s="1"/>
  <c r="H1592" i="3"/>
  <c r="D1595" i="3" l="1"/>
  <c r="S1594" i="3"/>
  <c r="AC1594" i="3" s="1"/>
  <c r="B1593" i="3"/>
  <c r="B1594" i="3" s="1"/>
  <c r="R1592" i="3"/>
  <c r="W1592" i="3" s="1"/>
  <c r="H1593" i="3"/>
  <c r="D1596" i="3" l="1"/>
  <c r="S1595" i="3"/>
  <c r="AC1595" i="3" s="1"/>
  <c r="C1595" i="3"/>
  <c r="R1593" i="3"/>
  <c r="W1593" i="3" s="1"/>
  <c r="H1594" i="3"/>
  <c r="B1595" i="3" l="1"/>
  <c r="S1596" i="3"/>
  <c r="AC1596" i="3" s="1"/>
  <c r="D1597" i="3"/>
  <c r="C1596" i="3"/>
  <c r="R1594" i="3"/>
  <c r="W1594" i="3" s="1"/>
  <c r="H1595" i="3"/>
  <c r="S1597" i="3" l="1"/>
  <c r="AC1597" i="3" s="1"/>
  <c r="D1598" i="3"/>
  <c r="C1597" i="3"/>
  <c r="C1598" i="3" s="1"/>
  <c r="B1596" i="3"/>
  <c r="R1595" i="3"/>
  <c r="W1595" i="3" s="1"/>
  <c r="H1596" i="3"/>
  <c r="B1597" i="3" l="1"/>
  <c r="B1598" i="3" s="1"/>
  <c r="S1598" i="3"/>
  <c r="AC1598" i="3" s="1"/>
  <c r="D1599" i="3"/>
  <c r="R1596" i="3"/>
  <c r="W1596" i="3" s="1"/>
  <c r="H1597" i="3"/>
  <c r="D1600" i="3" l="1"/>
  <c r="S1599" i="3"/>
  <c r="AC1599" i="3" s="1"/>
  <c r="C1599" i="3"/>
  <c r="R1597" i="3"/>
  <c r="W1597" i="3" s="1"/>
  <c r="H1598" i="3"/>
  <c r="B1599" i="3" l="1"/>
  <c r="S1600" i="3"/>
  <c r="AC1600" i="3" s="1"/>
  <c r="D1601" i="3"/>
  <c r="C1600" i="3"/>
  <c r="R1598" i="3"/>
  <c r="W1598" i="3" s="1"/>
  <c r="H1599" i="3"/>
  <c r="C1601" i="3" l="1"/>
  <c r="D1602" i="3"/>
  <c r="S1601" i="3"/>
  <c r="AC1601" i="3" s="1"/>
  <c r="B1600" i="3"/>
  <c r="B1601" i="3" s="1"/>
  <c r="R1599" i="3"/>
  <c r="W1599" i="3" s="1"/>
  <c r="H1600" i="3"/>
  <c r="S1602" i="3" l="1"/>
  <c r="AC1602" i="3" s="1"/>
  <c r="D1603" i="3"/>
  <c r="C1602" i="3"/>
  <c r="R1600" i="3"/>
  <c r="W1600" i="3" s="1"/>
  <c r="H1601" i="3"/>
  <c r="D1604" i="3" l="1"/>
  <c r="S1603" i="3"/>
  <c r="AC1603" i="3" s="1"/>
  <c r="C1603" i="3"/>
  <c r="B1602" i="3"/>
  <c r="B1603" i="3" s="1"/>
  <c r="R1601" i="3"/>
  <c r="W1601" i="3" s="1"/>
  <c r="H1602" i="3"/>
  <c r="D1605" i="3" l="1"/>
  <c r="S1604" i="3"/>
  <c r="AC1604" i="3" s="1"/>
  <c r="C1604" i="3"/>
  <c r="C1605" i="3" s="1"/>
  <c r="R1602" i="3"/>
  <c r="W1602" i="3" s="1"/>
  <c r="H1603" i="3"/>
  <c r="D1606" i="3" l="1"/>
  <c r="S1605" i="3"/>
  <c r="AC1605" i="3" s="1"/>
  <c r="B1604" i="3"/>
  <c r="B1605" i="3" s="1"/>
  <c r="R1603" i="3"/>
  <c r="W1603" i="3" s="1"/>
  <c r="H1604" i="3"/>
  <c r="S1606" i="3" l="1"/>
  <c r="AC1606" i="3" s="1"/>
  <c r="D1607" i="3"/>
  <c r="C1606" i="3"/>
  <c r="R1604" i="3"/>
  <c r="W1604" i="3" s="1"/>
  <c r="H1605" i="3"/>
  <c r="D1608" i="3" l="1"/>
  <c r="S1607" i="3"/>
  <c r="AC1607" i="3" s="1"/>
  <c r="C1607" i="3"/>
  <c r="B1606" i="3"/>
  <c r="R1605" i="3"/>
  <c r="W1605" i="3" s="1"/>
  <c r="H1606" i="3"/>
  <c r="B1607" i="3" l="1"/>
  <c r="D1609" i="3"/>
  <c r="S1608" i="3"/>
  <c r="AC1608" i="3" s="1"/>
  <c r="C1608" i="3"/>
  <c r="R1606" i="3"/>
  <c r="W1606" i="3" s="1"/>
  <c r="H1607" i="3"/>
  <c r="S1609" i="3" l="1"/>
  <c r="AC1609" i="3" s="1"/>
  <c r="D1610" i="3"/>
  <c r="C1609" i="3"/>
  <c r="B1608" i="3"/>
  <c r="R1607" i="3"/>
  <c r="W1607" i="3" s="1"/>
  <c r="H1608" i="3"/>
  <c r="S1610" i="3" l="1"/>
  <c r="AC1610" i="3" s="1"/>
  <c r="D1611" i="3"/>
  <c r="C1610" i="3"/>
  <c r="B1609" i="3"/>
  <c r="R1608" i="3"/>
  <c r="W1608" i="3" s="1"/>
  <c r="H1609" i="3"/>
  <c r="S1611" i="3" l="1"/>
  <c r="AC1611" i="3" s="1"/>
  <c r="D1612" i="3"/>
  <c r="C1611" i="3"/>
  <c r="B1610" i="3"/>
  <c r="R1609" i="3"/>
  <c r="W1609" i="3" s="1"/>
  <c r="H1610" i="3"/>
  <c r="B1611" i="3" l="1"/>
  <c r="S1612" i="3"/>
  <c r="AC1612" i="3" s="1"/>
  <c r="D1613" i="3"/>
  <c r="C1612" i="3"/>
  <c r="R1610" i="3"/>
  <c r="W1610" i="3" s="1"/>
  <c r="H1611" i="3"/>
  <c r="S1613" i="3" l="1"/>
  <c r="AC1613" i="3" s="1"/>
  <c r="D1614" i="3"/>
  <c r="C1613" i="3"/>
  <c r="B1612" i="3"/>
  <c r="R1611" i="3"/>
  <c r="W1611" i="3" s="1"/>
  <c r="H1612" i="3"/>
  <c r="B1613" i="3" l="1"/>
  <c r="S1614" i="3"/>
  <c r="AC1614" i="3" s="1"/>
  <c r="D1615" i="3"/>
  <c r="C1614" i="3"/>
  <c r="B1614" i="3" s="1"/>
  <c r="R1612" i="3"/>
  <c r="W1612" i="3" s="1"/>
  <c r="H1613" i="3"/>
  <c r="S1615" i="3" l="1"/>
  <c r="AC1615" i="3" s="1"/>
  <c r="D1616" i="3"/>
  <c r="C1615" i="3"/>
  <c r="C1616" i="3" s="1"/>
  <c r="R1613" i="3"/>
  <c r="W1613" i="3" s="1"/>
  <c r="H1614" i="3"/>
  <c r="B1615" i="3" l="1"/>
  <c r="B1616" i="3" s="1"/>
  <c r="D1617" i="3"/>
  <c r="S1616" i="3"/>
  <c r="AC1616" i="3" s="1"/>
  <c r="R1614" i="3"/>
  <c r="W1614" i="3" s="1"/>
  <c r="H1615" i="3"/>
  <c r="D1618" i="3" l="1"/>
  <c r="S1617" i="3"/>
  <c r="AC1617" i="3" s="1"/>
  <c r="C1617" i="3"/>
  <c r="R1615" i="3"/>
  <c r="W1615" i="3" s="1"/>
  <c r="H1616" i="3"/>
  <c r="B1617" i="3" l="1"/>
  <c r="S1618" i="3"/>
  <c r="AC1618" i="3" s="1"/>
  <c r="D1619" i="3"/>
  <c r="C1618" i="3"/>
  <c r="B1618" i="3" s="1"/>
  <c r="R1616" i="3"/>
  <c r="W1616" i="3" s="1"/>
  <c r="H1617" i="3"/>
  <c r="S1619" i="3" l="1"/>
  <c r="AC1619" i="3" s="1"/>
  <c r="D1620" i="3"/>
  <c r="C1619" i="3"/>
  <c r="R1617" i="3"/>
  <c r="W1617" i="3" s="1"/>
  <c r="H1618" i="3"/>
  <c r="S1620" i="3" l="1"/>
  <c r="AC1620" i="3" s="1"/>
  <c r="D1621" i="3"/>
  <c r="C1620" i="3"/>
  <c r="B1619" i="3"/>
  <c r="R1618" i="3"/>
  <c r="W1618" i="3" s="1"/>
  <c r="H1619" i="3"/>
  <c r="B1620" i="3" l="1"/>
  <c r="D1622" i="3"/>
  <c r="S1621" i="3"/>
  <c r="AC1621" i="3" s="1"/>
  <c r="C1621" i="3"/>
  <c r="R1619" i="3"/>
  <c r="W1619" i="3" s="1"/>
  <c r="H1620" i="3"/>
  <c r="B1621" i="3" l="1"/>
  <c r="S1622" i="3"/>
  <c r="AC1622" i="3" s="1"/>
  <c r="D1623" i="3"/>
  <c r="C1622" i="3"/>
  <c r="R1620" i="3"/>
  <c r="W1620" i="3" s="1"/>
  <c r="H1621" i="3"/>
  <c r="C1623" i="3" l="1"/>
  <c r="D1624" i="3"/>
  <c r="S1623" i="3"/>
  <c r="AC1623" i="3" s="1"/>
  <c r="B1622" i="3"/>
  <c r="B1623" i="3" s="1"/>
  <c r="R1621" i="3"/>
  <c r="W1621" i="3" s="1"/>
  <c r="H1622" i="3"/>
  <c r="S1624" i="3" l="1"/>
  <c r="AC1624" i="3" s="1"/>
  <c r="D1625" i="3"/>
  <c r="C1624" i="3"/>
  <c r="B1624" i="3" s="1"/>
  <c r="R1622" i="3"/>
  <c r="W1622" i="3" s="1"/>
  <c r="H1623" i="3"/>
  <c r="D1626" i="3" l="1"/>
  <c r="S1625" i="3"/>
  <c r="AC1625" i="3" s="1"/>
  <c r="C1625" i="3"/>
  <c r="B1625" i="3" s="1"/>
  <c r="R1623" i="3"/>
  <c r="W1623" i="3" s="1"/>
  <c r="H1624" i="3"/>
  <c r="S1626" i="3" l="1"/>
  <c r="AC1626" i="3" s="1"/>
  <c r="D1627" i="3"/>
  <c r="C1626" i="3"/>
  <c r="H1625" i="3"/>
  <c r="R1624" i="3"/>
  <c r="W1624" i="3" s="1"/>
  <c r="S1627" i="3" l="1"/>
  <c r="AC1627" i="3" s="1"/>
  <c r="D1628" i="3"/>
  <c r="C1627" i="3"/>
  <c r="B1626" i="3"/>
  <c r="H1626" i="3"/>
  <c r="R1625" i="3"/>
  <c r="W1625" i="3" s="1"/>
  <c r="B1627" i="3" l="1"/>
  <c r="S1628" i="3"/>
  <c r="AC1628" i="3" s="1"/>
  <c r="D1629" i="3"/>
  <c r="C1628" i="3"/>
  <c r="B1628" i="3" s="1"/>
  <c r="R1626" i="3"/>
  <c r="W1626" i="3" s="1"/>
  <c r="H1627" i="3"/>
  <c r="S1629" i="3" l="1"/>
  <c r="AC1629" i="3" s="1"/>
  <c r="D1630" i="3"/>
  <c r="C1629" i="3"/>
  <c r="C1630" i="3" s="1"/>
  <c r="R1627" i="3"/>
  <c r="W1627" i="3" s="1"/>
  <c r="H1628" i="3"/>
  <c r="B1629" i="3" l="1"/>
  <c r="B1630" i="3" s="1"/>
  <c r="S1630" i="3"/>
  <c r="AC1630" i="3" s="1"/>
  <c r="D1631" i="3"/>
  <c r="R1628" i="3"/>
  <c r="W1628" i="3" s="1"/>
  <c r="H1629" i="3"/>
  <c r="S1631" i="3" l="1"/>
  <c r="AC1631" i="3" s="1"/>
  <c r="D1632" i="3"/>
  <c r="C1631" i="3"/>
  <c r="R1629" i="3"/>
  <c r="W1629" i="3" s="1"/>
  <c r="H1630" i="3"/>
  <c r="S1632" i="3" l="1"/>
  <c r="AC1632" i="3" s="1"/>
  <c r="D1633" i="3"/>
  <c r="C1632" i="3"/>
  <c r="C1633" i="3" s="1"/>
  <c r="B1631" i="3"/>
  <c r="R1630" i="3"/>
  <c r="W1630" i="3" s="1"/>
  <c r="H1631" i="3"/>
  <c r="B1632" i="3" l="1"/>
  <c r="B1633" i="3" s="1"/>
  <c r="D1634" i="3"/>
  <c r="S1633" i="3"/>
  <c r="AC1633" i="3" s="1"/>
  <c r="R1631" i="3"/>
  <c r="W1631" i="3" s="1"/>
  <c r="H1632" i="3"/>
  <c r="S1634" i="3" l="1"/>
  <c r="AC1634" i="3" s="1"/>
  <c r="D1635" i="3"/>
  <c r="C1634" i="3"/>
  <c r="R1632" i="3"/>
  <c r="W1632" i="3" s="1"/>
  <c r="H1633" i="3"/>
  <c r="D1636" i="3" l="1"/>
  <c r="S1635" i="3"/>
  <c r="AC1635" i="3" s="1"/>
  <c r="C1635" i="3"/>
  <c r="B1634" i="3"/>
  <c r="B1635" i="3" s="1"/>
  <c r="R1633" i="3"/>
  <c r="W1633" i="3" s="1"/>
  <c r="H1634" i="3"/>
  <c r="S1636" i="3" l="1"/>
  <c r="AC1636" i="3" s="1"/>
  <c r="D1637" i="3"/>
  <c r="C1636" i="3"/>
  <c r="C1637" i="3" s="1"/>
  <c r="R1634" i="3"/>
  <c r="W1634" i="3" s="1"/>
  <c r="H1635" i="3"/>
  <c r="D1638" i="3" l="1"/>
  <c r="S1637" i="3"/>
  <c r="AC1637" i="3" s="1"/>
  <c r="B1636" i="3"/>
  <c r="B1637" i="3" s="1"/>
  <c r="R1635" i="3"/>
  <c r="W1635" i="3" s="1"/>
  <c r="H1636" i="3"/>
  <c r="S1638" i="3" l="1"/>
  <c r="AC1638" i="3" s="1"/>
  <c r="D1639" i="3"/>
  <c r="C1638" i="3"/>
  <c r="R1636" i="3"/>
  <c r="W1636" i="3" s="1"/>
  <c r="H1637" i="3"/>
  <c r="D1640" i="3" l="1"/>
  <c r="S1639" i="3"/>
  <c r="AC1639" i="3" s="1"/>
  <c r="C1639" i="3"/>
  <c r="B1638" i="3"/>
  <c r="B1639" i="3" s="1"/>
  <c r="R1637" i="3"/>
  <c r="W1637" i="3" s="1"/>
  <c r="H1638" i="3"/>
  <c r="S1640" i="3" l="1"/>
  <c r="AC1640" i="3" s="1"/>
  <c r="D1641" i="3"/>
  <c r="C1640" i="3"/>
  <c r="C1641" i="3" s="1"/>
  <c r="R1638" i="3"/>
  <c r="W1638" i="3" s="1"/>
  <c r="H1639" i="3"/>
  <c r="D1642" i="3" l="1"/>
  <c r="S1641" i="3"/>
  <c r="AC1641" i="3" s="1"/>
  <c r="B1640" i="3"/>
  <c r="B1641" i="3" s="1"/>
  <c r="R1639" i="3"/>
  <c r="W1639" i="3" s="1"/>
  <c r="H1640" i="3"/>
  <c r="S1642" i="3" l="1"/>
  <c r="AC1642" i="3" s="1"/>
  <c r="D1643" i="3"/>
  <c r="C1642" i="3"/>
  <c r="R1640" i="3"/>
  <c r="W1640" i="3" s="1"/>
  <c r="H1641" i="3"/>
  <c r="S1643" i="3" l="1"/>
  <c r="AC1643" i="3" s="1"/>
  <c r="D1644" i="3"/>
  <c r="C1643" i="3"/>
  <c r="B1642" i="3"/>
  <c r="R1641" i="3"/>
  <c r="W1641" i="3" s="1"/>
  <c r="H1642" i="3"/>
  <c r="B1643" i="3" l="1"/>
  <c r="S1644" i="3"/>
  <c r="AC1644" i="3" s="1"/>
  <c r="D1645" i="3"/>
  <c r="C1644" i="3"/>
  <c r="H1643" i="3"/>
  <c r="R1642" i="3"/>
  <c r="W1642" i="3" s="1"/>
  <c r="B1644" i="3" l="1"/>
  <c r="S1645" i="3"/>
  <c r="AC1645" i="3" s="1"/>
  <c r="D1646" i="3"/>
  <c r="C1645" i="3"/>
  <c r="B1645" i="3" s="1"/>
  <c r="R1643" i="3"/>
  <c r="W1643" i="3" s="1"/>
  <c r="H1644" i="3"/>
  <c r="S1646" i="3" l="1"/>
  <c r="AC1646" i="3" s="1"/>
  <c r="D1647" i="3"/>
  <c r="C1646" i="3"/>
  <c r="R1644" i="3"/>
  <c r="W1644" i="3" s="1"/>
  <c r="H1645" i="3"/>
  <c r="S1647" i="3" l="1"/>
  <c r="AC1647" i="3" s="1"/>
  <c r="C1647" i="3"/>
  <c r="B1646" i="3"/>
  <c r="B1647" i="3" s="1"/>
  <c r="R1645" i="3"/>
  <c r="W1645" i="3" s="1"/>
  <c r="H1646" i="3"/>
  <c r="R1646" i="3" l="1"/>
  <c r="W1646" i="3" s="1"/>
  <c r="H1647" i="3"/>
  <c r="R1647" i="3" s="1"/>
  <c r="W164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<sst xmlns="http://schemas.openxmlformats.org/spreadsheetml/2006/main" count="70" uniqueCount="64">
  <si>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</si>
  <si>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</si>
  <si>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</si>
  <si>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</si>
  <si>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</si>
  <si>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</si>
  <si>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</si>
  <si>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</si>
  <si>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</si>
  <si>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</si>
  <si>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</si>
  <si>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</si>
  <si>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</si>
  <si>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</si>
  <si>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</si>
  <si>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</si>
  <si>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</si>
  <si>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</si>
  <si>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</si>
  <si>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</si>
  <si>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</si>
  <si>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</si>
  <si>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</si>
  <si>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</si>
  <si>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</si>
  <si>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</si>
  <si>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</si>
  <si>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</si>
  <si>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</si>
  <si>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</si>
  <si>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</si>
  <si>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</si>
  <si>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</si>
  <si>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</si>
  <si>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</si>
  <si>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</si>
  <si>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</si>
  <si>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</si>
  <si>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</si>
  <si>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</si>
  <si>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</si>
  <si>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</si>
  <si>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</si>
  <si>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</si>
  <si>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</si>
  <si>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</si>
  <si>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</si>
  <si>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</si>
  <si>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</si>
  <si>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</si>
  <si>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</si>
  <si>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</si>
  <si>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</si>
  <si>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</si>
  <si>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</si>
  <si>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Dec</t>
  </si>
  <si>
    <t>Hypericum</t>
  </si>
  <si>
    <t>revolutum</t>
  </si>
  <si>
    <t>bee</t>
  </si>
  <si>
    <t>like a fly</t>
  </si>
  <si>
    <t>Diptera</t>
  </si>
  <si>
    <t>SD IDs</t>
  </si>
  <si>
    <t>Brachycera</t>
  </si>
  <si>
    <t>Syrphidae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</si>
</sst>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647"/>
  <sheetViews>
    <sheetView tabSelected="1" zoomScale="85" zoomScaleNormal="85" workbookViewId="0">
      <pane xSplit="6" ySplit="2" topLeftCell="M3" activePane="bottomRight" state="frozen"/>
      <selection pane="topRight" activeCell="G1" sqref="G1"/>
      <selection pane="bottomLeft" activeCell="A3" sqref="A3"/>
      <selection pane="bottomRight" activeCell="Y1648" sqref="Y1648"/>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45" max="45" width="58"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61</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55</v>
      </c>
      <c r="C3" s="33">
        <v>2</v>
      </c>
      <c r="D3" s="34">
        <v>14</v>
      </c>
      <c r="E3" s="35">
        <v>54</v>
      </c>
      <c r="F3" s="36"/>
      <c r="G3" s="37"/>
      <c r="H3" s="38" t="str">
        <f>CONCATENATE(LEFT(J3,3),LEFT(K3,3),L3,"_",A3,TEXT(MONTH(DATEVALUE(B3&amp;" 1")),"00"),TEXT(IF(AND(E3&lt;G3, D3=0), C3-1, C3),"00"),"_",TEXT(IF(E3&lt;G3, IF(D3-1=-1, 23, D3-1), D3), "00"),"_",TEXT(G3,"00"))</f>
        <v>Hyprev6_20201202_14_00</v>
      </c>
      <c r="I3" s="39">
        <v>1</v>
      </c>
      <c r="J3" s="40" t="s">
        <v>56</v>
      </c>
      <c r="K3" s="41" t="s">
        <v>57</v>
      </c>
      <c r="L3" s="42">
        <v>6</v>
      </c>
      <c r="M3" s="42">
        <v>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Dec</v>
      </c>
      <c r="C4" s="63">
        <f>IF(AND(D4=0, E4=0), IF(TEXT(C3,"dd")=TEXT(EOMONTH(DATE(A3,MONTH(DATEVALUE(B3&amp;"1")),C3),0), "dd"), 1, C3+1), C3)</f>
        <v>2</v>
      </c>
      <c r="D4" s="64">
        <f t="shared" ref="D4:D67" si="7">IF(IF(E3=59,D3+1,D3)=24,0,IF(E3=59,D3+1,D3))</f>
        <v>14</v>
      </c>
      <c r="E4" s="65">
        <f t="shared" ref="E4:E67" si="8">IF(E3&lt;59,E3+1,0)</f>
        <v>55</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Hyprev6_20201202_14_00</v>
      </c>
      <c r="I4" s="69">
        <f>I3</f>
        <v>1</v>
      </c>
      <c r="J4" s="70" t="str">
        <f t="shared" ref="J4:N19" si="9">J3</f>
        <v>Hypericum</v>
      </c>
      <c r="K4" s="70" t="str">
        <f t="shared" si="9"/>
        <v>revolutum</v>
      </c>
      <c r="L4" s="71">
        <f t="shared" si="9"/>
        <v>6</v>
      </c>
      <c r="M4" s="71">
        <f t="shared" si="9"/>
        <v>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Dec</v>
      </c>
      <c r="C5" s="73">
        <f t="shared" ref="C5:C68" si="25">IF(AND(D5=0, E5=0), IF(TEXT(C4,"dd")=TEXT(EOMONTH(DATE(A4,MONTH(DATEVALUE(B4&amp;"1")),C4),0), "dd"), 1, C4+1), C4)</f>
        <v>2</v>
      </c>
      <c r="D5" s="74">
        <f t="shared" si="7"/>
        <v>14</v>
      </c>
      <c r="E5" s="75">
        <f t="shared" si="8"/>
        <v>56</v>
      </c>
      <c r="F5" s="66"/>
      <c r="G5" s="67"/>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Hyprev6_20201202_14_00</v>
      </c>
      <c r="I5" s="69">
        <f t="shared" ref="I5:N20" si="27">I4</f>
        <v>1</v>
      </c>
      <c r="J5" s="76" t="str">
        <f t="shared" si="9"/>
        <v>Hypericum</v>
      </c>
      <c r="K5" s="76" t="str">
        <f t="shared" si="9"/>
        <v>revolutum</v>
      </c>
      <c r="L5" s="77">
        <f t="shared" si="9"/>
        <v>6</v>
      </c>
      <c r="M5" s="77">
        <f t="shared" si="9"/>
        <v>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Dec</v>
      </c>
      <c r="C6" s="73">
        <f t="shared" si="25"/>
        <v>2</v>
      </c>
      <c r="D6" s="74">
        <f t="shared" si="7"/>
        <v>14</v>
      </c>
      <c r="E6" s="75">
        <f t="shared" si="8"/>
        <v>57</v>
      </c>
      <c r="F6" s="66"/>
      <c r="G6" s="67"/>
      <c r="H6" s="68" t="str">
        <f t="shared" si="26"/>
        <v>Hyprev6_20201202_14_00</v>
      </c>
      <c r="I6" s="69">
        <f t="shared" si="27"/>
        <v>1</v>
      </c>
      <c r="J6" s="76" t="str">
        <f t="shared" si="9"/>
        <v>Hypericum</v>
      </c>
      <c r="K6" s="76" t="str">
        <f t="shared" si="9"/>
        <v>revolutum</v>
      </c>
      <c r="L6" s="77">
        <f t="shared" si="9"/>
        <v>6</v>
      </c>
      <c r="M6" s="77">
        <f t="shared" si="9"/>
        <v>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Dec</v>
      </c>
      <c r="C7" s="73">
        <f t="shared" si="25"/>
        <v>2</v>
      </c>
      <c r="D7" s="74">
        <f t="shared" si="7"/>
        <v>14</v>
      </c>
      <c r="E7" s="75">
        <f t="shared" si="8"/>
        <v>58</v>
      </c>
      <c r="F7" s="66"/>
      <c r="G7" s="67"/>
      <c r="H7" s="68" t="str">
        <f t="shared" si="26"/>
        <v>Hyprev6_20201202_14_00</v>
      </c>
      <c r="I7" s="69">
        <f t="shared" si="27"/>
        <v>1</v>
      </c>
      <c r="J7" s="76" t="str">
        <f t="shared" si="9"/>
        <v>Hypericum</v>
      </c>
      <c r="K7" s="76" t="str">
        <f t="shared" si="9"/>
        <v>revolutum</v>
      </c>
      <c r="L7" s="77">
        <f t="shared" si="9"/>
        <v>6</v>
      </c>
      <c r="M7" s="77">
        <f t="shared" si="9"/>
        <v>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Dec</v>
      </c>
      <c r="C8" s="73">
        <f t="shared" si="25"/>
        <v>2</v>
      </c>
      <c r="D8" s="74">
        <f t="shared" si="7"/>
        <v>14</v>
      </c>
      <c r="E8" s="75">
        <f t="shared" si="8"/>
        <v>59</v>
      </c>
      <c r="F8" s="66"/>
      <c r="G8" s="78"/>
      <c r="H8" s="68" t="str">
        <f t="shared" si="26"/>
        <v>Hyprev6_20201202_14_00</v>
      </c>
      <c r="I8" s="69">
        <f t="shared" si="27"/>
        <v>1</v>
      </c>
      <c r="J8" s="76" t="str">
        <f t="shared" si="9"/>
        <v>Hypericum</v>
      </c>
      <c r="K8" s="76" t="str">
        <f t="shared" si="9"/>
        <v>revolutum</v>
      </c>
      <c r="L8" s="77">
        <f t="shared" si="9"/>
        <v>6</v>
      </c>
      <c r="M8" s="77">
        <f t="shared" si="9"/>
        <v>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Dec</v>
      </c>
      <c r="C9" s="73">
        <f t="shared" si="25"/>
        <v>2</v>
      </c>
      <c r="D9" s="74">
        <f t="shared" si="7"/>
        <v>15</v>
      </c>
      <c r="E9" s="75">
        <f t="shared" si="8"/>
        <v>0</v>
      </c>
      <c r="F9" s="79"/>
      <c r="G9" s="80"/>
      <c r="H9" s="68" t="str">
        <f t="shared" si="26"/>
        <v>Hyprev6_20201202_15_00</v>
      </c>
      <c r="I9" s="69">
        <f t="shared" si="27"/>
        <v>1</v>
      </c>
      <c r="J9" s="76" t="str">
        <f t="shared" si="9"/>
        <v>Hypericum</v>
      </c>
      <c r="K9" s="76" t="str">
        <f t="shared" si="9"/>
        <v>revolutum</v>
      </c>
      <c r="L9" s="77">
        <f t="shared" si="9"/>
        <v>6</v>
      </c>
      <c r="M9" s="77">
        <f t="shared" si="9"/>
        <v>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Dec</v>
      </c>
      <c r="C10" s="73">
        <f t="shared" si="25"/>
        <v>2</v>
      </c>
      <c r="D10" s="74">
        <f t="shared" si="7"/>
        <v>15</v>
      </c>
      <c r="E10" s="75">
        <f t="shared" si="8"/>
        <v>1</v>
      </c>
      <c r="F10" s="79"/>
      <c r="G10" s="81"/>
      <c r="H10" s="68" t="str">
        <f t="shared" si="26"/>
        <v>Hyprev6_20201202_15_00</v>
      </c>
      <c r="I10" s="69">
        <f t="shared" si="27"/>
        <v>1</v>
      </c>
      <c r="J10" s="76" t="str">
        <f t="shared" si="9"/>
        <v>Hypericum</v>
      </c>
      <c r="K10" s="76" t="str">
        <f t="shared" si="9"/>
        <v>revolutum</v>
      </c>
      <c r="L10" s="77">
        <f t="shared" si="9"/>
        <v>6</v>
      </c>
      <c r="M10" s="77">
        <f t="shared" si="9"/>
        <v>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Dec</v>
      </c>
      <c r="C11" s="73">
        <f t="shared" si="25"/>
        <v>2</v>
      </c>
      <c r="D11" s="74">
        <f t="shared" si="7"/>
        <v>15</v>
      </c>
      <c r="E11" s="75">
        <f t="shared" si="8"/>
        <v>2</v>
      </c>
      <c r="F11" s="79"/>
      <c r="G11" s="82"/>
      <c r="H11" s="68" t="str">
        <f t="shared" si="26"/>
        <v>Hyprev6_20201202_15_00</v>
      </c>
      <c r="I11" s="69">
        <f t="shared" si="27"/>
        <v>1</v>
      </c>
      <c r="J11" s="76" t="str">
        <f t="shared" si="9"/>
        <v>Hypericum</v>
      </c>
      <c r="K11" s="76" t="str">
        <f t="shared" si="9"/>
        <v>revolutum</v>
      </c>
      <c r="L11" s="77">
        <f t="shared" si="9"/>
        <v>6</v>
      </c>
      <c r="M11" s="77">
        <f t="shared" si="9"/>
        <v>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Dec</v>
      </c>
      <c r="C12" s="73">
        <f t="shared" si="25"/>
        <v>2</v>
      </c>
      <c r="D12" s="74">
        <f t="shared" si="7"/>
        <v>15</v>
      </c>
      <c r="E12" s="75">
        <f t="shared" si="8"/>
        <v>3</v>
      </c>
      <c r="F12" s="79"/>
      <c r="G12" s="82"/>
      <c r="H12" s="68" t="str">
        <f t="shared" si="26"/>
        <v>Hyprev6_20201202_15_00</v>
      </c>
      <c r="I12" s="69">
        <f t="shared" si="27"/>
        <v>1</v>
      </c>
      <c r="J12" s="76" t="str">
        <f t="shared" si="9"/>
        <v>Hypericum</v>
      </c>
      <c r="K12" s="76" t="str">
        <f t="shared" si="9"/>
        <v>revolutum</v>
      </c>
      <c r="L12" s="77">
        <f t="shared" si="9"/>
        <v>6</v>
      </c>
      <c r="M12" s="77">
        <f t="shared" si="9"/>
        <v>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Dec</v>
      </c>
      <c r="C13" s="73">
        <f t="shared" si="25"/>
        <v>2</v>
      </c>
      <c r="D13" s="74">
        <f t="shared" si="7"/>
        <v>15</v>
      </c>
      <c r="E13" s="75">
        <f t="shared" si="8"/>
        <v>4</v>
      </c>
      <c r="F13" s="79"/>
      <c r="G13" s="82"/>
      <c r="H13" s="68" t="str">
        <f t="shared" si="26"/>
        <v>Hyprev6_20201202_15_00</v>
      </c>
      <c r="I13" s="69">
        <f t="shared" si="27"/>
        <v>1</v>
      </c>
      <c r="J13" s="76" t="str">
        <f t="shared" si="9"/>
        <v>Hypericum</v>
      </c>
      <c r="K13" s="76" t="str">
        <f t="shared" si="9"/>
        <v>revolutum</v>
      </c>
      <c r="L13" s="77">
        <f t="shared" si="9"/>
        <v>6</v>
      </c>
      <c r="M13" s="77">
        <f t="shared" si="9"/>
        <v>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Dec</v>
      </c>
      <c r="C14" s="73">
        <f t="shared" si="25"/>
        <v>2</v>
      </c>
      <c r="D14" s="74">
        <f t="shared" si="7"/>
        <v>15</v>
      </c>
      <c r="E14" s="75">
        <f t="shared" si="8"/>
        <v>5</v>
      </c>
      <c r="F14" s="79"/>
      <c r="G14" s="82"/>
      <c r="H14" s="68" t="str">
        <f t="shared" si="26"/>
        <v>Hyprev6_20201202_15_00</v>
      </c>
      <c r="I14" s="69">
        <f t="shared" si="27"/>
        <v>1</v>
      </c>
      <c r="J14" s="76" t="str">
        <f t="shared" si="9"/>
        <v>Hypericum</v>
      </c>
      <c r="K14" s="76" t="str">
        <f t="shared" si="9"/>
        <v>revolutum</v>
      </c>
      <c r="L14" s="77">
        <f t="shared" si="9"/>
        <v>6</v>
      </c>
      <c r="M14" s="77">
        <f t="shared" si="9"/>
        <v>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Dec</v>
      </c>
      <c r="C15" s="73">
        <f t="shared" si="25"/>
        <v>2</v>
      </c>
      <c r="D15" s="74">
        <f t="shared" si="7"/>
        <v>15</v>
      </c>
      <c r="E15" s="75">
        <f t="shared" si="8"/>
        <v>6</v>
      </c>
      <c r="F15" s="79"/>
      <c r="G15" s="82"/>
      <c r="H15" s="68" t="str">
        <f t="shared" si="26"/>
        <v>Hyprev6_20201202_15_00</v>
      </c>
      <c r="I15" s="69">
        <f t="shared" si="27"/>
        <v>1</v>
      </c>
      <c r="J15" s="76" t="str">
        <f t="shared" si="9"/>
        <v>Hypericum</v>
      </c>
      <c r="K15" s="76" t="str">
        <f t="shared" si="9"/>
        <v>revolutum</v>
      </c>
      <c r="L15" s="77">
        <f t="shared" si="9"/>
        <v>6</v>
      </c>
      <c r="M15" s="77">
        <f t="shared" si="9"/>
        <v>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Dec</v>
      </c>
      <c r="C16" s="73">
        <f t="shared" si="25"/>
        <v>2</v>
      </c>
      <c r="D16" s="74">
        <f t="shared" si="7"/>
        <v>15</v>
      </c>
      <c r="E16" s="75">
        <f t="shared" si="8"/>
        <v>7</v>
      </c>
      <c r="F16" s="79"/>
      <c r="G16" s="82"/>
      <c r="H16" s="68" t="str">
        <f t="shared" si="26"/>
        <v>Hyprev6_20201202_15_00</v>
      </c>
      <c r="I16" s="69">
        <f t="shared" si="27"/>
        <v>1</v>
      </c>
      <c r="J16" s="76" t="str">
        <f t="shared" si="9"/>
        <v>Hypericum</v>
      </c>
      <c r="K16" s="76" t="str">
        <f t="shared" si="9"/>
        <v>revolutum</v>
      </c>
      <c r="L16" s="77">
        <f t="shared" si="9"/>
        <v>6</v>
      </c>
      <c r="M16" s="77">
        <f t="shared" si="9"/>
        <v>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Dec</v>
      </c>
      <c r="C17" s="73">
        <f t="shared" si="25"/>
        <v>2</v>
      </c>
      <c r="D17" s="74">
        <f t="shared" si="7"/>
        <v>15</v>
      </c>
      <c r="E17" s="75">
        <f t="shared" si="8"/>
        <v>8</v>
      </c>
      <c r="F17" s="79"/>
      <c r="G17" s="82"/>
      <c r="H17" s="68" t="str">
        <f t="shared" si="26"/>
        <v>Hyprev6_20201202_15_00</v>
      </c>
      <c r="I17" s="69">
        <f t="shared" si="27"/>
        <v>1</v>
      </c>
      <c r="J17" s="76" t="str">
        <f t="shared" si="9"/>
        <v>Hypericum</v>
      </c>
      <c r="K17" s="76" t="str">
        <f t="shared" si="9"/>
        <v>revolutum</v>
      </c>
      <c r="L17" s="77">
        <f t="shared" si="9"/>
        <v>6</v>
      </c>
      <c r="M17" s="77">
        <f t="shared" si="9"/>
        <v>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Dec</v>
      </c>
      <c r="C18" s="73">
        <f t="shared" si="25"/>
        <v>2</v>
      </c>
      <c r="D18" s="74">
        <f t="shared" si="7"/>
        <v>15</v>
      </c>
      <c r="E18" s="75">
        <f t="shared" si="8"/>
        <v>9</v>
      </c>
      <c r="F18" s="79"/>
      <c r="G18" s="82"/>
      <c r="H18" s="68" t="str">
        <f t="shared" si="26"/>
        <v>Hyprev6_20201202_15_00</v>
      </c>
      <c r="I18" s="69">
        <f t="shared" si="27"/>
        <v>1</v>
      </c>
      <c r="J18" s="76" t="str">
        <f t="shared" si="9"/>
        <v>Hypericum</v>
      </c>
      <c r="K18" s="76" t="str">
        <f t="shared" si="9"/>
        <v>revolutum</v>
      </c>
      <c r="L18" s="77">
        <f t="shared" si="9"/>
        <v>6</v>
      </c>
      <c r="M18" s="77">
        <f t="shared" si="9"/>
        <v>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Dec</v>
      </c>
      <c r="C19" s="73">
        <f t="shared" si="25"/>
        <v>2</v>
      </c>
      <c r="D19" s="74">
        <f t="shared" si="7"/>
        <v>15</v>
      </c>
      <c r="E19" s="75">
        <f t="shared" si="8"/>
        <v>10</v>
      </c>
      <c r="F19" s="79"/>
      <c r="G19" s="82"/>
      <c r="H19" s="68" t="str">
        <f t="shared" si="26"/>
        <v>Hyprev6_20201202_15_00</v>
      </c>
      <c r="I19" s="69">
        <f t="shared" si="27"/>
        <v>1</v>
      </c>
      <c r="J19" s="76" t="str">
        <f t="shared" si="9"/>
        <v>Hypericum</v>
      </c>
      <c r="K19" s="76" t="str">
        <f t="shared" si="9"/>
        <v>revolutum</v>
      </c>
      <c r="L19" s="77">
        <f t="shared" si="9"/>
        <v>6</v>
      </c>
      <c r="M19" s="77">
        <f t="shared" si="9"/>
        <v>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Dec</v>
      </c>
      <c r="C20" s="73">
        <f t="shared" si="25"/>
        <v>2</v>
      </c>
      <c r="D20" s="74">
        <f t="shared" si="7"/>
        <v>15</v>
      </c>
      <c r="E20" s="75">
        <f t="shared" si="8"/>
        <v>11</v>
      </c>
      <c r="F20" s="79"/>
      <c r="G20" s="82"/>
      <c r="H20" s="68" t="str">
        <f t="shared" si="26"/>
        <v>Hyprev6_20201202_15_00</v>
      </c>
      <c r="I20" s="69">
        <f t="shared" si="27"/>
        <v>1</v>
      </c>
      <c r="J20" s="76" t="str">
        <f t="shared" si="27"/>
        <v>Hypericum</v>
      </c>
      <c r="K20" s="76" t="str">
        <f t="shared" si="27"/>
        <v>revolutum</v>
      </c>
      <c r="L20" s="77">
        <f t="shared" si="27"/>
        <v>6</v>
      </c>
      <c r="M20" s="77">
        <f t="shared" si="27"/>
        <v>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Dec</v>
      </c>
      <c r="C21" s="73">
        <f t="shared" si="25"/>
        <v>2</v>
      </c>
      <c r="D21" s="74">
        <f t="shared" si="7"/>
        <v>15</v>
      </c>
      <c r="E21" s="75">
        <f t="shared" si="8"/>
        <v>12</v>
      </c>
      <c r="F21" s="79"/>
      <c r="G21" s="82"/>
      <c r="H21" s="68" t="str">
        <f t="shared" si="26"/>
        <v>Hyprev6_20201202_15_00</v>
      </c>
      <c r="I21" s="69">
        <f t="shared" ref="I21:N36" si="28">I20</f>
        <v>1</v>
      </c>
      <c r="J21" s="76" t="str">
        <f t="shared" si="28"/>
        <v>Hypericum</v>
      </c>
      <c r="K21" s="76" t="str">
        <f t="shared" si="28"/>
        <v>revolutum</v>
      </c>
      <c r="L21" s="77">
        <f t="shared" si="28"/>
        <v>6</v>
      </c>
      <c r="M21" s="77">
        <f t="shared" si="28"/>
        <v>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Dec</v>
      </c>
      <c r="C22" s="73">
        <f t="shared" si="25"/>
        <v>2</v>
      </c>
      <c r="D22" s="74">
        <f t="shared" si="7"/>
        <v>15</v>
      </c>
      <c r="E22" s="75">
        <f t="shared" si="8"/>
        <v>13</v>
      </c>
      <c r="F22" s="79"/>
      <c r="G22" s="82"/>
      <c r="H22" s="68" t="str">
        <f t="shared" si="26"/>
        <v>Hyprev6_20201202_15_00</v>
      </c>
      <c r="I22" s="69">
        <f t="shared" si="28"/>
        <v>1</v>
      </c>
      <c r="J22" s="76" t="str">
        <f t="shared" si="28"/>
        <v>Hypericum</v>
      </c>
      <c r="K22" s="76" t="str">
        <f t="shared" si="28"/>
        <v>revolutum</v>
      </c>
      <c r="L22" s="77">
        <f t="shared" si="28"/>
        <v>6</v>
      </c>
      <c r="M22" s="77">
        <f t="shared" si="28"/>
        <v>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Dec</v>
      </c>
      <c r="C23" s="73">
        <f t="shared" si="25"/>
        <v>2</v>
      </c>
      <c r="D23" s="74">
        <f t="shared" si="7"/>
        <v>15</v>
      </c>
      <c r="E23" s="75">
        <f t="shared" si="8"/>
        <v>14</v>
      </c>
      <c r="F23" s="79"/>
      <c r="G23" s="82"/>
      <c r="H23" s="68" t="str">
        <f t="shared" si="26"/>
        <v>Hyprev6_20201202_15_00</v>
      </c>
      <c r="I23" s="69">
        <f t="shared" si="28"/>
        <v>1</v>
      </c>
      <c r="J23" s="76" t="str">
        <f t="shared" si="28"/>
        <v>Hypericum</v>
      </c>
      <c r="K23" s="76" t="str">
        <f t="shared" si="28"/>
        <v>revolutum</v>
      </c>
      <c r="L23" s="77">
        <f t="shared" si="28"/>
        <v>6</v>
      </c>
      <c r="M23" s="77">
        <f t="shared" si="28"/>
        <v>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Dec</v>
      </c>
      <c r="C24" s="73">
        <f t="shared" si="25"/>
        <v>2</v>
      </c>
      <c r="D24" s="74">
        <f t="shared" si="7"/>
        <v>15</v>
      </c>
      <c r="E24" s="75">
        <f t="shared" si="8"/>
        <v>15</v>
      </c>
      <c r="F24" s="79"/>
      <c r="G24" s="82"/>
      <c r="H24" s="68" t="str">
        <f t="shared" si="26"/>
        <v>Hyprev6_20201202_15_00</v>
      </c>
      <c r="I24" s="69">
        <f t="shared" si="28"/>
        <v>1</v>
      </c>
      <c r="J24" s="76" t="str">
        <f t="shared" si="28"/>
        <v>Hypericum</v>
      </c>
      <c r="K24" s="76" t="str">
        <f t="shared" si="28"/>
        <v>revolutum</v>
      </c>
      <c r="L24" s="77">
        <f t="shared" si="28"/>
        <v>6</v>
      </c>
      <c r="M24" s="77">
        <f t="shared" si="28"/>
        <v>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Dec</v>
      </c>
      <c r="C25" s="73">
        <f t="shared" si="25"/>
        <v>2</v>
      </c>
      <c r="D25" s="74">
        <f t="shared" si="7"/>
        <v>15</v>
      </c>
      <c r="E25" s="75">
        <f t="shared" si="8"/>
        <v>16</v>
      </c>
      <c r="F25" s="79"/>
      <c r="G25" s="82"/>
      <c r="H25" s="68" t="str">
        <f t="shared" si="26"/>
        <v>Hyprev6_20201202_15_00</v>
      </c>
      <c r="I25" s="69">
        <f t="shared" si="28"/>
        <v>1</v>
      </c>
      <c r="J25" s="76" t="str">
        <f t="shared" si="28"/>
        <v>Hypericum</v>
      </c>
      <c r="K25" s="76" t="str">
        <f t="shared" si="28"/>
        <v>revolutum</v>
      </c>
      <c r="L25" s="77">
        <f t="shared" si="28"/>
        <v>6</v>
      </c>
      <c r="M25" s="77">
        <f t="shared" si="28"/>
        <v>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Dec</v>
      </c>
      <c r="C26" s="73">
        <f t="shared" si="25"/>
        <v>2</v>
      </c>
      <c r="D26" s="74">
        <f t="shared" si="7"/>
        <v>15</v>
      </c>
      <c r="E26" s="75">
        <f t="shared" si="8"/>
        <v>17</v>
      </c>
      <c r="F26" s="79"/>
      <c r="G26" s="82"/>
      <c r="H26" s="68" t="str">
        <f t="shared" si="26"/>
        <v>Hyprev6_20201202_15_00</v>
      </c>
      <c r="I26" s="69">
        <f t="shared" si="28"/>
        <v>1</v>
      </c>
      <c r="J26" s="76" t="str">
        <f t="shared" si="28"/>
        <v>Hypericum</v>
      </c>
      <c r="K26" s="76" t="str">
        <f t="shared" si="28"/>
        <v>revolutum</v>
      </c>
      <c r="L26" s="77">
        <f t="shared" si="28"/>
        <v>6</v>
      </c>
      <c r="M26" s="77">
        <f t="shared" si="28"/>
        <v>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Dec</v>
      </c>
      <c r="C27" s="73">
        <f t="shared" si="25"/>
        <v>2</v>
      </c>
      <c r="D27" s="74">
        <f t="shared" si="7"/>
        <v>15</v>
      </c>
      <c r="E27" s="75">
        <f t="shared" si="8"/>
        <v>18</v>
      </c>
      <c r="F27" s="79"/>
      <c r="G27" s="82"/>
      <c r="H27" s="68" t="str">
        <f t="shared" si="26"/>
        <v>Hyprev6_20201202_15_00</v>
      </c>
      <c r="I27" s="69">
        <f t="shared" si="28"/>
        <v>1</v>
      </c>
      <c r="J27" s="76" t="str">
        <f t="shared" si="28"/>
        <v>Hypericum</v>
      </c>
      <c r="K27" s="76" t="str">
        <f t="shared" si="28"/>
        <v>revolutum</v>
      </c>
      <c r="L27" s="77">
        <f t="shared" si="28"/>
        <v>6</v>
      </c>
      <c r="M27" s="77">
        <f t="shared" si="28"/>
        <v>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Dec</v>
      </c>
      <c r="C28" s="73">
        <f t="shared" si="25"/>
        <v>2</v>
      </c>
      <c r="D28" s="74">
        <f t="shared" si="7"/>
        <v>15</v>
      </c>
      <c r="E28" s="75">
        <f t="shared" si="8"/>
        <v>19</v>
      </c>
      <c r="F28" s="79"/>
      <c r="G28" s="82"/>
      <c r="H28" s="68" t="str">
        <f t="shared" si="26"/>
        <v>Hyprev6_20201202_15_00</v>
      </c>
      <c r="I28" s="69">
        <f t="shared" si="28"/>
        <v>1</v>
      </c>
      <c r="J28" s="76" t="str">
        <f t="shared" si="28"/>
        <v>Hypericum</v>
      </c>
      <c r="K28" s="76" t="str">
        <f t="shared" si="28"/>
        <v>revolutum</v>
      </c>
      <c r="L28" s="77">
        <f t="shared" si="28"/>
        <v>6</v>
      </c>
      <c r="M28" s="77">
        <f t="shared" si="28"/>
        <v>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Dec</v>
      </c>
      <c r="C29" s="73">
        <f t="shared" si="25"/>
        <v>2</v>
      </c>
      <c r="D29" s="74">
        <f t="shared" si="7"/>
        <v>15</v>
      </c>
      <c r="E29" s="75">
        <f t="shared" si="8"/>
        <v>20</v>
      </c>
      <c r="F29" s="79"/>
      <c r="G29" s="82"/>
      <c r="H29" s="68" t="str">
        <f t="shared" si="26"/>
        <v>Hyprev6_20201202_15_00</v>
      </c>
      <c r="I29" s="69">
        <f t="shared" si="28"/>
        <v>1</v>
      </c>
      <c r="J29" s="76" t="str">
        <f t="shared" si="28"/>
        <v>Hypericum</v>
      </c>
      <c r="K29" s="76" t="str">
        <f t="shared" si="28"/>
        <v>revolutum</v>
      </c>
      <c r="L29" s="77">
        <f t="shared" si="28"/>
        <v>6</v>
      </c>
      <c r="M29" s="77">
        <f t="shared" si="28"/>
        <v>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Dec</v>
      </c>
      <c r="C30" s="73">
        <f t="shared" si="25"/>
        <v>2</v>
      </c>
      <c r="D30" s="74">
        <f t="shared" si="7"/>
        <v>15</v>
      </c>
      <c r="E30" s="75">
        <f t="shared" si="8"/>
        <v>21</v>
      </c>
      <c r="F30" s="79"/>
      <c r="G30" s="82"/>
      <c r="H30" s="68" t="str">
        <f t="shared" si="26"/>
        <v>Hyprev6_20201202_15_00</v>
      </c>
      <c r="I30" s="69">
        <f t="shared" si="28"/>
        <v>1</v>
      </c>
      <c r="J30" s="76" t="str">
        <f t="shared" si="28"/>
        <v>Hypericum</v>
      </c>
      <c r="K30" s="76" t="str">
        <f t="shared" si="28"/>
        <v>revolutum</v>
      </c>
      <c r="L30" s="77">
        <f t="shared" si="28"/>
        <v>6</v>
      </c>
      <c r="M30" s="77">
        <f t="shared" si="28"/>
        <v>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Dec</v>
      </c>
      <c r="C31" s="73">
        <f t="shared" si="25"/>
        <v>2</v>
      </c>
      <c r="D31" s="74">
        <f t="shared" si="7"/>
        <v>15</v>
      </c>
      <c r="E31" s="75">
        <f t="shared" si="8"/>
        <v>22</v>
      </c>
      <c r="F31" s="79"/>
      <c r="G31" s="82"/>
      <c r="H31" s="68" t="str">
        <f t="shared" si="26"/>
        <v>Hyprev6_20201202_15_00</v>
      </c>
      <c r="I31" s="69">
        <f t="shared" si="28"/>
        <v>1</v>
      </c>
      <c r="J31" s="76" t="str">
        <f t="shared" si="28"/>
        <v>Hypericum</v>
      </c>
      <c r="K31" s="76" t="str">
        <f t="shared" si="28"/>
        <v>revolutum</v>
      </c>
      <c r="L31" s="77">
        <f t="shared" si="28"/>
        <v>6</v>
      </c>
      <c r="M31" s="77">
        <f t="shared" si="28"/>
        <v>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Dec</v>
      </c>
      <c r="C32" s="73">
        <f t="shared" si="25"/>
        <v>2</v>
      </c>
      <c r="D32" s="74">
        <f t="shared" si="7"/>
        <v>15</v>
      </c>
      <c r="E32" s="75">
        <f t="shared" si="8"/>
        <v>23</v>
      </c>
      <c r="F32" s="79"/>
      <c r="G32" s="82"/>
      <c r="H32" s="68" t="str">
        <f t="shared" si="26"/>
        <v>Hyprev6_20201202_15_00</v>
      </c>
      <c r="I32" s="69">
        <f t="shared" si="28"/>
        <v>1</v>
      </c>
      <c r="J32" s="76" t="str">
        <f t="shared" si="28"/>
        <v>Hypericum</v>
      </c>
      <c r="K32" s="76" t="str">
        <f t="shared" si="28"/>
        <v>revolutum</v>
      </c>
      <c r="L32" s="77">
        <f t="shared" si="28"/>
        <v>6</v>
      </c>
      <c r="M32" s="77">
        <f t="shared" si="28"/>
        <v>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Dec</v>
      </c>
      <c r="C33" s="73">
        <f t="shared" si="25"/>
        <v>2</v>
      </c>
      <c r="D33" s="74">
        <f t="shared" si="7"/>
        <v>15</v>
      </c>
      <c r="E33" s="75">
        <f t="shared" si="8"/>
        <v>24</v>
      </c>
      <c r="F33" s="79"/>
      <c r="G33" s="82"/>
      <c r="H33" s="68" t="str">
        <f t="shared" si="26"/>
        <v>Hyprev6_20201202_15_00</v>
      </c>
      <c r="I33" s="69">
        <f t="shared" si="28"/>
        <v>1</v>
      </c>
      <c r="J33" s="76" t="str">
        <f t="shared" si="28"/>
        <v>Hypericum</v>
      </c>
      <c r="K33" s="76" t="str">
        <f t="shared" si="28"/>
        <v>revolutum</v>
      </c>
      <c r="L33" s="77">
        <f t="shared" si="28"/>
        <v>6</v>
      </c>
      <c r="M33" s="77">
        <f t="shared" si="28"/>
        <v>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Dec</v>
      </c>
      <c r="C34" s="73">
        <f t="shared" si="25"/>
        <v>2</v>
      </c>
      <c r="D34" s="74">
        <f t="shared" si="7"/>
        <v>15</v>
      </c>
      <c r="E34" s="75">
        <f t="shared" si="8"/>
        <v>25</v>
      </c>
      <c r="F34" s="79"/>
      <c r="G34" s="82"/>
      <c r="H34" s="68" t="str">
        <f t="shared" si="26"/>
        <v>Hyprev6_20201202_15_00</v>
      </c>
      <c r="I34" s="69">
        <f t="shared" si="28"/>
        <v>1</v>
      </c>
      <c r="J34" s="76" t="str">
        <f t="shared" si="28"/>
        <v>Hypericum</v>
      </c>
      <c r="K34" s="76" t="str">
        <f t="shared" si="28"/>
        <v>revolutum</v>
      </c>
      <c r="L34" s="77">
        <f t="shared" si="28"/>
        <v>6</v>
      </c>
      <c r="M34" s="77">
        <f t="shared" si="28"/>
        <v>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Dec</v>
      </c>
      <c r="C35" s="73">
        <f t="shared" si="25"/>
        <v>2</v>
      </c>
      <c r="D35" s="74">
        <f t="shared" si="7"/>
        <v>15</v>
      </c>
      <c r="E35" s="75">
        <f t="shared" si="8"/>
        <v>26</v>
      </c>
      <c r="F35" s="79"/>
      <c r="G35" s="82"/>
      <c r="H35" s="68" t="str">
        <f t="shared" si="26"/>
        <v>Hyprev6_20201202_15_00</v>
      </c>
      <c r="I35" s="69">
        <f t="shared" si="28"/>
        <v>1</v>
      </c>
      <c r="J35" s="76" t="str">
        <f t="shared" si="28"/>
        <v>Hypericum</v>
      </c>
      <c r="K35" s="76" t="str">
        <f t="shared" si="28"/>
        <v>revolutum</v>
      </c>
      <c r="L35" s="77">
        <f t="shared" si="28"/>
        <v>6</v>
      </c>
      <c r="M35" s="77">
        <f t="shared" si="28"/>
        <v>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Dec</v>
      </c>
      <c r="C36" s="73">
        <f t="shared" si="25"/>
        <v>2</v>
      </c>
      <c r="D36" s="74">
        <f t="shared" si="7"/>
        <v>15</v>
      </c>
      <c r="E36" s="75">
        <f t="shared" si="8"/>
        <v>27</v>
      </c>
      <c r="F36" s="79"/>
      <c r="G36" s="82"/>
      <c r="H36" s="68" t="str">
        <f t="shared" si="26"/>
        <v>Hyprev6_20201202_15_00</v>
      </c>
      <c r="I36" s="69">
        <f t="shared" si="28"/>
        <v>1</v>
      </c>
      <c r="J36" s="76" t="str">
        <f t="shared" si="28"/>
        <v>Hypericum</v>
      </c>
      <c r="K36" s="76" t="str">
        <f t="shared" si="28"/>
        <v>revolutum</v>
      </c>
      <c r="L36" s="77">
        <f t="shared" si="28"/>
        <v>6</v>
      </c>
      <c r="M36" s="77">
        <f t="shared" si="28"/>
        <v>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Dec</v>
      </c>
      <c r="C37" s="73">
        <f t="shared" si="25"/>
        <v>2</v>
      </c>
      <c r="D37" s="74">
        <f t="shared" si="7"/>
        <v>15</v>
      </c>
      <c r="E37" s="75">
        <f t="shared" si="8"/>
        <v>28</v>
      </c>
      <c r="F37" s="79"/>
      <c r="G37" s="82"/>
      <c r="H37" s="68" t="str">
        <f t="shared" si="26"/>
        <v>Hyprev6_20201202_15_00</v>
      </c>
      <c r="I37" s="69">
        <f t="shared" ref="I37:N52" si="29">I36</f>
        <v>1</v>
      </c>
      <c r="J37" s="76" t="str">
        <f t="shared" si="29"/>
        <v>Hypericum</v>
      </c>
      <c r="K37" s="76" t="str">
        <f t="shared" si="29"/>
        <v>revolutum</v>
      </c>
      <c r="L37" s="77">
        <f t="shared" si="29"/>
        <v>6</v>
      </c>
      <c r="M37" s="77">
        <f t="shared" si="29"/>
        <v>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Dec</v>
      </c>
      <c r="C38" s="73">
        <f t="shared" si="25"/>
        <v>2</v>
      </c>
      <c r="D38" s="74">
        <f t="shared" si="7"/>
        <v>15</v>
      </c>
      <c r="E38" s="75">
        <f t="shared" si="8"/>
        <v>29</v>
      </c>
      <c r="F38" s="79"/>
      <c r="G38" s="82"/>
      <c r="H38" s="68" t="str">
        <f t="shared" si="26"/>
        <v>Hyprev6_20201202_15_00</v>
      </c>
      <c r="I38" s="69">
        <f t="shared" si="29"/>
        <v>1</v>
      </c>
      <c r="J38" s="76" t="str">
        <f t="shared" si="29"/>
        <v>Hypericum</v>
      </c>
      <c r="K38" s="76" t="str">
        <f t="shared" si="29"/>
        <v>revolutum</v>
      </c>
      <c r="L38" s="77">
        <f t="shared" si="29"/>
        <v>6</v>
      </c>
      <c r="M38" s="77">
        <f t="shared" si="29"/>
        <v>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Dec</v>
      </c>
      <c r="C39" s="73">
        <f t="shared" si="25"/>
        <v>2</v>
      </c>
      <c r="D39" s="74">
        <f t="shared" si="7"/>
        <v>15</v>
      </c>
      <c r="E39" s="75">
        <f t="shared" si="8"/>
        <v>30</v>
      </c>
      <c r="F39" s="79"/>
      <c r="G39" s="82"/>
      <c r="H39" s="68" t="str">
        <f t="shared" si="26"/>
        <v>Hyprev6_20201202_15_00</v>
      </c>
      <c r="I39" s="69">
        <f t="shared" si="29"/>
        <v>1</v>
      </c>
      <c r="J39" s="76" t="str">
        <f t="shared" si="29"/>
        <v>Hypericum</v>
      </c>
      <c r="K39" s="76" t="str">
        <f t="shared" si="29"/>
        <v>revolutum</v>
      </c>
      <c r="L39" s="77">
        <f t="shared" si="29"/>
        <v>6</v>
      </c>
      <c r="M39" s="77">
        <f t="shared" si="29"/>
        <v>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Dec</v>
      </c>
      <c r="C40" s="73">
        <f t="shared" si="25"/>
        <v>2</v>
      </c>
      <c r="D40" s="74">
        <f t="shared" si="7"/>
        <v>15</v>
      </c>
      <c r="E40" s="75">
        <f t="shared" si="8"/>
        <v>31</v>
      </c>
      <c r="F40" s="79"/>
      <c r="G40" s="82"/>
      <c r="H40" s="68" t="str">
        <f t="shared" si="26"/>
        <v>Hyprev6_20201202_15_00</v>
      </c>
      <c r="I40" s="69">
        <f t="shared" si="29"/>
        <v>1</v>
      </c>
      <c r="J40" s="76" t="str">
        <f t="shared" si="29"/>
        <v>Hypericum</v>
      </c>
      <c r="K40" s="76" t="str">
        <f t="shared" si="29"/>
        <v>revolutum</v>
      </c>
      <c r="L40" s="77">
        <f t="shared" si="29"/>
        <v>6</v>
      </c>
      <c r="M40" s="77">
        <f t="shared" si="29"/>
        <v>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Dec</v>
      </c>
      <c r="C41" s="73">
        <f t="shared" si="25"/>
        <v>2</v>
      </c>
      <c r="D41" s="74">
        <f t="shared" si="7"/>
        <v>15</v>
      </c>
      <c r="E41" s="75">
        <f t="shared" si="8"/>
        <v>32</v>
      </c>
      <c r="F41" s="79"/>
      <c r="G41" s="82"/>
      <c r="H41" s="68" t="str">
        <f t="shared" si="26"/>
        <v>Hyprev6_20201202_15_00</v>
      </c>
      <c r="I41" s="69">
        <f t="shared" si="29"/>
        <v>1</v>
      </c>
      <c r="J41" s="76" t="str">
        <f t="shared" si="29"/>
        <v>Hypericum</v>
      </c>
      <c r="K41" s="76" t="str">
        <f t="shared" si="29"/>
        <v>revolutum</v>
      </c>
      <c r="L41" s="77">
        <f t="shared" si="29"/>
        <v>6</v>
      </c>
      <c r="M41" s="77">
        <f t="shared" si="29"/>
        <v>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Dec</v>
      </c>
      <c r="C42" s="73">
        <f t="shared" si="25"/>
        <v>2</v>
      </c>
      <c r="D42" s="74">
        <f t="shared" si="7"/>
        <v>15</v>
      </c>
      <c r="E42" s="75">
        <f t="shared" si="8"/>
        <v>33</v>
      </c>
      <c r="F42" s="79"/>
      <c r="G42" s="82"/>
      <c r="H42" s="68" t="str">
        <f t="shared" si="26"/>
        <v>Hyprev6_20201202_15_00</v>
      </c>
      <c r="I42" s="69">
        <f t="shared" si="29"/>
        <v>1</v>
      </c>
      <c r="J42" s="76" t="str">
        <f t="shared" si="29"/>
        <v>Hypericum</v>
      </c>
      <c r="K42" s="76" t="str">
        <f t="shared" si="29"/>
        <v>revolutum</v>
      </c>
      <c r="L42" s="77">
        <f t="shared" si="29"/>
        <v>6</v>
      </c>
      <c r="M42" s="77">
        <f t="shared" si="29"/>
        <v>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Dec</v>
      </c>
      <c r="C43" s="73">
        <f t="shared" si="25"/>
        <v>2</v>
      </c>
      <c r="D43" s="74">
        <f t="shared" si="7"/>
        <v>15</v>
      </c>
      <c r="E43" s="75">
        <f t="shared" si="8"/>
        <v>34</v>
      </c>
      <c r="F43" s="79"/>
      <c r="G43" s="82"/>
      <c r="H43" s="68" t="str">
        <f t="shared" si="26"/>
        <v>Hyprev6_20201202_15_00</v>
      </c>
      <c r="I43" s="69">
        <f t="shared" si="29"/>
        <v>1</v>
      </c>
      <c r="J43" s="76" t="str">
        <f t="shared" si="29"/>
        <v>Hypericum</v>
      </c>
      <c r="K43" s="76" t="str">
        <f t="shared" si="29"/>
        <v>revolutum</v>
      </c>
      <c r="L43" s="77">
        <f t="shared" si="29"/>
        <v>6</v>
      </c>
      <c r="M43" s="77">
        <f t="shared" si="29"/>
        <v>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Dec</v>
      </c>
      <c r="C44" s="73">
        <f t="shared" si="25"/>
        <v>2</v>
      </c>
      <c r="D44" s="74">
        <f t="shared" si="7"/>
        <v>15</v>
      </c>
      <c r="E44" s="75">
        <f t="shared" si="8"/>
        <v>35</v>
      </c>
      <c r="F44" s="79"/>
      <c r="G44" s="82"/>
      <c r="H44" s="68" t="str">
        <f t="shared" si="26"/>
        <v>Hyprev6_20201202_15_00</v>
      </c>
      <c r="I44" s="69">
        <f t="shared" si="29"/>
        <v>1</v>
      </c>
      <c r="J44" s="76" t="str">
        <f t="shared" si="29"/>
        <v>Hypericum</v>
      </c>
      <c r="K44" s="76" t="str">
        <f t="shared" si="29"/>
        <v>revolutum</v>
      </c>
      <c r="L44" s="77">
        <f t="shared" si="29"/>
        <v>6</v>
      </c>
      <c r="M44" s="77">
        <f t="shared" si="29"/>
        <v>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Dec</v>
      </c>
      <c r="C45" s="73">
        <f t="shared" si="25"/>
        <v>2</v>
      </c>
      <c r="D45" s="74">
        <f t="shared" si="7"/>
        <v>15</v>
      </c>
      <c r="E45" s="75">
        <f t="shared" si="8"/>
        <v>36</v>
      </c>
      <c r="F45" s="79"/>
      <c r="G45" s="82"/>
      <c r="H45" s="68" t="str">
        <f t="shared" si="26"/>
        <v>Hyprev6_20201202_15_00</v>
      </c>
      <c r="I45" s="69">
        <f t="shared" si="29"/>
        <v>1</v>
      </c>
      <c r="J45" s="76" t="str">
        <f t="shared" si="29"/>
        <v>Hypericum</v>
      </c>
      <c r="K45" s="76" t="str">
        <f t="shared" si="29"/>
        <v>revolutum</v>
      </c>
      <c r="L45" s="77">
        <f t="shared" si="29"/>
        <v>6</v>
      </c>
      <c r="M45" s="77">
        <f t="shared" si="29"/>
        <v>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Dec</v>
      </c>
      <c r="C46" s="73">
        <f t="shared" si="25"/>
        <v>2</v>
      </c>
      <c r="D46" s="74">
        <f t="shared" si="7"/>
        <v>15</v>
      </c>
      <c r="E46" s="75">
        <f t="shared" si="8"/>
        <v>37</v>
      </c>
      <c r="F46" s="79"/>
      <c r="G46" s="82"/>
      <c r="H46" s="68" t="str">
        <f t="shared" si="26"/>
        <v>Hyprev6_20201202_15_00</v>
      </c>
      <c r="I46" s="69">
        <f t="shared" si="29"/>
        <v>1</v>
      </c>
      <c r="J46" s="76" t="str">
        <f t="shared" si="29"/>
        <v>Hypericum</v>
      </c>
      <c r="K46" s="76" t="str">
        <f t="shared" si="29"/>
        <v>revolutum</v>
      </c>
      <c r="L46" s="77">
        <f t="shared" si="29"/>
        <v>6</v>
      </c>
      <c r="M46" s="77">
        <f t="shared" si="29"/>
        <v>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Dec</v>
      </c>
      <c r="C47" s="73">
        <f t="shared" si="25"/>
        <v>2</v>
      </c>
      <c r="D47" s="74">
        <f t="shared" si="7"/>
        <v>15</v>
      </c>
      <c r="E47" s="75">
        <f t="shared" si="8"/>
        <v>38</v>
      </c>
      <c r="F47" s="79"/>
      <c r="G47" s="82"/>
      <c r="H47" s="68" t="str">
        <f t="shared" si="26"/>
        <v>Hyprev6_20201202_15_00</v>
      </c>
      <c r="I47" s="69">
        <f t="shared" si="29"/>
        <v>1</v>
      </c>
      <c r="J47" s="76" t="str">
        <f t="shared" si="29"/>
        <v>Hypericum</v>
      </c>
      <c r="K47" s="76" t="str">
        <f t="shared" si="29"/>
        <v>revolutum</v>
      </c>
      <c r="L47" s="77">
        <f t="shared" si="29"/>
        <v>6</v>
      </c>
      <c r="M47" s="77">
        <f t="shared" si="29"/>
        <v>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Dec</v>
      </c>
      <c r="C48" s="73">
        <f t="shared" si="25"/>
        <v>2</v>
      </c>
      <c r="D48" s="74">
        <f t="shared" si="7"/>
        <v>15</v>
      </c>
      <c r="E48" s="75">
        <f t="shared" si="8"/>
        <v>39</v>
      </c>
      <c r="F48" s="79"/>
      <c r="G48" s="82"/>
      <c r="H48" s="68" t="str">
        <f t="shared" si="26"/>
        <v>Hyprev6_20201202_15_00</v>
      </c>
      <c r="I48" s="69">
        <f t="shared" si="29"/>
        <v>1</v>
      </c>
      <c r="J48" s="76" t="str">
        <f t="shared" si="29"/>
        <v>Hypericum</v>
      </c>
      <c r="K48" s="76" t="str">
        <f t="shared" si="29"/>
        <v>revolutum</v>
      </c>
      <c r="L48" s="77">
        <f t="shared" si="29"/>
        <v>6</v>
      </c>
      <c r="M48" s="77">
        <f t="shared" si="29"/>
        <v>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Dec</v>
      </c>
      <c r="C49" s="73">
        <f t="shared" si="25"/>
        <v>2</v>
      </c>
      <c r="D49" s="74">
        <f t="shared" si="7"/>
        <v>15</v>
      </c>
      <c r="E49" s="75">
        <f t="shared" si="8"/>
        <v>40</v>
      </c>
      <c r="F49" s="79"/>
      <c r="G49" s="82"/>
      <c r="H49" s="68" t="str">
        <f t="shared" si="26"/>
        <v>Hyprev6_20201202_15_00</v>
      </c>
      <c r="I49" s="69">
        <f t="shared" si="29"/>
        <v>1</v>
      </c>
      <c r="J49" s="76" t="str">
        <f t="shared" si="29"/>
        <v>Hypericum</v>
      </c>
      <c r="K49" s="76" t="str">
        <f t="shared" si="29"/>
        <v>revolutum</v>
      </c>
      <c r="L49" s="77">
        <f t="shared" si="29"/>
        <v>6</v>
      </c>
      <c r="M49" s="77">
        <f t="shared" si="29"/>
        <v>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Dec</v>
      </c>
      <c r="C50" s="73">
        <f t="shared" si="25"/>
        <v>2</v>
      </c>
      <c r="D50" s="74">
        <f t="shared" si="7"/>
        <v>15</v>
      </c>
      <c r="E50" s="75">
        <f t="shared" si="8"/>
        <v>41</v>
      </c>
      <c r="F50" s="79"/>
      <c r="G50" s="82"/>
      <c r="H50" s="68" t="str">
        <f t="shared" si="26"/>
        <v>Hyprev6_20201202_15_00</v>
      </c>
      <c r="I50" s="69">
        <f t="shared" si="29"/>
        <v>1</v>
      </c>
      <c r="J50" s="76" t="str">
        <f t="shared" si="29"/>
        <v>Hypericum</v>
      </c>
      <c r="K50" s="76" t="str">
        <f t="shared" si="29"/>
        <v>revolutum</v>
      </c>
      <c r="L50" s="77">
        <f t="shared" si="29"/>
        <v>6</v>
      </c>
      <c r="M50" s="77">
        <f t="shared" si="29"/>
        <v>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Dec</v>
      </c>
      <c r="C51" s="73">
        <f t="shared" si="25"/>
        <v>2</v>
      </c>
      <c r="D51" s="74">
        <f t="shared" si="7"/>
        <v>15</v>
      </c>
      <c r="E51" s="75">
        <f t="shared" si="8"/>
        <v>42</v>
      </c>
      <c r="F51" s="79"/>
      <c r="G51" s="82"/>
      <c r="H51" s="68" t="str">
        <f t="shared" si="26"/>
        <v>Hyprev6_20201202_15_00</v>
      </c>
      <c r="I51" s="69">
        <f t="shared" si="29"/>
        <v>1</v>
      </c>
      <c r="J51" s="76" t="str">
        <f t="shared" si="29"/>
        <v>Hypericum</v>
      </c>
      <c r="K51" s="76" t="str">
        <f t="shared" si="29"/>
        <v>revolutum</v>
      </c>
      <c r="L51" s="77">
        <f t="shared" si="29"/>
        <v>6</v>
      </c>
      <c r="M51" s="77">
        <f t="shared" si="29"/>
        <v>1</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Dec</v>
      </c>
      <c r="C52" s="73">
        <f t="shared" si="25"/>
        <v>2</v>
      </c>
      <c r="D52" s="74">
        <f t="shared" si="7"/>
        <v>15</v>
      </c>
      <c r="E52" s="75">
        <f t="shared" si="8"/>
        <v>43</v>
      </c>
      <c r="F52" s="79"/>
      <c r="G52" s="82"/>
      <c r="H52" s="68" t="str">
        <f t="shared" si="26"/>
        <v>Hyprev6_20201202_15_00</v>
      </c>
      <c r="I52" s="69">
        <f t="shared" si="29"/>
        <v>1</v>
      </c>
      <c r="J52" s="76" t="str">
        <f t="shared" si="29"/>
        <v>Hypericum</v>
      </c>
      <c r="K52" s="76" t="str">
        <f t="shared" si="29"/>
        <v>revolutum</v>
      </c>
      <c r="L52" s="77">
        <f t="shared" si="29"/>
        <v>6</v>
      </c>
      <c r="M52" s="77">
        <f t="shared" si="29"/>
        <v>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Dec</v>
      </c>
      <c r="C53" s="73">
        <f t="shared" si="25"/>
        <v>2</v>
      </c>
      <c r="D53" s="74">
        <f t="shared" si="7"/>
        <v>15</v>
      </c>
      <c r="E53" s="75">
        <f t="shared" si="8"/>
        <v>44</v>
      </c>
      <c r="F53" s="79"/>
      <c r="G53" s="82"/>
      <c r="H53" s="68" t="str">
        <f t="shared" si="26"/>
        <v>Hyprev6_20201202_15_00</v>
      </c>
      <c r="I53" s="69">
        <f t="shared" ref="I53:N68" si="30">I52</f>
        <v>1</v>
      </c>
      <c r="J53" s="76" t="str">
        <f t="shared" si="30"/>
        <v>Hypericum</v>
      </c>
      <c r="K53" s="76" t="str">
        <f t="shared" si="30"/>
        <v>revolutum</v>
      </c>
      <c r="L53" s="77">
        <f t="shared" si="30"/>
        <v>6</v>
      </c>
      <c r="M53" s="77">
        <f t="shared" si="30"/>
        <v>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Dec</v>
      </c>
      <c r="C54" s="73">
        <f t="shared" si="25"/>
        <v>2</v>
      </c>
      <c r="D54" s="74">
        <f t="shared" si="7"/>
        <v>15</v>
      </c>
      <c r="E54" s="75">
        <f t="shared" si="8"/>
        <v>45</v>
      </c>
      <c r="F54" s="79"/>
      <c r="G54" s="82"/>
      <c r="H54" s="68" t="str">
        <f t="shared" si="26"/>
        <v>Hyprev6_20201202_15_00</v>
      </c>
      <c r="I54" s="69">
        <f t="shared" si="30"/>
        <v>1</v>
      </c>
      <c r="J54" s="76" t="str">
        <f t="shared" si="30"/>
        <v>Hypericum</v>
      </c>
      <c r="K54" s="76" t="str">
        <f t="shared" si="30"/>
        <v>revolutum</v>
      </c>
      <c r="L54" s="77">
        <f t="shared" si="30"/>
        <v>6</v>
      </c>
      <c r="M54" s="77">
        <f t="shared" si="30"/>
        <v>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Dec</v>
      </c>
      <c r="C55" s="73">
        <f t="shared" si="25"/>
        <v>2</v>
      </c>
      <c r="D55" s="74">
        <f t="shared" si="7"/>
        <v>15</v>
      </c>
      <c r="E55" s="75">
        <f t="shared" si="8"/>
        <v>46</v>
      </c>
      <c r="F55" s="79"/>
      <c r="G55" s="82"/>
      <c r="H55" s="68" t="str">
        <f t="shared" si="26"/>
        <v>Hyprev6_20201202_15_00</v>
      </c>
      <c r="I55" s="69">
        <f t="shared" si="30"/>
        <v>1</v>
      </c>
      <c r="J55" s="76" t="str">
        <f t="shared" si="30"/>
        <v>Hypericum</v>
      </c>
      <c r="K55" s="76" t="str">
        <f t="shared" si="30"/>
        <v>revolutum</v>
      </c>
      <c r="L55" s="77">
        <f t="shared" si="30"/>
        <v>6</v>
      </c>
      <c r="M55" s="77">
        <f t="shared" si="30"/>
        <v>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Dec</v>
      </c>
      <c r="C56" s="73">
        <f t="shared" si="25"/>
        <v>2</v>
      </c>
      <c r="D56" s="74">
        <f t="shared" si="7"/>
        <v>15</v>
      </c>
      <c r="E56" s="75">
        <f t="shared" si="8"/>
        <v>47</v>
      </c>
      <c r="F56" s="79"/>
      <c r="G56" s="82"/>
      <c r="H56" s="68" t="str">
        <f t="shared" si="26"/>
        <v>Hyprev6_20201202_15_00</v>
      </c>
      <c r="I56" s="69">
        <f t="shared" si="30"/>
        <v>1</v>
      </c>
      <c r="J56" s="76" t="str">
        <f t="shared" si="30"/>
        <v>Hypericum</v>
      </c>
      <c r="K56" s="76" t="str">
        <f t="shared" si="30"/>
        <v>revolutum</v>
      </c>
      <c r="L56" s="77">
        <f t="shared" si="30"/>
        <v>6</v>
      </c>
      <c r="M56" s="77">
        <f t="shared" si="30"/>
        <v>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Dec</v>
      </c>
      <c r="C57" s="73">
        <f t="shared" si="25"/>
        <v>2</v>
      </c>
      <c r="D57" s="74">
        <f t="shared" si="7"/>
        <v>15</v>
      </c>
      <c r="E57" s="75">
        <f t="shared" si="8"/>
        <v>48</v>
      </c>
      <c r="F57" s="79"/>
      <c r="G57" s="82"/>
      <c r="H57" s="68" t="str">
        <f t="shared" si="26"/>
        <v>Hyprev6_20201202_15_00</v>
      </c>
      <c r="I57" s="69">
        <f t="shared" si="30"/>
        <v>1</v>
      </c>
      <c r="J57" s="76" t="str">
        <f t="shared" si="30"/>
        <v>Hypericum</v>
      </c>
      <c r="K57" s="76" t="str">
        <f t="shared" si="30"/>
        <v>revolutum</v>
      </c>
      <c r="L57" s="77">
        <f t="shared" si="30"/>
        <v>6</v>
      </c>
      <c r="M57" s="77">
        <f t="shared" si="30"/>
        <v>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Dec</v>
      </c>
      <c r="C58" s="73">
        <f t="shared" si="25"/>
        <v>2</v>
      </c>
      <c r="D58" s="74">
        <f t="shared" si="7"/>
        <v>15</v>
      </c>
      <c r="E58" s="75">
        <f t="shared" si="8"/>
        <v>49</v>
      </c>
      <c r="F58" s="79"/>
      <c r="G58" s="82"/>
      <c r="H58" s="68" t="str">
        <f t="shared" si="26"/>
        <v>Hyprev6_20201202_15_00</v>
      </c>
      <c r="I58" s="69">
        <f t="shared" si="30"/>
        <v>1</v>
      </c>
      <c r="J58" s="76" t="str">
        <f t="shared" si="30"/>
        <v>Hypericum</v>
      </c>
      <c r="K58" s="76" t="str">
        <f t="shared" si="30"/>
        <v>revolutum</v>
      </c>
      <c r="L58" s="77">
        <f t="shared" si="30"/>
        <v>6</v>
      </c>
      <c r="M58" s="77">
        <f t="shared" si="30"/>
        <v>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Dec</v>
      </c>
      <c r="C59" s="73">
        <f t="shared" si="25"/>
        <v>2</v>
      </c>
      <c r="D59" s="74">
        <f t="shared" si="7"/>
        <v>15</v>
      </c>
      <c r="E59" s="75">
        <f t="shared" si="8"/>
        <v>50</v>
      </c>
      <c r="F59" s="79"/>
      <c r="G59" s="82"/>
      <c r="H59" s="68" t="str">
        <f t="shared" si="26"/>
        <v>Hyprev6_20201202_15_00</v>
      </c>
      <c r="I59" s="69">
        <f t="shared" si="30"/>
        <v>1</v>
      </c>
      <c r="J59" s="76" t="str">
        <f t="shared" si="30"/>
        <v>Hypericum</v>
      </c>
      <c r="K59" s="76" t="str">
        <f t="shared" si="30"/>
        <v>revolutum</v>
      </c>
      <c r="L59" s="77">
        <f t="shared" si="30"/>
        <v>6</v>
      </c>
      <c r="M59" s="77">
        <f t="shared" si="30"/>
        <v>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Dec</v>
      </c>
      <c r="C60" s="73">
        <f t="shared" si="25"/>
        <v>2</v>
      </c>
      <c r="D60" s="74">
        <f t="shared" si="7"/>
        <v>15</v>
      </c>
      <c r="E60" s="75">
        <f t="shared" si="8"/>
        <v>51</v>
      </c>
      <c r="F60" s="79"/>
      <c r="G60" s="82"/>
      <c r="H60" s="68" t="str">
        <f t="shared" si="26"/>
        <v>Hyprev6_20201202_15_00</v>
      </c>
      <c r="I60" s="69">
        <f t="shared" si="30"/>
        <v>1</v>
      </c>
      <c r="J60" s="76" t="str">
        <f t="shared" si="30"/>
        <v>Hypericum</v>
      </c>
      <c r="K60" s="76" t="str">
        <f t="shared" si="30"/>
        <v>revolutum</v>
      </c>
      <c r="L60" s="77">
        <f t="shared" si="30"/>
        <v>6</v>
      </c>
      <c r="M60" s="77">
        <f t="shared" si="30"/>
        <v>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Dec</v>
      </c>
      <c r="C61" s="73">
        <f t="shared" si="25"/>
        <v>2</v>
      </c>
      <c r="D61" s="74">
        <f t="shared" si="7"/>
        <v>15</v>
      </c>
      <c r="E61" s="75">
        <f t="shared" si="8"/>
        <v>52</v>
      </c>
      <c r="F61" s="79"/>
      <c r="G61" s="82"/>
      <c r="H61" s="68" t="str">
        <f t="shared" si="26"/>
        <v>Hyprev6_20201202_15_00</v>
      </c>
      <c r="I61" s="69">
        <f t="shared" si="30"/>
        <v>1</v>
      </c>
      <c r="J61" s="76" t="str">
        <f t="shared" si="30"/>
        <v>Hypericum</v>
      </c>
      <c r="K61" s="76" t="str">
        <f t="shared" si="30"/>
        <v>revolutum</v>
      </c>
      <c r="L61" s="77">
        <f t="shared" si="30"/>
        <v>6</v>
      </c>
      <c r="M61" s="77">
        <f t="shared" si="30"/>
        <v>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Dec</v>
      </c>
      <c r="C62" s="73">
        <f t="shared" si="25"/>
        <v>2</v>
      </c>
      <c r="D62" s="74">
        <f t="shared" si="7"/>
        <v>15</v>
      </c>
      <c r="E62" s="75">
        <f t="shared" si="8"/>
        <v>53</v>
      </c>
      <c r="F62" s="79"/>
      <c r="G62" s="82"/>
      <c r="H62" s="68" t="str">
        <f t="shared" si="26"/>
        <v>Hyprev6_20201202_15_00</v>
      </c>
      <c r="I62" s="69">
        <f t="shared" si="30"/>
        <v>1</v>
      </c>
      <c r="J62" s="76" t="str">
        <f t="shared" si="30"/>
        <v>Hypericum</v>
      </c>
      <c r="K62" s="76" t="str">
        <f t="shared" si="30"/>
        <v>revolutum</v>
      </c>
      <c r="L62" s="77">
        <f t="shared" si="30"/>
        <v>6</v>
      </c>
      <c r="M62" s="77">
        <f t="shared" si="30"/>
        <v>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Dec</v>
      </c>
      <c r="C63" s="73">
        <f t="shared" si="25"/>
        <v>2</v>
      </c>
      <c r="D63" s="74">
        <f t="shared" si="7"/>
        <v>15</v>
      </c>
      <c r="E63" s="75">
        <f t="shared" si="8"/>
        <v>54</v>
      </c>
      <c r="F63" s="79"/>
      <c r="G63" s="82"/>
      <c r="H63" s="68" t="str">
        <f t="shared" si="26"/>
        <v>Hyprev6_20201202_15_00</v>
      </c>
      <c r="I63" s="69">
        <f t="shared" si="30"/>
        <v>1</v>
      </c>
      <c r="J63" s="76" t="str">
        <f t="shared" si="30"/>
        <v>Hypericum</v>
      </c>
      <c r="K63" s="76" t="str">
        <f t="shared" si="30"/>
        <v>revolutum</v>
      </c>
      <c r="L63" s="77">
        <f t="shared" si="30"/>
        <v>6</v>
      </c>
      <c r="M63" s="77">
        <f t="shared" si="30"/>
        <v>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Dec</v>
      </c>
      <c r="C64" s="73">
        <f t="shared" si="25"/>
        <v>2</v>
      </c>
      <c r="D64" s="74">
        <f t="shared" si="7"/>
        <v>15</v>
      </c>
      <c r="E64" s="75">
        <f t="shared" si="8"/>
        <v>55</v>
      </c>
      <c r="F64" s="79"/>
      <c r="G64" s="82"/>
      <c r="H64" s="68" t="str">
        <f t="shared" si="26"/>
        <v>Hyprev6_20201202_15_00</v>
      </c>
      <c r="I64" s="69">
        <f t="shared" si="30"/>
        <v>1</v>
      </c>
      <c r="J64" s="76" t="str">
        <f t="shared" si="30"/>
        <v>Hypericum</v>
      </c>
      <c r="K64" s="76" t="str">
        <f t="shared" si="30"/>
        <v>revolutum</v>
      </c>
      <c r="L64" s="77">
        <f t="shared" si="30"/>
        <v>6</v>
      </c>
      <c r="M64" s="77">
        <f t="shared" si="30"/>
        <v>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Dec</v>
      </c>
      <c r="C65" s="73">
        <f t="shared" si="25"/>
        <v>2</v>
      </c>
      <c r="D65" s="74">
        <f t="shared" si="7"/>
        <v>15</v>
      </c>
      <c r="E65" s="75">
        <f t="shared" si="8"/>
        <v>56</v>
      </c>
      <c r="F65" s="79"/>
      <c r="G65" s="82"/>
      <c r="H65" s="68" t="str">
        <f t="shared" si="26"/>
        <v>Hyprev6_20201202_15_00</v>
      </c>
      <c r="I65" s="69">
        <f t="shared" si="30"/>
        <v>1</v>
      </c>
      <c r="J65" s="76" t="str">
        <f t="shared" si="30"/>
        <v>Hypericum</v>
      </c>
      <c r="K65" s="76" t="str">
        <f t="shared" si="30"/>
        <v>revolutum</v>
      </c>
      <c r="L65" s="77">
        <f t="shared" si="30"/>
        <v>6</v>
      </c>
      <c r="M65" s="77">
        <f t="shared" si="30"/>
        <v>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Dec</v>
      </c>
      <c r="C66" s="73">
        <f t="shared" si="25"/>
        <v>2</v>
      </c>
      <c r="D66" s="74">
        <f t="shared" si="7"/>
        <v>15</v>
      </c>
      <c r="E66" s="75">
        <f t="shared" si="8"/>
        <v>57</v>
      </c>
      <c r="F66" s="79"/>
      <c r="G66" s="82"/>
      <c r="H66" s="68" t="str">
        <f t="shared" si="26"/>
        <v>Hyprev6_20201202_15_00</v>
      </c>
      <c r="I66" s="69">
        <f t="shared" si="30"/>
        <v>1</v>
      </c>
      <c r="J66" s="76" t="str">
        <f t="shared" si="30"/>
        <v>Hypericum</v>
      </c>
      <c r="K66" s="76" t="str">
        <f t="shared" si="30"/>
        <v>revolutum</v>
      </c>
      <c r="L66" s="77">
        <f t="shared" si="30"/>
        <v>6</v>
      </c>
      <c r="M66" s="77">
        <f t="shared" si="30"/>
        <v>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Dec</v>
      </c>
      <c r="C67" s="73">
        <f t="shared" si="25"/>
        <v>2</v>
      </c>
      <c r="D67" s="74">
        <f t="shared" si="7"/>
        <v>15</v>
      </c>
      <c r="E67" s="75">
        <f t="shared" si="8"/>
        <v>58</v>
      </c>
      <c r="F67" s="79"/>
      <c r="G67" s="82"/>
      <c r="H67" s="68" t="str">
        <f t="shared" si="26"/>
        <v>Hyprev6_20201202_15_00</v>
      </c>
      <c r="I67" s="69">
        <f t="shared" si="30"/>
        <v>1</v>
      </c>
      <c r="J67" s="76" t="str">
        <f t="shared" si="30"/>
        <v>Hypericum</v>
      </c>
      <c r="K67" s="76" t="str">
        <f t="shared" si="30"/>
        <v>revolutum</v>
      </c>
      <c r="L67" s="77">
        <f t="shared" si="30"/>
        <v>6</v>
      </c>
      <c r="M67" s="77">
        <f t="shared" si="30"/>
        <v>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Dec</v>
      </c>
      <c r="C68" s="73">
        <f t="shared" si="25"/>
        <v>2</v>
      </c>
      <c r="D68" s="74">
        <f t="shared" ref="D68:D131" si="38">IF(IF(E67=59,D67+1,D67)=24,0,IF(E67=59,D67+1,D67))</f>
        <v>15</v>
      </c>
      <c r="E68" s="75">
        <f t="shared" ref="E68:E131" si="39">IF(E67&lt;59,E67+1,0)</f>
        <v>59</v>
      </c>
      <c r="F68" s="79"/>
      <c r="G68" s="82"/>
      <c r="H68" s="68" t="str">
        <f t="shared" si="26"/>
        <v>Hyprev6_20201202_15_00</v>
      </c>
      <c r="I68" s="69">
        <f t="shared" si="30"/>
        <v>1</v>
      </c>
      <c r="J68" s="76" t="str">
        <f t="shared" si="30"/>
        <v>Hypericum</v>
      </c>
      <c r="K68" s="76" t="str">
        <f t="shared" si="30"/>
        <v>revolutum</v>
      </c>
      <c r="L68" s="77">
        <f t="shared" si="30"/>
        <v>6</v>
      </c>
      <c r="M68" s="77">
        <f t="shared" si="30"/>
        <v>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Dec</v>
      </c>
      <c r="C69" s="73">
        <f t="shared" ref="C69:C132" si="55">IF(AND(D69=0, E69=0), IF(TEXT(C68,"dd")=TEXT(EOMONTH(DATE(A68,MONTH(DATEVALUE(B68&amp;"1")),C68),0), "dd"), 1, C68+1), C68)</f>
        <v>2</v>
      </c>
      <c r="D69" s="74">
        <f t="shared" si="38"/>
        <v>16</v>
      </c>
      <c r="E69" s="75">
        <f t="shared" si="39"/>
        <v>0</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Hyprev6_20201202_16_00</v>
      </c>
      <c r="I69" s="69">
        <f t="shared" ref="I69:N84" si="57">I68</f>
        <v>1</v>
      </c>
      <c r="J69" s="76" t="str">
        <f t="shared" si="57"/>
        <v>Hypericum</v>
      </c>
      <c r="K69" s="76" t="str">
        <f t="shared" si="57"/>
        <v>revolutum</v>
      </c>
      <c r="L69" s="77">
        <f t="shared" si="57"/>
        <v>6</v>
      </c>
      <c r="M69" s="77">
        <f t="shared" si="57"/>
        <v>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Dec</v>
      </c>
      <c r="C70" s="73">
        <f t="shared" si="55"/>
        <v>2</v>
      </c>
      <c r="D70" s="74">
        <f t="shared" si="38"/>
        <v>16</v>
      </c>
      <c r="E70" s="75">
        <f t="shared" si="39"/>
        <v>1</v>
      </c>
      <c r="F70" s="79"/>
      <c r="G70" s="82"/>
      <c r="H70" s="68" t="str">
        <f t="shared" si="56"/>
        <v>Hyprev6_20201202_16_00</v>
      </c>
      <c r="I70" s="69">
        <f t="shared" si="57"/>
        <v>1</v>
      </c>
      <c r="J70" s="76" t="str">
        <f t="shared" si="57"/>
        <v>Hypericum</v>
      </c>
      <c r="K70" s="76" t="str">
        <f t="shared" si="57"/>
        <v>revolutum</v>
      </c>
      <c r="L70" s="77">
        <f t="shared" si="57"/>
        <v>6</v>
      </c>
      <c r="M70" s="77">
        <f t="shared" si="57"/>
        <v>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Dec</v>
      </c>
      <c r="C71" s="73">
        <f t="shared" si="55"/>
        <v>2</v>
      </c>
      <c r="D71" s="74">
        <f t="shared" si="38"/>
        <v>16</v>
      </c>
      <c r="E71" s="75">
        <f t="shared" si="39"/>
        <v>2</v>
      </c>
      <c r="F71" s="79"/>
      <c r="G71" s="82"/>
      <c r="H71" s="68" t="str">
        <f t="shared" si="56"/>
        <v>Hyprev6_20201202_16_00</v>
      </c>
      <c r="I71" s="69">
        <f t="shared" si="57"/>
        <v>1</v>
      </c>
      <c r="J71" s="76" t="str">
        <f t="shared" si="57"/>
        <v>Hypericum</v>
      </c>
      <c r="K71" s="76" t="str">
        <f t="shared" si="57"/>
        <v>revolutum</v>
      </c>
      <c r="L71" s="77">
        <f t="shared" si="57"/>
        <v>6</v>
      </c>
      <c r="M71" s="77">
        <f t="shared" si="57"/>
        <v>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Dec</v>
      </c>
      <c r="C72" s="73">
        <f t="shared" si="55"/>
        <v>2</v>
      </c>
      <c r="D72" s="74">
        <f t="shared" si="38"/>
        <v>16</v>
      </c>
      <c r="E72" s="75">
        <f t="shared" si="39"/>
        <v>3</v>
      </c>
      <c r="F72" s="79"/>
      <c r="G72" s="82"/>
      <c r="H72" s="68" t="str">
        <f t="shared" si="56"/>
        <v>Hyprev6_20201202_16_00</v>
      </c>
      <c r="I72" s="69">
        <f t="shared" si="57"/>
        <v>1</v>
      </c>
      <c r="J72" s="76" t="str">
        <f t="shared" si="57"/>
        <v>Hypericum</v>
      </c>
      <c r="K72" s="76" t="str">
        <f t="shared" si="57"/>
        <v>revolutum</v>
      </c>
      <c r="L72" s="77">
        <f t="shared" si="57"/>
        <v>6</v>
      </c>
      <c r="M72" s="77">
        <f t="shared" si="57"/>
        <v>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Dec</v>
      </c>
      <c r="C73" s="73">
        <f t="shared" si="55"/>
        <v>2</v>
      </c>
      <c r="D73" s="74">
        <f t="shared" si="38"/>
        <v>16</v>
      </c>
      <c r="E73" s="75">
        <f t="shared" si="39"/>
        <v>4</v>
      </c>
      <c r="F73" s="79"/>
      <c r="G73" s="82"/>
      <c r="H73" s="68" t="str">
        <f t="shared" si="56"/>
        <v>Hyprev6_20201202_16_00</v>
      </c>
      <c r="I73" s="69">
        <f t="shared" si="57"/>
        <v>1</v>
      </c>
      <c r="J73" s="76" t="str">
        <f t="shared" si="57"/>
        <v>Hypericum</v>
      </c>
      <c r="K73" s="76" t="str">
        <f t="shared" si="57"/>
        <v>revolutum</v>
      </c>
      <c r="L73" s="77">
        <f t="shared" si="57"/>
        <v>6</v>
      </c>
      <c r="M73" s="77">
        <f t="shared" si="57"/>
        <v>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Dec</v>
      </c>
      <c r="C74" s="73">
        <f t="shared" si="55"/>
        <v>2</v>
      </c>
      <c r="D74" s="74">
        <f t="shared" si="38"/>
        <v>16</v>
      </c>
      <c r="E74" s="75">
        <f t="shared" si="39"/>
        <v>5</v>
      </c>
      <c r="F74" s="79"/>
      <c r="G74" s="82"/>
      <c r="H74" s="68" t="str">
        <f t="shared" si="56"/>
        <v>Hyprev6_20201202_16_00</v>
      </c>
      <c r="I74" s="69">
        <f t="shared" si="57"/>
        <v>1</v>
      </c>
      <c r="J74" s="76" t="str">
        <f t="shared" si="57"/>
        <v>Hypericum</v>
      </c>
      <c r="K74" s="76" t="str">
        <f t="shared" si="57"/>
        <v>revolutum</v>
      </c>
      <c r="L74" s="77">
        <f t="shared" si="57"/>
        <v>6</v>
      </c>
      <c r="M74" s="77">
        <f t="shared" si="57"/>
        <v>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Dec</v>
      </c>
      <c r="C75" s="73">
        <f t="shared" si="55"/>
        <v>2</v>
      </c>
      <c r="D75" s="74">
        <f t="shared" si="38"/>
        <v>16</v>
      </c>
      <c r="E75" s="75">
        <f t="shared" si="39"/>
        <v>6</v>
      </c>
      <c r="F75" s="79"/>
      <c r="G75" s="82"/>
      <c r="H75" s="68" t="str">
        <f t="shared" si="56"/>
        <v>Hyprev6_20201202_16_00</v>
      </c>
      <c r="I75" s="69">
        <f t="shared" si="57"/>
        <v>1</v>
      </c>
      <c r="J75" s="76" t="str">
        <f t="shared" si="57"/>
        <v>Hypericum</v>
      </c>
      <c r="K75" s="76" t="str">
        <f t="shared" si="57"/>
        <v>revolutum</v>
      </c>
      <c r="L75" s="77">
        <f t="shared" si="57"/>
        <v>6</v>
      </c>
      <c r="M75" s="77">
        <f t="shared" si="57"/>
        <v>1</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Dec</v>
      </c>
      <c r="C76" s="73">
        <f t="shared" si="55"/>
        <v>2</v>
      </c>
      <c r="D76" s="74">
        <f t="shared" si="38"/>
        <v>16</v>
      </c>
      <c r="E76" s="75">
        <f t="shared" si="39"/>
        <v>7</v>
      </c>
      <c r="F76" s="79"/>
      <c r="G76" s="82"/>
      <c r="H76" s="68" t="str">
        <f t="shared" si="56"/>
        <v>Hyprev6_20201202_16_00</v>
      </c>
      <c r="I76" s="69">
        <f t="shared" si="57"/>
        <v>1</v>
      </c>
      <c r="J76" s="76" t="str">
        <f t="shared" si="57"/>
        <v>Hypericum</v>
      </c>
      <c r="K76" s="76" t="str">
        <f t="shared" si="57"/>
        <v>revolutum</v>
      </c>
      <c r="L76" s="77">
        <f t="shared" si="57"/>
        <v>6</v>
      </c>
      <c r="M76" s="77">
        <f t="shared" si="57"/>
        <v>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Dec</v>
      </c>
      <c r="C77" s="73">
        <f t="shared" si="55"/>
        <v>2</v>
      </c>
      <c r="D77" s="74">
        <f t="shared" si="38"/>
        <v>16</v>
      </c>
      <c r="E77" s="75">
        <f t="shared" si="39"/>
        <v>8</v>
      </c>
      <c r="F77" s="79"/>
      <c r="G77" s="82"/>
      <c r="H77" s="68" t="str">
        <f t="shared" si="56"/>
        <v>Hyprev6_20201202_16_00</v>
      </c>
      <c r="I77" s="69">
        <f t="shared" si="57"/>
        <v>1</v>
      </c>
      <c r="J77" s="76" t="str">
        <f t="shared" si="57"/>
        <v>Hypericum</v>
      </c>
      <c r="K77" s="76" t="str">
        <f t="shared" si="57"/>
        <v>revolutum</v>
      </c>
      <c r="L77" s="77">
        <f t="shared" si="57"/>
        <v>6</v>
      </c>
      <c r="M77" s="77">
        <f t="shared" si="57"/>
        <v>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Dec</v>
      </c>
      <c r="C78" s="73">
        <f t="shared" si="55"/>
        <v>2</v>
      </c>
      <c r="D78" s="74">
        <f t="shared" si="38"/>
        <v>16</v>
      </c>
      <c r="E78" s="75">
        <f t="shared" si="39"/>
        <v>9</v>
      </c>
      <c r="F78" s="79"/>
      <c r="G78" s="82"/>
      <c r="H78" s="68" t="str">
        <f t="shared" si="56"/>
        <v>Hyprev6_20201202_16_00</v>
      </c>
      <c r="I78" s="69">
        <f t="shared" si="57"/>
        <v>1</v>
      </c>
      <c r="J78" s="76" t="str">
        <f t="shared" si="57"/>
        <v>Hypericum</v>
      </c>
      <c r="K78" s="76" t="str">
        <f t="shared" si="57"/>
        <v>revolutum</v>
      </c>
      <c r="L78" s="77">
        <f t="shared" si="57"/>
        <v>6</v>
      </c>
      <c r="M78" s="77">
        <f t="shared" si="57"/>
        <v>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Dec</v>
      </c>
      <c r="C79" s="73">
        <f t="shared" si="55"/>
        <v>2</v>
      </c>
      <c r="D79" s="74">
        <f t="shared" si="38"/>
        <v>16</v>
      </c>
      <c r="E79" s="75">
        <f t="shared" si="39"/>
        <v>10</v>
      </c>
      <c r="F79" s="79"/>
      <c r="G79" s="82"/>
      <c r="H79" s="68" t="str">
        <f t="shared" si="56"/>
        <v>Hyprev6_20201202_16_00</v>
      </c>
      <c r="I79" s="69">
        <f t="shared" si="57"/>
        <v>1</v>
      </c>
      <c r="J79" s="76" t="str">
        <f t="shared" si="57"/>
        <v>Hypericum</v>
      </c>
      <c r="K79" s="76" t="str">
        <f t="shared" si="57"/>
        <v>revolutum</v>
      </c>
      <c r="L79" s="77">
        <f t="shared" si="57"/>
        <v>6</v>
      </c>
      <c r="M79" s="77">
        <f t="shared" si="57"/>
        <v>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Dec</v>
      </c>
      <c r="C80" s="73">
        <f t="shared" si="55"/>
        <v>2</v>
      </c>
      <c r="D80" s="74">
        <f t="shared" si="38"/>
        <v>16</v>
      </c>
      <c r="E80" s="75">
        <f t="shared" si="39"/>
        <v>11</v>
      </c>
      <c r="F80" s="79"/>
      <c r="G80" s="82"/>
      <c r="H80" s="68" t="str">
        <f t="shared" si="56"/>
        <v>Hyprev6_20201202_16_00</v>
      </c>
      <c r="I80" s="69">
        <f t="shared" si="57"/>
        <v>1</v>
      </c>
      <c r="J80" s="76" t="str">
        <f t="shared" si="57"/>
        <v>Hypericum</v>
      </c>
      <c r="K80" s="76" t="str">
        <f t="shared" si="57"/>
        <v>revolutum</v>
      </c>
      <c r="L80" s="77">
        <f t="shared" si="57"/>
        <v>6</v>
      </c>
      <c r="M80" s="77">
        <f t="shared" si="57"/>
        <v>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Dec</v>
      </c>
      <c r="C81" s="73">
        <f t="shared" si="55"/>
        <v>2</v>
      </c>
      <c r="D81" s="74">
        <f t="shared" si="38"/>
        <v>16</v>
      </c>
      <c r="E81" s="75">
        <f t="shared" si="39"/>
        <v>12</v>
      </c>
      <c r="F81" s="79"/>
      <c r="G81" s="82"/>
      <c r="H81" s="68" t="str">
        <f t="shared" si="56"/>
        <v>Hyprev6_20201202_16_00</v>
      </c>
      <c r="I81" s="69">
        <f t="shared" si="57"/>
        <v>1</v>
      </c>
      <c r="J81" s="76" t="str">
        <f t="shared" si="57"/>
        <v>Hypericum</v>
      </c>
      <c r="K81" s="76" t="str">
        <f t="shared" si="57"/>
        <v>revolutum</v>
      </c>
      <c r="L81" s="77">
        <f t="shared" si="57"/>
        <v>6</v>
      </c>
      <c r="M81" s="77">
        <f t="shared" si="57"/>
        <v>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Dec</v>
      </c>
      <c r="C82" s="73">
        <f t="shared" si="55"/>
        <v>2</v>
      </c>
      <c r="D82" s="74">
        <f t="shared" si="38"/>
        <v>16</v>
      </c>
      <c r="E82" s="75">
        <f t="shared" si="39"/>
        <v>13</v>
      </c>
      <c r="F82" s="79"/>
      <c r="G82" s="82"/>
      <c r="H82" s="68" t="str">
        <f t="shared" si="56"/>
        <v>Hyprev6_20201202_16_00</v>
      </c>
      <c r="I82" s="69">
        <f t="shared" si="57"/>
        <v>1</v>
      </c>
      <c r="J82" s="76" t="str">
        <f t="shared" si="57"/>
        <v>Hypericum</v>
      </c>
      <c r="K82" s="76" t="str">
        <f t="shared" si="57"/>
        <v>revolutum</v>
      </c>
      <c r="L82" s="77">
        <f t="shared" si="57"/>
        <v>6</v>
      </c>
      <c r="M82" s="77">
        <f t="shared" si="57"/>
        <v>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Dec</v>
      </c>
      <c r="C83" s="73">
        <f t="shared" si="55"/>
        <v>2</v>
      </c>
      <c r="D83" s="74">
        <f t="shared" si="38"/>
        <v>16</v>
      </c>
      <c r="E83" s="75">
        <f t="shared" si="39"/>
        <v>14</v>
      </c>
      <c r="F83" s="79"/>
      <c r="G83" s="82"/>
      <c r="H83" s="68" t="str">
        <f t="shared" si="56"/>
        <v>Hyprev6_20201202_16_00</v>
      </c>
      <c r="I83" s="69">
        <f t="shared" si="57"/>
        <v>1</v>
      </c>
      <c r="J83" s="76" t="str">
        <f t="shared" si="57"/>
        <v>Hypericum</v>
      </c>
      <c r="K83" s="76" t="str">
        <f t="shared" si="57"/>
        <v>revolutum</v>
      </c>
      <c r="L83" s="77">
        <f t="shared" si="57"/>
        <v>6</v>
      </c>
      <c r="M83" s="77">
        <f t="shared" si="57"/>
        <v>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Dec</v>
      </c>
      <c r="C84" s="73">
        <f t="shared" si="55"/>
        <v>2</v>
      </c>
      <c r="D84" s="74">
        <f t="shared" si="38"/>
        <v>16</v>
      </c>
      <c r="E84" s="75">
        <f t="shared" si="39"/>
        <v>15</v>
      </c>
      <c r="F84" s="79"/>
      <c r="G84" s="82"/>
      <c r="H84" s="68" t="str">
        <f t="shared" si="56"/>
        <v>Hyprev6_20201202_16_00</v>
      </c>
      <c r="I84" s="69">
        <f t="shared" si="57"/>
        <v>1</v>
      </c>
      <c r="J84" s="76" t="str">
        <f t="shared" si="57"/>
        <v>Hypericum</v>
      </c>
      <c r="K84" s="76" t="str">
        <f t="shared" si="57"/>
        <v>revolutum</v>
      </c>
      <c r="L84" s="77">
        <f t="shared" si="57"/>
        <v>6</v>
      </c>
      <c r="M84" s="77">
        <f t="shared" si="57"/>
        <v>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Dec</v>
      </c>
      <c r="C85" s="73">
        <f t="shared" si="55"/>
        <v>2</v>
      </c>
      <c r="D85" s="74">
        <f t="shared" si="38"/>
        <v>16</v>
      </c>
      <c r="E85" s="75">
        <f t="shared" si="39"/>
        <v>16</v>
      </c>
      <c r="F85" s="79"/>
      <c r="G85" s="82"/>
      <c r="H85" s="68" t="str">
        <f t="shared" si="56"/>
        <v>Hyprev6_20201202_16_00</v>
      </c>
      <c r="I85" s="69">
        <f t="shared" ref="I85:N100" si="58">I84</f>
        <v>1</v>
      </c>
      <c r="J85" s="76" t="str">
        <f t="shared" si="58"/>
        <v>Hypericum</v>
      </c>
      <c r="K85" s="76" t="str">
        <f t="shared" si="58"/>
        <v>revolutum</v>
      </c>
      <c r="L85" s="77">
        <f t="shared" si="58"/>
        <v>6</v>
      </c>
      <c r="M85" s="77">
        <f t="shared" si="58"/>
        <v>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Dec</v>
      </c>
      <c r="C86" s="73">
        <f t="shared" si="55"/>
        <v>2</v>
      </c>
      <c r="D86" s="74">
        <f t="shared" si="38"/>
        <v>16</v>
      </c>
      <c r="E86" s="75">
        <f t="shared" si="39"/>
        <v>17</v>
      </c>
      <c r="F86" s="79"/>
      <c r="G86" s="82"/>
      <c r="H86" s="68" t="str">
        <f t="shared" si="56"/>
        <v>Hyprev6_20201202_16_00</v>
      </c>
      <c r="I86" s="69">
        <f t="shared" si="58"/>
        <v>1</v>
      </c>
      <c r="J86" s="76" t="str">
        <f t="shared" si="58"/>
        <v>Hypericum</v>
      </c>
      <c r="K86" s="76" t="str">
        <f t="shared" si="58"/>
        <v>revolutum</v>
      </c>
      <c r="L86" s="77">
        <f t="shared" si="58"/>
        <v>6</v>
      </c>
      <c r="M86" s="77">
        <f t="shared" si="58"/>
        <v>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Dec</v>
      </c>
      <c r="C87" s="73">
        <f t="shared" si="55"/>
        <v>2</v>
      </c>
      <c r="D87" s="74">
        <f t="shared" si="38"/>
        <v>16</v>
      </c>
      <c r="E87" s="75">
        <f t="shared" si="39"/>
        <v>18</v>
      </c>
      <c r="F87" s="79"/>
      <c r="G87" s="82"/>
      <c r="H87" s="68" t="str">
        <f t="shared" si="56"/>
        <v>Hyprev6_20201202_16_00</v>
      </c>
      <c r="I87" s="69">
        <f t="shared" si="58"/>
        <v>1</v>
      </c>
      <c r="J87" s="76" t="str">
        <f t="shared" si="58"/>
        <v>Hypericum</v>
      </c>
      <c r="K87" s="76" t="str">
        <f t="shared" si="58"/>
        <v>revolutum</v>
      </c>
      <c r="L87" s="77">
        <f t="shared" si="58"/>
        <v>6</v>
      </c>
      <c r="M87" s="77">
        <f t="shared" si="58"/>
        <v>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Dec</v>
      </c>
      <c r="C88" s="73">
        <f t="shared" si="55"/>
        <v>2</v>
      </c>
      <c r="D88" s="74">
        <f t="shared" si="38"/>
        <v>16</v>
      </c>
      <c r="E88" s="75">
        <f t="shared" si="39"/>
        <v>19</v>
      </c>
      <c r="F88" s="79"/>
      <c r="G88" s="82"/>
      <c r="H88" s="68" t="str">
        <f t="shared" si="56"/>
        <v>Hyprev6_20201202_16_00</v>
      </c>
      <c r="I88" s="69">
        <f t="shared" si="58"/>
        <v>1</v>
      </c>
      <c r="J88" s="76" t="str">
        <f t="shared" si="58"/>
        <v>Hypericum</v>
      </c>
      <c r="K88" s="76" t="str">
        <f t="shared" si="58"/>
        <v>revolutum</v>
      </c>
      <c r="L88" s="77">
        <f t="shared" si="58"/>
        <v>6</v>
      </c>
      <c r="M88" s="77">
        <f t="shared" si="58"/>
        <v>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Dec</v>
      </c>
      <c r="C89" s="73">
        <f t="shared" si="55"/>
        <v>2</v>
      </c>
      <c r="D89" s="74">
        <f t="shared" si="38"/>
        <v>16</v>
      </c>
      <c r="E89" s="75">
        <f t="shared" si="39"/>
        <v>20</v>
      </c>
      <c r="F89" s="79"/>
      <c r="G89" s="82"/>
      <c r="H89" s="68" t="str">
        <f t="shared" si="56"/>
        <v>Hyprev6_20201202_16_00</v>
      </c>
      <c r="I89" s="69">
        <f t="shared" si="58"/>
        <v>1</v>
      </c>
      <c r="J89" s="76" t="str">
        <f t="shared" si="58"/>
        <v>Hypericum</v>
      </c>
      <c r="K89" s="76" t="str">
        <f t="shared" si="58"/>
        <v>revolutum</v>
      </c>
      <c r="L89" s="77">
        <f t="shared" si="58"/>
        <v>6</v>
      </c>
      <c r="M89" s="77">
        <f t="shared" si="58"/>
        <v>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Dec</v>
      </c>
      <c r="C90" s="73">
        <f t="shared" si="55"/>
        <v>2</v>
      </c>
      <c r="D90" s="74">
        <f t="shared" si="38"/>
        <v>16</v>
      </c>
      <c r="E90" s="75">
        <f t="shared" si="39"/>
        <v>21</v>
      </c>
      <c r="F90" s="79"/>
      <c r="G90" s="82"/>
      <c r="H90" s="68" t="str">
        <f t="shared" si="56"/>
        <v>Hyprev6_20201202_16_00</v>
      </c>
      <c r="I90" s="69">
        <f t="shared" si="58"/>
        <v>1</v>
      </c>
      <c r="J90" s="76" t="str">
        <f t="shared" si="58"/>
        <v>Hypericum</v>
      </c>
      <c r="K90" s="76" t="str">
        <f t="shared" si="58"/>
        <v>revolutum</v>
      </c>
      <c r="L90" s="77">
        <f t="shared" si="58"/>
        <v>6</v>
      </c>
      <c r="M90" s="77">
        <f t="shared" si="58"/>
        <v>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Dec</v>
      </c>
      <c r="C91" s="73">
        <f t="shared" si="55"/>
        <v>2</v>
      </c>
      <c r="D91" s="74">
        <f t="shared" si="38"/>
        <v>16</v>
      </c>
      <c r="E91" s="75">
        <f t="shared" si="39"/>
        <v>22</v>
      </c>
      <c r="F91" s="79"/>
      <c r="G91" s="82"/>
      <c r="H91" s="68" t="str">
        <f t="shared" si="56"/>
        <v>Hyprev6_20201202_16_00</v>
      </c>
      <c r="I91" s="69">
        <f t="shared" si="58"/>
        <v>1</v>
      </c>
      <c r="J91" s="76" t="str">
        <f t="shared" si="58"/>
        <v>Hypericum</v>
      </c>
      <c r="K91" s="76" t="str">
        <f t="shared" si="58"/>
        <v>revolutum</v>
      </c>
      <c r="L91" s="77">
        <f t="shared" si="58"/>
        <v>6</v>
      </c>
      <c r="M91" s="77">
        <f t="shared" si="58"/>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Dec</v>
      </c>
      <c r="C92" s="73">
        <f t="shared" si="55"/>
        <v>2</v>
      </c>
      <c r="D92" s="74">
        <f t="shared" si="38"/>
        <v>16</v>
      </c>
      <c r="E92" s="75">
        <f t="shared" si="39"/>
        <v>23</v>
      </c>
      <c r="F92" s="79"/>
      <c r="G92" s="82"/>
      <c r="H92" s="68" t="str">
        <f t="shared" si="56"/>
        <v>Hyprev6_20201202_16_00</v>
      </c>
      <c r="I92" s="69">
        <f t="shared" si="58"/>
        <v>1</v>
      </c>
      <c r="J92" s="76" t="str">
        <f t="shared" si="58"/>
        <v>Hypericum</v>
      </c>
      <c r="K92" s="76" t="str">
        <f t="shared" si="58"/>
        <v>revolutum</v>
      </c>
      <c r="L92" s="77">
        <f t="shared" si="58"/>
        <v>6</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Dec</v>
      </c>
      <c r="C93" s="73">
        <f t="shared" si="55"/>
        <v>2</v>
      </c>
      <c r="D93" s="74">
        <f t="shared" si="38"/>
        <v>16</v>
      </c>
      <c r="E93" s="75">
        <f t="shared" si="39"/>
        <v>24</v>
      </c>
      <c r="F93" s="79"/>
      <c r="G93" s="82"/>
      <c r="H93" s="68" t="str">
        <f t="shared" si="56"/>
        <v>Hyprev6_20201202_16_00</v>
      </c>
      <c r="I93" s="69">
        <f t="shared" si="58"/>
        <v>1</v>
      </c>
      <c r="J93" s="76" t="str">
        <f t="shared" si="58"/>
        <v>Hypericum</v>
      </c>
      <c r="K93" s="76" t="str">
        <f t="shared" si="58"/>
        <v>revolutum</v>
      </c>
      <c r="L93" s="77">
        <f t="shared" si="58"/>
        <v>6</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Dec</v>
      </c>
      <c r="C94" s="73">
        <f t="shared" si="55"/>
        <v>2</v>
      </c>
      <c r="D94" s="74">
        <f t="shared" si="38"/>
        <v>16</v>
      </c>
      <c r="E94" s="75">
        <f t="shared" si="39"/>
        <v>25</v>
      </c>
      <c r="F94" s="79"/>
      <c r="G94" s="82"/>
      <c r="H94" s="68" t="str">
        <f t="shared" si="56"/>
        <v>Hyprev6_20201202_16_00</v>
      </c>
      <c r="I94" s="69">
        <f t="shared" si="58"/>
        <v>1</v>
      </c>
      <c r="J94" s="76" t="str">
        <f t="shared" si="58"/>
        <v>Hypericum</v>
      </c>
      <c r="K94" s="76" t="str">
        <f t="shared" si="58"/>
        <v>revolutum</v>
      </c>
      <c r="L94" s="77">
        <f t="shared" si="58"/>
        <v>6</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Dec</v>
      </c>
      <c r="C95" s="73">
        <f t="shared" si="55"/>
        <v>2</v>
      </c>
      <c r="D95" s="74">
        <f t="shared" si="38"/>
        <v>16</v>
      </c>
      <c r="E95" s="75">
        <f t="shared" si="39"/>
        <v>26</v>
      </c>
      <c r="F95" s="79"/>
      <c r="G95" s="82"/>
      <c r="H95" s="68" t="str">
        <f t="shared" si="56"/>
        <v>Hyprev6_20201202_16_00</v>
      </c>
      <c r="I95" s="69">
        <f t="shared" si="58"/>
        <v>1</v>
      </c>
      <c r="J95" s="76" t="str">
        <f t="shared" si="58"/>
        <v>Hypericum</v>
      </c>
      <c r="K95" s="76" t="str">
        <f t="shared" si="58"/>
        <v>revolutum</v>
      </c>
      <c r="L95" s="77">
        <f t="shared" si="58"/>
        <v>6</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Dec</v>
      </c>
      <c r="C96" s="73">
        <f t="shared" si="55"/>
        <v>2</v>
      </c>
      <c r="D96" s="74">
        <f t="shared" si="38"/>
        <v>16</v>
      </c>
      <c r="E96" s="75">
        <f t="shared" si="39"/>
        <v>27</v>
      </c>
      <c r="F96" s="79"/>
      <c r="G96" s="82"/>
      <c r="H96" s="68" t="str">
        <f t="shared" si="56"/>
        <v>Hyprev6_20201202_16_00</v>
      </c>
      <c r="I96" s="69">
        <f t="shared" si="58"/>
        <v>1</v>
      </c>
      <c r="J96" s="76" t="str">
        <f t="shared" si="58"/>
        <v>Hypericum</v>
      </c>
      <c r="K96" s="76" t="str">
        <f t="shared" si="58"/>
        <v>revolutum</v>
      </c>
      <c r="L96" s="77">
        <f t="shared" si="58"/>
        <v>6</v>
      </c>
      <c r="M96" s="77">
        <f t="shared" si="58"/>
        <v>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Dec</v>
      </c>
      <c r="C97" s="73">
        <f t="shared" si="55"/>
        <v>2</v>
      </c>
      <c r="D97" s="74">
        <f t="shared" si="38"/>
        <v>16</v>
      </c>
      <c r="E97" s="75">
        <f t="shared" si="39"/>
        <v>28</v>
      </c>
      <c r="F97" s="79"/>
      <c r="G97" s="82"/>
      <c r="H97" s="68" t="str">
        <f t="shared" si="56"/>
        <v>Hyprev6_20201202_16_00</v>
      </c>
      <c r="I97" s="69">
        <f t="shared" si="58"/>
        <v>1</v>
      </c>
      <c r="J97" s="76" t="str">
        <f t="shared" si="58"/>
        <v>Hypericum</v>
      </c>
      <c r="K97" s="76" t="str">
        <f t="shared" si="58"/>
        <v>revolutum</v>
      </c>
      <c r="L97" s="77">
        <f t="shared" si="58"/>
        <v>6</v>
      </c>
      <c r="M97" s="77">
        <f t="shared" si="58"/>
        <v>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Dec</v>
      </c>
      <c r="C98" s="73">
        <f t="shared" si="55"/>
        <v>2</v>
      </c>
      <c r="D98" s="74">
        <f t="shared" si="38"/>
        <v>16</v>
      </c>
      <c r="E98" s="75">
        <f t="shared" si="39"/>
        <v>29</v>
      </c>
      <c r="F98" s="79"/>
      <c r="G98" s="82"/>
      <c r="H98" s="68" t="str">
        <f t="shared" si="56"/>
        <v>Hyprev6_20201202_16_00</v>
      </c>
      <c r="I98" s="69">
        <f t="shared" si="58"/>
        <v>1</v>
      </c>
      <c r="J98" s="76" t="str">
        <f t="shared" si="58"/>
        <v>Hypericum</v>
      </c>
      <c r="K98" s="76" t="str">
        <f t="shared" si="58"/>
        <v>revolutum</v>
      </c>
      <c r="L98" s="77">
        <f t="shared" si="58"/>
        <v>6</v>
      </c>
      <c r="M98" s="77">
        <f t="shared" si="58"/>
        <v>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Dec</v>
      </c>
      <c r="C99" s="73">
        <f t="shared" si="55"/>
        <v>2</v>
      </c>
      <c r="D99" s="74">
        <f t="shared" si="38"/>
        <v>16</v>
      </c>
      <c r="E99" s="75">
        <f t="shared" si="39"/>
        <v>30</v>
      </c>
      <c r="F99" s="79"/>
      <c r="G99" s="82"/>
      <c r="H99" s="68" t="str">
        <f t="shared" si="56"/>
        <v>Hyprev6_20201202_16_00</v>
      </c>
      <c r="I99" s="69">
        <f t="shared" si="58"/>
        <v>1</v>
      </c>
      <c r="J99" s="76" t="str">
        <f t="shared" si="58"/>
        <v>Hypericum</v>
      </c>
      <c r="K99" s="76" t="str">
        <f t="shared" si="58"/>
        <v>revolutum</v>
      </c>
      <c r="L99" s="77">
        <f t="shared" si="58"/>
        <v>6</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Dec</v>
      </c>
      <c r="C100" s="73">
        <f t="shared" si="55"/>
        <v>2</v>
      </c>
      <c r="D100" s="74">
        <f t="shared" si="38"/>
        <v>16</v>
      </c>
      <c r="E100" s="75">
        <f t="shared" si="39"/>
        <v>31</v>
      </c>
      <c r="F100" s="79"/>
      <c r="G100" s="82"/>
      <c r="H100" s="68" t="str">
        <f t="shared" si="56"/>
        <v>Hyprev6_20201202_16_00</v>
      </c>
      <c r="I100" s="69">
        <f t="shared" si="58"/>
        <v>1</v>
      </c>
      <c r="J100" s="76" t="str">
        <f t="shared" si="58"/>
        <v>Hypericum</v>
      </c>
      <c r="K100" s="76" t="str">
        <f t="shared" si="58"/>
        <v>revolutum</v>
      </c>
      <c r="L100" s="77">
        <f t="shared" si="58"/>
        <v>6</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Dec</v>
      </c>
      <c r="C101" s="73">
        <f t="shared" si="55"/>
        <v>2</v>
      </c>
      <c r="D101" s="74">
        <f t="shared" si="38"/>
        <v>16</v>
      </c>
      <c r="E101" s="75">
        <f t="shared" si="39"/>
        <v>32</v>
      </c>
      <c r="F101" s="79"/>
      <c r="G101" s="82"/>
      <c r="H101" s="68" t="str">
        <f t="shared" si="56"/>
        <v>Hyprev6_20201202_16_00</v>
      </c>
      <c r="I101" s="69">
        <f t="shared" ref="I101:N116" si="59">I100</f>
        <v>1</v>
      </c>
      <c r="J101" s="76" t="str">
        <f t="shared" si="59"/>
        <v>Hypericum</v>
      </c>
      <c r="K101" s="76" t="str">
        <f t="shared" si="59"/>
        <v>revolutum</v>
      </c>
      <c r="L101" s="77">
        <f t="shared" si="59"/>
        <v>6</v>
      </c>
      <c r="M101" s="77">
        <f t="shared" si="59"/>
        <v>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Dec</v>
      </c>
      <c r="C102" s="73">
        <f t="shared" si="55"/>
        <v>2</v>
      </c>
      <c r="D102" s="74">
        <f t="shared" si="38"/>
        <v>16</v>
      </c>
      <c r="E102" s="75">
        <f t="shared" si="39"/>
        <v>33</v>
      </c>
      <c r="F102" s="79"/>
      <c r="G102" s="82"/>
      <c r="H102" s="68" t="str">
        <f t="shared" si="56"/>
        <v>Hyprev6_20201202_16_00</v>
      </c>
      <c r="I102" s="69">
        <f t="shared" si="59"/>
        <v>1</v>
      </c>
      <c r="J102" s="76" t="str">
        <f t="shared" si="59"/>
        <v>Hypericum</v>
      </c>
      <c r="K102" s="76" t="str">
        <f t="shared" si="59"/>
        <v>revolutum</v>
      </c>
      <c r="L102" s="77">
        <f t="shared" si="59"/>
        <v>6</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Dec</v>
      </c>
      <c r="C103" s="73">
        <f t="shared" si="55"/>
        <v>2</v>
      </c>
      <c r="D103" s="74">
        <f t="shared" si="38"/>
        <v>16</v>
      </c>
      <c r="E103" s="75">
        <f t="shared" si="39"/>
        <v>34</v>
      </c>
      <c r="F103" s="79"/>
      <c r="G103" s="82"/>
      <c r="H103" s="68" t="str">
        <f t="shared" si="56"/>
        <v>Hyprev6_20201202_16_00</v>
      </c>
      <c r="I103" s="69">
        <f t="shared" si="59"/>
        <v>1</v>
      </c>
      <c r="J103" s="76" t="str">
        <f t="shared" si="59"/>
        <v>Hypericum</v>
      </c>
      <c r="K103" s="76" t="str">
        <f t="shared" si="59"/>
        <v>revolutum</v>
      </c>
      <c r="L103" s="77">
        <f t="shared" si="59"/>
        <v>6</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Dec</v>
      </c>
      <c r="C104" s="73">
        <f t="shared" si="55"/>
        <v>2</v>
      </c>
      <c r="D104" s="74">
        <f t="shared" si="38"/>
        <v>16</v>
      </c>
      <c r="E104" s="75">
        <f t="shared" si="39"/>
        <v>35</v>
      </c>
      <c r="F104" s="79"/>
      <c r="G104" s="82"/>
      <c r="H104" s="68" t="str">
        <f t="shared" si="56"/>
        <v>Hyprev6_20201202_16_00</v>
      </c>
      <c r="I104" s="69">
        <f t="shared" si="59"/>
        <v>1</v>
      </c>
      <c r="J104" s="76" t="str">
        <f t="shared" si="59"/>
        <v>Hypericum</v>
      </c>
      <c r="K104" s="76" t="str">
        <f t="shared" si="59"/>
        <v>revolutum</v>
      </c>
      <c r="L104" s="77">
        <f t="shared" si="59"/>
        <v>6</v>
      </c>
      <c r="M104" s="77">
        <f t="shared" si="59"/>
        <v>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Dec</v>
      </c>
      <c r="C105" s="73">
        <f t="shared" si="55"/>
        <v>2</v>
      </c>
      <c r="D105" s="74">
        <f t="shared" si="38"/>
        <v>16</v>
      </c>
      <c r="E105" s="75">
        <f t="shared" si="39"/>
        <v>36</v>
      </c>
      <c r="F105" s="79"/>
      <c r="G105" s="82"/>
      <c r="H105" s="68" t="str">
        <f t="shared" si="56"/>
        <v>Hyprev6_20201202_16_00</v>
      </c>
      <c r="I105" s="69">
        <f t="shared" si="59"/>
        <v>1</v>
      </c>
      <c r="J105" s="76" t="str">
        <f t="shared" si="59"/>
        <v>Hypericum</v>
      </c>
      <c r="K105" s="76" t="str">
        <f t="shared" si="59"/>
        <v>revolutum</v>
      </c>
      <c r="L105" s="77">
        <f t="shared" si="59"/>
        <v>6</v>
      </c>
      <c r="M105" s="77">
        <f t="shared" si="59"/>
        <v>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Dec</v>
      </c>
      <c r="C106" s="73">
        <f t="shared" si="55"/>
        <v>2</v>
      </c>
      <c r="D106" s="74">
        <f t="shared" si="38"/>
        <v>16</v>
      </c>
      <c r="E106" s="75">
        <f t="shared" si="39"/>
        <v>37</v>
      </c>
      <c r="F106" s="79"/>
      <c r="G106" s="82"/>
      <c r="H106" s="68" t="str">
        <f t="shared" si="56"/>
        <v>Hyprev6_20201202_16_00</v>
      </c>
      <c r="I106" s="69">
        <f t="shared" si="59"/>
        <v>1</v>
      </c>
      <c r="J106" s="76" t="str">
        <f t="shared" si="59"/>
        <v>Hypericum</v>
      </c>
      <c r="K106" s="76" t="str">
        <f t="shared" si="59"/>
        <v>revolutum</v>
      </c>
      <c r="L106" s="77">
        <f t="shared" si="59"/>
        <v>6</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Dec</v>
      </c>
      <c r="C107" s="73">
        <f t="shared" si="55"/>
        <v>2</v>
      </c>
      <c r="D107" s="74">
        <f t="shared" si="38"/>
        <v>16</v>
      </c>
      <c r="E107" s="75">
        <f t="shared" si="39"/>
        <v>38</v>
      </c>
      <c r="F107" s="79"/>
      <c r="G107" s="82"/>
      <c r="H107" s="68" t="str">
        <f t="shared" si="56"/>
        <v>Hyprev6_20201202_16_00</v>
      </c>
      <c r="I107" s="69">
        <f t="shared" si="59"/>
        <v>1</v>
      </c>
      <c r="J107" s="76" t="str">
        <f t="shared" si="59"/>
        <v>Hypericum</v>
      </c>
      <c r="K107" s="76" t="str">
        <f t="shared" si="59"/>
        <v>revolutum</v>
      </c>
      <c r="L107" s="77">
        <f t="shared" si="59"/>
        <v>6</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Dec</v>
      </c>
      <c r="C108" s="73">
        <f t="shared" si="55"/>
        <v>2</v>
      </c>
      <c r="D108" s="74">
        <f t="shared" si="38"/>
        <v>16</v>
      </c>
      <c r="E108" s="75">
        <f t="shared" si="39"/>
        <v>39</v>
      </c>
      <c r="F108" s="79"/>
      <c r="G108" s="82"/>
      <c r="H108" s="68" t="str">
        <f t="shared" si="56"/>
        <v>Hyprev6_20201202_16_00</v>
      </c>
      <c r="I108" s="69">
        <f t="shared" si="59"/>
        <v>1</v>
      </c>
      <c r="J108" s="76" t="str">
        <f t="shared" si="59"/>
        <v>Hypericum</v>
      </c>
      <c r="K108" s="76" t="str">
        <f t="shared" si="59"/>
        <v>revolutum</v>
      </c>
      <c r="L108" s="77">
        <f t="shared" si="59"/>
        <v>6</v>
      </c>
      <c r="M108" s="77">
        <f t="shared" si="59"/>
        <v>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Dec</v>
      </c>
      <c r="C109" s="73">
        <f t="shared" si="55"/>
        <v>2</v>
      </c>
      <c r="D109" s="74">
        <f t="shared" si="38"/>
        <v>16</v>
      </c>
      <c r="E109" s="75">
        <f t="shared" si="39"/>
        <v>40</v>
      </c>
      <c r="F109" s="79"/>
      <c r="G109" s="82"/>
      <c r="H109" s="68" t="str">
        <f t="shared" si="56"/>
        <v>Hyprev6_20201202_16_00</v>
      </c>
      <c r="I109" s="69">
        <f t="shared" si="59"/>
        <v>1</v>
      </c>
      <c r="J109" s="76" t="str">
        <f t="shared" si="59"/>
        <v>Hypericum</v>
      </c>
      <c r="K109" s="76" t="str">
        <f t="shared" si="59"/>
        <v>revolutum</v>
      </c>
      <c r="L109" s="77">
        <f t="shared" si="59"/>
        <v>6</v>
      </c>
      <c r="M109" s="77">
        <f t="shared" si="59"/>
        <v>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Dec</v>
      </c>
      <c r="C110" s="73">
        <f t="shared" si="55"/>
        <v>2</v>
      </c>
      <c r="D110" s="74">
        <f t="shared" si="38"/>
        <v>16</v>
      </c>
      <c r="E110" s="75">
        <f t="shared" si="39"/>
        <v>41</v>
      </c>
      <c r="F110" s="79"/>
      <c r="G110" s="82"/>
      <c r="H110" s="68" t="str">
        <f t="shared" si="56"/>
        <v>Hyprev6_20201202_16_00</v>
      </c>
      <c r="I110" s="69">
        <f t="shared" si="59"/>
        <v>1</v>
      </c>
      <c r="J110" s="76" t="str">
        <f t="shared" si="59"/>
        <v>Hypericum</v>
      </c>
      <c r="K110" s="76" t="str">
        <f t="shared" si="59"/>
        <v>revolutum</v>
      </c>
      <c r="L110" s="77">
        <f t="shared" si="59"/>
        <v>6</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Dec</v>
      </c>
      <c r="C111" s="73">
        <f t="shared" si="55"/>
        <v>2</v>
      </c>
      <c r="D111" s="74">
        <f t="shared" si="38"/>
        <v>16</v>
      </c>
      <c r="E111" s="75">
        <f t="shared" si="39"/>
        <v>42</v>
      </c>
      <c r="F111" s="79"/>
      <c r="G111" s="82"/>
      <c r="H111" s="68" t="str">
        <f t="shared" si="56"/>
        <v>Hyprev6_20201202_16_00</v>
      </c>
      <c r="I111" s="69">
        <f t="shared" si="59"/>
        <v>1</v>
      </c>
      <c r="J111" s="76" t="str">
        <f t="shared" si="59"/>
        <v>Hypericum</v>
      </c>
      <c r="K111" s="76" t="str">
        <f t="shared" si="59"/>
        <v>revolutum</v>
      </c>
      <c r="L111" s="77">
        <f t="shared" si="59"/>
        <v>6</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Dec</v>
      </c>
      <c r="C112" s="73">
        <f t="shared" si="55"/>
        <v>2</v>
      </c>
      <c r="D112" s="74">
        <f t="shared" si="38"/>
        <v>16</v>
      </c>
      <c r="E112" s="75">
        <f t="shared" si="39"/>
        <v>43</v>
      </c>
      <c r="F112" s="79"/>
      <c r="G112" s="82"/>
      <c r="H112" s="68" t="str">
        <f t="shared" si="56"/>
        <v>Hyprev6_20201202_16_00</v>
      </c>
      <c r="I112" s="69">
        <f t="shared" si="59"/>
        <v>1</v>
      </c>
      <c r="J112" s="76" t="str">
        <f t="shared" si="59"/>
        <v>Hypericum</v>
      </c>
      <c r="K112" s="76" t="str">
        <f t="shared" si="59"/>
        <v>revolutum</v>
      </c>
      <c r="L112" s="77">
        <f t="shared" si="59"/>
        <v>6</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Dec</v>
      </c>
      <c r="C113" s="73">
        <f t="shared" si="55"/>
        <v>2</v>
      </c>
      <c r="D113" s="74">
        <f t="shared" si="38"/>
        <v>16</v>
      </c>
      <c r="E113" s="75">
        <f t="shared" si="39"/>
        <v>44</v>
      </c>
      <c r="F113" s="79"/>
      <c r="G113" s="82"/>
      <c r="H113" s="68" t="str">
        <f t="shared" si="56"/>
        <v>Hyprev6_20201202_16_00</v>
      </c>
      <c r="I113" s="69">
        <f t="shared" si="59"/>
        <v>1</v>
      </c>
      <c r="J113" s="76" t="str">
        <f t="shared" si="59"/>
        <v>Hypericum</v>
      </c>
      <c r="K113" s="76" t="str">
        <f t="shared" si="59"/>
        <v>revolutum</v>
      </c>
      <c r="L113" s="77">
        <f t="shared" si="59"/>
        <v>6</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Dec</v>
      </c>
      <c r="C114" s="73">
        <f t="shared" si="55"/>
        <v>2</v>
      </c>
      <c r="D114" s="74">
        <f t="shared" si="38"/>
        <v>16</v>
      </c>
      <c r="E114" s="75">
        <f t="shared" si="39"/>
        <v>45</v>
      </c>
      <c r="F114" s="79"/>
      <c r="G114" s="82"/>
      <c r="H114" s="68" t="str">
        <f t="shared" si="56"/>
        <v>Hyprev6_20201202_16_00</v>
      </c>
      <c r="I114" s="69">
        <f t="shared" si="59"/>
        <v>1</v>
      </c>
      <c r="J114" s="76" t="str">
        <f t="shared" si="59"/>
        <v>Hypericum</v>
      </c>
      <c r="K114" s="76" t="str">
        <f t="shared" si="59"/>
        <v>revolutum</v>
      </c>
      <c r="L114" s="77">
        <f t="shared" si="59"/>
        <v>6</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Dec</v>
      </c>
      <c r="C115" s="73">
        <f t="shared" si="55"/>
        <v>2</v>
      </c>
      <c r="D115" s="74">
        <f t="shared" si="38"/>
        <v>16</v>
      </c>
      <c r="E115" s="75">
        <f t="shared" si="39"/>
        <v>46</v>
      </c>
      <c r="F115" s="79"/>
      <c r="G115" s="82"/>
      <c r="H115" s="68" t="str">
        <f t="shared" si="56"/>
        <v>Hyprev6_20201202_16_00</v>
      </c>
      <c r="I115" s="69">
        <f t="shared" si="59"/>
        <v>1</v>
      </c>
      <c r="J115" s="76" t="str">
        <f t="shared" si="59"/>
        <v>Hypericum</v>
      </c>
      <c r="K115" s="76" t="str">
        <f t="shared" si="59"/>
        <v>revolutum</v>
      </c>
      <c r="L115" s="77">
        <f t="shared" si="59"/>
        <v>6</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Dec</v>
      </c>
      <c r="C116" s="73">
        <f t="shared" si="55"/>
        <v>2</v>
      </c>
      <c r="D116" s="74">
        <f t="shared" si="38"/>
        <v>16</v>
      </c>
      <c r="E116" s="75">
        <f t="shared" si="39"/>
        <v>47</v>
      </c>
      <c r="F116" s="79"/>
      <c r="G116" s="82"/>
      <c r="H116" s="68" t="str">
        <f t="shared" si="56"/>
        <v>Hyprev6_20201202_16_00</v>
      </c>
      <c r="I116" s="69">
        <f t="shared" si="59"/>
        <v>1</v>
      </c>
      <c r="J116" s="76" t="str">
        <f t="shared" si="59"/>
        <v>Hypericum</v>
      </c>
      <c r="K116" s="76" t="str">
        <f t="shared" si="59"/>
        <v>revolutum</v>
      </c>
      <c r="L116" s="77">
        <f t="shared" si="59"/>
        <v>6</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Dec</v>
      </c>
      <c r="C117" s="73">
        <f t="shared" si="55"/>
        <v>2</v>
      </c>
      <c r="D117" s="74">
        <f t="shared" si="38"/>
        <v>16</v>
      </c>
      <c r="E117" s="75">
        <f t="shared" si="39"/>
        <v>48</v>
      </c>
      <c r="F117" s="79"/>
      <c r="G117" s="82"/>
      <c r="H117" s="68" t="str">
        <f t="shared" si="56"/>
        <v>Hyprev6_20201202_16_00</v>
      </c>
      <c r="I117" s="69">
        <f t="shared" ref="I117:N132" si="60">I116</f>
        <v>1</v>
      </c>
      <c r="J117" s="76" t="str">
        <f t="shared" si="60"/>
        <v>Hypericum</v>
      </c>
      <c r="K117" s="76" t="str">
        <f t="shared" si="60"/>
        <v>revolutum</v>
      </c>
      <c r="L117" s="77">
        <f t="shared" si="60"/>
        <v>6</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Dec</v>
      </c>
      <c r="C118" s="73">
        <f t="shared" si="55"/>
        <v>2</v>
      </c>
      <c r="D118" s="74">
        <f t="shared" si="38"/>
        <v>16</v>
      </c>
      <c r="E118" s="75">
        <f t="shared" si="39"/>
        <v>49</v>
      </c>
      <c r="F118" s="79"/>
      <c r="G118" s="82"/>
      <c r="H118" s="68" t="str">
        <f t="shared" si="56"/>
        <v>Hyprev6_20201202_16_00</v>
      </c>
      <c r="I118" s="69">
        <f t="shared" si="60"/>
        <v>1</v>
      </c>
      <c r="J118" s="76" t="str">
        <f t="shared" si="60"/>
        <v>Hypericum</v>
      </c>
      <c r="K118" s="76" t="str">
        <f t="shared" si="60"/>
        <v>revolutum</v>
      </c>
      <c r="L118" s="77">
        <f t="shared" si="60"/>
        <v>6</v>
      </c>
      <c r="M118" s="77">
        <f t="shared" si="60"/>
        <v>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Dec</v>
      </c>
      <c r="C119" s="73">
        <f t="shared" si="55"/>
        <v>2</v>
      </c>
      <c r="D119" s="74">
        <f t="shared" si="38"/>
        <v>16</v>
      </c>
      <c r="E119" s="75">
        <f t="shared" si="39"/>
        <v>50</v>
      </c>
      <c r="F119" s="79"/>
      <c r="G119" s="82"/>
      <c r="H119" s="68" t="str">
        <f t="shared" si="56"/>
        <v>Hyprev6_20201202_16_00</v>
      </c>
      <c r="I119" s="69">
        <f t="shared" si="60"/>
        <v>1</v>
      </c>
      <c r="J119" s="76" t="str">
        <f t="shared" si="60"/>
        <v>Hypericum</v>
      </c>
      <c r="K119" s="76" t="str">
        <f t="shared" si="60"/>
        <v>revolutum</v>
      </c>
      <c r="L119" s="77">
        <f t="shared" si="60"/>
        <v>6</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Dec</v>
      </c>
      <c r="C120" s="73">
        <f t="shared" si="55"/>
        <v>2</v>
      </c>
      <c r="D120" s="74">
        <f t="shared" si="38"/>
        <v>16</v>
      </c>
      <c r="E120" s="75">
        <f t="shared" si="39"/>
        <v>51</v>
      </c>
      <c r="F120" s="79"/>
      <c r="G120" s="82"/>
      <c r="H120" s="68" t="str">
        <f t="shared" si="56"/>
        <v>Hyprev6_20201202_16_00</v>
      </c>
      <c r="I120" s="69">
        <f t="shared" si="60"/>
        <v>1</v>
      </c>
      <c r="J120" s="76" t="str">
        <f t="shared" si="60"/>
        <v>Hypericum</v>
      </c>
      <c r="K120" s="76" t="str">
        <f t="shared" si="60"/>
        <v>revolutum</v>
      </c>
      <c r="L120" s="77">
        <f t="shared" si="60"/>
        <v>6</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Dec</v>
      </c>
      <c r="C121" s="73">
        <f t="shared" si="55"/>
        <v>2</v>
      </c>
      <c r="D121" s="74">
        <f t="shared" si="38"/>
        <v>16</v>
      </c>
      <c r="E121" s="75">
        <f t="shared" si="39"/>
        <v>52</v>
      </c>
      <c r="F121" s="79"/>
      <c r="G121" s="82"/>
      <c r="H121" s="68" t="str">
        <f t="shared" si="56"/>
        <v>Hyprev6_20201202_16_00</v>
      </c>
      <c r="I121" s="69">
        <f t="shared" si="60"/>
        <v>1</v>
      </c>
      <c r="J121" s="76" t="str">
        <f t="shared" si="60"/>
        <v>Hypericum</v>
      </c>
      <c r="K121" s="76" t="str">
        <f t="shared" si="60"/>
        <v>revolutum</v>
      </c>
      <c r="L121" s="77">
        <f t="shared" si="60"/>
        <v>6</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Dec</v>
      </c>
      <c r="C122" s="73">
        <f t="shared" si="55"/>
        <v>2</v>
      </c>
      <c r="D122" s="74">
        <f t="shared" si="38"/>
        <v>16</v>
      </c>
      <c r="E122" s="75">
        <f t="shared" si="39"/>
        <v>53</v>
      </c>
      <c r="F122" s="79"/>
      <c r="G122" s="82"/>
      <c r="H122" s="68" t="str">
        <f t="shared" si="56"/>
        <v>Hyprev6_20201202_16_00</v>
      </c>
      <c r="I122" s="69">
        <f t="shared" si="60"/>
        <v>1</v>
      </c>
      <c r="J122" s="76" t="str">
        <f t="shared" si="60"/>
        <v>Hypericum</v>
      </c>
      <c r="K122" s="76" t="str">
        <f t="shared" si="60"/>
        <v>revolutum</v>
      </c>
      <c r="L122" s="77">
        <f t="shared" si="60"/>
        <v>6</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Dec</v>
      </c>
      <c r="C123" s="73">
        <f t="shared" si="55"/>
        <v>2</v>
      </c>
      <c r="D123" s="74">
        <f t="shared" si="38"/>
        <v>16</v>
      </c>
      <c r="E123" s="75">
        <f t="shared" si="39"/>
        <v>54</v>
      </c>
      <c r="F123" s="79"/>
      <c r="G123" s="82"/>
      <c r="H123" s="68" t="str">
        <f t="shared" si="56"/>
        <v>Hyprev6_20201202_16_00</v>
      </c>
      <c r="I123" s="69">
        <f t="shared" si="60"/>
        <v>1</v>
      </c>
      <c r="J123" s="76" t="str">
        <f t="shared" si="60"/>
        <v>Hypericum</v>
      </c>
      <c r="K123" s="76" t="str">
        <f t="shared" si="60"/>
        <v>revolutum</v>
      </c>
      <c r="L123" s="77">
        <f t="shared" si="60"/>
        <v>6</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Dec</v>
      </c>
      <c r="C124" s="73">
        <f t="shared" si="55"/>
        <v>2</v>
      </c>
      <c r="D124" s="74">
        <f t="shared" si="38"/>
        <v>16</v>
      </c>
      <c r="E124" s="75">
        <f t="shared" si="39"/>
        <v>55</v>
      </c>
      <c r="F124" s="79"/>
      <c r="G124" s="82"/>
      <c r="H124" s="68" t="str">
        <f t="shared" si="56"/>
        <v>Hyprev6_20201202_16_00</v>
      </c>
      <c r="I124" s="69">
        <f t="shared" si="60"/>
        <v>1</v>
      </c>
      <c r="J124" s="76" t="str">
        <f t="shared" si="60"/>
        <v>Hypericum</v>
      </c>
      <c r="K124" s="76" t="str">
        <f t="shared" si="60"/>
        <v>revolutum</v>
      </c>
      <c r="L124" s="77">
        <f t="shared" si="60"/>
        <v>6</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Dec</v>
      </c>
      <c r="C125" s="73">
        <f t="shared" si="55"/>
        <v>2</v>
      </c>
      <c r="D125" s="74">
        <f t="shared" si="38"/>
        <v>16</v>
      </c>
      <c r="E125" s="75">
        <f t="shared" si="39"/>
        <v>56</v>
      </c>
      <c r="F125" s="79"/>
      <c r="G125" s="82"/>
      <c r="H125" s="68" t="str">
        <f t="shared" si="56"/>
        <v>Hyprev6_20201202_16_00</v>
      </c>
      <c r="I125" s="69">
        <f t="shared" si="60"/>
        <v>1</v>
      </c>
      <c r="J125" s="76" t="str">
        <f t="shared" si="60"/>
        <v>Hypericum</v>
      </c>
      <c r="K125" s="76" t="str">
        <f t="shared" si="60"/>
        <v>revolutum</v>
      </c>
      <c r="L125" s="77">
        <f t="shared" si="60"/>
        <v>6</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Dec</v>
      </c>
      <c r="C126" s="73">
        <f t="shared" si="55"/>
        <v>2</v>
      </c>
      <c r="D126" s="74">
        <f t="shared" si="38"/>
        <v>16</v>
      </c>
      <c r="E126" s="75">
        <f t="shared" si="39"/>
        <v>57</v>
      </c>
      <c r="F126" s="79"/>
      <c r="G126" s="82"/>
      <c r="H126" s="68" t="str">
        <f t="shared" si="56"/>
        <v>Hyprev6_20201202_16_00</v>
      </c>
      <c r="I126" s="69">
        <f t="shared" si="60"/>
        <v>1</v>
      </c>
      <c r="J126" s="76" t="str">
        <f t="shared" si="60"/>
        <v>Hypericum</v>
      </c>
      <c r="K126" s="76" t="str">
        <f t="shared" si="60"/>
        <v>revolutum</v>
      </c>
      <c r="L126" s="77">
        <f t="shared" si="60"/>
        <v>6</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Dec</v>
      </c>
      <c r="C127" s="73">
        <f t="shared" si="55"/>
        <v>2</v>
      </c>
      <c r="D127" s="74">
        <f t="shared" si="38"/>
        <v>16</v>
      </c>
      <c r="E127" s="75">
        <f t="shared" si="39"/>
        <v>58</v>
      </c>
      <c r="F127" s="79"/>
      <c r="G127" s="82"/>
      <c r="H127" s="68" t="str">
        <f t="shared" si="56"/>
        <v>Hyprev6_20201202_16_00</v>
      </c>
      <c r="I127" s="69">
        <f t="shared" si="60"/>
        <v>1</v>
      </c>
      <c r="J127" s="76" t="str">
        <f t="shared" si="60"/>
        <v>Hypericum</v>
      </c>
      <c r="K127" s="76" t="str">
        <f t="shared" si="60"/>
        <v>revolutum</v>
      </c>
      <c r="L127" s="77">
        <f t="shared" si="60"/>
        <v>6</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Dec</v>
      </c>
      <c r="C128" s="73">
        <f t="shared" si="55"/>
        <v>2</v>
      </c>
      <c r="D128" s="74">
        <f t="shared" si="38"/>
        <v>16</v>
      </c>
      <c r="E128" s="75">
        <f t="shared" si="39"/>
        <v>59</v>
      </c>
      <c r="F128" s="79"/>
      <c r="G128" s="82"/>
      <c r="H128" s="68" t="str">
        <f t="shared" si="56"/>
        <v>Hyprev6_20201202_16_00</v>
      </c>
      <c r="I128" s="69">
        <f t="shared" si="60"/>
        <v>1</v>
      </c>
      <c r="J128" s="76" t="str">
        <f t="shared" si="60"/>
        <v>Hypericum</v>
      </c>
      <c r="K128" s="76" t="str">
        <f t="shared" si="60"/>
        <v>revolutum</v>
      </c>
      <c r="L128" s="77">
        <f t="shared" si="60"/>
        <v>6</v>
      </c>
      <c r="M128" s="77">
        <f t="shared" si="60"/>
        <v>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Dec</v>
      </c>
      <c r="C129" s="73">
        <f t="shared" si="55"/>
        <v>2</v>
      </c>
      <c r="D129" s="74">
        <f t="shared" si="38"/>
        <v>17</v>
      </c>
      <c r="E129" s="75">
        <f t="shared" si="39"/>
        <v>0</v>
      </c>
      <c r="F129" s="79"/>
      <c r="G129" s="82"/>
      <c r="H129" s="68" t="str">
        <f t="shared" si="56"/>
        <v>Hyprev6_20201202_17_00</v>
      </c>
      <c r="I129" s="69">
        <f t="shared" si="60"/>
        <v>1</v>
      </c>
      <c r="J129" s="76" t="str">
        <f t="shared" si="60"/>
        <v>Hypericum</v>
      </c>
      <c r="K129" s="76" t="str">
        <f t="shared" si="60"/>
        <v>revolutum</v>
      </c>
      <c r="L129" s="77">
        <f t="shared" si="60"/>
        <v>6</v>
      </c>
      <c r="M129" s="77">
        <f t="shared" si="60"/>
        <v>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Dec</v>
      </c>
      <c r="C130" s="73">
        <f t="shared" si="55"/>
        <v>2</v>
      </c>
      <c r="D130" s="74">
        <f t="shared" si="38"/>
        <v>17</v>
      </c>
      <c r="E130" s="75">
        <f t="shared" si="39"/>
        <v>1</v>
      </c>
      <c r="F130" s="79"/>
      <c r="G130" s="82"/>
      <c r="H130" s="68" t="str">
        <f t="shared" si="56"/>
        <v>Hyprev6_20201202_17_00</v>
      </c>
      <c r="I130" s="69">
        <f t="shared" si="60"/>
        <v>1</v>
      </c>
      <c r="J130" s="76" t="str">
        <f t="shared" si="60"/>
        <v>Hypericum</v>
      </c>
      <c r="K130" s="76" t="str">
        <f t="shared" si="60"/>
        <v>revolutum</v>
      </c>
      <c r="L130" s="77">
        <f t="shared" si="60"/>
        <v>6</v>
      </c>
      <c r="M130" s="77">
        <f t="shared" si="60"/>
        <v>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Dec</v>
      </c>
      <c r="C131" s="73">
        <f t="shared" si="55"/>
        <v>2</v>
      </c>
      <c r="D131" s="74">
        <f t="shared" si="38"/>
        <v>17</v>
      </c>
      <c r="E131" s="75">
        <f t="shared" si="39"/>
        <v>2</v>
      </c>
      <c r="F131" s="79"/>
      <c r="G131" s="82"/>
      <c r="H131" s="68" t="str">
        <f t="shared" si="56"/>
        <v>Hyprev6_20201202_17_00</v>
      </c>
      <c r="I131" s="69">
        <f t="shared" si="60"/>
        <v>1</v>
      </c>
      <c r="J131" s="76" t="str">
        <f t="shared" si="60"/>
        <v>Hypericum</v>
      </c>
      <c r="K131" s="76" t="str">
        <f t="shared" si="60"/>
        <v>revolutum</v>
      </c>
      <c r="L131" s="77">
        <f t="shared" si="60"/>
        <v>6</v>
      </c>
      <c r="M131" s="77">
        <f t="shared" si="60"/>
        <v>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Dec</v>
      </c>
      <c r="C132" s="73">
        <f t="shared" si="55"/>
        <v>2</v>
      </c>
      <c r="D132" s="74">
        <f t="shared" ref="D132:D195" si="68">IF(IF(E131=59,D131+1,D131)=24,0,IF(E131=59,D131+1,D131))</f>
        <v>17</v>
      </c>
      <c r="E132" s="75">
        <f t="shared" ref="E132:E195" si="69">IF(E131&lt;59,E131+1,0)</f>
        <v>3</v>
      </c>
      <c r="F132" s="79"/>
      <c r="G132" s="82"/>
      <c r="H132" s="68" t="str">
        <f t="shared" si="56"/>
        <v>Hyprev6_20201202_17_00</v>
      </c>
      <c r="I132" s="69">
        <f t="shared" si="60"/>
        <v>1</v>
      </c>
      <c r="J132" s="76" t="str">
        <f t="shared" si="60"/>
        <v>Hypericum</v>
      </c>
      <c r="K132" s="76" t="str">
        <f t="shared" si="60"/>
        <v>revolutum</v>
      </c>
      <c r="L132" s="77">
        <f t="shared" si="60"/>
        <v>6</v>
      </c>
      <c r="M132" s="77">
        <f t="shared" si="60"/>
        <v>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Dec</v>
      </c>
      <c r="C133" s="73">
        <f t="shared" ref="C133:C196" si="85">IF(AND(D133=0, E133=0), IF(TEXT(C132,"dd")=TEXT(EOMONTH(DATE(A132,MONTH(DATEVALUE(B132&amp;"1")),C132),0), "dd"), 1, C132+1), C132)</f>
        <v>2</v>
      </c>
      <c r="D133" s="74">
        <f t="shared" si="68"/>
        <v>17</v>
      </c>
      <c r="E133" s="75">
        <f t="shared" si="69"/>
        <v>4</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Hyprev6_20201202_17_00</v>
      </c>
      <c r="I133" s="69">
        <f t="shared" ref="I133:N148" si="87">I132</f>
        <v>1</v>
      </c>
      <c r="J133" s="76" t="str">
        <f t="shared" si="87"/>
        <v>Hypericum</v>
      </c>
      <c r="K133" s="76" t="str">
        <f t="shared" si="87"/>
        <v>revolutum</v>
      </c>
      <c r="L133" s="77">
        <f t="shared" si="87"/>
        <v>6</v>
      </c>
      <c r="M133" s="77">
        <f t="shared" si="87"/>
        <v>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Dec</v>
      </c>
      <c r="C134" s="73">
        <f t="shared" si="85"/>
        <v>2</v>
      </c>
      <c r="D134" s="74">
        <f t="shared" si="68"/>
        <v>17</v>
      </c>
      <c r="E134" s="75">
        <f t="shared" si="69"/>
        <v>5</v>
      </c>
      <c r="F134" s="79"/>
      <c r="G134" s="82"/>
      <c r="H134" s="68" t="str">
        <f t="shared" si="86"/>
        <v>Hyprev6_20201202_17_00</v>
      </c>
      <c r="I134" s="69">
        <f t="shared" si="87"/>
        <v>1</v>
      </c>
      <c r="J134" s="76" t="str">
        <f t="shared" si="87"/>
        <v>Hypericum</v>
      </c>
      <c r="K134" s="76" t="str">
        <f t="shared" si="87"/>
        <v>revolutum</v>
      </c>
      <c r="L134" s="77">
        <f t="shared" si="87"/>
        <v>6</v>
      </c>
      <c r="M134" s="77">
        <f t="shared" si="87"/>
        <v>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Dec</v>
      </c>
      <c r="C135" s="73">
        <f t="shared" si="85"/>
        <v>2</v>
      </c>
      <c r="D135" s="74">
        <f t="shared" si="68"/>
        <v>17</v>
      </c>
      <c r="E135" s="75">
        <f t="shared" si="69"/>
        <v>6</v>
      </c>
      <c r="F135" s="79"/>
      <c r="G135" s="82"/>
      <c r="H135" s="68" t="str">
        <f t="shared" si="86"/>
        <v>Hyprev6_20201202_17_00</v>
      </c>
      <c r="I135" s="69">
        <f t="shared" si="87"/>
        <v>1</v>
      </c>
      <c r="J135" s="76" t="str">
        <f t="shared" si="87"/>
        <v>Hypericum</v>
      </c>
      <c r="K135" s="76" t="str">
        <f t="shared" si="87"/>
        <v>revolutum</v>
      </c>
      <c r="L135" s="77">
        <f t="shared" si="87"/>
        <v>6</v>
      </c>
      <c r="M135" s="77">
        <f t="shared" si="87"/>
        <v>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Dec</v>
      </c>
      <c r="C136" s="73">
        <f t="shared" si="85"/>
        <v>2</v>
      </c>
      <c r="D136" s="74">
        <f t="shared" si="68"/>
        <v>17</v>
      </c>
      <c r="E136" s="75">
        <f t="shared" si="69"/>
        <v>7</v>
      </c>
      <c r="F136" s="79"/>
      <c r="G136" s="82"/>
      <c r="H136" s="68" t="str">
        <f t="shared" si="86"/>
        <v>Hyprev6_20201202_17_00</v>
      </c>
      <c r="I136" s="69">
        <f t="shared" si="87"/>
        <v>1</v>
      </c>
      <c r="J136" s="76" t="str">
        <f t="shared" si="87"/>
        <v>Hypericum</v>
      </c>
      <c r="K136" s="76" t="str">
        <f t="shared" si="87"/>
        <v>revolutum</v>
      </c>
      <c r="L136" s="77">
        <f t="shared" si="87"/>
        <v>6</v>
      </c>
      <c r="M136" s="77">
        <f t="shared" si="87"/>
        <v>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Dec</v>
      </c>
      <c r="C137" s="73">
        <f t="shared" si="85"/>
        <v>2</v>
      </c>
      <c r="D137" s="74">
        <f t="shared" si="68"/>
        <v>17</v>
      </c>
      <c r="E137" s="75">
        <f t="shared" si="69"/>
        <v>8</v>
      </c>
      <c r="F137" s="79"/>
      <c r="G137" s="82"/>
      <c r="H137" s="68" t="str">
        <f t="shared" si="86"/>
        <v>Hyprev6_20201202_17_00</v>
      </c>
      <c r="I137" s="69">
        <f t="shared" si="87"/>
        <v>1</v>
      </c>
      <c r="J137" s="76" t="str">
        <f t="shared" si="87"/>
        <v>Hypericum</v>
      </c>
      <c r="K137" s="76" t="str">
        <f t="shared" si="87"/>
        <v>revolutum</v>
      </c>
      <c r="L137" s="77">
        <f t="shared" si="87"/>
        <v>6</v>
      </c>
      <c r="M137" s="77">
        <f t="shared" si="87"/>
        <v>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Dec</v>
      </c>
      <c r="C138" s="73">
        <f t="shared" si="85"/>
        <v>2</v>
      </c>
      <c r="D138" s="74">
        <f t="shared" si="68"/>
        <v>17</v>
      </c>
      <c r="E138" s="75">
        <f t="shared" si="69"/>
        <v>9</v>
      </c>
      <c r="F138" s="79"/>
      <c r="G138" s="82"/>
      <c r="H138" s="68" t="str">
        <f t="shared" si="86"/>
        <v>Hyprev6_20201202_17_00</v>
      </c>
      <c r="I138" s="69">
        <f t="shared" si="87"/>
        <v>1</v>
      </c>
      <c r="J138" s="76" t="str">
        <f t="shared" si="87"/>
        <v>Hypericum</v>
      </c>
      <c r="K138" s="76" t="str">
        <f t="shared" si="87"/>
        <v>revolutum</v>
      </c>
      <c r="L138" s="77">
        <f t="shared" si="87"/>
        <v>6</v>
      </c>
      <c r="M138" s="77">
        <f t="shared" si="87"/>
        <v>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Dec</v>
      </c>
      <c r="C139" s="73">
        <f t="shared" si="85"/>
        <v>2</v>
      </c>
      <c r="D139" s="74">
        <f t="shared" si="68"/>
        <v>17</v>
      </c>
      <c r="E139" s="75">
        <f t="shared" si="69"/>
        <v>10</v>
      </c>
      <c r="F139" s="79"/>
      <c r="G139" s="82"/>
      <c r="H139" s="68" t="str">
        <f t="shared" si="86"/>
        <v>Hyprev6_20201202_17_00</v>
      </c>
      <c r="I139" s="69">
        <f t="shared" si="87"/>
        <v>1</v>
      </c>
      <c r="J139" s="76" t="str">
        <f t="shared" si="87"/>
        <v>Hypericum</v>
      </c>
      <c r="K139" s="76" t="str">
        <f t="shared" si="87"/>
        <v>revolutum</v>
      </c>
      <c r="L139" s="77">
        <f t="shared" si="87"/>
        <v>6</v>
      </c>
      <c r="M139" s="77">
        <f t="shared" si="87"/>
        <v>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Dec</v>
      </c>
      <c r="C140" s="73">
        <f t="shared" si="85"/>
        <v>2</v>
      </c>
      <c r="D140" s="74">
        <f t="shared" si="68"/>
        <v>17</v>
      </c>
      <c r="E140" s="75">
        <f t="shared" si="69"/>
        <v>11</v>
      </c>
      <c r="F140" s="79"/>
      <c r="G140" s="82"/>
      <c r="H140" s="68" t="str">
        <f t="shared" si="86"/>
        <v>Hyprev6_20201202_17_00</v>
      </c>
      <c r="I140" s="69">
        <f t="shared" si="87"/>
        <v>1</v>
      </c>
      <c r="J140" s="76" t="str">
        <f t="shared" si="87"/>
        <v>Hypericum</v>
      </c>
      <c r="K140" s="76" t="str">
        <f t="shared" si="87"/>
        <v>revolutum</v>
      </c>
      <c r="L140" s="77">
        <f t="shared" si="87"/>
        <v>6</v>
      </c>
      <c r="M140" s="77">
        <f t="shared" si="87"/>
        <v>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Dec</v>
      </c>
      <c r="C141" s="73">
        <f t="shared" si="85"/>
        <v>2</v>
      </c>
      <c r="D141" s="74">
        <f t="shared" si="68"/>
        <v>17</v>
      </c>
      <c r="E141" s="75">
        <f t="shared" si="69"/>
        <v>12</v>
      </c>
      <c r="F141" s="79"/>
      <c r="G141" s="82"/>
      <c r="H141" s="68" t="str">
        <f t="shared" si="86"/>
        <v>Hyprev6_20201202_17_00</v>
      </c>
      <c r="I141" s="69">
        <f t="shared" si="87"/>
        <v>1</v>
      </c>
      <c r="J141" s="76" t="str">
        <f t="shared" si="87"/>
        <v>Hypericum</v>
      </c>
      <c r="K141" s="76" t="str">
        <f t="shared" si="87"/>
        <v>revolutum</v>
      </c>
      <c r="L141" s="77">
        <f t="shared" si="87"/>
        <v>6</v>
      </c>
      <c r="M141" s="77">
        <f t="shared" si="87"/>
        <v>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Dec</v>
      </c>
      <c r="C142" s="73">
        <f t="shared" si="85"/>
        <v>2</v>
      </c>
      <c r="D142" s="74">
        <f t="shared" si="68"/>
        <v>17</v>
      </c>
      <c r="E142" s="75">
        <f t="shared" si="69"/>
        <v>13</v>
      </c>
      <c r="F142" s="79"/>
      <c r="G142" s="82"/>
      <c r="H142" s="68" t="str">
        <f t="shared" si="86"/>
        <v>Hyprev6_20201202_17_00</v>
      </c>
      <c r="I142" s="69">
        <f t="shared" si="87"/>
        <v>1</v>
      </c>
      <c r="J142" s="76" t="str">
        <f t="shared" si="87"/>
        <v>Hypericum</v>
      </c>
      <c r="K142" s="76" t="str">
        <f t="shared" si="87"/>
        <v>revolutum</v>
      </c>
      <c r="L142" s="77">
        <f t="shared" si="87"/>
        <v>6</v>
      </c>
      <c r="M142" s="77">
        <f t="shared" si="87"/>
        <v>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Dec</v>
      </c>
      <c r="C143" s="73">
        <f t="shared" si="85"/>
        <v>2</v>
      </c>
      <c r="D143" s="74">
        <f t="shared" si="68"/>
        <v>17</v>
      </c>
      <c r="E143" s="75">
        <f t="shared" si="69"/>
        <v>14</v>
      </c>
      <c r="F143" s="79"/>
      <c r="G143" s="82"/>
      <c r="H143" s="68" t="str">
        <f t="shared" si="86"/>
        <v>Hyprev6_20201202_17_00</v>
      </c>
      <c r="I143" s="69">
        <f t="shared" si="87"/>
        <v>1</v>
      </c>
      <c r="J143" s="76" t="str">
        <f t="shared" si="87"/>
        <v>Hypericum</v>
      </c>
      <c r="K143" s="76" t="str">
        <f t="shared" si="87"/>
        <v>revolutum</v>
      </c>
      <c r="L143" s="77">
        <f t="shared" si="87"/>
        <v>6</v>
      </c>
      <c r="M143" s="77">
        <f t="shared" si="87"/>
        <v>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Dec</v>
      </c>
      <c r="C144" s="73">
        <f t="shared" si="85"/>
        <v>2</v>
      </c>
      <c r="D144" s="74">
        <f t="shared" si="68"/>
        <v>17</v>
      </c>
      <c r="E144" s="75">
        <f t="shared" si="69"/>
        <v>15</v>
      </c>
      <c r="F144" s="79"/>
      <c r="G144" s="82"/>
      <c r="H144" s="68" t="str">
        <f t="shared" si="86"/>
        <v>Hyprev6_20201202_17_00</v>
      </c>
      <c r="I144" s="69">
        <f t="shared" si="87"/>
        <v>1</v>
      </c>
      <c r="J144" s="76" t="str">
        <f t="shared" si="87"/>
        <v>Hypericum</v>
      </c>
      <c r="K144" s="76" t="str">
        <f t="shared" si="87"/>
        <v>revolutum</v>
      </c>
      <c r="L144" s="77">
        <f t="shared" si="87"/>
        <v>6</v>
      </c>
      <c r="M144" s="77">
        <f t="shared" si="87"/>
        <v>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Dec</v>
      </c>
      <c r="C145" s="73">
        <f t="shared" si="85"/>
        <v>2</v>
      </c>
      <c r="D145" s="74">
        <f t="shared" si="68"/>
        <v>17</v>
      </c>
      <c r="E145" s="75">
        <f t="shared" si="69"/>
        <v>16</v>
      </c>
      <c r="F145" s="79"/>
      <c r="G145" s="82"/>
      <c r="H145" s="68" t="str">
        <f t="shared" si="86"/>
        <v>Hyprev6_20201202_17_00</v>
      </c>
      <c r="I145" s="69">
        <f t="shared" si="87"/>
        <v>1</v>
      </c>
      <c r="J145" s="76" t="str">
        <f t="shared" si="87"/>
        <v>Hypericum</v>
      </c>
      <c r="K145" s="76" t="str">
        <f t="shared" si="87"/>
        <v>revolutum</v>
      </c>
      <c r="L145" s="77">
        <f t="shared" si="87"/>
        <v>6</v>
      </c>
      <c r="M145" s="77">
        <f t="shared" si="87"/>
        <v>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Dec</v>
      </c>
      <c r="C146" s="73">
        <f t="shared" si="85"/>
        <v>2</v>
      </c>
      <c r="D146" s="74">
        <f t="shared" si="68"/>
        <v>17</v>
      </c>
      <c r="E146" s="75">
        <f t="shared" si="69"/>
        <v>17</v>
      </c>
      <c r="F146" s="79"/>
      <c r="G146" s="82"/>
      <c r="H146" s="68" t="str">
        <f t="shared" si="86"/>
        <v>Hyprev6_20201202_17_00</v>
      </c>
      <c r="I146" s="69">
        <f t="shared" si="87"/>
        <v>1</v>
      </c>
      <c r="J146" s="76" t="str">
        <f t="shared" si="87"/>
        <v>Hypericum</v>
      </c>
      <c r="K146" s="76" t="str">
        <f t="shared" si="87"/>
        <v>revolutum</v>
      </c>
      <c r="L146" s="77">
        <f t="shared" si="87"/>
        <v>6</v>
      </c>
      <c r="M146" s="77">
        <f t="shared" si="87"/>
        <v>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Dec</v>
      </c>
      <c r="C147" s="73">
        <f t="shared" si="85"/>
        <v>2</v>
      </c>
      <c r="D147" s="74">
        <f t="shared" si="68"/>
        <v>17</v>
      </c>
      <c r="E147" s="75">
        <f t="shared" si="69"/>
        <v>18</v>
      </c>
      <c r="F147" s="79"/>
      <c r="G147" s="82"/>
      <c r="H147" s="68" t="str">
        <f t="shared" si="86"/>
        <v>Hyprev6_20201202_17_00</v>
      </c>
      <c r="I147" s="69">
        <f t="shared" si="87"/>
        <v>1</v>
      </c>
      <c r="J147" s="76" t="str">
        <f t="shared" si="87"/>
        <v>Hypericum</v>
      </c>
      <c r="K147" s="76" t="str">
        <f t="shared" si="87"/>
        <v>revolutum</v>
      </c>
      <c r="L147" s="77">
        <f t="shared" si="87"/>
        <v>6</v>
      </c>
      <c r="M147" s="77">
        <f t="shared" si="87"/>
        <v>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Dec</v>
      </c>
      <c r="C148" s="73">
        <f t="shared" si="85"/>
        <v>2</v>
      </c>
      <c r="D148" s="74">
        <f t="shared" si="68"/>
        <v>17</v>
      </c>
      <c r="E148" s="75">
        <f t="shared" si="69"/>
        <v>19</v>
      </c>
      <c r="F148" s="79"/>
      <c r="G148" s="82"/>
      <c r="H148" s="68" t="str">
        <f t="shared" si="86"/>
        <v>Hyprev6_20201202_17_00</v>
      </c>
      <c r="I148" s="69">
        <f t="shared" si="87"/>
        <v>1</v>
      </c>
      <c r="J148" s="76" t="str">
        <f t="shared" si="87"/>
        <v>Hypericum</v>
      </c>
      <c r="K148" s="76" t="str">
        <f t="shared" si="87"/>
        <v>revolutum</v>
      </c>
      <c r="L148" s="77">
        <f t="shared" si="87"/>
        <v>6</v>
      </c>
      <c r="M148" s="77">
        <f t="shared" si="87"/>
        <v>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Dec</v>
      </c>
      <c r="C149" s="73">
        <f t="shared" si="85"/>
        <v>2</v>
      </c>
      <c r="D149" s="74">
        <f t="shared" si="68"/>
        <v>17</v>
      </c>
      <c r="E149" s="75">
        <f t="shared" si="69"/>
        <v>20</v>
      </c>
      <c r="F149" s="79"/>
      <c r="G149" s="82"/>
      <c r="H149" s="68" t="str">
        <f t="shared" si="86"/>
        <v>Hyprev6_20201202_17_00</v>
      </c>
      <c r="I149" s="69">
        <f t="shared" ref="I149:N164" si="88">I148</f>
        <v>1</v>
      </c>
      <c r="J149" s="76" t="str">
        <f t="shared" si="88"/>
        <v>Hypericum</v>
      </c>
      <c r="K149" s="76" t="str">
        <f t="shared" si="88"/>
        <v>revolutum</v>
      </c>
      <c r="L149" s="77">
        <f t="shared" si="88"/>
        <v>6</v>
      </c>
      <c r="M149" s="77">
        <f t="shared" si="88"/>
        <v>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Dec</v>
      </c>
      <c r="C150" s="73">
        <f t="shared" si="85"/>
        <v>2</v>
      </c>
      <c r="D150" s="74">
        <f t="shared" si="68"/>
        <v>17</v>
      </c>
      <c r="E150" s="75">
        <f t="shared" si="69"/>
        <v>21</v>
      </c>
      <c r="F150" s="79"/>
      <c r="G150" s="82"/>
      <c r="H150" s="68" t="str">
        <f t="shared" si="86"/>
        <v>Hyprev6_20201202_17_00</v>
      </c>
      <c r="I150" s="69">
        <f t="shared" si="88"/>
        <v>1</v>
      </c>
      <c r="J150" s="76" t="str">
        <f t="shared" si="88"/>
        <v>Hypericum</v>
      </c>
      <c r="K150" s="76" t="str">
        <f t="shared" si="88"/>
        <v>revolutum</v>
      </c>
      <c r="L150" s="77">
        <f t="shared" si="88"/>
        <v>6</v>
      </c>
      <c r="M150" s="77">
        <f t="shared" si="88"/>
        <v>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Dec</v>
      </c>
      <c r="C151" s="73">
        <f t="shared" si="85"/>
        <v>2</v>
      </c>
      <c r="D151" s="74">
        <f t="shared" si="68"/>
        <v>17</v>
      </c>
      <c r="E151" s="75">
        <f t="shared" si="69"/>
        <v>22</v>
      </c>
      <c r="F151" s="79"/>
      <c r="G151" s="82"/>
      <c r="H151" s="68" t="str">
        <f t="shared" si="86"/>
        <v>Hyprev6_20201202_17_00</v>
      </c>
      <c r="I151" s="69">
        <f t="shared" si="88"/>
        <v>1</v>
      </c>
      <c r="J151" s="76" t="str">
        <f t="shared" si="88"/>
        <v>Hypericum</v>
      </c>
      <c r="K151" s="76" t="str">
        <f t="shared" si="88"/>
        <v>revolutum</v>
      </c>
      <c r="L151" s="77">
        <f t="shared" si="88"/>
        <v>6</v>
      </c>
      <c r="M151" s="77">
        <f t="shared" si="88"/>
        <v>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Dec</v>
      </c>
      <c r="C152" s="73">
        <f t="shared" si="85"/>
        <v>2</v>
      </c>
      <c r="D152" s="74">
        <f t="shared" si="68"/>
        <v>17</v>
      </c>
      <c r="E152" s="75">
        <f t="shared" si="69"/>
        <v>23</v>
      </c>
      <c r="F152" s="79"/>
      <c r="G152" s="82"/>
      <c r="H152" s="68" t="str">
        <f t="shared" si="86"/>
        <v>Hyprev6_20201202_17_00</v>
      </c>
      <c r="I152" s="69">
        <f t="shared" si="88"/>
        <v>1</v>
      </c>
      <c r="J152" s="76" t="str">
        <f t="shared" si="88"/>
        <v>Hypericum</v>
      </c>
      <c r="K152" s="76" t="str">
        <f t="shared" si="88"/>
        <v>revolutum</v>
      </c>
      <c r="L152" s="77">
        <f t="shared" si="88"/>
        <v>6</v>
      </c>
      <c r="M152" s="77">
        <f t="shared" si="88"/>
        <v>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Dec</v>
      </c>
      <c r="C153" s="73">
        <f t="shared" si="85"/>
        <v>2</v>
      </c>
      <c r="D153" s="74">
        <f t="shared" si="68"/>
        <v>17</v>
      </c>
      <c r="E153" s="75">
        <f t="shared" si="69"/>
        <v>24</v>
      </c>
      <c r="F153" s="79"/>
      <c r="G153" s="82"/>
      <c r="H153" s="68" t="str">
        <f t="shared" si="86"/>
        <v>Hyprev6_20201202_17_00</v>
      </c>
      <c r="I153" s="69">
        <f t="shared" si="88"/>
        <v>1</v>
      </c>
      <c r="J153" s="76" t="str">
        <f t="shared" si="88"/>
        <v>Hypericum</v>
      </c>
      <c r="K153" s="76" t="str">
        <f t="shared" si="88"/>
        <v>revolutum</v>
      </c>
      <c r="L153" s="77">
        <f t="shared" si="88"/>
        <v>6</v>
      </c>
      <c r="M153" s="77">
        <f t="shared" si="88"/>
        <v>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Dec</v>
      </c>
      <c r="C154" s="73">
        <f t="shared" si="85"/>
        <v>2</v>
      </c>
      <c r="D154" s="74">
        <f t="shared" si="68"/>
        <v>17</v>
      </c>
      <c r="E154" s="75">
        <f t="shared" si="69"/>
        <v>25</v>
      </c>
      <c r="F154" s="79"/>
      <c r="G154" s="82"/>
      <c r="H154" s="68" t="str">
        <f t="shared" si="86"/>
        <v>Hyprev6_20201202_17_00</v>
      </c>
      <c r="I154" s="69">
        <f t="shared" si="88"/>
        <v>1</v>
      </c>
      <c r="J154" s="76" t="str">
        <f t="shared" si="88"/>
        <v>Hypericum</v>
      </c>
      <c r="K154" s="76" t="str">
        <f t="shared" si="88"/>
        <v>revolutum</v>
      </c>
      <c r="L154" s="77">
        <f t="shared" si="88"/>
        <v>6</v>
      </c>
      <c r="M154" s="77">
        <f t="shared" si="88"/>
        <v>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Dec</v>
      </c>
      <c r="C155" s="73">
        <f t="shared" si="85"/>
        <v>2</v>
      </c>
      <c r="D155" s="74">
        <f t="shared" si="68"/>
        <v>17</v>
      </c>
      <c r="E155" s="75">
        <f t="shared" si="69"/>
        <v>26</v>
      </c>
      <c r="F155" s="79"/>
      <c r="G155" s="82"/>
      <c r="H155" s="68" t="str">
        <f t="shared" si="86"/>
        <v>Hyprev6_20201202_17_00</v>
      </c>
      <c r="I155" s="69">
        <f t="shared" si="88"/>
        <v>1</v>
      </c>
      <c r="J155" s="76" t="str">
        <f t="shared" si="88"/>
        <v>Hypericum</v>
      </c>
      <c r="K155" s="76" t="str">
        <f t="shared" si="88"/>
        <v>revolutum</v>
      </c>
      <c r="L155" s="77">
        <f t="shared" si="88"/>
        <v>6</v>
      </c>
      <c r="M155" s="77">
        <f t="shared" si="88"/>
        <v>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Dec</v>
      </c>
      <c r="C156" s="73">
        <f t="shared" si="85"/>
        <v>2</v>
      </c>
      <c r="D156" s="74">
        <f t="shared" si="68"/>
        <v>17</v>
      </c>
      <c r="E156" s="75">
        <f t="shared" si="69"/>
        <v>27</v>
      </c>
      <c r="F156" s="79"/>
      <c r="G156" s="82"/>
      <c r="H156" s="68" t="str">
        <f t="shared" si="86"/>
        <v>Hyprev6_20201202_17_00</v>
      </c>
      <c r="I156" s="69">
        <f t="shared" si="88"/>
        <v>1</v>
      </c>
      <c r="J156" s="76" t="str">
        <f t="shared" si="88"/>
        <v>Hypericum</v>
      </c>
      <c r="K156" s="76" t="str">
        <f t="shared" si="88"/>
        <v>revolutum</v>
      </c>
      <c r="L156" s="77">
        <f t="shared" si="88"/>
        <v>6</v>
      </c>
      <c r="M156" s="77">
        <f t="shared" si="88"/>
        <v>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Dec</v>
      </c>
      <c r="C157" s="73">
        <f t="shared" si="85"/>
        <v>2</v>
      </c>
      <c r="D157" s="74">
        <f t="shared" si="68"/>
        <v>17</v>
      </c>
      <c r="E157" s="75">
        <f t="shared" si="69"/>
        <v>28</v>
      </c>
      <c r="F157" s="79"/>
      <c r="G157" s="82"/>
      <c r="H157" s="68" t="str">
        <f t="shared" si="86"/>
        <v>Hyprev6_20201202_17_00</v>
      </c>
      <c r="I157" s="69">
        <f t="shared" si="88"/>
        <v>1</v>
      </c>
      <c r="J157" s="76" t="str">
        <f t="shared" si="88"/>
        <v>Hypericum</v>
      </c>
      <c r="K157" s="76" t="str">
        <f t="shared" si="88"/>
        <v>revolutum</v>
      </c>
      <c r="L157" s="77">
        <f t="shared" si="88"/>
        <v>6</v>
      </c>
      <c r="M157" s="77">
        <f t="shared" si="88"/>
        <v>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Dec</v>
      </c>
      <c r="C158" s="73">
        <f t="shared" si="85"/>
        <v>2</v>
      </c>
      <c r="D158" s="74">
        <f t="shared" si="68"/>
        <v>17</v>
      </c>
      <c r="E158" s="75">
        <f t="shared" si="69"/>
        <v>29</v>
      </c>
      <c r="F158" s="79"/>
      <c r="G158" s="82"/>
      <c r="H158" s="68" t="str">
        <f t="shared" si="86"/>
        <v>Hyprev6_20201202_17_00</v>
      </c>
      <c r="I158" s="69">
        <f t="shared" si="88"/>
        <v>1</v>
      </c>
      <c r="J158" s="76" t="str">
        <f t="shared" si="88"/>
        <v>Hypericum</v>
      </c>
      <c r="K158" s="76" t="str">
        <f t="shared" si="88"/>
        <v>revolutum</v>
      </c>
      <c r="L158" s="77">
        <f t="shared" si="88"/>
        <v>6</v>
      </c>
      <c r="M158" s="77">
        <f t="shared" si="88"/>
        <v>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Dec</v>
      </c>
      <c r="C159" s="73">
        <f t="shared" si="85"/>
        <v>2</v>
      </c>
      <c r="D159" s="74">
        <f t="shared" si="68"/>
        <v>17</v>
      </c>
      <c r="E159" s="75">
        <f t="shared" si="69"/>
        <v>30</v>
      </c>
      <c r="F159" s="79"/>
      <c r="G159" s="82"/>
      <c r="H159" s="68" t="str">
        <f t="shared" si="86"/>
        <v>Hyprev6_20201202_17_00</v>
      </c>
      <c r="I159" s="69">
        <f t="shared" si="88"/>
        <v>1</v>
      </c>
      <c r="J159" s="76" t="str">
        <f t="shared" si="88"/>
        <v>Hypericum</v>
      </c>
      <c r="K159" s="76" t="str">
        <f t="shared" si="88"/>
        <v>revolutum</v>
      </c>
      <c r="L159" s="77">
        <f t="shared" si="88"/>
        <v>6</v>
      </c>
      <c r="M159" s="77">
        <f t="shared" si="88"/>
        <v>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Dec</v>
      </c>
      <c r="C160" s="73">
        <f t="shared" si="85"/>
        <v>2</v>
      </c>
      <c r="D160" s="74">
        <f t="shared" si="68"/>
        <v>17</v>
      </c>
      <c r="E160" s="75">
        <f t="shared" si="69"/>
        <v>31</v>
      </c>
      <c r="F160" s="79"/>
      <c r="G160" s="82"/>
      <c r="H160" s="68" t="str">
        <f t="shared" si="86"/>
        <v>Hyprev6_20201202_17_00</v>
      </c>
      <c r="I160" s="69">
        <f t="shared" si="88"/>
        <v>1</v>
      </c>
      <c r="J160" s="76" t="str">
        <f t="shared" si="88"/>
        <v>Hypericum</v>
      </c>
      <c r="K160" s="76" t="str">
        <f t="shared" si="88"/>
        <v>revolutum</v>
      </c>
      <c r="L160" s="77">
        <f t="shared" si="88"/>
        <v>6</v>
      </c>
      <c r="M160" s="77">
        <f t="shared" si="88"/>
        <v>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Dec</v>
      </c>
      <c r="C161" s="73">
        <f t="shared" si="85"/>
        <v>2</v>
      </c>
      <c r="D161" s="74">
        <f t="shared" si="68"/>
        <v>17</v>
      </c>
      <c r="E161" s="75">
        <f t="shared" si="69"/>
        <v>32</v>
      </c>
      <c r="F161" s="79"/>
      <c r="G161" s="82"/>
      <c r="H161" s="68" t="str">
        <f t="shared" si="86"/>
        <v>Hyprev6_20201202_17_00</v>
      </c>
      <c r="I161" s="69">
        <f t="shared" si="88"/>
        <v>1</v>
      </c>
      <c r="J161" s="76" t="str">
        <f t="shared" si="88"/>
        <v>Hypericum</v>
      </c>
      <c r="K161" s="76" t="str">
        <f t="shared" si="88"/>
        <v>revolutum</v>
      </c>
      <c r="L161" s="77">
        <f t="shared" si="88"/>
        <v>6</v>
      </c>
      <c r="M161" s="77">
        <f t="shared" si="88"/>
        <v>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Dec</v>
      </c>
      <c r="C162" s="73">
        <f t="shared" si="85"/>
        <v>2</v>
      </c>
      <c r="D162" s="74">
        <f t="shared" si="68"/>
        <v>17</v>
      </c>
      <c r="E162" s="75">
        <f t="shared" si="69"/>
        <v>33</v>
      </c>
      <c r="F162" s="79"/>
      <c r="G162" s="82"/>
      <c r="H162" s="68" t="str">
        <f t="shared" si="86"/>
        <v>Hyprev6_20201202_17_00</v>
      </c>
      <c r="I162" s="69">
        <f t="shared" si="88"/>
        <v>1</v>
      </c>
      <c r="J162" s="76" t="str">
        <f t="shared" si="88"/>
        <v>Hypericum</v>
      </c>
      <c r="K162" s="76" t="str">
        <f t="shared" si="88"/>
        <v>revolutum</v>
      </c>
      <c r="L162" s="77">
        <f t="shared" si="88"/>
        <v>6</v>
      </c>
      <c r="M162" s="77">
        <f t="shared" si="88"/>
        <v>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Dec</v>
      </c>
      <c r="C163" s="73">
        <f t="shared" si="85"/>
        <v>2</v>
      </c>
      <c r="D163" s="74">
        <f t="shared" si="68"/>
        <v>17</v>
      </c>
      <c r="E163" s="75">
        <f t="shared" si="69"/>
        <v>34</v>
      </c>
      <c r="F163" s="79"/>
      <c r="G163" s="82"/>
      <c r="H163" s="68" t="str">
        <f t="shared" si="86"/>
        <v>Hyprev6_20201202_17_00</v>
      </c>
      <c r="I163" s="69">
        <f t="shared" si="88"/>
        <v>1</v>
      </c>
      <c r="J163" s="76" t="str">
        <f t="shared" si="88"/>
        <v>Hypericum</v>
      </c>
      <c r="K163" s="76" t="str">
        <f t="shared" si="88"/>
        <v>revolutum</v>
      </c>
      <c r="L163" s="77">
        <f t="shared" si="88"/>
        <v>6</v>
      </c>
      <c r="M163" s="77">
        <f t="shared" si="88"/>
        <v>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Dec</v>
      </c>
      <c r="C164" s="73">
        <f t="shared" si="85"/>
        <v>2</v>
      </c>
      <c r="D164" s="74">
        <f t="shared" si="68"/>
        <v>17</v>
      </c>
      <c r="E164" s="75">
        <f t="shared" si="69"/>
        <v>35</v>
      </c>
      <c r="F164" s="79"/>
      <c r="G164" s="82"/>
      <c r="H164" s="68" t="str">
        <f t="shared" si="86"/>
        <v>Hyprev6_20201202_17_00</v>
      </c>
      <c r="I164" s="69">
        <f t="shared" si="88"/>
        <v>1</v>
      </c>
      <c r="J164" s="76" t="str">
        <f t="shared" si="88"/>
        <v>Hypericum</v>
      </c>
      <c r="K164" s="76" t="str">
        <f t="shared" si="88"/>
        <v>revolutum</v>
      </c>
      <c r="L164" s="77">
        <f t="shared" si="88"/>
        <v>6</v>
      </c>
      <c r="M164" s="77">
        <f t="shared" si="88"/>
        <v>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Dec</v>
      </c>
      <c r="C165" s="73">
        <f t="shared" si="85"/>
        <v>2</v>
      </c>
      <c r="D165" s="74">
        <f t="shared" si="68"/>
        <v>17</v>
      </c>
      <c r="E165" s="75">
        <f t="shared" si="69"/>
        <v>36</v>
      </c>
      <c r="F165" s="79"/>
      <c r="G165" s="82"/>
      <c r="H165" s="68" t="str">
        <f t="shared" si="86"/>
        <v>Hyprev6_20201202_17_00</v>
      </c>
      <c r="I165" s="69">
        <f t="shared" ref="I165:N180" si="89">I164</f>
        <v>1</v>
      </c>
      <c r="J165" s="76" t="str">
        <f t="shared" si="89"/>
        <v>Hypericum</v>
      </c>
      <c r="K165" s="76" t="str">
        <f t="shared" si="89"/>
        <v>revolutum</v>
      </c>
      <c r="L165" s="77">
        <f t="shared" si="89"/>
        <v>6</v>
      </c>
      <c r="M165" s="77">
        <f t="shared" si="89"/>
        <v>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Dec</v>
      </c>
      <c r="C166" s="73">
        <f t="shared" si="85"/>
        <v>2</v>
      </c>
      <c r="D166" s="74">
        <f t="shared" si="68"/>
        <v>17</v>
      </c>
      <c r="E166" s="75">
        <f t="shared" si="69"/>
        <v>37</v>
      </c>
      <c r="F166" s="79"/>
      <c r="G166" s="82"/>
      <c r="H166" s="68" t="str">
        <f t="shared" si="86"/>
        <v>Hyprev6_20201202_17_00</v>
      </c>
      <c r="I166" s="69">
        <f t="shared" si="89"/>
        <v>1</v>
      </c>
      <c r="J166" s="76" t="str">
        <f t="shared" si="89"/>
        <v>Hypericum</v>
      </c>
      <c r="K166" s="76" t="str">
        <f t="shared" si="89"/>
        <v>revolutum</v>
      </c>
      <c r="L166" s="77">
        <f t="shared" si="89"/>
        <v>6</v>
      </c>
      <c r="M166" s="77">
        <f t="shared" si="89"/>
        <v>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Dec</v>
      </c>
      <c r="C167" s="73">
        <f t="shared" si="85"/>
        <v>2</v>
      </c>
      <c r="D167" s="74">
        <f t="shared" si="68"/>
        <v>17</v>
      </c>
      <c r="E167" s="75">
        <f t="shared" si="69"/>
        <v>38</v>
      </c>
      <c r="F167" s="79"/>
      <c r="G167" s="82"/>
      <c r="H167" s="68" t="str">
        <f t="shared" si="86"/>
        <v>Hyprev6_20201202_17_00</v>
      </c>
      <c r="I167" s="69">
        <f t="shared" si="89"/>
        <v>1</v>
      </c>
      <c r="J167" s="76" t="str">
        <f t="shared" si="89"/>
        <v>Hypericum</v>
      </c>
      <c r="K167" s="76" t="str">
        <f t="shared" si="89"/>
        <v>revolutum</v>
      </c>
      <c r="L167" s="77">
        <f t="shared" si="89"/>
        <v>6</v>
      </c>
      <c r="M167" s="77">
        <f t="shared" si="89"/>
        <v>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Dec</v>
      </c>
      <c r="C168" s="73">
        <f t="shared" si="85"/>
        <v>2</v>
      </c>
      <c r="D168" s="74">
        <f t="shared" si="68"/>
        <v>17</v>
      </c>
      <c r="E168" s="75">
        <f t="shared" si="69"/>
        <v>39</v>
      </c>
      <c r="F168" s="79"/>
      <c r="G168" s="82"/>
      <c r="H168" s="68" t="str">
        <f t="shared" si="86"/>
        <v>Hyprev6_20201202_17_00</v>
      </c>
      <c r="I168" s="69">
        <f t="shared" si="89"/>
        <v>1</v>
      </c>
      <c r="J168" s="76" t="str">
        <f t="shared" si="89"/>
        <v>Hypericum</v>
      </c>
      <c r="K168" s="76" t="str">
        <f t="shared" si="89"/>
        <v>revolutum</v>
      </c>
      <c r="L168" s="77">
        <f t="shared" si="89"/>
        <v>6</v>
      </c>
      <c r="M168" s="77">
        <f t="shared" si="89"/>
        <v>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Dec</v>
      </c>
      <c r="C169" s="73">
        <f t="shared" si="85"/>
        <v>2</v>
      </c>
      <c r="D169" s="74">
        <f t="shared" si="68"/>
        <v>17</v>
      </c>
      <c r="E169" s="75">
        <f t="shared" si="69"/>
        <v>40</v>
      </c>
      <c r="F169" s="79"/>
      <c r="G169" s="82"/>
      <c r="H169" s="68" t="str">
        <f t="shared" si="86"/>
        <v>Hyprev6_20201202_17_00</v>
      </c>
      <c r="I169" s="69">
        <f t="shared" si="89"/>
        <v>1</v>
      </c>
      <c r="J169" s="76" t="str">
        <f t="shared" si="89"/>
        <v>Hypericum</v>
      </c>
      <c r="K169" s="76" t="str">
        <f t="shared" si="89"/>
        <v>revolutum</v>
      </c>
      <c r="L169" s="77">
        <f t="shared" si="89"/>
        <v>6</v>
      </c>
      <c r="M169" s="77">
        <f t="shared" si="89"/>
        <v>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Dec</v>
      </c>
      <c r="C170" s="73">
        <f t="shared" si="85"/>
        <v>2</v>
      </c>
      <c r="D170" s="74">
        <f t="shared" si="68"/>
        <v>17</v>
      </c>
      <c r="E170" s="75">
        <f t="shared" si="69"/>
        <v>41</v>
      </c>
      <c r="F170" s="79"/>
      <c r="G170" s="82"/>
      <c r="H170" s="68" t="str">
        <f t="shared" si="86"/>
        <v>Hyprev6_20201202_17_00</v>
      </c>
      <c r="I170" s="69">
        <f t="shared" si="89"/>
        <v>1</v>
      </c>
      <c r="J170" s="76" t="str">
        <f t="shared" si="89"/>
        <v>Hypericum</v>
      </c>
      <c r="K170" s="76" t="str">
        <f t="shared" si="89"/>
        <v>revolutum</v>
      </c>
      <c r="L170" s="77">
        <f t="shared" si="89"/>
        <v>6</v>
      </c>
      <c r="M170" s="77">
        <f t="shared" si="89"/>
        <v>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Dec</v>
      </c>
      <c r="C171" s="73">
        <f t="shared" si="85"/>
        <v>2</v>
      </c>
      <c r="D171" s="74">
        <f t="shared" si="68"/>
        <v>17</v>
      </c>
      <c r="E171" s="75">
        <f t="shared" si="69"/>
        <v>42</v>
      </c>
      <c r="F171" s="79"/>
      <c r="G171" s="82"/>
      <c r="H171" s="68" t="str">
        <f t="shared" si="86"/>
        <v>Hyprev6_20201202_17_00</v>
      </c>
      <c r="I171" s="69">
        <f t="shared" si="89"/>
        <v>1</v>
      </c>
      <c r="J171" s="76" t="str">
        <f t="shared" si="89"/>
        <v>Hypericum</v>
      </c>
      <c r="K171" s="76" t="str">
        <f t="shared" si="89"/>
        <v>revolutum</v>
      </c>
      <c r="L171" s="77">
        <f t="shared" si="89"/>
        <v>6</v>
      </c>
      <c r="M171" s="77">
        <f t="shared" si="89"/>
        <v>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Dec</v>
      </c>
      <c r="C172" s="73">
        <f t="shared" si="85"/>
        <v>2</v>
      </c>
      <c r="D172" s="74">
        <f t="shared" si="68"/>
        <v>17</v>
      </c>
      <c r="E172" s="75">
        <f t="shared" si="69"/>
        <v>43</v>
      </c>
      <c r="F172" s="79"/>
      <c r="G172" s="82"/>
      <c r="H172" s="68" t="str">
        <f t="shared" si="86"/>
        <v>Hyprev6_20201202_17_00</v>
      </c>
      <c r="I172" s="69">
        <f t="shared" si="89"/>
        <v>1</v>
      </c>
      <c r="J172" s="76" t="str">
        <f t="shared" si="89"/>
        <v>Hypericum</v>
      </c>
      <c r="K172" s="76" t="str">
        <f t="shared" si="89"/>
        <v>revolutum</v>
      </c>
      <c r="L172" s="77">
        <f t="shared" si="89"/>
        <v>6</v>
      </c>
      <c r="M172" s="77">
        <f t="shared" si="89"/>
        <v>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Dec</v>
      </c>
      <c r="C173" s="73">
        <f t="shared" si="85"/>
        <v>2</v>
      </c>
      <c r="D173" s="74">
        <f t="shared" si="68"/>
        <v>17</v>
      </c>
      <c r="E173" s="75">
        <f t="shared" si="69"/>
        <v>44</v>
      </c>
      <c r="F173" s="79"/>
      <c r="G173" s="82"/>
      <c r="H173" s="68" t="str">
        <f t="shared" si="86"/>
        <v>Hyprev6_20201202_17_00</v>
      </c>
      <c r="I173" s="69">
        <f t="shared" si="89"/>
        <v>1</v>
      </c>
      <c r="J173" s="76" t="str">
        <f t="shared" si="89"/>
        <v>Hypericum</v>
      </c>
      <c r="K173" s="76" t="str">
        <f t="shared" si="89"/>
        <v>revolutum</v>
      </c>
      <c r="L173" s="77">
        <f t="shared" si="89"/>
        <v>6</v>
      </c>
      <c r="M173" s="77">
        <f t="shared" si="89"/>
        <v>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Dec</v>
      </c>
      <c r="C174" s="73">
        <f t="shared" si="85"/>
        <v>2</v>
      </c>
      <c r="D174" s="74">
        <f t="shared" si="68"/>
        <v>17</v>
      </c>
      <c r="E174" s="75">
        <f t="shared" si="69"/>
        <v>45</v>
      </c>
      <c r="F174" s="79"/>
      <c r="G174" s="82"/>
      <c r="H174" s="68" t="str">
        <f t="shared" si="86"/>
        <v>Hyprev6_20201202_17_00</v>
      </c>
      <c r="I174" s="69">
        <f t="shared" si="89"/>
        <v>1</v>
      </c>
      <c r="J174" s="76" t="str">
        <f t="shared" si="89"/>
        <v>Hypericum</v>
      </c>
      <c r="K174" s="76" t="str">
        <f t="shared" si="89"/>
        <v>revolutum</v>
      </c>
      <c r="L174" s="77">
        <f t="shared" si="89"/>
        <v>6</v>
      </c>
      <c r="M174" s="77">
        <f t="shared" si="89"/>
        <v>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Dec</v>
      </c>
      <c r="C175" s="73">
        <f t="shared" si="85"/>
        <v>2</v>
      </c>
      <c r="D175" s="74">
        <f t="shared" si="68"/>
        <v>17</v>
      </c>
      <c r="E175" s="75">
        <f t="shared" si="69"/>
        <v>46</v>
      </c>
      <c r="F175" s="79"/>
      <c r="G175" s="82"/>
      <c r="H175" s="68" t="str">
        <f t="shared" si="86"/>
        <v>Hyprev6_20201202_17_00</v>
      </c>
      <c r="I175" s="69">
        <f t="shared" si="89"/>
        <v>1</v>
      </c>
      <c r="J175" s="76" t="str">
        <f t="shared" si="89"/>
        <v>Hypericum</v>
      </c>
      <c r="K175" s="76" t="str">
        <f t="shared" si="89"/>
        <v>revolutum</v>
      </c>
      <c r="L175" s="77">
        <f t="shared" si="89"/>
        <v>6</v>
      </c>
      <c r="M175" s="77">
        <f t="shared" si="89"/>
        <v>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Dec</v>
      </c>
      <c r="C176" s="73">
        <f t="shared" si="85"/>
        <v>2</v>
      </c>
      <c r="D176" s="74">
        <f t="shared" si="68"/>
        <v>17</v>
      </c>
      <c r="E176" s="75">
        <f t="shared" si="69"/>
        <v>47</v>
      </c>
      <c r="F176" s="79"/>
      <c r="G176" s="82"/>
      <c r="H176" s="68" t="str">
        <f t="shared" si="86"/>
        <v>Hyprev6_20201202_17_00</v>
      </c>
      <c r="I176" s="69">
        <f t="shared" si="89"/>
        <v>1</v>
      </c>
      <c r="J176" s="76" t="str">
        <f t="shared" si="89"/>
        <v>Hypericum</v>
      </c>
      <c r="K176" s="76" t="str">
        <f t="shared" si="89"/>
        <v>revolutum</v>
      </c>
      <c r="L176" s="77">
        <f t="shared" si="89"/>
        <v>6</v>
      </c>
      <c r="M176" s="77">
        <f t="shared" si="89"/>
        <v>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Dec</v>
      </c>
      <c r="C177" s="73">
        <f t="shared" si="85"/>
        <v>2</v>
      </c>
      <c r="D177" s="74">
        <f t="shared" si="68"/>
        <v>17</v>
      </c>
      <c r="E177" s="75">
        <f t="shared" si="69"/>
        <v>48</v>
      </c>
      <c r="F177" s="79"/>
      <c r="G177" s="82"/>
      <c r="H177" s="68" t="str">
        <f t="shared" si="86"/>
        <v>Hyprev6_20201202_17_00</v>
      </c>
      <c r="I177" s="69">
        <f t="shared" si="89"/>
        <v>1</v>
      </c>
      <c r="J177" s="76" t="str">
        <f t="shared" si="89"/>
        <v>Hypericum</v>
      </c>
      <c r="K177" s="76" t="str">
        <f t="shared" si="89"/>
        <v>revolutum</v>
      </c>
      <c r="L177" s="77">
        <f t="shared" si="89"/>
        <v>6</v>
      </c>
      <c r="M177" s="77">
        <f t="shared" si="89"/>
        <v>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Dec</v>
      </c>
      <c r="C178" s="73">
        <f t="shared" si="85"/>
        <v>2</v>
      </c>
      <c r="D178" s="74">
        <f t="shared" si="68"/>
        <v>17</v>
      </c>
      <c r="E178" s="75">
        <f t="shared" si="69"/>
        <v>49</v>
      </c>
      <c r="F178" s="79"/>
      <c r="G178" s="82"/>
      <c r="H178" s="68" t="str">
        <f t="shared" si="86"/>
        <v>Hyprev6_20201202_17_00</v>
      </c>
      <c r="I178" s="69">
        <f t="shared" si="89"/>
        <v>1</v>
      </c>
      <c r="J178" s="76" t="str">
        <f t="shared" si="89"/>
        <v>Hypericum</v>
      </c>
      <c r="K178" s="76" t="str">
        <f t="shared" si="89"/>
        <v>revolutum</v>
      </c>
      <c r="L178" s="77">
        <f t="shared" si="89"/>
        <v>6</v>
      </c>
      <c r="M178" s="77">
        <f t="shared" si="89"/>
        <v>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Dec</v>
      </c>
      <c r="C179" s="73">
        <f t="shared" si="85"/>
        <v>2</v>
      </c>
      <c r="D179" s="74">
        <f t="shared" si="68"/>
        <v>17</v>
      </c>
      <c r="E179" s="75">
        <f t="shared" si="69"/>
        <v>50</v>
      </c>
      <c r="F179" s="79"/>
      <c r="G179" s="82"/>
      <c r="H179" s="68" t="str">
        <f t="shared" si="86"/>
        <v>Hyprev6_20201202_17_00</v>
      </c>
      <c r="I179" s="69">
        <f t="shared" si="89"/>
        <v>1</v>
      </c>
      <c r="J179" s="76" t="str">
        <f t="shared" si="89"/>
        <v>Hypericum</v>
      </c>
      <c r="K179" s="76" t="str">
        <f t="shared" si="89"/>
        <v>revolutum</v>
      </c>
      <c r="L179" s="77">
        <f t="shared" si="89"/>
        <v>6</v>
      </c>
      <c r="M179" s="77">
        <f t="shared" si="89"/>
        <v>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Dec</v>
      </c>
      <c r="C180" s="73">
        <f t="shared" si="85"/>
        <v>2</v>
      </c>
      <c r="D180" s="74">
        <f t="shared" si="68"/>
        <v>17</v>
      </c>
      <c r="E180" s="75">
        <f t="shared" si="69"/>
        <v>51</v>
      </c>
      <c r="F180" s="79"/>
      <c r="G180" s="82"/>
      <c r="H180" s="68" t="str">
        <f t="shared" si="86"/>
        <v>Hyprev6_20201202_17_00</v>
      </c>
      <c r="I180" s="69">
        <f t="shared" si="89"/>
        <v>1</v>
      </c>
      <c r="J180" s="76" t="str">
        <f t="shared" si="89"/>
        <v>Hypericum</v>
      </c>
      <c r="K180" s="76" t="str">
        <f t="shared" si="89"/>
        <v>revolutum</v>
      </c>
      <c r="L180" s="77">
        <f t="shared" si="89"/>
        <v>6</v>
      </c>
      <c r="M180" s="77">
        <f t="shared" si="89"/>
        <v>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Dec</v>
      </c>
      <c r="C181" s="73">
        <f t="shared" si="85"/>
        <v>2</v>
      </c>
      <c r="D181" s="74">
        <f t="shared" si="68"/>
        <v>17</v>
      </c>
      <c r="E181" s="75">
        <f t="shared" si="69"/>
        <v>52</v>
      </c>
      <c r="F181" s="79"/>
      <c r="G181" s="82"/>
      <c r="H181" s="68" t="str">
        <f t="shared" si="86"/>
        <v>Hyprev6_20201202_17_00</v>
      </c>
      <c r="I181" s="69">
        <f t="shared" ref="I181:N196" si="90">I180</f>
        <v>1</v>
      </c>
      <c r="J181" s="76" t="str">
        <f t="shared" si="90"/>
        <v>Hypericum</v>
      </c>
      <c r="K181" s="76" t="str">
        <f t="shared" si="90"/>
        <v>revolutum</v>
      </c>
      <c r="L181" s="77">
        <f t="shared" si="90"/>
        <v>6</v>
      </c>
      <c r="M181" s="77">
        <f t="shared" si="90"/>
        <v>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Dec</v>
      </c>
      <c r="C182" s="73">
        <f t="shared" si="85"/>
        <v>2</v>
      </c>
      <c r="D182" s="74">
        <f t="shared" si="68"/>
        <v>17</v>
      </c>
      <c r="E182" s="75">
        <f t="shared" si="69"/>
        <v>53</v>
      </c>
      <c r="F182" s="79"/>
      <c r="G182" s="82"/>
      <c r="H182" s="68" t="str">
        <f t="shared" si="86"/>
        <v>Hyprev6_20201202_17_00</v>
      </c>
      <c r="I182" s="69">
        <f t="shared" si="90"/>
        <v>1</v>
      </c>
      <c r="J182" s="76" t="str">
        <f t="shared" si="90"/>
        <v>Hypericum</v>
      </c>
      <c r="K182" s="76" t="str">
        <f t="shared" si="90"/>
        <v>revolutum</v>
      </c>
      <c r="L182" s="77">
        <f t="shared" si="90"/>
        <v>6</v>
      </c>
      <c r="M182" s="77">
        <f t="shared" si="90"/>
        <v>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Dec</v>
      </c>
      <c r="C183" s="73">
        <f t="shared" si="85"/>
        <v>2</v>
      </c>
      <c r="D183" s="74">
        <f t="shared" si="68"/>
        <v>17</v>
      </c>
      <c r="E183" s="75">
        <f t="shared" si="69"/>
        <v>54</v>
      </c>
      <c r="F183" s="79"/>
      <c r="G183" s="82"/>
      <c r="H183" s="68" t="str">
        <f t="shared" si="86"/>
        <v>Hyprev6_20201202_17_00</v>
      </c>
      <c r="I183" s="69">
        <f t="shared" si="90"/>
        <v>1</v>
      </c>
      <c r="J183" s="76" t="str">
        <f t="shared" si="90"/>
        <v>Hypericum</v>
      </c>
      <c r="K183" s="76" t="str">
        <f t="shared" si="90"/>
        <v>revolutum</v>
      </c>
      <c r="L183" s="77">
        <f t="shared" si="90"/>
        <v>6</v>
      </c>
      <c r="M183" s="77">
        <f t="shared" si="90"/>
        <v>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Dec</v>
      </c>
      <c r="C184" s="73">
        <f t="shared" si="85"/>
        <v>2</v>
      </c>
      <c r="D184" s="74">
        <f t="shared" si="68"/>
        <v>17</v>
      </c>
      <c r="E184" s="75">
        <f t="shared" si="69"/>
        <v>55</v>
      </c>
      <c r="F184" s="79"/>
      <c r="G184" s="82"/>
      <c r="H184" s="68" t="str">
        <f t="shared" si="86"/>
        <v>Hyprev6_20201202_17_00</v>
      </c>
      <c r="I184" s="69">
        <f t="shared" si="90"/>
        <v>1</v>
      </c>
      <c r="J184" s="76" t="str">
        <f t="shared" si="90"/>
        <v>Hypericum</v>
      </c>
      <c r="K184" s="76" t="str">
        <f t="shared" si="90"/>
        <v>revolutum</v>
      </c>
      <c r="L184" s="77">
        <f t="shared" si="90"/>
        <v>6</v>
      </c>
      <c r="M184" s="77">
        <f t="shared" si="90"/>
        <v>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Dec</v>
      </c>
      <c r="C185" s="73">
        <f t="shared" si="85"/>
        <v>2</v>
      </c>
      <c r="D185" s="74">
        <f t="shared" si="68"/>
        <v>17</v>
      </c>
      <c r="E185" s="75">
        <f t="shared" si="69"/>
        <v>56</v>
      </c>
      <c r="F185" s="79"/>
      <c r="G185" s="82"/>
      <c r="H185" s="68" t="str">
        <f t="shared" si="86"/>
        <v>Hyprev6_20201202_17_00</v>
      </c>
      <c r="I185" s="69">
        <f t="shared" si="90"/>
        <v>1</v>
      </c>
      <c r="J185" s="76" t="str">
        <f t="shared" si="90"/>
        <v>Hypericum</v>
      </c>
      <c r="K185" s="76" t="str">
        <f t="shared" si="90"/>
        <v>revolutum</v>
      </c>
      <c r="L185" s="77">
        <f t="shared" si="90"/>
        <v>6</v>
      </c>
      <c r="M185" s="77">
        <f t="shared" si="90"/>
        <v>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Dec</v>
      </c>
      <c r="C186" s="73">
        <f t="shared" si="85"/>
        <v>2</v>
      </c>
      <c r="D186" s="74">
        <f t="shared" si="68"/>
        <v>17</v>
      </c>
      <c r="E186" s="75">
        <f t="shared" si="69"/>
        <v>57</v>
      </c>
      <c r="F186" s="79"/>
      <c r="G186" s="82"/>
      <c r="H186" s="68" t="str">
        <f t="shared" si="86"/>
        <v>Hyprev6_20201202_17_00</v>
      </c>
      <c r="I186" s="69">
        <f t="shared" si="90"/>
        <v>1</v>
      </c>
      <c r="J186" s="76" t="str">
        <f t="shared" si="90"/>
        <v>Hypericum</v>
      </c>
      <c r="K186" s="76" t="str">
        <f t="shared" si="90"/>
        <v>revolutum</v>
      </c>
      <c r="L186" s="77">
        <f t="shared" si="90"/>
        <v>6</v>
      </c>
      <c r="M186" s="77">
        <f t="shared" si="90"/>
        <v>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Dec</v>
      </c>
      <c r="C187" s="73">
        <f t="shared" si="85"/>
        <v>2</v>
      </c>
      <c r="D187" s="74">
        <f t="shared" si="68"/>
        <v>17</v>
      </c>
      <c r="E187" s="75">
        <f t="shared" si="69"/>
        <v>58</v>
      </c>
      <c r="F187" s="79"/>
      <c r="G187" s="82"/>
      <c r="H187" s="68" t="str">
        <f t="shared" si="86"/>
        <v>Hyprev6_20201202_17_00</v>
      </c>
      <c r="I187" s="69">
        <f t="shared" si="90"/>
        <v>1</v>
      </c>
      <c r="J187" s="76" t="str">
        <f t="shared" si="90"/>
        <v>Hypericum</v>
      </c>
      <c r="K187" s="76" t="str">
        <f t="shared" si="90"/>
        <v>revolutum</v>
      </c>
      <c r="L187" s="77">
        <f t="shared" si="90"/>
        <v>6</v>
      </c>
      <c r="M187" s="77">
        <f t="shared" si="90"/>
        <v>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Dec</v>
      </c>
      <c r="C188" s="73">
        <f t="shared" si="85"/>
        <v>2</v>
      </c>
      <c r="D188" s="74">
        <f t="shared" si="68"/>
        <v>17</v>
      </c>
      <c r="E188" s="75">
        <f t="shared" si="69"/>
        <v>59</v>
      </c>
      <c r="F188" s="79"/>
      <c r="G188" s="82"/>
      <c r="H188" s="68" t="str">
        <f t="shared" si="86"/>
        <v>Hyprev6_20201202_17_00</v>
      </c>
      <c r="I188" s="69">
        <f t="shared" si="90"/>
        <v>1</v>
      </c>
      <c r="J188" s="76" t="str">
        <f t="shared" si="90"/>
        <v>Hypericum</v>
      </c>
      <c r="K188" s="76" t="str">
        <f t="shared" si="90"/>
        <v>revolutum</v>
      </c>
      <c r="L188" s="77">
        <f t="shared" si="90"/>
        <v>6</v>
      </c>
      <c r="M188" s="77">
        <f t="shared" si="90"/>
        <v>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Dec</v>
      </c>
      <c r="C189" s="73">
        <f t="shared" si="85"/>
        <v>2</v>
      </c>
      <c r="D189" s="74">
        <f t="shared" si="68"/>
        <v>18</v>
      </c>
      <c r="E189" s="75">
        <f t="shared" si="69"/>
        <v>0</v>
      </c>
      <c r="F189" s="79"/>
      <c r="G189" s="82"/>
      <c r="H189" s="68" t="str">
        <f t="shared" si="86"/>
        <v>Hyprev6_20201202_18_00</v>
      </c>
      <c r="I189" s="69">
        <f t="shared" si="90"/>
        <v>1</v>
      </c>
      <c r="J189" s="76" t="str">
        <f t="shared" si="90"/>
        <v>Hypericum</v>
      </c>
      <c r="K189" s="76" t="str">
        <f t="shared" si="90"/>
        <v>revolutum</v>
      </c>
      <c r="L189" s="77">
        <f t="shared" si="90"/>
        <v>6</v>
      </c>
      <c r="M189" s="77">
        <f t="shared" si="90"/>
        <v>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Dec</v>
      </c>
      <c r="C190" s="73">
        <f t="shared" si="85"/>
        <v>2</v>
      </c>
      <c r="D190" s="74">
        <f t="shared" si="68"/>
        <v>18</v>
      </c>
      <c r="E190" s="75">
        <f t="shared" si="69"/>
        <v>1</v>
      </c>
      <c r="F190" s="79"/>
      <c r="G190" s="82"/>
      <c r="H190" s="68" t="str">
        <f t="shared" si="86"/>
        <v>Hyprev6_20201202_18_00</v>
      </c>
      <c r="I190" s="69">
        <f t="shared" si="90"/>
        <v>1</v>
      </c>
      <c r="J190" s="76" t="str">
        <f t="shared" si="90"/>
        <v>Hypericum</v>
      </c>
      <c r="K190" s="76" t="str">
        <f t="shared" si="90"/>
        <v>revolutum</v>
      </c>
      <c r="L190" s="77">
        <f t="shared" si="90"/>
        <v>6</v>
      </c>
      <c r="M190" s="77">
        <f t="shared" si="90"/>
        <v>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Dec</v>
      </c>
      <c r="C191" s="73">
        <f t="shared" si="85"/>
        <v>2</v>
      </c>
      <c r="D191" s="74">
        <f t="shared" si="68"/>
        <v>18</v>
      </c>
      <c r="E191" s="75">
        <f t="shared" si="69"/>
        <v>2</v>
      </c>
      <c r="F191" s="79"/>
      <c r="G191" s="82"/>
      <c r="H191" s="68" t="str">
        <f t="shared" si="86"/>
        <v>Hyprev6_20201202_18_00</v>
      </c>
      <c r="I191" s="69">
        <f t="shared" si="90"/>
        <v>1</v>
      </c>
      <c r="J191" s="76" t="str">
        <f t="shared" si="90"/>
        <v>Hypericum</v>
      </c>
      <c r="K191" s="76" t="str">
        <f t="shared" si="90"/>
        <v>revolutum</v>
      </c>
      <c r="L191" s="77">
        <f t="shared" si="90"/>
        <v>6</v>
      </c>
      <c r="M191" s="77">
        <f t="shared" si="90"/>
        <v>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Dec</v>
      </c>
      <c r="C192" s="73">
        <f t="shared" si="85"/>
        <v>2</v>
      </c>
      <c r="D192" s="74">
        <f t="shared" si="68"/>
        <v>18</v>
      </c>
      <c r="E192" s="75">
        <f t="shared" si="69"/>
        <v>3</v>
      </c>
      <c r="F192" s="79"/>
      <c r="G192" s="82"/>
      <c r="H192" s="68" t="str">
        <f t="shared" si="86"/>
        <v>Hyprev6_20201202_18_00</v>
      </c>
      <c r="I192" s="69">
        <f t="shared" si="90"/>
        <v>1</v>
      </c>
      <c r="J192" s="76" t="str">
        <f t="shared" si="90"/>
        <v>Hypericum</v>
      </c>
      <c r="K192" s="76" t="str">
        <f t="shared" si="90"/>
        <v>revolutum</v>
      </c>
      <c r="L192" s="77">
        <f t="shared" si="90"/>
        <v>6</v>
      </c>
      <c r="M192" s="77">
        <f t="shared" si="90"/>
        <v>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Dec</v>
      </c>
      <c r="C193" s="73">
        <f t="shared" si="85"/>
        <v>2</v>
      </c>
      <c r="D193" s="74">
        <f t="shared" si="68"/>
        <v>18</v>
      </c>
      <c r="E193" s="75">
        <f t="shared" si="69"/>
        <v>4</v>
      </c>
      <c r="F193" s="79"/>
      <c r="G193" s="82"/>
      <c r="H193" s="68" t="str">
        <f t="shared" si="86"/>
        <v>Hyprev6_20201202_18_00</v>
      </c>
      <c r="I193" s="69">
        <f t="shared" si="90"/>
        <v>1</v>
      </c>
      <c r="J193" s="76" t="str">
        <f t="shared" si="90"/>
        <v>Hypericum</v>
      </c>
      <c r="K193" s="76" t="str">
        <f t="shared" si="90"/>
        <v>revolutum</v>
      </c>
      <c r="L193" s="77">
        <f t="shared" si="90"/>
        <v>6</v>
      </c>
      <c r="M193" s="77">
        <f t="shared" si="90"/>
        <v>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Dec</v>
      </c>
      <c r="C194" s="73">
        <f t="shared" si="85"/>
        <v>2</v>
      </c>
      <c r="D194" s="74">
        <f t="shared" si="68"/>
        <v>18</v>
      </c>
      <c r="E194" s="75">
        <f t="shared" si="69"/>
        <v>5</v>
      </c>
      <c r="F194" s="79"/>
      <c r="G194" s="82"/>
      <c r="H194" s="68" t="str">
        <f t="shared" si="86"/>
        <v>Hyprev6_20201202_18_00</v>
      </c>
      <c r="I194" s="69">
        <f t="shared" si="90"/>
        <v>1</v>
      </c>
      <c r="J194" s="76" t="str">
        <f t="shared" si="90"/>
        <v>Hypericum</v>
      </c>
      <c r="K194" s="76" t="str">
        <f t="shared" si="90"/>
        <v>revolutum</v>
      </c>
      <c r="L194" s="77">
        <f t="shared" si="90"/>
        <v>6</v>
      </c>
      <c r="M194" s="77">
        <f t="shared" si="90"/>
        <v>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Dec</v>
      </c>
      <c r="C195" s="73">
        <f t="shared" si="85"/>
        <v>2</v>
      </c>
      <c r="D195" s="74">
        <f t="shared" si="68"/>
        <v>18</v>
      </c>
      <c r="E195" s="75">
        <f t="shared" si="69"/>
        <v>6</v>
      </c>
      <c r="F195" s="79"/>
      <c r="G195" s="82"/>
      <c r="H195" s="68" t="str">
        <f t="shared" si="86"/>
        <v>Hyprev6_20201202_18_00</v>
      </c>
      <c r="I195" s="69">
        <f t="shared" si="90"/>
        <v>1</v>
      </c>
      <c r="J195" s="76" t="str">
        <f t="shared" si="90"/>
        <v>Hypericum</v>
      </c>
      <c r="K195" s="76" t="str">
        <f t="shared" si="90"/>
        <v>revolutum</v>
      </c>
      <c r="L195" s="77">
        <f t="shared" si="90"/>
        <v>6</v>
      </c>
      <c r="M195" s="77">
        <f t="shared" si="90"/>
        <v>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Dec</v>
      </c>
      <c r="C196" s="73">
        <f t="shared" si="85"/>
        <v>2</v>
      </c>
      <c r="D196" s="74">
        <f t="shared" ref="D196:D259" si="98">IF(IF(E195=59,D195+1,D195)=24,0,IF(E195=59,D195+1,D195))</f>
        <v>18</v>
      </c>
      <c r="E196" s="75">
        <f t="shared" ref="E196:E259" si="99">IF(E195&lt;59,E195+1,0)</f>
        <v>7</v>
      </c>
      <c r="F196" s="79"/>
      <c r="G196" s="82"/>
      <c r="H196" s="68" t="str">
        <f t="shared" si="86"/>
        <v>Hyprev6_20201202_18_00</v>
      </c>
      <c r="I196" s="69">
        <f t="shared" si="90"/>
        <v>1</v>
      </c>
      <c r="J196" s="76" t="str">
        <f t="shared" si="90"/>
        <v>Hypericum</v>
      </c>
      <c r="K196" s="76" t="str">
        <f t="shared" si="90"/>
        <v>revolutum</v>
      </c>
      <c r="L196" s="77">
        <f t="shared" si="90"/>
        <v>6</v>
      </c>
      <c r="M196" s="77">
        <f t="shared" si="90"/>
        <v>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Dec</v>
      </c>
      <c r="C197" s="73">
        <f t="shared" ref="C197:C260" si="115">IF(AND(D197=0, E197=0), IF(TEXT(C196,"dd")=TEXT(EOMONTH(DATE(A196,MONTH(DATEVALUE(B196&amp;"1")),C196),0), "dd"), 1, C196+1), C196)</f>
        <v>2</v>
      </c>
      <c r="D197" s="74">
        <f t="shared" si="98"/>
        <v>18</v>
      </c>
      <c r="E197" s="75">
        <f t="shared" si="99"/>
        <v>8</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Hyprev6_20201202_18_00</v>
      </c>
      <c r="I197" s="69">
        <f t="shared" ref="I197:N212" si="117">I196</f>
        <v>1</v>
      </c>
      <c r="J197" s="76" t="str">
        <f t="shared" si="117"/>
        <v>Hypericum</v>
      </c>
      <c r="K197" s="76" t="str">
        <f t="shared" si="117"/>
        <v>revolutum</v>
      </c>
      <c r="L197" s="77">
        <f t="shared" si="117"/>
        <v>6</v>
      </c>
      <c r="M197" s="77">
        <f t="shared" si="117"/>
        <v>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Dec</v>
      </c>
      <c r="C198" s="73">
        <f t="shared" si="115"/>
        <v>2</v>
      </c>
      <c r="D198" s="74">
        <f t="shared" si="98"/>
        <v>18</v>
      </c>
      <c r="E198" s="75">
        <f t="shared" si="99"/>
        <v>9</v>
      </c>
      <c r="F198" s="79"/>
      <c r="G198" s="82"/>
      <c r="H198" s="68" t="str">
        <f t="shared" si="116"/>
        <v>Hyprev6_20201202_18_00</v>
      </c>
      <c r="I198" s="69">
        <f t="shared" si="117"/>
        <v>1</v>
      </c>
      <c r="J198" s="76" t="str">
        <f t="shared" si="117"/>
        <v>Hypericum</v>
      </c>
      <c r="K198" s="76" t="str">
        <f t="shared" si="117"/>
        <v>revolutum</v>
      </c>
      <c r="L198" s="77">
        <f t="shared" si="117"/>
        <v>6</v>
      </c>
      <c r="M198" s="77">
        <f t="shared" si="117"/>
        <v>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Dec</v>
      </c>
      <c r="C199" s="73">
        <f t="shared" si="115"/>
        <v>2</v>
      </c>
      <c r="D199" s="74">
        <f t="shared" si="98"/>
        <v>18</v>
      </c>
      <c r="E199" s="75">
        <f t="shared" si="99"/>
        <v>10</v>
      </c>
      <c r="F199" s="79"/>
      <c r="G199" s="82"/>
      <c r="H199" s="68" t="str">
        <f t="shared" si="116"/>
        <v>Hyprev6_20201202_18_00</v>
      </c>
      <c r="I199" s="69">
        <f t="shared" si="117"/>
        <v>1</v>
      </c>
      <c r="J199" s="76" t="str">
        <f t="shared" si="117"/>
        <v>Hypericum</v>
      </c>
      <c r="K199" s="76" t="str">
        <f t="shared" si="117"/>
        <v>revolutum</v>
      </c>
      <c r="L199" s="77">
        <f t="shared" si="117"/>
        <v>6</v>
      </c>
      <c r="M199" s="77">
        <f t="shared" si="117"/>
        <v>1</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Dec</v>
      </c>
      <c r="C200" s="73">
        <f t="shared" si="115"/>
        <v>2</v>
      </c>
      <c r="D200" s="74">
        <f t="shared" si="98"/>
        <v>18</v>
      </c>
      <c r="E200" s="75">
        <f t="shared" si="99"/>
        <v>11</v>
      </c>
      <c r="F200" s="79"/>
      <c r="G200" s="82"/>
      <c r="H200" s="68" t="str">
        <f t="shared" si="116"/>
        <v>Hyprev6_20201202_18_00</v>
      </c>
      <c r="I200" s="69">
        <f t="shared" si="117"/>
        <v>1</v>
      </c>
      <c r="J200" s="76" t="str">
        <f t="shared" si="117"/>
        <v>Hypericum</v>
      </c>
      <c r="K200" s="76" t="str">
        <f t="shared" si="117"/>
        <v>revolutum</v>
      </c>
      <c r="L200" s="77">
        <f t="shared" si="117"/>
        <v>6</v>
      </c>
      <c r="M200" s="77">
        <f t="shared" si="117"/>
        <v>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Dec</v>
      </c>
      <c r="C201" s="73">
        <f t="shared" si="115"/>
        <v>2</v>
      </c>
      <c r="D201" s="74">
        <f t="shared" si="98"/>
        <v>18</v>
      </c>
      <c r="E201" s="75">
        <f t="shared" si="99"/>
        <v>12</v>
      </c>
      <c r="F201" s="79"/>
      <c r="G201" s="82"/>
      <c r="H201" s="68" t="str">
        <f t="shared" si="116"/>
        <v>Hyprev6_20201202_18_00</v>
      </c>
      <c r="I201" s="69">
        <f t="shared" si="117"/>
        <v>1</v>
      </c>
      <c r="J201" s="76" t="str">
        <f t="shared" si="117"/>
        <v>Hypericum</v>
      </c>
      <c r="K201" s="76" t="str">
        <f t="shared" si="117"/>
        <v>revolutum</v>
      </c>
      <c r="L201" s="77">
        <f t="shared" si="117"/>
        <v>6</v>
      </c>
      <c r="M201" s="77">
        <f t="shared" si="117"/>
        <v>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Dec</v>
      </c>
      <c r="C202" s="73">
        <f t="shared" si="115"/>
        <v>2</v>
      </c>
      <c r="D202" s="74">
        <f t="shared" si="98"/>
        <v>18</v>
      </c>
      <c r="E202" s="75">
        <f t="shared" si="99"/>
        <v>13</v>
      </c>
      <c r="F202" s="79"/>
      <c r="G202" s="82"/>
      <c r="H202" s="68" t="str">
        <f t="shared" si="116"/>
        <v>Hyprev6_20201202_18_00</v>
      </c>
      <c r="I202" s="69">
        <f t="shared" si="117"/>
        <v>1</v>
      </c>
      <c r="J202" s="76" t="str">
        <f t="shared" si="117"/>
        <v>Hypericum</v>
      </c>
      <c r="K202" s="76" t="str">
        <f t="shared" si="117"/>
        <v>revolutum</v>
      </c>
      <c r="L202" s="77">
        <f t="shared" si="117"/>
        <v>6</v>
      </c>
      <c r="M202" s="77">
        <f t="shared" si="117"/>
        <v>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Dec</v>
      </c>
      <c r="C203" s="73">
        <f t="shared" si="115"/>
        <v>2</v>
      </c>
      <c r="D203" s="74">
        <f t="shared" si="98"/>
        <v>18</v>
      </c>
      <c r="E203" s="75">
        <f t="shared" si="99"/>
        <v>14</v>
      </c>
      <c r="F203" s="79"/>
      <c r="G203" s="82"/>
      <c r="H203" s="68" t="str">
        <f t="shared" si="116"/>
        <v>Hyprev6_20201202_18_00</v>
      </c>
      <c r="I203" s="69">
        <f t="shared" si="117"/>
        <v>1</v>
      </c>
      <c r="J203" s="76" t="str">
        <f t="shared" si="117"/>
        <v>Hypericum</v>
      </c>
      <c r="K203" s="76" t="str">
        <f t="shared" si="117"/>
        <v>revolutum</v>
      </c>
      <c r="L203" s="77">
        <f t="shared" si="117"/>
        <v>6</v>
      </c>
      <c r="M203" s="77">
        <f t="shared" si="117"/>
        <v>1</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Dec</v>
      </c>
      <c r="C204" s="73">
        <f t="shared" si="115"/>
        <v>2</v>
      </c>
      <c r="D204" s="74">
        <f t="shared" si="98"/>
        <v>18</v>
      </c>
      <c r="E204" s="75">
        <f t="shared" si="99"/>
        <v>15</v>
      </c>
      <c r="F204" s="79"/>
      <c r="G204" s="82"/>
      <c r="H204" s="68" t="str">
        <f t="shared" si="116"/>
        <v>Hyprev6_20201202_18_00</v>
      </c>
      <c r="I204" s="69">
        <f t="shared" si="117"/>
        <v>1</v>
      </c>
      <c r="J204" s="76" t="str">
        <f t="shared" si="117"/>
        <v>Hypericum</v>
      </c>
      <c r="K204" s="76" t="str">
        <f t="shared" si="117"/>
        <v>revolutum</v>
      </c>
      <c r="L204" s="77">
        <f t="shared" si="117"/>
        <v>6</v>
      </c>
      <c r="M204" s="77">
        <f t="shared" si="117"/>
        <v>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Dec</v>
      </c>
      <c r="C205" s="73">
        <f t="shared" si="115"/>
        <v>2</v>
      </c>
      <c r="D205" s="74">
        <f t="shared" si="98"/>
        <v>18</v>
      </c>
      <c r="E205" s="75">
        <f t="shared" si="99"/>
        <v>16</v>
      </c>
      <c r="F205" s="79"/>
      <c r="G205" s="82"/>
      <c r="H205" s="68" t="str">
        <f t="shared" si="116"/>
        <v>Hyprev6_20201202_18_00</v>
      </c>
      <c r="I205" s="69">
        <f t="shared" si="117"/>
        <v>1</v>
      </c>
      <c r="J205" s="76" t="str">
        <f t="shared" si="117"/>
        <v>Hypericum</v>
      </c>
      <c r="K205" s="76" t="str">
        <f t="shared" si="117"/>
        <v>revolutum</v>
      </c>
      <c r="L205" s="77">
        <f t="shared" si="117"/>
        <v>6</v>
      </c>
      <c r="M205" s="77">
        <f t="shared" si="117"/>
        <v>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Dec</v>
      </c>
      <c r="C206" s="73">
        <f t="shared" si="115"/>
        <v>2</v>
      </c>
      <c r="D206" s="74">
        <f t="shared" si="98"/>
        <v>18</v>
      </c>
      <c r="E206" s="75">
        <f t="shared" si="99"/>
        <v>17</v>
      </c>
      <c r="F206" s="79"/>
      <c r="G206" s="82"/>
      <c r="H206" s="68" t="str">
        <f t="shared" si="116"/>
        <v>Hyprev6_20201202_18_00</v>
      </c>
      <c r="I206" s="69">
        <f t="shared" si="117"/>
        <v>1</v>
      </c>
      <c r="J206" s="76" t="str">
        <f t="shared" si="117"/>
        <v>Hypericum</v>
      </c>
      <c r="K206" s="76" t="str">
        <f t="shared" si="117"/>
        <v>revolutum</v>
      </c>
      <c r="L206" s="77">
        <f t="shared" si="117"/>
        <v>6</v>
      </c>
      <c r="M206" s="77">
        <f t="shared" si="117"/>
        <v>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Dec</v>
      </c>
      <c r="C207" s="73">
        <f t="shared" si="115"/>
        <v>2</v>
      </c>
      <c r="D207" s="74">
        <f t="shared" si="98"/>
        <v>18</v>
      </c>
      <c r="E207" s="75">
        <f t="shared" si="99"/>
        <v>18</v>
      </c>
      <c r="F207" s="79"/>
      <c r="G207" s="82"/>
      <c r="H207" s="68" t="str">
        <f t="shared" si="116"/>
        <v>Hyprev6_20201202_18_00</v>
      </c>
      <c r="I207" s="69">
        <f t="shared" si="117"/>
        <v>1</v>
      </c>
      <c r="J207" s="76" t="str">
        <f t="shared" si="117"/>
        <v>Hypericum</v>
      </c>
      <c r="K207" s="76" t="str">
        <f t="shared" si="117"/>
        <v>revolutum</v>
      </c>
      <c r="L207" s="77">
        <f t="shared" si="117"/>
        <v>6</v>
      </c>
      <c r="M207" s="77">
        <f t="shared" si="117"/>
        <v>1</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Dec</v>
      </c>
      <c r="C208" s="73">
        <f t="shared" si="115"/>
        <v>2</v>
      </c>
      <c r="D208" s="74">
        <f t="shared" si="98"/>
        <v>18</v>
      </c>
      <c r="E208" s="75">
        <f t="shared" si="99"/>
        <v>19</v>
      </c>
      <c r="F208" s="79"/>
      <c r="G208" s="82"/>
      <c r="H208" s="68" t="str">
        <f t="shared" si="116"/>
        <v>Hyprev6_20201202_18_00</v>
      </c>
      <c r="I208" s="69">
        <f t="shared" si="117"/>
        <v>1</v>
      </c>
      <c r="J208" s="76" t="str">
        <f t="shared" si="117"/>
        <v>Hypericum</v>
      </c>
      <c r="K208" s="76" t="str">
        <f t="shared" si="117"/>
        <v>revolutum</v>
      </c>
      <c r="L208" s="77">
        <f t="shared" si="117"/>
        <v>6</v>
      </c>
      <c r="M208" s="77">
        <f t="shared" si="117"/>
        <v>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Dec</v>
      </c>
      <c r="C209" s="73">
        <f t="shared" si="115"/>
        <v>2</v>
      </c>
      <c r="D209" s="74">
        <f t="shared" si="98"/>
        <v>18</v>
      </c>
      <c r="E209" s="75">
        <f t="shared" si="99"/>
        <v>20</v>
      </c>
      <c r="F209" s="79"/>
      <c r="G209" s="82"/>
      <c r="H209" s="68" t="str">
        <f t="shared" si="116"/>
        <v>Hyprev6_20201202_18_00</v>
      </c>
      <c r="I209" s="69">
        <f t="shared" si="117"/>
        <v>1</v>
      </c>
      <c r="J209" s="76" t="str">
        <f t="shared" si="117"/>
        <v>Hypericum</v>
      </c>
      <c r="K209" s="76" t="str">
        <f t="shared" si="117"/>
        <v>revolutum</v>
      </c>
      <c r="L209" s="77">
        <f t="shared" si="117"/>
        <v>6</v>
      </c>
      <c r="M209" s="77">
        <f t="shared" si="117"/>
        <v>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Dec</v>
      </c>
      <c r="C210" s="73">
        <f t="shared" si="115"/>
        <v>2</v>
      </c>
      <c r="D210" s="74">
        <f t="shared" si="98"/>
        <v>18</v>
      </c>
      <c r="E210" s="75">
        <f t="shared" si="99"/>
        <v>21</v>
      </c>
      <c r="F210" s="79"/>
      <c r="G210" s="82"/>
      <c r="H210" s="68" t="str">
        <f t="shared" si="116"/>
        <v>Hyprev6_20201202_18_00</v>
      </c>
      <c r="I210" s="69">
        <f t="shared" si="117"/>
        <v>1</v>
      </c>
      <c r="J210" s="76" t="str">
        <f t="shared" si="117"/>
        <v>Hypericum</v>
      </c>
      <c r="K210" s="76" t="str">
        <f t="shared" si="117"/>
        <v>revolutum</v>
      </c>
      <c r="L210" s="77">
        <f t="shared" si="117"/>
        <v>6</v>
      </c>
      <c r="M210" s="77">
        <f t="shared" si="117"/>
        <v>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Dec</v>
      </c>
      <c r="C211" s="73">
        <f t="shared" si="115"/>
        <v>2</v>
      </c>
      <c r="D211" s="74">
        <f t="shared" si="98"/>
        <v>18</v>
      </c>
      <c r="E211" s="75">
        <f t="shared" si="99"/>
        <v>22</v>
      </c>
      <c r="F211" s="79"/>
      <c r="G211" s="82"/>
      <c r="H211" s="68" t="str">
        <f t="shared" si="116"/>
        <v>Hyprev6_20201202_18_00</v>
      </c>
      <c r="I211" s="69">
        <f t="shared" si="117"/>
        <v>1</v>
      </c>
      <c r="J211" s="76" t="str">
        <f t="shared" si="117"/>
        <v>Hypericum</v>
      </c>
      <c r="K211" s="76" t="str">
        <f t="shared" si="117"/>
        <v>revolutum</v>
      </c>
      <c r="L211" s="77">
        <f t="shared" si="117"/>
        <v>6</v>
      </c>
      <c r="M211" s="77">
        <f t="shared" si="117"/>
        <v>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Dec</v>
      </c>
      <c r="C212" s="73">
        <f t="shared" si="115"/>
        <v>2</v>
      </c>
      <c r="D212" s="74">
        <f t="shared" si="98"/>
        <v>18</v>
      </c>
      <c r="E212" s="75">
        <f t="shared" si="99"/>
        <v>23</v>
      </c>
      <c r="F212" s="79"/>
      <c r="G212" s="82"/>
      <c r="H212" s="68" t="str">
        <f t="shared" si="116"/>
        <v>Hyprev6_20201202_18_00</v>
      </c>
      <c r="I212" s="69">
        <f t="shared" si="117"/>
        <v>1</v>
      </c>
      <c r="J212" s="76" t="str">
        <f t="shared" si="117"/>
        <v>Hypericum</v>
      </c>
      <c r="K212" s="76" t="str">
        <f t="shared" si="117"/>
        <v>revolutum</v>
      </c>
      <c r="L212" s="77">
        <f t="shared" si="117"/>
        <v>6</v>
      </c>
      <c r="M212" s="77">
        <f t="shared" si="117"/>
        <v>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Dec</v>
      </c>
      <c r="C213" s="73">
        <f t="shared" si="115"/>
        <v>2</v>
      </c>
      <c r="D213" s="74">
        <f t="shared" si="98"/>
        <v>18</v>
      </c>
      <c r="E213" s="75">
        <f t="shared" si="99"/>
        <v>24</v>
      </c>
      <c r="F213" s="79"/>
      <c r="G213" s="82"/>
      <c r="H213" s="68" t="str">
        <f t="shared" si="116"/>
        <v>Hyprev6_20201202_18_00</v>
      </c>
      <c r="I213" s="69">
        <f t="shared" ref="I213:N228" si="118">I212</f>
        <v>1</v>
      </c>
      <c r="J213" s="76" t="str">
        <f t="shared" si="118"/>
        <v>Hypericum</v>
      </c>
      <c r="K213" s="76" t="str">
        <f t="shared" si="118"/>
        <v>revolutum</v>
      </c>
      <c r="L213" s="77">
        <f t="shared" si="118"/>
        <v>6</v>
      </c>
      <c r="M213" s="77">
        <f t="shared" si="118"/>
        <v>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Dec</v>
      </c>
      <c r="C214" s="73">
        <f t="shared" si="115"/>
        <v>2</v>
      </c>
      <c r="D214" s="74">
        <f t="shared" si="98"/>
        <v>18</v>
      </c>
      <c r="E214" s="75">
        <f t="shared" si="99"/>
        <v>25</v>
      </c>
      <c r="F214" s="79"/>
      <c r="G214" s="82"/>
      <c r="H214" s="68" t="str">
        <f t="shared" si="116"/>
        <v>Hyprev6_20201202_18_00</v>
      </c>
      <c r="I214" s="69">
        <f t="shared" si="118"/>
        <v>1</v>
      </c>
      <c r="J214" s="76" t="str">
        <f t="shared" si="118"/>
        <v>Hypericum</v>
      </c>
      <c r="K214" s="76" t="str">
        <f t="shared" si="118"/>
        <v>revolutum</v>
      </c>
      <c r="L214" s="77">
        <f t="shared" si="118"/>
        <v>6</v>
      </c>
      <c r="M214" s="77">
        <f t="shared" si="118"/>
        <v>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Dec</v>
      </c>
      <c r="C215" s="73">
        <f t="shared" si="115"/>
        <v>2</v>
      </c>
      <c r="D215" s="74">
        <f t="shared" si="98"/>
        <v>18</v>
      </c>
      <c r="E215" s="75">
        <f t="shared" si="99"/>
        <v>26</v>
      </c>
      <c r="F215" s="79"/>
      <c r="G215" s="82"/>
      <c r="H215" s="68" t="str">
        <f t="shared" si="116"/>
        <v>Hyprev6_20201202_18_00</v>
      </c>
      <c r="I215" s="69">
        <f t="shared" si="118"/>
        <v>1</v>
      </c>
      <c r="J215" s="76" t="str">
        <f t="shared" si="118"/>
        <v>Hypericum</v>
      </c>
      <c r="K215" s="76" t="str">
        <f t="shared" si="118"/>
        <v>revolutum</v>
      </c>
      <c r="L215" s="77">
        <f t="shared" si="118"/>
        <v>6</v>
      </c>
      <c r="M215" s="77">
        <f t="shared" si="118"/>
        <v>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Dec</v>
      </c>
      <c r="C216" s="73">
        <f t="shared" si="115"/>
        <v>2</v>
      </c>
      <c r="D216" s="74">
        <f t="shared" si="98"/>
        <v>18</v>
      </c>
      <c r="E216" s="75">
        <f t="shared" si="99"/>
        <v>27</v>
      </c>
      <c r="F216" s="79"/>
      <c r="G216" s="82"/>
      <c r="H216" s="68" t="str">
        <f t="shared" si="116"/>
        <v>Hyprev6_20201202_18_00</v>
      </c>
      <c r="I216" s="69">
        <f t="shared" si="118"/>
        <v>1</v>
      </c>
      <c r="J216" s="76" t="str">
        <f t="shared" si="118"/>
        <v>Hypericum</v>
      </c>
      <c r="K216" s="76" t="str">
        <f t="shared" si="118"/>
        <v>revolutum</v>
      </c>
      <c r="L216" s="77">
        <f t="shared" si="118"/>
        <v>6</v>
      </c>
      <c r="M216" s="77">
        <f t="shared" si="118"/>
        <v>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Dec</v>
      </c>
      <c r="C217" s="73">
        <f t="shared" si="115"/>
        <v>2</v>
      </c>
      <c r="D217" s="74">
        <f t="shared" si="98"/>
        <v>18</v>
      </c>
      <c r="E217" s="75">
        <f t="shared" si="99"/>
        <v>28</v>
      </c>
      <c r="F217" s="79"/>
      <c r="G217" s="82"/>
      <c r="H217" s="68" t="str">
        <f t="shared" si="116"/>
        <v>Hyprev6_20201202_18_00</v>
      </c>
      <c r="I217" s="69">
        <f t="shared" si="118"/>
        <v>1</v>
      </c>
      <c r="J217" s="76" t="str">
        <f t="shared" si="118"/>
        <v>Hypericum</v>
      </c>
      <c r="K217" s="76" t="str">
        <f t="shared" si="118"/>
        <v>revolutum</v>
      </c>
      <c r="L217" s="77">
        <f t="shared" si="118"/>
        <v>6</v>
      </c>
      <c r="M217" s="77">
        <f t="shared" si="118"/>
        <v>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Dec</v>
      </c>
      <c r="C218" s="73">
        <f t="shared" si="115"/>
        <v>2</v>
      </c>
      <c r="D218" s="74">
        <f t="shared" si="98"/>
        <v>18</v>
      </c>
      <c r="E218" s="75">
        <f t="shared" si="99"/>
        <v>29</v>
      </c>
      <c r="F218" s="79"/>
      <c r="G218" s="82"/>
      <c r="H218" s="68" t="str">
        <f t="shared" si="116"/>
        <v>Hyprev6_20201202_18_00</v>
      </c>
      <c r="I218" s="69">
        <f t="shared" si="118"/>
        <v>1</v>
      </c>
      <c r="J218" s="76" t="str">
        <f t="shared" si="118"/>
        <v>Hypericum</v>
      </c>
      <c r="K218" s="76" t="str">
        <f t="shared" si="118"/>
        <v>revolutum</v>
      </c>
      <c r="L218" s="77">
        <f t="shared" si="118"/>
        <v>6</v>
      </c>
      <c r="M218" s="77">
        <f t="shared" si="118"/>
        <v>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Dec</v>
      </c>
      <c r="C219" s="73">
        <f t="shared" si="115"/>
        <v>2</v>
      </c>
      <c r="D219" s="74">
        <f t="shared" si="98"/>
        <v>18</v>
      </c>
      <c r="E219" s="75">
        <f t="shared" si="99"/>
        <v>30</v>
      </c>
      <c r="F219" s="79"/>
      <c r="G219" s="82"/>
      <c r="H219" s="68" t="str">
        <f t="shared" si="116"/>
        <v>Hyprev6_20201202_18_00</v>
      </c>
      <c r="I219" s="69">
        <f t="shared" si="118"/>
        <v>1</v>
      </c>
      <c r="J219" s="76" t="str">
        <f t="shared" si="118"/>
        <v>Hypericum</v>
      </c>
      <c r="K219" s="76" t="str">
        <f t="shared" si="118"/>
        <v>revolutum</v>
      </c>
      <c r="L219" s="77">
        <f t="shared" si="118"/>
        <v>6</v>
      </c>
      <c r="M219" s="77">
        <f t="shared" si="118"/>
        <v>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Dec</v>
      </c>
      <c r="C220" s="73">
        <f t="shared" si="115"/>
        <v>2</v>
      </c>
      <c r="D220" s="74">
        <f t="shared" si="98"/>
        <v>18</v>
      </c>
      <c r="E220" s="75">
        <f t="shared" si="99"/>
        <v>31</v>
      </c>
      <c r="F220" s="79"/>
      <c r="G220" s="82"/>
      <c r="H220" s="68" t="str">
        <f t="shared" si="116"/>
        <v>Hyprev6_20201202_18_00</v>
      </c>
      <c r="I220" s="69">
        <f t="shared" si="118"/>
        <v>1</v>
      </c>
      <c r="J220" s="76" t="str">
        <f t="shared" si="118"/>
        <v>Hypericum</v>
      </c>
      <c r="K220" s="76" t="str">
        <f t="shared" si="118"/>
        <v>revolutum</v>
      </c>
      <c r="L220" s="77">
        <f t="shared" si="118"/>
        <v>6</v>
      </c>
      <c r="M220" s="77">
        <f t="shared" si="118"/>
        <v>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Dec</v>
      </c>
      <c r="C221" s="73">
        <f t="shared" si="115"/>
        <v>2</v>
      </c>
      <c r="D221" s="74">
        <f t="shared" si="98"/>
        <v>18</v>
      </c>
      <c r="E221" s="75">
        <f t="shared" si="99"/>
        <v>32</v>
      </c>
      <c r="F221" s="79"/>
      <c r="G221" s="82"/>
      <c r="H221" s="68" t="str">
        <f t="shared" si="116"/>
        <v>Hyprev6_20201202_18_00</v>
      </c>
      <c r="I221" s="69">
        <f t="shared" si="118"/>
        <v>1</v>
      </c>
      <c r="J221" s="76" t="str">
        <f t="shared" si="118"/>
        <v>Hypericum</v>
      </c>
      <c r="K221" s="76" t="str">
        <f t="shared" si="118"/>
        <v>revolutum</v>
      </c>
      <c r="L221" s="77">
        <f t="shared" si="118"/>
        <v>6</v>
      </c>
      <c r="M221" s="77">
        <f t="shared" si="118"/>
        <v>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Dec</v>
      </c>
      <c r="C222" s="73">
        <f t="shared" si="115"/>
        <v>2</v>
      </c>
      <c r="D222" s="74">
        <f t="shared" si="98"/>
        <v>18</v>
      </c>
      <c r="E222" s="75">
        <f t="shared" si="99"/>
        <v>33</v>
      </c>
      <c r="F222" s="79"/>
      <c r="G222" s="82"/>
      <c r="H222" s="68" t="str">
        <f t="shared" si="116"/>
        <v>Hyprev6_20201202_18_00</v>
      </c>
      <c r="I222" s="69">
        <f t="shared" si="118"/>
        <v>1</v>
      </c>
      <c r="J222" s="76" t="str">
        <f t="shared" si="118"/>
        <v>Hypericum</v>
      </c>
      <c r="K222" s="76" t="str">
        <f t="shared" si="118"/>
        <v>revolutum</v>
      </c>
      <c r="L222" s="77">
        <f t="shared" si="118"/>
        <v>6</v>
      </c>
      <c r="M222" s="77">
        <f t="shared" si="118"/>
        <v>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Dec</v>
      </c>
      <c r="C223" s="73">
        <f t="shared" si="115"/>
        <v>2</v>
      </c>
      <c r="D223" s="74">
        <f t="shared" si="98"/>
        <v>18</v>
      </c>
      <c r="E223" s="75">
        <f t="shared" si="99"/>
        <v>34</v>
      </c>
      <c r="F223" s="79"/>
      <c r="G223" s="82"/>
      <c r="H223" s="68" t="str">
        <f t="shared" si="116"/>
        <v>Hyprev6_20201202_18_00</v>
      </c>
      <c r="I223" s="69">
        <f t="shared" si="118"/>
        <v>1</v>
      </c>
      <c r="J223" s="76" t="str">
        <f t="shared" si="118"/>
        <v>Hypericum</v>
      </c>
      <c r="K223" s="76" t="str">
        <f t="shared" si="118"/>
        <v>revolutum</v>
      </c>
      <c r="L223" s="77">
        <f t="shared" si="118"/>
        <v>6</v>
      </c>
      <c r="M223" s="77">
        <f t="shared" si="118"/>
        <v>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Dec</v>
      </c>
      <c r="C224" s="73">
        <f t="shared" si="115"/>
        <v>2</v>
      </c>
      <c r="D224" s="74">
        <f t="shared" si="98"/>
        <v>18</v>
      </c>
      <c r="E224" s="75">
        <f t="shared" si="99"/>
        <v>35</v>
      </c>
      <c r="F224" s="79"/>
      <c r="G224" s="82"/>
      <c r="H224" s="68" t="str">
        <f t="shared" si="116"/>
        <v>Hyprev6_20201202_18_00</v>
      </c>
      <c r="I224" s="69">
        <f t="shared" si="118"/>
        <v>1</v>
      </c>
      <c r="J224" s="76" t="str">
        <f t="shared" si="118"/>
        <v>Hypericum</v>
      </c>
      <c r="K224" s="76" t="str">
        <f t="shared" si="118"/>
        <v>revolutum</v>
      </c>
      <c r="L224" s="77">
        <f t="shared" si="118"/>
        <v>6</v>
      </c>
      <c r="M224" s="77">
        <f t="shared" si="118"/>
        <v>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Dec</v>
      </c>
      <c r="C225" s="73">
        <f t="shared" si="115"/>
        <v>2</v>
      </c>
      <c r="D225" s="74">
        <f t="shared" si="98"/>
        <v>18</v>
      </c>
      <c r="E225" s="75">
        <f t="shared" si="99"/>
        <v>36</v>
      </c>
      <c r="F225" s="79"/>
      <c r="G225" s="82"/>
      <c r="H225" s="68" t="str">
        <f t="shared" si="116"/>
        <v>Hyprev6_20201202_18_00</v>
      </c>
      <c r="I225" s="69">
        <f t="shared" si="118"/>
        <v>1</v>
      </c>
      <c r="J225" s="76" t="str">
        <f t="shared" si="118"/>
        <v>Hypericum</v>
      </c>
      <c r="K225" s="76" t="str">
        <f t="shared" si="118"/>
        <v>revolutum</v>
      </c>
      <c r="L225" s="77">
        <f t="shared" si="118"/>
        <v>6</v>
      </c>
      <c r="M225" s="77">
        <f t="shared" si="118"/>
        <v>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Dec</v>
      </c>
      <c r="C226" s="73">
        <f t="shared" si="115"/>
        <v>2</v>
      </c>
      <c r="D226" s="74">
        <f t="shared" si="98"/>
        <v>18</v>
      </c>
      <c r="E226" s="75">
        <f t="shared" si="99"/>
        <v>37</v>
      </c>
      <c r="F226" s="79"/>
      <c r="G226" s="82"/>
      <c r="H226" s="68" t="str">
        <f t="shared" si="116"/>
        <v>Hyprev6_20201202_18_00</v>
      </c>
      <c r="I226" s="69">
        <f t="shared" si="118"/>
        <v>1</v>
      </c>
      <c r="J226" s="76" t="str">
        <f t="shared" si="118"/>
        <v>Hypericum</v>
      </c>
      <c r="K226" s="76" t="str">
        <f t="shared" si="118"/>
        <v>revolutum</v>
      </c>
      <c r="L226" s="77">
        <f t="shared" si="118"/>
        <v>6</v>
      </c>
      <c r="M226" s="77">
        <f t="shared" si="118"/>
        <v>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Dec</v>
      </c>
      <c r="C227" s="73">
        <f t="shared" si="115"/>
        <v>2</v>
      </c>
      <c r="D227" s="74">
        <f t="shared" si="98"/>
        <v>18</v>
      </c>
      <c r="E227" s="75">
        <f t="shared" si="99"/>
        <v>38</v>
      </c>
      <c r="F227" s="79"/>
      <c r="G227" s="82"/>
      <c r="H227" s="68" t="str">
        <f t="shared" si="116"/>
        <v>Hyprev6_20201202_18_00</v>
      </c>
      <c r="I227" s="69">
        <f t="shared" si="118"/>
        <v>1</v>
      </c>
      <c r="J227" s="76" t="str">
        <f t="shared" si="118"/>
        <v>Hypericum</v>
      </c>
      <c r="K227" s="76" t="str">
        <f t="shared" si="118"/>
        <v>revolutum</v>
      </c>
      <c r="L227" s="77">
        <f t="shared" si="118"/>
        <v>6</v>
      </c>
      <c r="M227" s="77">
        <f t="shared" si="118"/>
        <v>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Dec</v>
      </c>
      <c r="C228" s="73">
        <f t="shared" si="115"/>
        <v>2</v>
      </c>
      <c r="D228" s="74">
        <f t="shared" si="98"/>
        <v>18</v>
      </c>
      <c r="E228" s="75">
        <f t="shared" si="99"/>
        <v>39</v>
      </c>
      <c r="F228" s="79"/>
      <c r="G228" s="82"/>
      <c r="H228" s="68" t="str">
        <f t="shared" si="116"/>
        <v>Hyprev6_20201202_18_00</v>
      </c>
      <c r="I228" s="69">
        <f t="shared" si="118"/>
        <v>1</v>
      </c>
      <c r="J228" s="76" t="str">
        <f t="shared" si="118"/>
        <v>Hypericum</v>
      </c>
      <c r="K228" s="76" t="str">
        <f t="shared" si="118"/>
        <v>revolutum</v>
      </c>
      <c r="L228" s="77">
        <f t="shared" si="118"/>
        <v>6</v>
      </c>
      <c r="M228" s="77">
        <f t="shared" si="118"/>
        <v>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Dec</v>
      </c>
      <c r="C229" s="73">
        <f t="shared" si="115"/>
        <v>2</v>
      </c>
      <c r="D229" s="74">
        <f t="shared" si="98"/>
        <v>18</v>
      </c>
      <c r="E229" s="75">
        <f t="shared" si="99"/>
        <v>40</v>
      </c>
      <c r="F229" s="79"/>
      <c r="G229" s="82"/>
      <c r="H229" s="68" t="str">
        <f t="shared" si="116"/>
        <v>Hyprev6_20201202_18_00</v>
      </c>
      <c r="I229" s="69">
        <f t="shared" ref="I229:N244" si="119">I228</f>
        <v>1</v>
      </c>
      <c r="J229" s="76" t="str">
        <f t="shared" si="119"/>
        <v>Hypericum</v>
      </c>
      <c r="K229" s="76" t="str">
        <f t="shared" si="119"/>
        <v>revolutum</v>
      </c>
      <c r="L229" s="77">
        <f t="shared" si="119"/>
        <v>6</v>
      </c>
      <c r="M229" s="77">
        <f t="shared" si="119"/>
        <v>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Dec</v>
      </c>
      <c r="C230" s="73">
        <f t="shared" si="115"/>
        <v>2</v>
      </c>
      <c r="D230" s="74">
        <f t="shared" si="98"/>
        <v>18</v>
      </c>
      <c r="E230" s="75">
        <f t="shared" si="99"/>
        <v>41</v>
      </c>
      <c r="F230" s="79"/>
      <c r="G230" s="82"/>
      <c r="H230" s="68" t="str">
        <f t="shared" si="116"/>
        <v>Hyprev6_20201202_18_00</v>
      </c>
      <c r="I230" s="69">
        <f t="shared" si="119"/>
        <v>1</v>
      </c>
      <c r="J230" s="76" t="str">
        <f t="shared" si="119"/>
        <v>Hypericum</v>
      </c>
      <c r="K230" s="76" t="str">
        <f t="shared" si="119"/>
        <v>revolutum</v>
      </c>
      <c r="L230" s="77">
        <f t="shared" si="119"/>
        <v>6</v>
      </c>
      <c r="M230" s="77">
        <f t="shared" si="119"/>
        <v>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Dec</v>
      </c>
      <c r="C231" s="73">
        <f t="shared" si="115"/>
        <v>2</v>
      </c>
      <c r="D231" s="74">
        <f t="shared" si="98"/>
        <v>18</v>
      </c>
      <c r="E231" s="75">
        <f t="shared" si="99"/>
        <v>42</v>
      </c>
      <c r="F231" s="79"/>
      <c r="G231" s="82"/>
      <c r="H231" s="68" t="str">
        <f t="shared" si="116"/>
        <v>Hyprev6_20201202_18_00</v>
      </c>
      <c r="I231" s="69">
        <f t="shared" si="119"/>
        <v>1</v>
      </c>
      <c r="J231" s="76" t="str">
        <f t="shared" si="119"/>
        <v>Hypericum</v>
      </c>
      <c r="K231" s="76" t="str">
        <f t="shared" si="119"/>
        <v>revolutum</v>
      </c>
      <c r="L231" s="77">
        <f t="shared" si="119"/>
        <v>6</v>
      </c>
      <c r="M231" s="77">
        <f t="shared" si="119"/>
        <v>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Dec</v>
      </c>
      <c r="C232" s="73">
        <f t="shared" si="115"/>
        <v>2</v>
      </c>
      <c r="D232" s="74">
        <f t="shared" si="98"/>
        <v>18</v>
      </c>
      <c r="E232" s="75">
        <f t="shared" si="99"/>
        <v>43</v>
      </c>
      <c r="F232" s="79"/>
      <c r="G232" s="82"/>
      <c r="H232" s="68" t="str">
        <f t="shared" si="116"/>
        <v>Hyprev6_20201202_18_00</v>
      </c>
      <c r="I232" s="69">
        <f t="shared" si="119"/>
        <v>1</v>
      </c>
      <c r="J232" s="76" t="str">
        <f t="shared" si="119"/>
        <v>Hypericum</v>
      </c>
      <c r="K232" s="76" t="str">
        <f t="shared" si="119"/>
        <v>revolutum</v>
      </c>
      <c r="L232" s="77">
        <f t="shared" si="119"/>
        <v>6</v>
      </c>
      <c r="M232" s="77">
        <f t="shared" si="119"/>
        <v>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Dec</v>
      </c>
      <c r="C233" s="73">
        <f t="shared" si="115"/>
        <v>2</v>
      </c>
      <c r="D233" s="74">
        <f t="shared" si="98"/>
        <v>18</v>
      </c>
      <c r="E233" s="75">
        <f t="shared" si="99"/>
        <v>44</v>
      </c>
      <c r="F233" s="79"/>
      <c r="G233" s="82"/>
      <c r="H233" s="68" t="str">
        <f t="shared" si="116"/>
        <v>Hyprev6_20201202_18_00</v>
      </c>
      <c r="I233" s="69">
        <f t="shared" si="119"/>
        <v>1</v>
      </c>
      <c r="J233" s="76" t="str">
        <f t="shared" si="119"/>
        <v>Hypericum</v>
      </c>
      <c r="K233" s="76" t="str">
        <f t="shared" si="119"/>
        <v>revolutum</v>
      </c>
      <c r="L233" s="77">
        <f t="shared" si="119"/>
        <v>6</v>
      </c>
      <c r="M233" s="77">
        <f t="shared" si="119"/>
        <v>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Dec</v>
      </c>
      <c r="C234" s="73">
        <f t="shared" si="115"/>
        <v>2</v>
      </c>
      <c r="D234" s="74">
        <f t="shared" si="98"/>
        <v>18</v>
      </c>
      <c r="E234" s="75">
        <f t="shared" si="99"/>
        <v>45</v>
      </c>
      <c r="F234" s="79"/>
      <c r="G234" s="82"/>
      <c r="H234" s="68" t="str">
        <f t="shared" si="116"/>
        <v>Hyprev6_20201202_18_00</v>
      </c>
      <c r="I234" s="69">
        <f t="shared" si="119"/>
        <v>1</v>
      </c>
      <c r="J234" s="76" t="str">
        <f t="shared" si="119"/>
        <v>Hypericum</v>
      </c>
      <c r="K234" s="76" t="str">
        <f t="shared" si="119"/>
        <v>revolutum</v>
      </c>
      <c r="L234" s="77">
        <f t="shared" si="119"/>
        <v>6</v>
      </c>
      <c r="M234" s="77">
        <f t="shared" si="119"/>
        <v>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Dec</v>
      </c>
      <c r="C235" s="73">
        <f t="shared" si="115"/>
        <v>2</v>
      </c>
      <c r="D235" s="74">
        <f t="shared" si="98"/>
        <v>18</v>
      </c>
      <c r="E235" s="75">
        <f t="shared" si="99"/>
        <v>46</v>
      </c>
      <c r="F235" s="79"/>
      <c r="G235" s="82"/>
      <c r="H235" s="68" t="str">
        <f t="shared" si="116"/>
        <v>Hyprev6_20201202_18_00</v>
      </c>
      <c r="I235" s="69">
        <f t="shared" si="119"/>
        <v>1</v>
      </c>
      <c r="J235" s="76" t="str">
        <f t="shared" si="119"/>
        <v>Hypericum</v>
      </c>
      <c r="K235" s="76" t="str">
        <f t="shared" si="119"/>
        <v>revolutum</v>
      </c>
      <c r="L235" s="77">
        <f t="shared" si="119"/>
        <v>6</v>
      </c>
      <c r="M235" s="77">
        <f t="shared" si="119"/>
        <v>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Dec</v>
      </c>
      <c r="C236" s="73">
        <f t="shared" si="115"/>
        <v>2</v>
      </c>
      <c r="D236" s="74">
        <f t="shared" si="98"/>
        <v>18</v>
      </c>
      <c r="E236" s="75">
        <f t="shared" si="99"/>
        <v>47</v>
      </c>
      <c r="F236" s="79"/>
      <c r="G236" s="82"/>
      <c r="H236" s="68" t="str">
        <f t="shared" si="116"/>
        <v>Hyprev6_20201202_18_00</v>
      </c>
      <c r="I236" s="69">
        <f t="shared" si="119"/>
        <v>1</v>
      </c>
      <c r="J236" s="76" t="str">
        <f t="shared" si="119"/>
        <v>Hypericum</v>
      </c>
      <c r="K236" s="76" t="str">
        <f t="shared" si="119"/>
        <v>revolutum</v>
      </c>
      <c r="L236" s="77">
        <f t="shared" si="119"/>
        <v>6</v>
      </c>
      <c r="M236" s="77">
        <f t="shared" si="119"/>
        <v>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Dec</v>
      </c>
      <c r="C237" s="73">
        <f t="shared" si="115"/>
        <v>2</v>
      </c>
      <c r="D237" s="74">
        <f t="shared" si="98"/>
        <v>18</v>
      </c>
      <c r="E237" s="75">
        <f t="shared" si="99"/>
        <v>48</v>
      </c>
      <c r="F237" s="79"/>
      <c r="G237" s="82"/>
      <c r="H237" s="68" t="str">
        <f t="shared" si="116"/>
        <v>Hyprev6_20201202_18_00</v>
      </c>
      <c r="I237" s="69">
        <f t="shared" si="119"/>
        <v>1</v>
      </c>
      <c r="J237" s="76" t="str">
        <f t="shared" si="119"/>
        <v>Hypericum</v>
      </c>
      <c r="K237" s="76" t="str">
        <f t="shared" si="119"/>
        <v>revolutum</v>
      </c>
      <c r="L237" s="77">
        <f t="shared" si="119"/>
        <v>6</v>
      </c>
      <c r="M237" s="77">
        <f t="shared" si="119"/>
        <v>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Dec</v>
      </c>
      <c r="C238" s="73">
        <f t="shared" si="115"/>
        <v>2</v>
      </c>
      <c r="D238" s="74">
        <f t="shared" si="98"/>
        <v>18</v>
      </c>
      <c r="E238" s="75">
        <f t="shared" si="99"/>
        <v>49</v>
      </c>
      <c r="F238" s="79"/>
      <c r="G238" s="82"/>
      <c r="H238" s="68" t="str">
        <f t="shared" si="116"/>
        <v>Hyprev6_20201202_18_00</v>
      </c>
      <c r="I238" s="69">
        <f t="shared" si="119"/>
        <v>1</v>
      </c>
      <c r="J238" s="76" t="str">
        <f t="shared" si="119"/>
        <v>Hypericum</v>
      </c>
      <c r="K238" s="76" t="str">
        <f t="shared" si="119"/>
        <v>revolutum</v>
      </c>
      <c r="L238" s="77">
        <f t="shared" si="119"/>
        <v>6</v>
      </c>
      <c r="M238" s="77">
        <f t="shared" si="119"/>
        <v>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Dec</v>
      </c>
      <c r="C239" s="73">
        <f t="shared" si="115"/>
        <v>2</v>
      </c>
      <c r="D239" s="74">
        <f t="shared" si="98"/>
        <v>18</v>
      </c>
      <c r="E239" s="75">
        <f t="shared" si="99"/>
        <v>50</v>
      </c>
      <c r="F239" s="79"/>
      <c r="G239" s="82"/>
      <c r="H239" s="68" t="str">
        <f t="shared" si="116"/>
        <v>Hyprev6_20201202_18_00</v>
      </c>
      <c r="I239" s="69">
        <f t="shared" si="119"/>
        <v>1</v>
      </c>
      <c r="J239" s="76" t="str">
        <f t="shared" si="119"/>
        <v>Hypericum</v>
      </c>
      <c r="K239" s="76" t="str">
        <f t="shared" si="119"/>
        <v>revolutum</v>
      </c>
      <c r="L239" s="77">
        <f t="shared" si="119"/>
        <v>6</v>
      </c>
      <c r="M239" s="77">
        <f t="shared" si="119"/>
        <v>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Dec</v>
      </c>
      <c r="C240" s="73">
        <f t="shared" si="115"/>
        <v>2</v>
      </c>
      <c r="D240" s="74">
        <f t="shared" si="98"/>
        <v>18</v>
      </c>
      <c r="E240" s="75">
        <f t="shared" si="99"/>
        <v>51</v>
      </c>
      <c r="F240" s="79"/>
      <c r="G240" s="82"/>
      <c r="H240" s="68" t="str">
        <f t="shared" si="116"/>
        <v>Hyprev6_20201202_18_00</v>
      </c>
      <c r="I240" s="69">
        <f t="shared" si="119"/>
        <v>1</v>
      </c>
      <c r="J240" s="76" t="str">
        <f t="shared" si="119"/>
        <v>Hypericum</v>
      </c>
      <c r="K240" s="76" t="str">
        <f t="shared" si="119"/>
        <v>revolutum</v>
      </c>
      <c r="L240" s="77">
        <f t="shared" si="119"/>
        <v>6</v>
      </c>
      <c r="M240" s="77">
        <f t="shared" si="119"/>
        <v>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Dec</v>
      </c>
      <c r="C241" s="73">
        <f t="shared" si="115"/>
        <v>2</v>
      </c>
      <c r="D241" s="74">
        <f t="shared" si="98"/>
        <v>18</v>
      </c>
      <c r="E241" s="75">
        <f t="shared" si="99"/>
        <v>52</v>
      </c>
      <c r="F241" s="79"/>
      <c r="G241" s="82"/>
      <c r="H241" s="68" t="str">
        <f t="shared" si="116"/>
        <v>Hyprev6_20201202_18_00</v>
      </c>
      <c r="I241" s="69">
        <f t="shared" si="119"/>
        <v>1</v>
      </c>
      <c r="J241" s="76" t="str">
        <f t="shared" si="119"/>
        <v>Hypericum</v>
      </c>
      <c r="K241" s="76" t="str">
        <f t="shared" si="119"/>
        <v>revolutum</v>
      </c>
      <c r="L241" s="77">
        <f t="shared" si="119"/>
        <v>6</v>
      </c>
      <c r="M241" s="77">
        <f t="shared" si="119"/>
        <v>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Dec</v>
      </c>
      <c r="C242" s="73">
        <f t="shared" si="115"/>
        <v>2</v>
      </c>
      <c r="D242" s="74">
        <f t="shared" si="98"/>
        <v>18</v>
      </c>
      <c r="E242" s="75">
        <f t="shared" si="99"/>
        <v>53</v>
      </c>
      <c r="F242" s="79"/>
      <c r="G242" s="82"/>
      <c r="H242" s="68" t="str">
        <f t="shared" si="116"/>
        <v>Hyprev6_20201202_18_00</v>
      </c>
      <c r="I242" s="69">
        <f t="shared" si="119"/>
        <v>1</v>
      </c>
      <c r="J242" s="76" t="str">
        <f t="shared" si="119"/>
        <v>Hypericum</v>
      </c>
      <c r="K242" s="76" t="str">
        <f t="shared" si="119"/>
        <v>revolutum</v>
      </c>
      <c r="L242" s="77">
        <f t="shared" si="119"/>
        <v>6</v>
      </c>
      <c r="M242" s="77">
        <f t="shared" si="119"/>
        <v>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Dec</v>
      </c>
      <c r="C243" s="73">
        <f t="shared" si="115"/>
        <v>2</v>
      </c>
      <c r="D243" s="74">
        <f t="shared" si="98"/>
        <v>18</v>
      </c>
      <c r="E243" s="75">
        <f t="shared" si="99"/>
        <v>54</v>
      </c>
      <c r="F243" s="79"/>
      <c r="G243" s="82"/>
      <c r="H243" s="68" t="str">
        <f t="shared" si="116"/>
        <v>Hyprev6_20201202_18_00</v>
      </c>
      <c r="I243" s="69">
        <f t="shared" si="119"/>
        <v>1</v>
      </c>
      <c r="J243" s="76" t="str">
        <f t="shared" si="119"/>
        <v>Hypericum</v>
      </c>
      <c r="K243" s="76" t="str">
        <f t="shared" si="119"/>
        <v>revolutum</v>
      </c>
      <c r="L243" s="77">
        <f t="shared" si="119"/>
        <v>6</v>
      </c>
      <c r="M243" s="77">
        <f t="shared" si="119"/>
        <v>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Dec</v>
      </c>
      <c r="C244" s="73">
        <f t="shared" si="115"/>
        <v>2</v>
      </c>
      <c r="D244" s="74">
        <f t="shared" si="98"/>
        <v>18</v>
      </c>
      <c r="E244" s="75">
        <f t="shared" si="99"/>
        <v>55</v>
      </c>
      <c r="F244" s="79"/>
      <c r="G244" s="82"/>
      <c r="H244" s="68" t="str">
        <f t="shared" si="116"/>
        <v>Hyprev6_20201202_18_00</v>
      </c>
      <c r="I244" s="69">
        <f t="shared" si="119"/>
        <v>1</v>
      </c>
      <c r="J244" s="76" t="str">
        <f t="shared" si="119"/>
        <v>Hypericum</v>
      </c>
      <c r="K244" s="76" t="str">
        <f t="shared" si="119"/>
        <v>revolutum</v>
      </c>
      <c r="L244" s="77">
        <f t="shared" si="119"/>
        <v>6</v>
      </c>
      <c r="M244" s="77">
        <f t="shared" si="119"/>
        <v>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Dec</v>
      </c>
      <c r="C245" s="73">
        <f t="shared" si="115"/>
        <v>2</v>
      </c>
      <c r="D245" s="74">
        <f t="shared" si="98"/>
        <v>18</v>
      </c>
      <c r="E245" s="75">
        <f t="shared" si="99"/>
        <v>56</v>
      </c>
      <c r="F245" s="79"/>
      <c r="G245" s="82"/>
      <c r="H245" s="68" t="str">
        <f t="shared" si="116"/>
        <v>Hyprev6_20201202_18_00</v>
      </c>
      <c r="I245" s="69">
        <f t="shared" ref="I245:N260" si="120">I244</f>
        <v>1</v>
      </c>
      <c r="J245" s="76" t="str">
        <f t="shared" si="120"/>
        <v>Hypericum</v>
      </c>
      <c r="K245" s="76" t="str">
        <f t="shared" si="120"/>
        <v>revolutum</v>
      </c>
      <c r="L245" s="77">
        <f t="shared" si="120"/>
        <v>6</v>
      </c>
      <c r="M245" s="77">
        <f t="shared" si="120"/>
        <v>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Dec</v>
      </c>
      <c r="C246" s="73">
        <f t="shared" si="115"/>
        <v>2</v>
      </c>
      <c r="D246" s="74">
        <f t="shared" si="98"/>
        <v>18</v>
      </c>
      <c r="E246" s="75">
        <f t="shared" si="99"/>
        <v>57</v>
      </c>
      <c r="F246" s="79"/>
      <c r="G246" s="82"/>
      <c r="H246" s="68" t="str">
        <f t="shared" si="116"/>
        <v>Hyprev6_20201202_18_00</v>
      </c>
      <c r="I246" s="69">
        <f t="shared" si="120"/>
        <v>1</v>
      </c>
      <c r="J246" s="76" t="str">
        <f t="shared" si="120"/>
        <v>Hypericum</v>
      </c>
      <c r="K246" s="76" t="str">
        <f t="shared" si="120"/>
        <v>revolutum</v>
      </c>
      <c r="L246" s="77">
        <f t="shared" si="120"/>
        <v>6</v>
      </c>
      <c r="M246" s="77">
        <f t="shared" si="120"/>
        <v>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Dec</v>
      </c>
      <c r="C247" s="73">
        <f t="shared" si="115"/>
        <v>2</v>
      </c>
      <c r="D247" s="74">
        <f t="shared" si="98"/>
        <v>18</v>
      </c>
      <c r="E247" s="75">
        <f t="shared" si="99"/>
        <v>58</v>
      </c>
      <c r="F247" s="79"/>
      <c r="G247" s="82"/>
      <c r="H247" s="68" t="str">
        <f t="shared" si="116"/>
        <v>Hyprev6_20201202_18_00</v>
      </c>
      <c r="I247" s="69">
        <f t="shared" si="120"/>
        <v>1</v>
      </c>
      <c r="J247" s="76" t="str">
        <f t="shared" si="120"/>
        <v>Hypericum</v>
      </c>
      <c r="K247" s="76" t="str">
        <f t="shared" si="120"/>
        <v>revolutum</v>
      </c>
      <c r="L247" s="77">
        <f t="shared" si="120"/>
        <v>6</v>
      </c>
      <c r="M247" s="77">
        <f t="shared" si="120"/>
        <v>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Dec</v>
      </c>
      <c r="C248" s="73">
        <f t="shared" si="115"/>
        <v>2</v>
      </c>
      <c r="D248" s="74">
        <f t="shared" si="98"/>
        <v>18</v>
      </c>
      <c r="E248" s="75">
        <f t="shared" si="99"/>
        <v>59</v>
      </c>
      <c r="F248" s="79"/>
      <c r="G248" s="82"/>
      <c r="H248" s="68" t="str">
        <f t="shared" si="116"/>
        <v>Hyprev6_20201202_18_00</v>
      </c>
      <c r="I248" s="69">
        <f t="shared" si="120"/>
        <v>1</v>
      </c>
      <c r="J248" s="76" t="str">
        <f t="shared" si="120"/>
        <v>Hypericum</v>
      </c>
      <c r="K248" s="76" t="str">
        <f t="shared" si="120"/>
        <v>revolutum</v>
      </c>
      <c r="L248" s="77">
        <f t="shared" si="120"/>
        <v>6</v>
      </c>
      <c r="M248" s="77">
        <f t="shared" si="120"/>
        <v>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Dec</v>
      </c>
      <c r="C249" s="73">
        <f t="shared" si="115"/>
        <v>2</v>
      </c>
      <c r="D249" s="74">
        <f t="shared" si="98"/>
        <v>19</v>
      </c>
      <c r="E249" s="75">
        <f t="shared" si="99"/>
        <v>0</v>
      </c>
      <c r="F249" s="79"/>
      <c r="G249" s="82"/>
      <c r="H249" s="68" t="str">
        <f t="shared" si="116"/>
        <v>Hyprev6_20201202_19_00</v>
      </c>
      <c r="I249" s="69">
        <f t="shared" si="120"/>
        <v>1</v>
      </c>
      <c r="J249" s="76" t="str">
        <f t="shared" si="120"/>
        <v>Hypericum</v>
      </c>
      <c r="K249" s="76" t="str">
        <f t="shared" si="120"/>
        <v>revolutum</v>
      </c>
      <c r="L249" s="77">
        <f t="shared" si="120"/>
        <v>6</v>
      </c>
      <c r="M249" s="77">
        <f t="shared" si="120"/>
        <v>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Dec</v>
      </c>
      <c r="C250" s="73">
        <f t="shared" si="115"/>
        <v>2</v>
      </c>
      <c r="D250" s="74">
        <f t="shared" si="98"/>
        <v>19</v>
      </c>
      <c r="E250" s="75">
        <f t="shared" si="99"/>
        <v>1</v>
      </c>
      <c r="F250" s="79"/>
      <c r="G250" s="82"/>
      <c r="H250" s="68" t="str">
        <f t="shared" si="116"/>
        <v>Hyprev6_20201202_19_00</v>
      </c>
      <c r="I250" s="69">
        <f t="shared" si="120"/>
        <v>1</v>
      </c>
      <c r="J250" s="76" t="str">
        <f t="shared" si="120"/>
        <v>Hypericum</v>
      </c>
      <c r="K250" s="76" t="str">
        <f t="shared" si="120"/>
        <v>revolutum</v>
      </c>
      <c r="L250" s="77">
        <f t="shared" si="120"/>
        <v>6</v>
      </c>
      <c r="M250" s="77">
        <f t="shared" si="120"/>
        <v>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Dec</v>
      </c>
      <c r="C251" s="73">
        <f t="shared" si="115"/>
        <v>2</v>
      </c>
      <c r="D251" s="74">
        <f t="shared" si="98"/>
        <v>19</v>
      </c>
      <c r="E251" s="75">
        <f t="shared" si="99"/>
        <v>2</v>
      </c>
      <c r="F251" s="79"/>
      <c r="G251" s="82"/>
      <c r="H251" s="68" t="str">
        <f t="shared" si="116"/>
        <v>Hyprev6_20201202_19_00</v>
      </c>
      <c r="I251" s="69">
        <f t="shared" si="120"/>
        <v>1</v>
      </c>
      <c r="J251" s="76" t="str">
        <f t="shared" si="120"/>
        <v>Hypericum</v>
      </c>
      <c r="K251" s="76" t="str">
        <f t="shared" si="120"/>
        <v>revolutum</v>
      </c>
      <c r="L251" s="77">
        <f t="shared" si="120"/>
        <v>6</v>
      </c>
      <c r="M251" s="77">
        <f t="shared" si="120"/>
        <v>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Dec</v>
      </c>
      <c r="C252" s="73">
        <f t="shared" si="115"/>
        <v>2</v>
      </c>
      <c r="D252" s="74">
        <f t="shared" si="98"/>
        <v>19</v>
      </c>
      <c r="E252" s="75">
        <f t="shared" si="99"/>
        <v>3</v>
      </c>
      <c r="F252" s="79"/>
      <c r="G252" s="82"/>
      <c r="H252" s="68" t="str">
        <f t="shared" si="116"/>
        <v>Hyprev6_20201202_19_00</v>
      </c>
      <c r="I252" s="69">
        <f t="shared" si="120"/>
        <v>1</v>
      </c>
      <c r="J252" s="76" t="str">
        <f t="shared" si="120"/>
        <v>Hypericum</v>
      </c>
      <c r="K252" s="76" t="str">
        <f t="shared" si="120"/>
        <v>revolutum</v>
      </c>
      <c r="L252" s="77">
        <f t="shared" si="120"/>
        <v>6</v>
      </c>
      <c r="M252" s="77">
        <f t="shared" si="120"/>
        <v>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Dec</v>
      </c>
      <c r="C253" s="73">
        <f t="shared" si="115"/>
        <v>2</v>
      </c>
      <c r="D253" s="74">
        <f t="shared" si="98"/>
        <v>19</v>
      </c>
      <c r="E253" s="75">
        <f t="shared" si="99"/>
        <v>4</v>
      </c>
      <c r="F253" s="79"/>
      <c r="G253" s="82"/>
      <c r="H253" s="68" t="str">
        <f t="shared" si="116"/>
        <v>Hyprev6_20201202_19_00</v>
      </c>
      <c r="I253" s="69">
        <f t="shared" si="120"/>
        <v>1</v>
      </c>
      <c r="J253" s="76" t="str">
        <f t="shared" si="120"/>
        <v>Hypericum</v>
      </c>
      <c r="K253" s="76" t="str">
        <f t="shared" si="120"/>
        <v>revolutum</v>
      </c>
      <c r="L253" s="77">
        <f t="shared" si="120"/>
        <v>6</v>
      </c>
      <c r="M253" s="77">
        <f t="shared" si="120"/>
        <v>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Dec</v>
      </c>
      <c r="C254" s="73">
        <f t="shared" si="115"/>
        <v>2</v>
      </c>
      <c r="D254" s="74">
        <f t="shared" si="98"/>
        <v>19</v>
      </c>
      <c r="E254" s="75">
        <f t="shared" si="99"/>
        <v>5</v>
      </c>
      <c r="F254" s="79"/>
      <c r="G254" s="82"/>
      <c r="H254" s="68" t="str">
        <f t="shared" si="116"/>
        <v>Hyprev6_20201202_19_00</v>
      </c>
      <c r="I254" s="69">
        <f t="shared" si="120"/>
        <v>1</v>
      </c>
      <c r="J254" s="76" t="str">
        <f t="shared" si="120"/>
        <v>Hypericum</v>
      </c>
      <c r="K254" s="76" t="str">
        <f t="shared" si="120"/>
        <v>revolutum</v>
      </c>
      <c r="L254" s="77">
        <f t="shared" si="120"/>
        <v>6</v>
      </c>
      <c r="M254" s="77">
        <f t="shared" si="120"/>
        <v>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Dec</v>
      </c>
      <c r="C255" s="73">
        <f t="shared" si="115"/>
        <v>2</v>
      </c>
      <c r="D255" s="74">
        <f t="shared" si="98"/>
        <v>19</v>
      </c>
      <c r="E255" s="75">
        <f t="shared" si="99"/>
        <v>6</v>
      </c>
      <c r="F255" s="79"/>
      <c r="G255" s="82"/>
      <c r="H255" s="68" t="str">
        <f t="shared" si="116"/>
        <v>Hyprev6_20201202_19_00</v>
      </c>
      <c r="I255" s="69">
        <f t="shared" si="120"/>
        <v>1</v>
      </c>
      <c r="J255" s="76" t="str">
        <f t="shared" si="120"/>
        <v>Hypericum</v>
      </c>
      <c r="K255" s="76" t="str">
        <f t="shared" si="120"/>
        <v>revolutum</v>
      </c>
      <c r="L255" s="77">
        <f t="shared" si="120"/>
        <v>6</v>
      </c>
      <c r="M255" s="77">
        <f t="shared" si="120"/>
        <v>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Dec</v>
      </c>
      <c r="C256" s="73">
        <f t="shared" si="115"/>
        <v>2</v>
      </c>
      <c r="D256" s="74">
        <f t="shared" si="98"/>
        <v>19</v>
      </c>
      <c r="E256" s="75">
        <f t="shared" si="99"/>
        <v>7</v>
      </c>
      <c r="F256" s="79"/>
      <c r="G256" s="82"/>
      <c r="H256" s="68" t="str">
        <f t="shared" si="116"/>
        <v>Hyprev6_20201202_19_00</v>
      </c>
      <c r="I256" s="69">
        <f t="shared" si="120"/>
        <v>1</v>
      </c>
      <c r="J256" s="76" t="str">
        <f t="shared" si="120"/>
        <v>Hypericum</v>
      </c>
      <c r="K256" s="76" t="str">
        <f t="shared" si="120"/>
        <v>revolutum</v>
      </c>
      <c r="L256" s="77">
        <f t="shared" si="120"/>
        <v>6</v>
      </c>
      <c r="M256" s="77">
        <f t="shared" si="120"/>
        <v>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Dec</v>
      </c>
      <c r="C257" s="73">
        <f t="shared" si="115"/>
        <v>2</v>
      </c>
      <c r="D257" s="74">
        <f t="shared" si="98"/>
        <v>19</v>
      </c>
      <c r="E257" s="75">
        <f t="shared" si="99"/>
        <v>8</v>
      </c>
      <c r="F257" s="79"/>
      <c r="G257" s="82"/>
      <c r="H257" s="68" t="str">
        <f t="shared" si="116"/>
        <v>Hyprev6_20201202_19_00</v>
      </c>
      <c r="I257" s="69">
        <f t="shared" si="120"/>
        <v>1</v>
      </c>
      <c r="J257" s="76" t="str">
        <f t="shared" si="120"/>
        <v>Hypericum</v>
      </c>
      <c r="K257" s="76" t="str">
        <f t="shared" si="120"/>
        <v>revolutum</v>
      </c>
      <c r="L257" s="77">
        <f t="shared" si="120"/>
        <v>6</v>
      </c>
      <c r="M257" s="77">
        <f t="shared" si="120"/>
        <v>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Dec</v>
      </c>
      <c r="C258" s="73">
        <f t="shared" si="115"/>
        <v>2</v>
      </c>
      <c r="D258" s="74">
        <f t="shared" si="98"/>
        <v>19</v>
      </c>
      <c r="E258" s="75">
        <f t="shared" si="99"/>
        <v>9</v>
      </c>
      <c r="F258" s="79"/>
      <c r="G258" s="82"/>
      <c r="H258" s="68" t="str">
        <f t="shared" si="116"/>
        <v>Hyprev6_20201202_19_00</v>
      </c>
      <c r="I258" s="69">
        <f t="shared" si="120"/>
        <v>1</v>
      </c>
      <c r="J258" s="76" t="str">
        <f t="shared" si="120"/>
        <v>Hypericum</v>
      </c>
      <c r="K258" s="76" t="str">
        <f t="shared" si="120"/>
        <v>revolutum</v>
      </c>
      <c r="L258" s="77">
        <f t="shared" si="120"/>
        <v>6</v>
      </c>
      <c r="M258" s="77">
        <f t="shared" si="120"/>
        <v>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Dec</v>
      </c>
      <c r="C259" s="73">
        <f t="shared" si="115"/>
        <v>2</v>
      </c>
      <c r="D259" s="74">
        <f t="shared" si="98"/>
        <v>19</v>
      </c>
      <c r="E259" s="75">
        <f t="shared" si="99"/>
        <v>10</v>
      </c>
      <c r="F259" s="79"/>
      <c r="G259" s="82"/>
      <c r="H259" s="68" t="str">
        <f t="shared" si="116"/>
        <v>Hyprev6_20201202_19_00</v>
      </c>
      <c r="I259" s="69">
        <f t="shared" si="120"/>
        <v>1</v>
      </c>
      <c r="J259" s="76" t="str">
        <f t="shared" si="120"/>
        <v>Hypericum</v>
      </c>
      <c r="K259" s="76" t="str">
        <f t="shared" si="120"/>
        <v>revolutum</v>
      </c>
      <c r="L259" s="77">
        <f t="shared" si="120"/>
        <v>6</v>
      </c>
      <c r="M259" s="77">
        <f t="shared" si="120"/>
        <v>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Dec</v>
      </c>
      <c r="C260" s="73">
        <f t="shared" si="115"/>
        <v>2</v>
      </c>
      <c r="D260" s="74">
        <f t="shared" ref="D260:D323" si="128">IF(IF(E259=59,D259+1,D259)=24,0,IF(E259=59,D259+1,D259))</f>
        <v>19</v>
      </c>
      <c r="E260" s="75">
        <f t="shared" ref="E260:E323" si="129">IF(E259&lt;59,E259+1,0)</f>
        <v>11</v>
      </c>
      <c r="F260" s="79"/>
      <c r="G260" s="82"/>
      <c r="H260" s="68" t="str">
        <f t="shared" si="116"/>
        <v>Hyprev6_20201202_19_00</v>
      </c>
      <c r="I260" s="69">
        <f t="shared" si="120"/>
        <v>1</v>
      </c>
      <c r="J260" s="76" t="str">
        <f t="shared" si="120"/>
        <v>Hypericum</v>
      </c>
      <c r="K260" s="76" t="str">
        <f t="shared" si="120"/>
        <v>revolutum</v>
      </c>
      <c r="L260" s="77">
        <f t="shared" si="120"/>
        <v>6</v>
      </c>
      <c r="M260" s="77">
        <f t="shared" si="120"/>
        <v>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Dec</v>
      </c>
      <c r="C261" s="73">
        <f t="shared" ref="C261:C324" si="145">IF(AND(D261=0, E261=0), IF(TEXT(C260,"dd")=TEXT(EOMONTH(DATE(A260,MONTH(DATEVALUE(B260&amp;"1")),C260),0), "dd"), 1, C260+1), C260)</f>
        <v>2</v>
      </c>
      <c r="D261" s="74">
        <f t="shared" si="128"/>
        <v>19</v>
      </c>
      <c r="E261" s="75">
        <f t="shared" si="129"/>
        <v>12</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Hyprev6_20201202_19_00</v>
      </c>
      <c r="I261" s="69">
        <f t="shared" ref="I261:N276" si="147">I260</f>
        <v>1</v>
      </c>
      <c r="J261" s="76" t="str">
        <f t="shared" si="147"/>
        <v>Hypericum</v>
      </c>
      <c r="K261" s="76" t="str">
        <f t="shared" si="147"/>
        <v>revolutum</v>
      </c>
      <c r="L261" s="77">
        <f t="shared" si="147"/>
        <v>6</v>
      </c>
      <c r="M261" s="77">
        <f t="shared" si="14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Dec</v>
      </c>
      <c r="C262" s="73">
        <f t="shared" si="145"/>
        <v>2</v>
      </c>
      <c r="D262" s="74">
        <f t="shared" si="128"/>
        <v>19</v>
      </c>
      <c r="E262" s="75">
        <f t="shared" si="129"/>
        <v>13</v>
      </c>
      <c r="F262" s="79"/>
      <c r="G262" s="82"/>
      <c r="H262" s="68" t="str">
        <f t="shared" si="146"/>
        <v>Hyprev6_20201202_19_00</v>
      </c>
      <c r="I262" s="69">
        <f t="shared" si="147"/>
        <v>1</v>
      </c>
      <c r="J262" s="76" t="str">
        <f t="shared" si="147"/>
        <v>Hypericum</v>
      </c>
      <c r="K262" s="76" t="str">
        <f t="shared" si="147"/>
        <v>revolutum</v>
      </c>
      <c r="L262" s="77">
        <f t="shared" si="147"/>
        <v>6</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Dec</v>
      </c>
      <c r="C263" s="73">
        <f t="shared" si="145"/>
        <v>2</v>
      </c>
      <c r="D263" s="74">
        <f t="shared" si="128"/>
        <v>19</v>
      </c>
      <c r="E263" s="75">
        <f t="shared" si="129"/>
        <v>14</v>
      </c>
      <c r="F263" s="79"/>
      <c r="G263" s="82"/>
      <c r="H263" s="68" t="str">
        <f t="shared" si="146"/>
        <v>Hyprev6_20201202_19_00</v>
      </c>
      <c r="I263" s="69">
        <f t="shared" si="147"/>
        <v>1</v>
      </c>
      <c r="J263" s="76" t="str">
        <f t="shared" si="147"/>
        <v>Hypericum</v>
      </c>
      <c r="K263" s="76" t="str">
        <f t="shared" si="147"/>
        <v>revolutum</v>
      </c>
      <c r="L263" s="77">
        <f t="shared" si="147"/>
        <v>6</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Dec</v>
      </c>
      <c r="C264" s="73">
        <f t="shared" si="145"/>
        <v>2</v>
      </c>
      <c r="D264" s="74">
        <f t="shared" si="128"/>
        <v>19</v>
      </c>
      <c r="E264" s="75">
        <f t="shared" si="129"/>
        <v>15</v>
      </c>
      <c r="F264" s="79"/>
      <c r="G264" s="82"/>
      <c r="H264" s="68" t="str">
        <f t="shared" si="146"/>
        <v>Hyprev6_20201202_19_00</v>
      </c>
      <c r="I264" s="69">
        <f t="shared" si="147"/>
        <v>1</v>
      </c>
      <c r="J264" s="76" t="str">
        <f t="shared" si="147"/>
        <v>Hypericum</v>
      </c>
      <c r="K264" s="76" t="str">
        <f t="shared" si="147"/>
        <v>revolutum</v>
      </c>
      <c r="L264" s="77">
        <f t="shared" si="147"/>
        <v>6</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Dec</v>
      </c>
      <c r="C265" s="73">
        <f t="shared" si="145"/>
        <v>2</v>
      </c>
      <c r="D265" s="74">
        <f t="shared" si="128"/>
        <v>19</v>
      </c>
      <c r="E265" s="75">
        <f t="shared" si="129"/>
        <v>16</v>
      </c>
      <c r="F265" s="79"/>
      <c r="G265" s="82"/>
      <c r="H265" s="68" t="str">
        <f t="shared" si="146"/>
        <v>Hyprev6_20201202_19_00</v>
      </c>
      <c r="I265" s="69">
        <f t="shared" si="147"/>
        <v>1</v>
      </c>
      <c r="J265" s="76" t="str">
        <f t="shared" si="147"/>
        <v>Hypericum</v>
      </c>
      <c r="K265" s="76" t="str">
        <f t="shared" si="147"/>
        <v>revolutum</v>
      </c>
      <c r="L265" s="77">
        <f t="shared" si="147"/>
        <v>6</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Dec</v>
      </c>
      <c r="C266" s="73">
        <f t="shared" si="145"/>
        <v>2</v>
      </c>
      <c r="D266" s="74">
        <f t="shared" si="128"/>
        <v>19</v>
      </c>
      <c r="E266" s="75">
        <f t="shared" si="129"/>
        <v>17</v>
      </c>
      <c r="F266" s="79"/>
      <c r="G266" s="82"/>
      <c r="H266" s="68" t="str">
        <f t="shared" si="146"/>
        <v>Hyprev6_20201202_19_00</v>
      </c>
      <c r="I266" s="69">
        <f t="shared" si="147"/>
        <v>1</v>
      </c>
      <c r="J266" s="76" t="str">
        <f t="shared" si="147"/>
        <v>Hypericum</v>
      </c>
      <c r="K266" s="76" t="str">
        <f t="shared" si="147"/>
        <v>revolutum</v>
      </c>
      <c r="L266" s="77">
        <f t="shared" si="147"/>
        <v>6</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Dec</v>
      </c>
      <c r="C267" s="73">
        <f t="shared" si="145"/>
        <v>2</v>
      </c>
      <c r="D267" s="74">
        <f t="shared" si="128"/>
        <v>19</v>
      </c>
      <c r="E267" s="75">
        <f t="shared" si="129"/>
        <v>18</v>
      </c>
      <c r="F267" s="79"/>
      <c r="G267" s="82"/>
      <c r="H267" s="68" t="str">
        <f t="shared" si="146"/>
        <v>Hyprev6_20201202_19_00</v>
      </c>
      <c r="I267" s="69">
        <f t="shared" si="147"/>
        <v>1</v>
      </c>
      <c r="J267" s="76" t="str">
        <f t="shared" si="147"/>
        <v>Hypericum</v>
      </c>
      <c r="K267" s="76" t="str">
        <f t="shared" si="147"/>
        <v>revolutum</v>
      </c>
      <c r="L267" s="77">
        <f t="shared" si="147"/>
        <v>6</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Dec</v>
      </c>
      <c r="C268" s="73">
        <f t="shared" si="145"/>
        <v>2</v>
      </c>
      <c r="D268" s="74">
        <f t="shared" si="128"/>
        <v>19</v>
      </c>
      <c r="E268" s="75">
        <f t="shared" si="129"/>
        <v>19</v>
      </c>
      <c r="F268" s="79"/>
      <c r="G268" s="82"/>
      <c r="H268" s="68" t="str">
        <f t="shared" si="146"/>
        <v>Hyprev6_20201202_19_00</v>
      </c>
      <c r="I268" s="69">
        <f t="shared" si="147"/>
        <v>1</v>
      </c>
      <c r="J268" s="76" t="str">
        <f t="shared" si="147"/>
        <v>Hypericum</v>
      </c>
      <c r="K268" s="76" t="str">
        <f t="shared" si="147"/>
        <v>revolutum</v>
      </c>
      <c r="L268" s="77">
        <f t="shared" si="147"/>
        <v>6</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Dec</v>
      </c>
      <c r="C269" s="73">
        <f t="shared" si="145"/>
        <v>2</v>
      </c>
      <c r="D269" s="74">
        <f t="shared" si="128"/>
        <v>19</v>
      </c>
      <c r="E269" s="75">
        <f t="shared" si="129"/>
        <v>20</v>
      </c>
      <c r="F269" s="79"/>
      <c r="G269" s="82"/>
      <c r="H269" s="68" t="str">
        <f t="shared" si="146"/>
        <v>Hyprev6_20201202_19_00</v>
      </c>
      <c r="I269" s="69">
        <f t="shared" si="147"/>
        <v>1</v>
      </c>
      <c r="J269" s="76" t="str">
        <f t="shared" si="147"/>
        <v>Hypericum</v>
      </c>
      <c r="K269" s="76" t="str">
        <f t="shared" si="147"/>
        <v>revolutum</v>
      </c>
      <c r="L269" s="77">
        <f t="shared" si="147"/>
        <v>6</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Dec</v>
      </c>
      <c r="C270" s="73">
        <f t="shared" si="145"/>
        <v>2</v>
      </c>
      <c r="D270" s="74">
        <f t="shared" si="128"/>
        <v>19</v>
      </c>
      <c r="E270" s="75">
        <f t="shared" si="129"/>
        <v>21</v>
      </c>
      <c r="F270" s="79"/>
      <c r="G270" s="82"/>
      <c r="H270" s="68" t="str">
        <f t="shared" si="146"/>
        <v>Hyprev6_20201202_19_00</v>
      </c>
      <c r="I270" s="69">
        <f t="shared" si="147"/>
        <v>1</v>
      </c>
      <c r="J270" s="76" t="str">
        <f t="shared" si="147"/>
        <v>Hypericum</v>
      </c>
      <c r="K270" s="76" t="str">
        <f t="shared" si="147"/>
        <v>revolutum</v>
      </c>
      <c r="L270" s="77">
        <f t="shared" si="147"/>
        <v>6</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Dec</v>
      </c>
      <c r="C271" s="73">
        <f t="shared" si="145"/>
        <v>2</v>
      </c>
      <c r="D271" s="74">
        <f t="shared" si="128"/>
        <v>19</v>
      </c>
      <c r="E271" s="75">
        <f t="shared" si="129"/>
        <v>22</v>
      </c>
      <c r="F271" s="79"/>
      <c r="G271" s="82"/>
      <c r="H271" s="68" t="str">
        <f t="shared" si="146"/>
        <v>Hyprev6_20201202_19_00</v>
      </c>
      <c r="I271" s="69">
        <f t="shared" si="147"/>
        <v>1</v>
      </c>
      <c r="J271" s="76" t="str">
        <f t="shared" si="147"/>
        <v>Hypericum</v>
      </c>
      <c r="K271" s="76" t="str">
        <f t="shared" si="147"/>
        <v>revolutum</v>
      </c>
      <c r="L271" s="77">
        <f t="shared" si="147"/>
        <v>6</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Dec</v>
      </c>
      <c r="C272" s="73">
        <f t="shared" si="145"/>
        <v>2</v>
      </c>
      <c r="D272" s="74">
        <f t="shared" si="128"/>
        <v>19</v>
      </c>
      <c r="E272" s="75">
        <f t="shared" si="129"/>
        <v>23</v>
      </c>
      <c r="F272" s="79"/>
      <c r="G272" s="82"/>
      <c r="H272" s="68" t="str">
        <f t="shared" si="146"/>
        <v>Hyprev6_20201202_19_00</v>
      </c>
      <c r="I272" s="69">
        <f t="shared" si="147"/>
        <v>1</v>
      </c>
      <c r="J272" s="76" t="str">
        <f t="shared" si="147"/>
        <v>Hypericum</v>
      </c>
      <c r="K272" s="76" t="str">
        <f t="shared" si="147"/>
        <v>revolutum</v>
      </c>
      <c r="L272" s="77">
        <f t="shared" si="147"/>
        <v>6</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Dec</v>
      </c>
      <c r="C273" s="73">
        <f t="shared" si="145"/>
        <v>2</v>
      </c>
      <c r="D273" s="74">
        <f t="shared" si="128"/>
        <v>19</v>
      </c>
      <c r="E273" s="75">
        <f t="shared" si="129"/>
        <v>24</v>
      </c>
      <c r="F273" s="79"/>
      <c r="G273" s="82"/>
      <c r="H273" s="68" t="str">
        <f t="shared" si="146"/>
        <v>Hyprev6_20201202_19_00</v>
      </c>
      <c r="I273" s="69">
        <f t="shared" si="147"/>
        <v>1</v>
      </c>
      <c r="J273" s="76" t="str">
        <f t="shared" si="147"/>
        <v>Hypericum</v>
      </c>
      <c r="K273" s="76" t="str">
        <f t="shared" si="147"/>
        <v>revolutum</v>
      </c>
      <c r="L273" s="77">
        <f t="shared" si="147"/>
        <v>6</v>
      </c>
      <c r="M273" s="77">
        <f t="shared" si="147"/>
        <v>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Dec</v>
      </c>
      <c r="C274" s="73">
        <f t="shared" si="145"/>
        <v>2</v>
      </c>
      <c r="D274" s="74">
        <f t="shared" si="128"/>
        <v>19</v>
      </c>
      <c r="E274" s="75">
        <f t="shared" si="129"/>
        <v>25</v>
      </c>
      <c r="F274" s="79"/>
      <c r="G274" s="82"/>
      <c r="H274" s="68" t="str">
        <f t="shared" si="146"/>
        <v>Hyprev6_20201202_19_00</v>
      </c>
      <c r="I274" s="69">
        <f t="shared" si="147"/>
        <v>1</v>
      </c>
      <c r="J274" s="76" t="str">
        <f t="shared" si="147"/>
        <v>Hypericum</v>
      </c>
      <c r="K274" s="76" t="str">
        <f t="shared" si="147"/>
        <v>revolutum</v>
      </c>
      <c r="L274" s="77">
        <f t="shared" si="147"/>
        <v>6</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Dec</v>
      </c>
      <c r="C275" s="73">
        <f t="shared" si="145"/>
        <v>2</v>
      </c>
      <c r="D275" s="74">
        <f t="shared" si="128"/>
        <v>19</v>
      </c>
      <c r="E275" s="75">
        <f t="shared" si="129"/>
        <v>26</v>
      </c>
      <c r="F275" s="79"/>
      <c r="G275" s="82"/>
      <c r="H275" s="68" t="str">
        <f t="shared" si="146"/>
        <v>Hyprev6_20201202_19_00</v>
      </c>
      <c r="I275" s="69">
        <f t="shared" si="147"/>
        <v>1</v>
      </c>
      <c r="J275" s="76" t="str">
        <f t="shared" si="147"/>
        <v>Hypericum</v>
      </c>
      <c r="K275" s="76" t="str">
        <f t="shared" si="147"/>
        <v>revolutum</v>
      </c>
      <c r="L275" s="77">
        <f t="shared" si="147"/>
        <v>6</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Dec</v>
      </c>
      <c r="C276" s="73">
        <f t="shared" si="145"/>
        <v>2</v>
      </c>
      <c r="D276" s="74">
        <f t="shared" si="128"/>
        <v>19</v>
      </c>
      <c r="E276" s="75">
        <f t="shared" si="129"/>
        <v>27</v>
      </c>
      <c r="F276" s="79"/>
      <c r="G276" s="82"/>
      <c r="H276" s="68" t="str">
        <f t="shared" si="146"/>
        <v>Hyprev6_20201202_19_00</v>
      </c>
      <c r="I276" s="69">
        <f t="shared" si="147"/>
        <v>1</v>
      </c>
      <c r="J276" s="76" t="str">
        <f t="shared" si="147"/>
        <v>Hypericum</v>
      </c>
      <c r="K276" s="76" t="str">
        <f t="shared" si="147"/>
        <v>revolutum</v>
      </c>
      <c r="L276" s="77">
        <f t="shared" si="147"/>
        <v>6</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Dec</v>
      </c>
      <c r="C277" s="73">
        <f t="shared" si="145"/>
        <v>2</v>
      </c>
      <c r="D277" s="74">
        <f t="shared" si="128"/>
        <v>19</v>
      </c>
      <c r="E277" s="75">
        <f t="shared" si="129"/>
        <v>28</v>
      </c>
      <c r="F277" s="79"/>
      <c r="G277" s="82"/>
      <c r="H277" s="68" t="str">
        <f t="shared" si="146"/>
        <v>Hyprev6_20201202_19_00</v>
      </c>
      <c r="I277" s="69">
        <f t="shared" ref="I277:N292" si="148">I276</f>
        <v>1</v>
      </c>
      <c r="J277" s="76" t="str">
        <f t="shared" si="148"/>
        <v>Hypericum</v>
      </c>
      <c r="K277" s="76" t="str">
        <f t="shared" si="148"/>
        <v>revolutum</v>
      </c>
      <c r="L277" s="77">
        <f t="shared" si="148"/>
        <v>6</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Dec</v>
      </c>
      <c r="C278" s="73">
        <f t="shared" si="145"/>
        <v>2</v>
      </c>
      <c r="D278" s="74">
        <f t="shared" si="128"/>
        <v>19</v>
      </c>
      <c r="E278" s="75">
        <f t="shared" si="129"/>
        <v>29</v>
      </c>
      <c r="F278" s="79"/>
      <c r="G278" s="82"/>
      <c r="H278" s="68" t="str">
        <f t="shared" si="146"/>
        <v>Hyprev6_20201202_19_00</v>
      </c>
      <c r="I278" s="69">
        <f t="shared" si="148"/>
        <v>1</v>
      </c>
      <c r="J278" s="76" t="str">
        <f t="shared" si="148"/>
        <v>Hypericum</v>
      </c>
      <c r="K278" s="76" t="str">
        <f t="shared" si="148"/>
        <v>revolutum</v>
      </c>
      <c r="L278" s="77">
        <f t="shared" si="148"/>
        <v>6</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Dec</v>
      </c>
      <c r="C279" s="73">
        <f t="shared" si="145"/>
        <v>2</v>
      </c>
      <c r="D279" s="74">
        <f t="shared" si="128"/>
        <v>19</v>
      </c>
      <c r="E279" s="75">
        <f t="shared" si="129"/>
        <v>30</v>
      </c>
      <c r="F279" s="79"/>
      <c r="G279" s="82"/>
      <c r="H279" s="68" t="str">
        <f t="shared" si="146"/>
        <v>Hyprev6_20201202_19_00</v>
      </c>
      <c r="I279" s="69">
        <f t="shared" si="148"/>
        <v>1</v>
      </c>
      <c r="J279" s="76" t="str">
        <f t="shared" si="148"/>
        <v>Hypericum</v>
      </c>
      <c r="K279" s="76" t="str">
        <f t="shared" si="148"/>
        <v>revolutum</v>
      </c>
      <c r="L279" s="77">
        <f t="shared" si="148"/>
        <v>6</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Dec</v>
      </c>
      <c r="C280" s="73">
        <f t="shared" si="145"/>
        <v>2</v>
      </c>
      <c r="D280" s="74">
        <f t="shared" si="128"/>
        <v>19</v>
      </c>
      <c r="E280" s="75">
        <f t="shared" si="129"/>
        <v>31</v>
      </c>
      <c r="F280" s="79"/>
      <c r="G280" s="82"/>
      <c r="H280" s="68" t="str">
        <f t="shared" si="146"/>
        <v>Hyprev6_20201202_19_00</v>
      </c>
      <c r="I280" s="69">
        <f t="shared" si="148"/>
        <v>1</v>
      </c>
      <c r="J280" s="76" t="str">
        <f t="shared" si="148"/>
        <v>Hypericum</v>
      </c>
      <c r="K280" s="76" t="str">
        <f t="shared" si="148"/>
        <v>revolutum</v>
      </c>
      <c r="L280" s="77">
        <f t="shared" si="148"/>
        <v>6</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Dec</v>
      </c>
      <c r="C281" s="73">
        <f t="shared" si="145"/>
        <v>2</v>
      </c>
      <c r="D281" s="74">
        <f t="shared" si="128"/>
        <v>19</v>
      </c>
      <c r="E281" s="75">
        <f t="shared" si="129"/>
        <v>32</v>
      </c>
      <c r="F281" s="79"/>
      <c r="G281" s="82"/>
      <c r="H281" s="68" t="str">
        <f t="shared" si="146"/>
        <v>Hyprev6_20201202_19_00</v>
      </c>
      <c r="I281" s="69">
        <f t="shared" si="148"/>
        <v>1</v>
      </c>
      <c r="J281" s="76" t="str">
        <f t="shared" si="148"/>
        <v>Hypericum</v>
      </c>
      <c r="K281" s="76" t="str">
        <f t="shared" si="148"/>
        <v>revolutum</v>
      </c>
      <c r="L281" s="77">
        <f t="shared" si="148"/>
        <v>6</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Dec</v>
      </c>
      <c r="C282" s="73">
        <f t="shared" si="145"/>
        <v>2</v>
      </c>
      <c r="D282" s="74">
        <f t="shared" si="128"/>
        <v>19</v>
      </c>
      <c r="E282" s="75">
        <f t="shared" si="129"/>
        <v>33</v>
      </c>
      <c r="F282" s="79"/>
      <c r="G282" s="82"/>
      <c r="H282" s="68" t="str">
        <f t="shared" si="146"/>
        <v>Hyprev6_20201202_19_00</v>
      </c>
      <c r="I282" s="69">
        <f t="shared" si="148"/>
        <v>1</v>
      </c>
      <c r="J282" s="76" t="str">
        <f t="shared" si="148"/>
        <v>Hypericum</v>
      </c>
      <c r="K282" s="76" t="str">
        <f t="shared" si="148"/>
        <v>revolutum</v>
      </c>
      <c r="L282" s="77">
        <f t="shared" si="148"/>
        <v>6</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Dec</v>
      </c>
      <c r="C283" s="73">
        <f t="shared" si="145"/>
        <v>2</v>
      </c>
      <c r="D283" s="74">
        <f t="shared" si="128"/>
        <v>19</v>
      </c>
      <c r="E283" s="75">
        <f t="shared" si="129"/>
        <v>34</v>
      </c>
      <c r="F283" s="79"/>
      <c r="G283" s="82"/>
      <c r="H283" s="68" t="str">
        <f t="shared" si="146"/>
        <v>Hyprev6_20201202_19_00</v>
      </c>
      <c r="I283" s="69">
        <f t="shared" si="148"/>
        <v>1</v>
      </c>
      <c r="J283" s="76" t="str">
        <f t="shared" si="148"/>
        <v>Hypericum</v>
      </c>
      <c r="K283" s="76" t="str">
        <f t="shared" si="148"/>
        <v>revolutum</v>
      </c>
      <c r="L283" s="77">
        <f t="shared" si="148"/>
        <v>6</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Dec</v>
      </c>
      <c r="C284" s="73">
        <f t="shared" si="145"/>
        <v>2</v>
      </c>
      <c r="D284" s="74">
        <f t="shared" si="128"/>
        <v>19</v>
      </c>
      <c r="E284" s="75">
        <f t="shared" si="129"/>
        <v>35</v>
      </c>
      <c r="F284" s="79"/>
      <c r="G284" s="82"/>
      <c r="H284" s="68" t="str">
        <f t="shared" si="146"/>
        <v>Hyprev6_20201202_19_00</v>
      </c>
      <c r="I284" s="69">
        <f t="shared" si="148"/>
        <v>1</v>
      </c>
      <c r="J284" s="76" t="str">
        <f t="shared" si="148"/>
        <v>Hypericum</v>
      </c>
      <c r="K284" s="76" t="str">
        <f t="shared" si="148"/>
        <v>revolutum</v>
      </c>
      <c r="L284" s="77">
        <f t="shared" si="148"/>
        <v>6</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Dec</v>
      </c>
      <c r="C285" s="73">
        <f t="shared" si="145"/>
        <v>2</v>
      </c>
      <c r="D285" s="74">
        <f t="shared" si="128"/>
        <v>19</v>
      </c>
      <c r="E285" s="75">
        <f t="shared" si="129"/>
        <v>36</v>
      </c>
      <c r="F285" s="79"/>
      <c r="G285" s="82"/>
      <c r="H285" s="68" t="str">
        <f t="shared" si="146"/>
        <v>Hyprev6_20201202_19_00</v>
      </c>
      <c r="I285" s="69">
        <f t="shared" si="148"/>
        <v>1</v>
      </c>
      <c r="J285" s="76" t="str">
        <f t="shared" si="148"/>
        <v>Hypericum</v>
      </c>
      <c r="K285" s="76" t="str">
        <f t="shared" si="148"/>
        <v>revolutum</v>
      </c>
      <c r="L285" s="77">
        <f t="shared" si="148"/>
        <v>6</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Dec</v>
      </c>
      <c r="C286" s="73">
        <f t="shared" si="145"/>
        <v>2</v>
      </c>
      <c r="D286" s="74">
        <f t="shared" si="128"/>
        <v>19</v>
      </c>
      <c r="E286" s="75">
        <f t="shared" si="129"/>
        <v>37</v>
      </c>
      <c r="F286" s="79"/>
      <c r="G286" s="82"/>
      <c r="H286" s="68" t="str">
        <f t="shared" si="146"/>
        <v>Hyprev6_20201202_19_00</v>
      </c>
      <c r="I286" s="69">
        <f t="shared" si="148"/>
        <v>1</v>
      </c>
      <c r="J286" s="76" t="str">
        <f t="shared" si="148"/>
        <v>Hypericum</v>
      </c>
      <c r="K286" s="76" t="str">
        <f t="shared" si="148"/>
        <v>revolutum</v>
      </c>
      <c r="L286" s="77">
        <f t="shared" si="148"/>
        <v>6</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Dec</v>
      </c>
      <c r="C287" s="73">
        <f t="shared" si="145"/>
        <v>2</v>
      </c>
      <c r="D287" s="74">
        <f t="shared" si="128"/>
        <v>19</v>
      </c>
      <c r="E287" s="75">
        <f t="shared" si="129"/>
        <v>38</v>
      </c>
      <c r="F287" s="79"/>
      <c r="G287" s="82"/>
      <c r="H287" s="68" t="str">
        <f t="shared" si="146"/>
        <v>Hyprev6_20201202_19_00</v>
      </c>
      <c r="I287" s="69">
        <f t="shared" si="148"/>
        <v>1</v>
      </c>
      <c r="J287" s="76" t="str">
        <f t="shared" si="148"/>
        <v>Hypericum</v>
      </c>
      <c r="K287" s="76" t="str">
        <f t="shared" si="148"/>
        <v>revolutum</v>
      </c>
      <c r="L287" s="77">
        <f t="shared" si="148"/>
        <v>6</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Dec</v>
      </c>
      <c r="C288" s="73">
        <f t="shared" si="145"/>
        <v>2</v>
      </c>
      <c r="D288" s="74">
        <f t="shared" si="128"/>
        <v>19</v>
      </c>
      <c r="E288" s="75">
        <f t="shared" si="129"/>
        <v>39</v>
      </c>
      <c r="F288" s="79"/>
      <c r="G288" s="82"/>
      <c r="H288" s="68" t="str">
        <f t="shared" si="146"/>
        <v>Hyprev6_20201202_19_00</v>
      </c>
      <c r="I288" s="69">
        <f t="shared" si="148"/>
        <v>1</v>
      </c>
      <c r="J288" s="76" t="str">
        <f t="shared" si="148"/>
        <v>Hypericum</v>
      </c>
      <c r="K288" s="76" t="str">
        <f t="shared" si="148"/>
        <v>revolutum</v>
      </c>
      <c r="L288" s="77">
        <f t="shared" si="148"/>
        <v>6</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Dec</v>
      </c>
      <c r="C289" s="73">
        <f t="shared" si="145"/>
        <v>2</v>
      </c>
      <c r="D289" s="74">
        <f t="shared" si="128"/>
        <v>19</v>
      </c>
      <c r="E289" s="75">
        <f t="shared" si="129"/>
        <v>40</v>
      </c>
      <c r="F289" s="79"/>
      <c r="G289" s="82"/>
      <c r="H289" s="68" t="str">
        <f t="shared" si="146"/>
        <v>Hyprev6_20201202_19_00</v>
      </c>
      <c r="I289" s="69">
        <f t="shared" si="148"/>
        <v>1</v>
      </c>
      <c r="J289" s="76" t="str">
        <f t="shared" si="148"/>
        <v>Hypericum</v>
      </c>
      <c r="K289" s="76" t="str">
        <f t="shared" si="148"/>
        <v>revolutum</v>
      </c>
      <c r="L289" s="77">
        <f t="shared" si="148"/>
        <v>6</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Dec</v>
      </c>
      <c r="C290" s="73">
        <f t="shared" si="145"/>
        <v>2</v>
      </c>
      <c r="D290" s="74">
        <f t="shared" si="128"/>
        <v>19</v>
      </c>
      <c r="E290" s="75">
        <f t="shared" si="129"/>
        <v>41</v>
      </c>
      <c r="F290" s="79"/>
      <c r="G290" s="82"/>
      <c r="H290" s="68" t="str">
        <f t="shared" si="146"/>
        <v>Hyprev6_20201202_19_00</v>
      </c>
      <c r="I290" s="69">
        <f t="shared" si="148"/>
        <v>1</v>
      </c>
      <c r="J290" s="76" t="str">
        <f t="shared" si="148"/>
        <v>Hypericum</v>
      </c>
      <c r="K290" s="76" t="str">
        <f t="shared" si="148"/>
        <v>revolutum</v>
      </c>
      <c r="L290" s="77">
        <f t="shared" si="148"/>
        <v>6</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Dec</v>
      </c>
      <c r="C291" s="73">
        <f t="shared" si="145"/>
        <v>2</v>
      </c>
      <c r="D291" s="74">
        <f t="shared" si="128"/>
        <v>19</v>
      </c>
      <c r="E291" s="75">
        <f t="shared" si="129"/>
        <v>42</v>
      </c>
      <c r="F291" s="79"/>
      <c r="G291" s="82"/>
      <c r="H291" s="68" t="str">
        <f t="shared" si="146"/>
        <v>Hyprev6_20201202_19_00</v>
      </c>
      <c r="I291" s="69">
        <f t="shared" si="148"/>
        <v>1</v>
      </c>
      <c r="J291" s="76" t="str">
        <f t="shared" si="148"/>
        <v>Hypericum</v>
      </c>
      <c r="K291" s="76" t="str">
        <f t="shared" si="148"/>
        <v>revolutum</v>
      </c>
      <c r="L291" s="77">
        <f t="shared" si="148"/>
        <v>6</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Dec</v>
      </c>
      <c r="C292" s="73">
        <f t="shared" si="145"/>
        <v>2</v>
      </c>
      <c r="D292" s="74">
        <f t="shared" si="128"/>
        <v>19</v>
      </c>
      <c r="E292" s="75">
        <f t="shared" si="129"/>
        <v>43</v>
      </c>
      <c r="F292" s="79"/>
      <c r="G292" s="82"/>
      <c r="H292" s="68" t="str">
        <f t="shared" si="146"/>
        <v>Hyprev6_20201202_19_00</v>
      </c>
      <c r="I292" s="69">
        <f t="shared" si="148"/>
        <v>1</v>
      </c>
      <c r="J292" s="76" t="str">
        <f t="shared" si="148"/>
        <v>Hypericum</v>
      </c>
      <c r="K292" s="76" t="str">
        <f t="shared" si="148"/>
        <v>revolutum</v>
      </c>
      <c r="L292" s="77">
        <f t="shared" si="148"/>
        <v>6</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Dec</v>
      </c>
      <c r="C293" s="73">
        <f t="shared" si="145"/>
        <v>2</v>
      </c>
      <c r="D293" s="74">
        <f t="shared" si="128"/>
        <v>19</v>
      </c>
      <c r="E293" s="75">
        <f t="shared" si="129"/>
        <v>44</v>
      </c>
      <c r="F293" s="79"/>
      <c r="G293" s="82"/>
      <c r="H293" s="68" t="str">
        <f t="shared" si="146"/>
        <v>Hyprev6_20201202_19_00</v>
      </c>
      <c r="I293" s="69">
        <f t="shared" ref="I293:N308" si="149">I292</f>
        <v>1</v>
      </c>
      <c r="J293" s="76" t="str">
        <f t="shared" si="149"/>
        <v>Hypericum</v>
      </c>
      <c r="K293" s="76" t="str">
        <f t="shared" si="149"/>
        <v>revolutum</v>
      </c>
      <c r="L293" s="77">
        <f t="shared" si="149"/>
        <v>6</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Dec</v>
      </c>
      <c r="C294" s="73">
        <f t="shared" si="145"/>
        <v>2</v>
      </c>
      <c r="D294" s="74">
        <f t="shared" si="128"/>
        <v>19</v>
      </c>
      <c r="E294" s="75">
        <f t="shared" si="129"/>
        <v>45</v>
      </c>
      <c r="F294" s="79"/>
      <c r="G294" s="82"/>
      <c r="H294" s="68" t="str">
        <f t="shared" si="146"/>
        <v>Hyprev6_20201202_19_00</v>
      </c>
      <c r="I294" s="69">
        <f t="shared" si="149"/>
        <v>1</v>
      </c>
      <c r="J294" s="76" t="str">
        <f t="shared" si="149"/>
        <v>Hypericum</v>
      </c>
      <c r="K294" s="76" t="str">
        <f t="shared" si="149"/>
        <v>revolutum</v>
      </c>
      <c r="L294" s="77">
        <f t="shared" si="149"/>
        <v>6</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Dec</v>
      </c>
      <c r="C295" s="73">
        <f t="shared" si="145"/>
        <v>2</v>
      </c>
      <c r="D295" s="74">
        <f t="shared" si="128"/>
        <v>19</v>
      </c>
      <c r="E295" s="75">
        <f t="shared" si="129"/>
        <v>46</v>
      </c>
      <c r="F295" s="79"/>
      <c r="G295" s="82"/>
      <c r="H295" s="68" t="str">
        <f t="shared" si="146"/>
        <v>Hyprev6_20201202_19_00</v>
      </c>
      <c r="I295" s="69">
        <f t="shared" si="149"/>
        <v>1</v>
      </c>
      <c r="J295" s="76" t="str">
        <f t="shared" si="149"/>
        <v>Hypericum</v>
      </c>
      <c r="K295" s="76" t="str">
        <f t="shared" si="149"/>
        <v>revolutum</v>
      </c>
      <c r="L295" s="77">
        <f t="shared" si="149"/>
        <v>6</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Dec</v>
      </c>
      <c r="C296" s="73">
        <f t="shared" si="145"/>
        <v>2</v>
      </c>
      <c r="D296" s="74">
        <f t="shared" si="128"/>
        <v>19</v>
      </c>
      <c r="E296" s="75">
        <f t="shared" si="129"/>
        <v>47</v>
      </c>
      <c r="F296" s="79"/>
      <c r="G296" s="82"/>
      <c r="H296" s="68" t="str">
        <f t="shared" si="146"/>
        <v>Hyprev6_20201202_19_00</v>
      </c>
      <c r="I296" s="69">
        <f t="shared" si="149"/>
        <v>1</v>
      </c>
      <c r="J296" s="76" t="str">
        <f t="shared" si="149"/>
        <v>Hypericum</v>
      </c>
      <c r="K296" s="76" t="str">
        <f t="shared" si="149"/>
        <v>revolutum</v>
      </c>
      <c r="L296" s="77">
        <f t="shared" si="149"/>
        <v>6</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Dec</v>
      </c>
      <c r="C297" s="73">
        <f t="shared" si="145"/>
        <v>2</v>
      </c>
      <c r="D297" s="74">
        <f t="shared" si="128"/>
        <v>19</v>
      </c>
      <c r="E297" s="75">
        <f t="shared" si="129"/>
        <v>48</v>
      </c>
      <c r="F297" s="79"/>
      <c r="G297" s="82"/>
      <c r="H297" s="68" t="str">
        <f t="shared" si="146"/>
        <v>Hyprev6_20201202_19_00</v>
      </c>
      <c r="I297" s="69">
        <f t="shared" si="149"/>
        <v>1</v>
      </c>
      <c r="J297" s="76" t="str">
        <f t="shared" si="149"/>
        <v>Hypericum</v>
      </c>
      <c r="K297" s="76" t="str">
        <f t="shared" si="149"/>
        <v>revolutum</v>
      </c>
      <c r="L297" s="77">
        <f t="shared" si="149"/>
        <v>6</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Dec</v>
      </c>
      <c r="C298" s="73">
        <f t="shared" si="145"/>
        <v>2</v>
      </c>
      <c r="D298" s="74">
        <f t="shared" si="128"/>
        <v>19</v>
      </c>
      <c r="E298" s="75">
        <f t="shared" si="129"/>
        <v>49</v>
      </c>
      <c r="F298" s="79"/>
      <c r="G298" s="82"/>
      <c r="H298" s="68" t="str">
        <f t="shared" si="146"/>
        <v>Hyprev6_20201202_19_00</v>
      </c>
      <c r="I298" s="69">
        <f t="shared" si="149"/>
        <v>1</v>
      </c>
      <c r="J298" s="76" t="str">
        <f t="shared" si="149"/>
        <v>Hypericum</v>
      </c>
      <c r="K298" s="76" t="str">
        <f t="shared" si="149"/>
        <v>revolutum</v>
      </c>
      <c r="L298" s="77">
        <f t="shared" si="149"/>
        <v>6</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Dec</v>
      </c>
      <c r="C299" s="73">
        <f t="shared" si="145"/>
        <v>2</v>
      </c>
      <c r="D299" s="74">
        <f t="shared" si="128"/>
        <v>19</v>
      </c>
      <c r="E299" s="75">
        <f t="shared" si="129"/>
        <v>50</v>
      </c>
      <c r="F299" s="79"/>
      <c r="G299" s="82"/>
      <c r="H299" s="68" t="str">
        <f t="shared" si="146"/>
        <v>Hyprev6_20201202_19_00</v>
      </c>
      <c r="I299" s="69">
        <f t="shared" si="149"/>
        <v>1</v>
      </c>
      <c r="J299" s="76" t="str">
        <f t="shared" si="149"/>
        <v>Hypericum</v>
      </c>
      <c r="K299" s="76" t="str">
        <f t="shared" si="149"/>
        <v>revolutum</v>
      </c>
      <c r="L299" s="77">
        <f t="shared" si="149"/>
        <v>6</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Dec</v>
      </c>
      <c r="C300" s="73">
        <f t="shared" si="145"/>
        <v>2</v>
      </c>
      <c r="D300" s="74">
        <f t="shared" si="128"/>
        <v>19</v>
      </c>
      <c r="E300" s="75">
        <f t="shared" si="129"/>
        <v>51</v>
      </c>
      <c r="F300" s="79"/>
      <c r="G300" s="82"/>
      <c r="H300" s="68" t="str">
        <f t="shared" si="146"/>
        <v>Hyprev6_20201202_19_00</v>
      </c>
      <c r="I300" s="69">
        <f t="shared" si="149"/>
        <v>1</v>
      </c>
      <c r="J300" s="76" t="str">
        <f t="shared" si="149"/>
        <v>Hypericum</v>
      </c>
      <c r="K300" s="76" t="str">
        <f t="shared" si="149"/>
        <v>revolutum</v>
      </c>
      <c r="L300" s="77">
        <f t="shared" si="149"/>
        <v>6</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Dec</v>
      </c>
      <c r="C301" s="73">
        <f t="shared" si="145"/>
        <v>2</v>
      </c>
      <c r="D301" s="74">
        <f t="shared" si="128"/>
        <v>19</v>
      </c>
      <c r="E301" s="75">
        <f t="shared" si="129"/>
        <v>52</v>
      </c>
      <c r="F301" s="79"/>
      <c r="G301" s="82"/>
      <c r="H301" s="68" t="str">
        <f t="shared" si="146"/>
        <v>Hyprev6_20201202_19_00</v>
      </c>
      <c r="I301" s="69">
        <f t="shared" si="149"/>
        <v>1</v>
      </c>
      <c r="J301" s="76" t="str">
        <f t="shared" si="149"/>
        <v>Hypericum</v>
      </c>
      <c r="K301" s="76" t="str">
        <f t="shared" si="149"/>
        <v>revolutum</v>
      </c>
      <c r="L301" s="77">
        <f t="shared" si="149"/>
        <v>6</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Dec</v>
      </c>
      <c r="C302" s="73">
        <f t="shared" si="145"/>
        <v>2</v>
      </c>
      <c r="D302" s="74">
        <f t="shared" si="128"/>
        <v>19</v>
      </c>
      <c r="E302" s="75">
        <f t="shared" si="129"/>
        <v>53</v>
      </c>
      <c r="F302" s="79"/>
      <c r="G302" s="82"/>
      <c r="H302" s="68" t="str">
        <f t="shared" si="146"/>
        <v>Hyprev6_20201202_19_00</v>
      </c>
      <c r="I302" s="69">
        <f t="shared" si="149"/>
        <v>1</v>
      </c>
      <c r="J302" s="76" t="str">
        <f t="shared" si="149"/>
        <v>Hypericum</v>
      </c>
      <c r="K302" s="76" t="str">
        <f t="shared" si="149"/>
        <v>revolutum</v>
      </c>
      <c r="L302" s="77">
        <f t="shared" si="149"/>
        <v>6</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Dec</v>
      </c>
      <c r="C303" s="73">
        <f t="shared" si="145"/>
        <v>2</v>
      </c>
      <c r="D303" s="74">
        <f t="shared" si="128"/>
        <v>19</v>
      </c>
      <c r="E303" s="75">
        <f t="shared" si="129"/>
        <v>54</v>
      </c>
      <c r="F303" s="79"/>
      <c r="G303" s="82"/>
      <c r="H303" s="68" t="str">
        <f t="shared" si="146"/>
        <v>Hyprev6_20201202_19_00</v>
      </c>
      <c r="I303" s="69">
        <f t="shared" si="149"/>
        <v>1</v>
      </c>
      <c r="J303" s="76" t="str">
        <f t="shared" si="149"/>
        <v>Hypericum</v>
      </c>
      <c r="K303" s="76" t="str">
        <f t="shared" si="149"/>
        <v>revolutum</v>
      </c>
      <c r="L303" s="77">
        <f t="shared" si="149"/>
        <v>6</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Dec</v>
      </c>
      <c r="C304" s="73">
        <f t="shared" si="145"/>
        <v>2</v>
      </c>
      <c r="D304" s="74">
        <f t="shared" si="128"/>
        <v>19</v>
      </c>
      <c r="E304" s="75">
        <f t="shared" si="129"/>
        <v>55</v>
      </c>
      <c r="F304" s="79"/>
      <c r="G304" s="82"/>
      <c r="H304" s="68" t="str">
        <f t="shared" si="146"/>
        <v>Hyprev6_20201202_19_00</v>
      </c>
      <c r="I304" s="69">
        <f t="shared" si="149"/>
        <v>1</v>
      </c>
      <c r="J304" s="76" t="str">
        <f t="shared" si="149"/>
        <v>Hypericum</v>
      </c>
      <c r="K304" s="76" t="str">
        <f t="shared" si="149"/>
        <v>revolutum</v>
      </c>
      <c r="L304" s="77">
        <f t="shared" si="149"/>
        <v>6</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Dec</v>
      </c>
      <c r="C305" s="73">
        <f t="shared" si="145"/>
        <v>2</v>
      </c>
      <c r="D305" s="74">
        <f t="shared" si="128"/>
        <v>19</v>
      </c>
      <c r="E305" s="75">
        <f t="shared" si="129"/>
        <v>56</v>
      </c>
      <c r="F305" s="79"/>
      <c r="G305" s="82"/>
      <c r="H305" s="68" t="str">
        <f t="shared" si="146"/>
        <v>Hyprev6_20201202_19_00</v>
      </c>
      <c r="I305" s="69">
        <f t="shared" si="149"/>
        <v>1</v>
      </c>
      <c r="J305" s="76" t="str">
        <f t="shared" si="149"/>
        <v>Hypericum</v>
      </c>
      <c r="K305" s="76" t="str">
        <f t="shared" si="149"/>
        <v>revolutum</v>
      </c>
      <c r="L305" s="77">
        <f t="shared" si="149"/>
        <v>6</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Dec</v>
      </c>
      <c r="C306" s="73">
        <f t="shared" si="145"/>
        <v>2</v>
      </c>
      <c r="D306" s="74">
        <f t="shared" si="128"/>
        <v>19</v>
      </c>
      <c r="E306" s="75">
        <f t="shared" si="129"/>
        <v>57</v>
      </c>
      <c r="F306" s="79"/>
      <c r="G306" s="82"/>
      <c r="H306" s="68" t="str">
        <f t="shared" si="146"/>
        <v>Hyprev6_20201202_19_00</v>
      </c>
      <c r="I306" s="69">
        <f t="shared" si="149"/>
        <v>1</v>
      </c>
      <c r="J306" s="76" t="str">
        <f t="shared" si="149"/>
        <v>Hypericum</v>
      </c>
      <c r="K306" s="76" t="str">
        <f t="shared" si="149"/>
        <v>revolutum</v>
      </c>
      <c r="L306" s="77">
        <f t="shared" si="149"/>
        <v>6</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Dec</v>
      </c>
      <c r="C307" s="73">
        <f t="shared" si="145"/>
        <v>2</v>
      </c>
      <c r="D307" s="74">
        <f t="shared" si="128"/>
        <v>19</v>
      </c>
      <c r="E307" s="75">
        <f t="shared" si="129"/>
        <v>58</v>
      </c>
      <c r="F307" s="79"/>
      <c r="G307" s="82"/>
      <c r="H307" s="68" t="str">
        <f t="shared" si="146"/>
        <v>Hyprev6_20201202_19_00</v>
      </c>
      <c r="I307" s="69">
        <f t="shared" si="149"/>
        <v>1</v>
      </c>
      <c r="J307" s="76" t="str">
        <f t="shared" si="149"/>
        <v>Hypericum</v>
      </c>
      <c r="K307" s="76" t="str">
        <f t="shared" si="149"/>
        <v>revolutum</v>
      </c>
      <c r="L307" s="77">
        <f t="shared" si="149"/>
        <v>6</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Dec</v>
      </c>
      <c r="C308" s="73">
        <f t="shared" si="145"/>
        <v>2</v>
      </c>
      <c r="D308" s="74">
        <f t="shared" si="128"/>
        <v>19</v>
      </c>
      <c r="E308" s="75">
        <f t="shared" si="129"/>
        <v>59</v>
      </c>
      <c r="F308" s="79"/>
      <c r="G308" s="82"/>
      <c r="H308" s="68" t="str">
        <f t="shared" si="146"/>
        <v>Hyprev6_20201202_19_00</v>
      </c>
      <c r="I308" s="69">
        <f t="shared" si="149"/>
        <v>1</v>
      </c>
      <c r="J308" s="76" t="str">
        <f t="shared" si="149"/>
        <v>Hypericum</v>
      </c>
      <c r="K308" s="76" t="str">
        <f t="shared" si="149"/>
        <v>revolutum</v>
      </c>
      <c r="L308" s="77">
        <f t="shared" si="149"/>
        <v>6</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Dec</v>
      </c>
      <c r="C309" s="73">
        <f t="shared" si="145"/>
        <v>2</v>
      </c>
      <c r="D309" s="74">
        <f t="shared" si="128"/>
        <v>20</v>
      </c>
      <c r="E309" s="75">
        <f t="shared" si="129"/>
        <v>0</v>
      </c>
      <c r="F309" s="79"/>
      <c r="G309" s="82"/>
      <c r="H309" s="68" t="str">
        <f t="shared" si="146"/>
        <v>Hyprev6_20201202_20_00</v>
      </c>
      <c r="I309" s="69">
        <f t="shared" ref="I309:N324" si="150">I308</f>
        <v>1</v>
      </c>
      <c r="J309" s="76" t="str">
        <f t="shared" si="150"/>
        <v>Hypericum</v>
      </c>
      <c r="K309" s="76" t="str">
        <f t="shared" si="150"/>
        <v>revolutum</v>
      </c>
      <c r="L309" s="77">
        <f t="shared" si="150"/>
        <v>6</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Dec</v>
      </c>
      <c r="C310" s="73">
        <f t="shared" si="145"/>
        <v>2</v>
      </c>
      <c r="D310" s="74">
        <f t="shared" si="128"/>
        <v>20</v>
      </c>
      <c r="E310" s="75">
        <f t="shared" si="129"/>
        <v>1</v>
      </c>
      <c r="F310" s="79"/>
      <c r="G310" s="82"/>
      <c r="H310" s="68" t="str">
        <f t="shared" si="146"/>
        <v>Hyprev6_20201202_20_00</v>
      </c>
      <c r="I310" s="69">
        <f t="shared" si="150"/>
        <v>1</v>
      </c>
      <c r="J310" s="76" t="str">
        <f t="shared" si="150"/>
        <v>Hypericum</v>
      </c>
      <c r="K310" s="76" t="str">
        <f t="shared" si="150"/>
        <v>revolutum</v>
      </c>
      <c r="L310" s="77">
        <f t="shared" si="150"/>
        <v>6</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Dec</v>
      </c>
      <c r="C311" s="73">
        <f t="shared" si="145"/>
        <v>2</v>
      </c>
      <c r="D311" s="74">
        <f t="shared" si="128"/>
        <v>20</v>
      </c>
      <c r="E311" s="75">
        <f t="shared" si="129"/>
        <v>2</v>
      </c>
      <c r="F311" s="79"/>
      <c r="G311" s="82"/>
      <c r="H311" s="68" t="str">
        <f t="shared" si="146"/>
        <v>Hyprev6_20201202_20_00</v>
      </c>
      <c r="I311" s="69">
        <f t="shared" si="150"/>
        <v>1</v>
      </c>
      <c r="J311" s="76" t="str">
        <f t="shared" si="150"/>
        <v>Hypericum</v>
      </c>
      <c r="K311" s="76" t="str">
        <f t="shared" si="150"/>
        <v>revolutum</v>
      </c>
      <c r="L311" s="77">
        <f t="shared" si="150"/>
        <v>6</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Dec</v>
      </c>
      <c r="C312" s="73">
        <f t="shared" si="145"/>
        <v>2</v>
      </c>
      <c r="D312" s="74">
        <f t="shared" si="128"/>
        <v>20</v>
      </c>
      <c r="E312" s="75">
        <f t="shared" si="129"/>
        <v>3</v>
      </c>
      <c r="F312" s="79"/>
      <c r="G312" s="82"/>
      <c r="H312" s="68" t="str">
        <f t="shared" si="146"/>
        <v>Hyprev6_20201202_20_00</v>
      </c>
      <c r="I312" s="69">
        <f t="shared" si="150"/>
        <v>1</v>
      </c>
      <c r="J312" s="76" t="str">
        <f t="shared" si="150"/>
        <v>Hypericum</v>
      </c>
      <c r="K312" s="76" t="str">
        <f t="shared" si="150"/>
        <v>revolutum</v>
      </c>
      <c r="L312" s="77">
        <f t="shared" si="150"/>
        <v>6</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Dec</v>
      </c>
      <c r="C313" s="73">
        <f t="shared" si="145"/>
        <v>2</v>
      </c>
      <c r="D313" s="74">
        <f t="shared" si="128"/>
        <v>20</v>
      </c>
      <c r="E313" s="75">
        <f t="shared" si="129"/>
        <v>4</v>
      </c>
      <c r="F313" s="79"/>
      <c r="G313" s="82"/>
      <c r="H313" s="68" t="str">
        <f t="shared" si="146"/>
        <v>Hyprev6_20201202_20_00</v>
      </c>
      <c r="I313" s="69">
        <f t="shared" si="150"/>
        <v>1</v>
      </c>
      <c r="J313" s="76" t="str">
        <f t="shared" si="150"/>
        <v>Hypericum</v>
      </c>
      <c r="K313" s="76" t="str">
        <f t="shared" si="150"/>
        <v>revolutum</v>
      </c>
      <c r="L313" s="77">
        <f t="shared" si="150"/>
        <v>6</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Dec</v>
      </c>
      <c r="C314" s="73">
        <f t="shared" si="145"/>
        <v>2</v>
      </c>
      <c r="D314" s="74">
        <f t="shared" si="128"/>
        <v>20</v>
      </c>
      <c r="E314" s="75">
        <f t="shared" si="129"/>
        <v>5</v>
      </c>
      <c r="F314" s="79"/>
      <c r="G314" s="82"/>
      <c r="H314" s="68" t="str">
        <f t="shared" si="146"/>
        <v>Hyprev6_20201202_20_00</v>
      </c>
      <c r="I314" s="69">
        <f t="shared" si="150"/>
        <v>1</v>
      </c>
      <c r="J314" s="76" t="str">
        <f t="shared" si="150"/>
        <v>Hypericum</v>
      </c>
      <c r="K314" s="76" t="str">
        <f t="shared" si="150"/>
        <v>revolutum</v>
      </c>
      <c r="L314" s="77">
        <f t="shared" si="150"/>
        <v>6</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Dec</v>
      </c>
      <c r="C315" s="73">
        <f t="shared" si="145"/>
        <v>2</v>
      </c>
      <c r="D315" s="74">
        <f t="shared" si="128"/>
        <v>20</v>
      </c>
      <c r="E315" s="75">
        <f t="shared" si="129"/>
        <v>6</v>
      </c>
      <c r="F315" s="79"/>
      <c r="G315" s="82"/>
      <c r="H315" s="68" t="str">
        <f t="shared" si="146"/>
        <v>Hyprev6_20201202_20_00</v>
      </c>
      <c r="I315" s="69">
        <f t="shared" si="150"/>
        <v>1</v>
      </c>
      <c r="J315" s="76" t="str">
        <f t="shared" si="150"/>
        <v>Hypericum</v>
      </c>
      <c r="K315" s="76" t="str">
        <f t="shared" si="150"/>
        <v>revolutum</v>
      </c>
      <c r="L315" s="77">
        <f t="shared" si="150"/>
        <v>6</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Dec</v>
      </c>
      <c r="C316" s="73">
        <f t="shared" si="145"/>
        <v>2</v>
      </c>
      <c r="D316" s="74">
        <f t="shared" si="128"/>
        <v>20</v>
      </c>
      <c r="E316" s="75">
        <f t="shared" si="129"/>
        <v>7</v>
      </c>
      <c r="F316" s="79"/>
      <c r="G316" s="82"/>
      <c r="H316" s="68" t="str">
        <f t="shared" si="146"/>
        <v>Hyprev6_20201202_20_00</v>
      </c>
      <c r="I316" s="69">
        <f t="shared" si="150"/>
        <v>1</v>
      </c>
      <c r="J316" s="76" t="str">
        <f t="shared" si="150"/>
        <v>Hypericum</v>
      </c>
      <c r="K316" s="76" t="str">
        <f t="shared" si="150"/>
        <v>revolutum</v>
      </c>
      <c r="L316" s="77">
        <f t="shared" si="150"/>
        <v>6</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Dec</v>
      </c>
      <c r="C317" s="73">
        <f t="shared" si="145"/>
        <v>2</v>
      </c>
      <c r="D317" s="74">
        <f t="shared" si="128"/>
        <v>20</v>
      </c>
      <c r="E317" s="75">
        <f t="shared" si="129"/>
        <v>8</v>
      </c>
      <c r="F317" s="79"/>
      <c r="G317" s="82"/>
      <c r="H317" s="68" t="str">
        <f t="shared" si="146"/>
        <v>Hyprev6_20201202_20_00</v>
      </c>
      <c r="I317" s="69">
        <f t="shared" si="150"/>
        <v>1</v>
      </c>
      <c r="J317" s="76" t="str">
        <f t="shared" si="150"/>
        <v>Hypericum</v>
      </c>
      <c r="K317" s="76" t="str">
        <f t="shared" si="150"/>
        <v>revolutum</v>
      </c>
      <c r="L317" s="77">
        <f t="shared" si="150"/>
        <v>6</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Dec</v>
      </c>
      <c r="C318" s="73">
        <f t="shared" si="145"/>
        <v>2</v>
      </c>
      <c r="D318" s="74">
        <f t="shared" si="128"/>
        <v>20</v>
      </c>
      <c r="E318" s="75">
        <f t="shared" si="129"/>
        <v>9</v>
      </c>
      <c r="F318" s="79"/>
      <c r="G318" s="82"/>
      <c r="H318" s="68" t="str">
        <f t="shared" si="146"/>
        <v>Hyprev6_20201202_20_00</v>
      </c>
      <c r="I318" s="69">
        <f t="shared" si="150"/>
        <v>1</v>
      </c>
      <c r="J318" s="76" t="str">
        <f t="shared" si="150"/>
        <v>Hypericum</v>
      </c>
      <c r="K318" s="76" t="str">
        <f t="shared" si="150"/>
        <v>revolutum</v>
      </c>
      <c r="L318" s="77">
        <f t="shared" si="150"/>
        <v>6</v>
      </c>
      <c r="M318" s="77">
        <f t="shared" si="150"/>
        <v>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Dec</v>
      </c>
      <c r="C319" s="73">
        <f t="shared" si="145"/>
        <v>2</v>
      </c>
      <c r="D319" s="74">
        <f t="shared" si="128"/>
        <v>20</v>
      </c>
      <c r="E319" s="75">
        <f t="shared" si="129"/>
        <v>10</v>
      </c>
      <c r="F319" s="79"/>
      <c r="G319" s="82"/>
      <c r="H319" s="68" t="str">
        <f t="shared" si="146"/>
        <v>Hyprev6_20201202_20_00</v>
      </c>
      <c r="I319" s="69">
        <f t="shared" si="150"/>
        <v>1</v>
      </c>
      <c r="J319" s="76" t="str">
        <f t="shared" si="150"/>
        <v>Hypericum</v>
      </c>
      <c r="K319" s="76" t="str">
        <f t="shared" si="150"/>
        <v>revolutum</v>
      </c>
      <c r="L319" s="77">
        <f t="shared" si="150"/>
        <v>6</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Dec</v>
      </c>
      <c r="C320" s="73">
        <f t="shared" si="145"/>
        <v>2</v>
      </c>
      <c r="D320" s="74">
        <f t="shared" si="128"/>
        <v>20</v>
      </c>
      <c r="E320" s="75">
        <f t="shared" si="129"/>
        <v>11</v>
      </c>
      <c r="F320" s="79"/>
      <c r="G320" s="82"/>
      <c r="H320" s="68" t="str">
        <f t="shared" si="146"/>
        <v>Hyprev6_20201202_20_00</v>
      </c>
      <c r="I320" s="69">
        <f t="shared" si="150"/>
        <v>1</v>
      </c>
      <c r="J320" s="76" t="str">
        <f t="shared" si="150"/>
        <v>Hypericum</v>
      </c>
      <c r="K320" s="76" t="str">
        <f t="shared" si="150"/>
        <v>revolutum</v>
      </c>
      <c r="L320" s="77">
        <f t="shared" si="150"/>
        <v>6</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Dec</v>
      </c>
      <c r="C321" s="73">
        <f t="shared" si="145"/>
        <v>2</v>
      </c>
      <c r="D321" s="74">
        <f t="shared" si="128"/>
        <v>20</v>
      </c>
      <c r="E321" s="75">
        <f t="shared" si="129"/>
        <v>12</v>
      </c>
      <c r="F321" s="79"/>
      <c r="G321" s="82"/>
      <c r="H321" s="68" t="str">
        <f t="shared" si="146"/>
        <v>Hyprev6_20201202_20_00</v>
      </c>
      <c r="I321" s="69">
        <f t="shared" si="150"/>
        <v>1</v>
      </c>
      <c r="J321" s="76" t="str">
        <f t="shared" si="150"/>
        <v>Hypericum</v>
      </c>
      <c r="K321" s="76" t="str">
        <f t="shared" si="150"/>
        <v>revolutum</v>
      </c>
      <c r="L321" s="77">
        <f t="shared" si="150"/>
        <v>6</v>
      </c>
      <c r="M321" s="77">
        <f t="shared" si="150"/>
        <v>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Dec</v>
      </c>
      <c r="C322" s="73">
        <f t="shared" si="145"/>
        <v>2</v>
      </c>
      <c r="D322" s="74">
        <f t="shared" si="128"/>
        <v>20</v>
      </c>
      <c r="E322" s="75">
        <f t="shared" si="129"/>
        <v>13</v>
      </c>
      <c r="F322" s="79"/>
      <c r="G322" s="82"/>
      <c r="H322" s="68" t="str">
        <f t="shared" si="146"/>
        <v>Hyprev6_20201202_20_00</v>
      </c>
      <c r="I322" s="69">
        <f t="shared" si="150"/>
        <v>1</v>
      </c>
      <c r="J322" s="76" t="str">
        <f t="shared" si="150"/>
        <v>Hypericum</v>
      </c>
      <c r="K322" s="76" t="str">
        <f t="shared" si="150"/>
        <v>revolutum</v>
      </c>
      <c r="L322" s="77">
        <f t="shared" si="150"/>
        <v>6</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Dec</v>
      </c>
      <c r="C323" s="73">
        <f t="shared" si="145"/>
        <v>2</v>
      </c>
      <c r="D323" s="74">
        <f t="shared" si="128"/>
        <v>20</v>
      </c>
      <c r="E323" s="75">
        <f t="shared" si="129"/>
        <v>14</v>
      </c>
      <c r="F323" s="79"/>
      <c r="G323" s="82"/>
      <c r="H323" s="68" t="str">
        <f t="shared" si="146"/>
        <v>Hyprev6_20201202_20_00</v>
      </c>
      <c r="I323" s="69">
        <f t="shared" si="150"/>
        <v>1</v>
      </c>
      <c r="J323" s="76" t="str">
        <f t="shared" si="150"/>
        <v>Hypericum</v>
      </c>
      <c r="K323" s="76" t="str">
        <f t="shared" si="150"/>
        <v>revolutum</v>
      </c>
      <c r="L323" s="77">
        <f t="shared" si="150"/>
        <v>6</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Dec</v>
      </c>
      <c r="C324" s="73">
        <f t="shared" si="145"/>
        <v>2</v>
      </c>
      <c r="D324" s="74">
        <f t="shared" ref="D324:D387" si="158">IF(IF(E323=59,D323+1,D323)=24,0,IF(E323=59,D323+1,D323))</f>
        <v>20</v>
      </c>
      <c r="E324" s="75">
        <f t="shared" ref="E324:E387" si="159">IF(E323&lt;59,E323+1,0)</f>
        <v>15</v>
      </c>
      <c r="F324" s="79"/>
      <c r="G324" s="82"/>
      <c r="H324" s="68" t="str">
        <f t="shared" si="146"/>
        <v>Hyprev6_20201202_20_00</v>
      </c>
      <c r="I324" s="69">
        <f t="shared" si="150"/>
        <v>1</v>
      </c>
      <c r="J324" s="76" t="str">
        <f t="shared" si="150"/>
        <v>Hypericum</v>
      </c>
      <c r="K324" s="76" t="str">
        <f t="shared" si="150"/>
        <v>revolutum</v>
      </c>
      <c r="L324" s="77">
        <f t="shared" si="150"/>
        <v>6</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Dec</v>
      </c>
      <c r="C325" s="73">
        <f t="shared" ref="C325:C388" si="175">IF(AND(D325=0, E325=0), IF(TEXT(C324,"dd")=TEXT(EOMONTH(DATE(A324,MONTH(DATEVALUE(B324&amp;"1")),C324),0), "dd"), 1, C324+1), C324)</f>
        <v>2</v>
      </c>
      <c r="D325" s="74">
        <f t="shared" si="158"/>
        <v>20</v>
      </c>
      <c r="E325" s="75">
        <f t="shared" si="159"/>
        <v>16</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Hyprev6_20201202_20_00</v>
      </c>
      <c r="I325" s="69">
        <f t="shared" ref="I325:N340" si="177">I324</f>
        <v>1</v>
      </c>
      <c r="J325" s="76" t="str">
        <f t="shared" si="177"/>
        <v>Hypericum</v>
      </c>
      <c r="K325" s="76" t="str">
        <f t="shared" si="177"/>
        <v>revolutum</v>
      </c>
      <c r="L325" s="77">
        <f t="shared" si="177"/>
        <v>6</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Dec</v>
      </c>
      <c r="C326" s="73">
        <f t="shared" si="175"/>
        <v>2</v>
      </c>
      <c r="D326" s="74">
        <f t="shared" si="158"/>
        <v>20</v>
      </c>
      <c r="E326" s="75">
        <f t="shared" si="159"/>
        <v>17</v>
      </c>
      <c r="F326" s="79"/>
      <c r="G326" s="82"/>
      <c r="H326" s="68" t="str">
        <f t="shared" si="176"/>
        <v>Hyprev6_20201202_20_00</v>
      </c>
      <c r="I326" s="69">
        <f t="shared" si="177"/>
        <v>1</v>
      </c>
      <c r="J326" s="76" t="str">
        <f t="shared" si="177"/>
        <v>Hypericum</v>
      </c>
      <c r="K326" s="76" t="str">
        <f t="shared" si="177"/>
        <v>revolutum</v>
      </c>
      <c r="L326" s="77">
        <f t="shared" si="177"/>
        <v>6</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Dec</v>
      </c>
      <c r="C327" s="73">
        <f t="shared" si="175"/>
        <v>2</v>
      </c>
      <c r="D327" s="74">
        <f t="shared" si="158"/>
        <v>20</v>
      </c>
      <c r="E327" s="75">
        <f t="shared" si="159"/>
        <v>18</v>
      </c>
      <c r="F327" s="79"/>
      <c r="G327" s="82"/>
      <c r="H327" s="68" t="str">
        <f t="shared" si="176"/>
        <v>Hyprev6_20201202_20_00</v>
      </c>
      <c r="I327" s="69">
        <f t="shared" si="177"/>
        <v>1</v>
      </c>
      <c r="J327" s="76" t="str">
        <f t="shared" si="177"/>
        <v>Hypericum</v>
      </c>
      <c r="K327" s="76" t="str">
        <f t="shared" si="177"/>
        <v>revolutum</v>
      </c>
      <c r="L327" s="77">
        <f t="shared" si="177"/>
        <v>6</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Dec</v>
      </c>
      <c r="C328" s="73">
        <f t="shared" si="175"/>
        <v>2</v>
      </c>
      <c r="D328" s="74">
        <f t="shared" si="158"/>
        <v>20</v>
      </c>
      <c r="E328" s="75">
        <f t="shared" si="159"/>
        <v>19</v>
      </c>
      <c r="F328" s="79"/>
      <c r="G328" s="82"/>
      <c r="H328" s="68" t="str">
        <f t="shared" si="176"/>
        <v>Hyprev6_20201202_20_00</v>
      </c>
      <c r="I328" s="69">
        <f t="shared" si="177"/>
        <v>1</v>
      </c>
      <c r="J328" s="76" t="str">
        <f t="shared" si="177"/>
        <v>Hypericum</v>
      </c>
      <c r="K328" s="76" t="str">
        <f t="shared" si="177"/>
        <v>revolutum</v>
      </c>
      <c r="L328" s="77">
        <f t="shared" si="177"/>
        <v>6</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Dec</v>
      </c>
      <c r="C329" s="73">
        <f t="shared" si="175"/>
        <v>2</v>
      </c>
      <c r="D329" s="74">
        <f t="shared" si="158"/>
        <v>20</v>
      </c>
      <c r="E329" s="75">
        <f t="shared" si="159"/>
        <v>20</v>
      </c>
      <c r="F329" s="79"/>
      <c r="G329" s="82"/>
      <c r="H329" s="68" t="str">
        <f t="shared" si="176"/>
        <v>Hyprev6_20201202_20_00</v>
      </c>
      <c r="I329" s="69">
        <f t="shared" si="177"/>
        <v>1</v>
      </c>
      <c r="J329" s="76" t="str">
        <f t="shared" si="177"/>
        <v>Hypericum</v>
      </c>
      <c r="K329" s="76" t="str">
        <f t="shared" si="177"/>
        <v>revolutum</v>
      </c>
      <c r="L329" s="77">
        <f t="shared" si="177"/>
        <v>6</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Dec</v>
      </c>
      <c r="C330" s="73">
        <f t="shared" si="175"/>
        <v>2</v>
      </c>
      <c r="D330" s="74">
        <f t="shared" si="158"/>
        <v>20</v>
      </c>
      <c r="E330" s="75">
        <f t="shared" si="159"/>
        <v>21</v>
      </c>
      <c r="F330" s="79"/>
      <c r="G330" s="82"/>
      <c r="H330" s="68" t="str">
        <f t="shared" si="176"/>
        <v>Hyprev6_20201202_20_00</v>
      </c>
      <c r="I330" s="69">
        <f t="shared" si="177"/>
        <v>1</v>
      </c>
      <c r="J330" s="76" t="str">
        <f t="shared" si="177"/>
        <v>Hypericum</v>
      </c>
      <c r="K330" s="76" t="str">
        <f t="shared" si="177"/>
        <v>revolutum</v>
      </c>
      <c r="L330" s="77">
        <f t="shared" si="177"/>
        <v>6</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Dec</v>
      </c>
      <c r="C331" s="73">
        <f t="shared" si="175"/>
        <v>2</v>
      </c>
      <c r="D331" s="74">
        <f t="shared" si="158"/>
        <v>20</v>
      </c>
      <c r="E331" s="75">
        <f t="shared" si="159"/>
        <v>22</v>
      </c>
      <c r="F331" s="79"/>
      <c r="G331" s="82"/>
      <c r="H331" s="68" t="str">
        <f t="shared" si="176"/>
        <v>Hyprev6_20201202_20_00</v>
      </c>
      <c r="I331" s="69">
        <f t="shared" si="177"/>
        <v>1</v>
      </c>
      <c r="J331" s="76" t="str">
        <f t="shared" si="177"/>
        <v>Hypericum</v>
      </c>
      <c r="K331" s="76" t="str">
        <f t="shared" si="177"/>
        <v>revolutum</v>
      </c>
      <c r="L331" s="77">
        <f t="shared" si="177"/>
        <v>6</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Dec</v>
      </c>
      <c r="C332" s="73">
        <f t="shared" si="175"/>
        <v>2</v>
      </c>
      <c r="D332" s="74">
        <f t="shared" si="158"/>
        <v>20</v>
      </c>
      <c r="E332" s="75">
        <f t="shared" si="159"/>
        <v>23</v>
      </c>
      <c r="F332" s="79"/>
      <c r="G332" s="82"/>
      <c r="H332" s="68" t="str">
        <f t="shared" si="176"/>
        <v>Hyprev6_20201202_20_00</v>
      </c>
      <c r="I332" s="69">
        <f t="shared" si="177"/>
        <v>1</v>
      </c>
      <c r="J332" s="76" t="str">
        <f t="shared" si="177"/>
        <v>Hypericum</v>
      </c>
      <c r="K332" s="76" t="str">
        <f t="shared" si="177"/>
        <v>revolutum</v>
      </c>
      <c r="L332" s="77">
        <f t="shared" si="177"/>
        <v>6</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Dec</v>
      </c>
      <c r="C333" s="73">
        <f t="shared" si="175"/>
        <v>2</v>
      </c>
      <c r="D333" s="74">
        <f t="shared" si="158"/>
        <v>20</v>
      </c>
      <c r="E333" s="75">
        <f t="shared" si="159"/>
        <v>24</v>
      </c>
      <c r="F333" s="79"/>
      <c r="G333" s="82"/>
      <c r="H333" s="68" t="str">
        <f t="shared" si="176"/>
        <v>Hyprev6_20201202_20_00</v>
      </c>
      <c r="I333" s="69">
        <f t="shared" si="177"/>
        <v>1</v>
      </c>
      <c r="J333" s="76" t="str">
        <f t="shared" si="177"/>
        <v>Hypericum</v>
      </c>
      <c r="K333" s="76" t="str">
        <f t="shared" si="177"/>
        <v>revolutum</v>
      </c>
      <c r="L333" s="77">
        <f t="shared" si="177"/>
        <v>6</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Dec</v>
      </c>
      <c r="C334" s="73">
        <f t="shared" si="175"/>
        <v>2</v>
      </c>
      <c r="D334" s="74">
        <f t="shared" si="158"/>
        <v>20</v>
      </c>
      <c r="E334" s="75">
        <f t="shared" si="159"/>
        <v>25</v>
      </c>
      <c r="F334" s="79"/>
      <c r="G334" s="82"/>
      <c r="H334" s="68" t="str">
        <f t="shared" si="176"/>
        <v>Hyprev6_20201202_20_00</v>
      </c>
      <c r="I334" s="69">
        <f t="shared" si="177"/>
        <v>1</v>
      </c>
      <c r="J334" s="76" t="str">
        <f t="shared" si="177"/>
        <v>Hypericum</v>
      </c>
      <c r="K334" s="76" t="str">
        <f t="shared" si="177"/>
        <v>revolutum</v>
      </c>
      <c r="L334" s="77">
        <f t="shared" si="177"/>
        <v>6</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Dec</v>
      </c>
      <c r="C335" s="73">
        <f t="shared" si="175"/>
        <v>2</v>
      </c>
      <c r="D335" s="74">
        <f t="shared" si="158"/>
        <v>20</v>
      </c>
      <c r="E335" s="75">
        <f t="shared" si="159"/>
        <v>26</v>
      </c>
      <c r="F335" s="79"/>
      <c r="G335" s="82"/>
      <c r="H335" s="68" t="str">
        <f t="shared" si="176"/>
        <v>Hyprev6_20201202_20_00</v>
      </c>
      <c r="I335" s="69">
        <f t="shared" si="177"/>
        <v>1</v>
      </c>
      <c r="J335" s="76" t="str">
        <f t="shared" si="177"/>
        <v>Hypericum</v>
      </c>
      <c r="K335" s="76" t="str">
        <f t="shared" si="177"/>
        <v>revolutum</v>
      </c>
      <c r="L335" s="77">
        <f t="shared" si="177"/>
        <v>6</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Dec</v>
      </c>
      <c r="C336" s="73">
        <f t="shared" si="175"/>
        <v>2</v>
      </c>
      <c r="D336" s="74">
        <f t="shared" si="158"/>
        <v>20</v>
      </c>
      <c r="E336" s="75">
        <f t="shared" si="159"/>
        <v>27</v>
      </c>
      <c r="F336" s="79"/>
      <c r="G336" s="82"/>
      <c r="H336" s="68" t="str">
        <f t="shared" si="176"/>
        <v>Hyprev6_20201202_20_00</v>
      </c>
      <c r="I336" s="69">
        <f t="shared" si="177"/>
        <v>1</v>
      </c>
      <c r="J336" s="76" t="str">
        <f t="shared" si="177"/>
        <v>Hypericum</v>
      </c>
      <c r="K336" s="76" t="str">
        <f t="shared" si="177"/>
        <v>revolutum</v>
      </c>
      <c r="L336" s="77">
        <f t="shared" si="177"/>
        <v>6</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Dec</v>
      </c>
      <c r="C337" s="73">
        <f t="shared" si="175"/>
        <v>2</v>
      </c>
      <c r="D337" s="74">
        <f t="shared" si="158"/>
        <v>20</v>
      </c>
      <c r="E337" s="75">
        <f t="shared" si="159"/>
        <v>28</v>
      </c>
      <c r="F337" s="79"/>
      <c r="G337" s="82"/>
      <c r="H337" s="68" t="str">
        <f t="shared" si="176"/>
        <v>Hyprev6_20201202_20_00</v>
      </c>
      <c r="I337" s="69">
        <f t="shared" si="177"/>
        <v>1</v>
      </c>
      <c r="J337" s="76" t="str">
        <f t="shared" si="177"/>
        <v>Hypericum</v>
      </c>
      <c r="K337" s="76" t="str">
        <f t="shared" si="177"/>
        <v>revolutum</v>
      </c>
      <c r="L337" s="77">
        <f t="shared" si="177"/>
        <v>6</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Dec</v>
      </c>
      <c r="C338" s="73">
        <f t="shared" si="175"/>
        <v>2</v>
      </c>
      <c r="D338" s="74">
        <f t="shared" si="158"/>
        <v>20</v>
      </c>
      <c r="E338" s="75">
        <f t="shared" si="159"/>
        <v>29</v>
      </c>
      <c r="F338" s="79"/>
      <c r="G338" s="82"/>
      <c r="H338" s="68" t="str">
        <f t="shared" si="176"/>
        <v>Hyprev6_20201202_20_00</v>
      </c>
      <c r="I338" s="69">
        <f t="shared" si="177"/>
        <v>1</v>
      </c>
      <c r="J338" s="76" t="str">
        <f t="shared" si="177"/>
        <v>Hypericum</v>
      </c>
      <c r="K338" s="76" t="str">
        <f t="shared" si="177"/>
        <v>revolutum</v>
      </c>
      <c r="L338" s="77">
        <f t="shared" si="177"/>
        <v>6</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Dec</v>
      </c>
      <c r="C339" s="73">
        <f t="shared" si="175"/>
        <v>2</v>
      </c>
      <c r="D339" s="74">
        <f t="shared" si="158"/>
        <v>20</v>
      </c>
      <c r="E339" s="75">
        <f t="shared" si="159"/>
        <v>30</v>
      </c>
      <c r="F339" s="79"/>
      <c r="G339" s="82"/>
      <c r="H339" s="68" t="str">
        <f t="shared" si="176"/>
        <v>Hyprev6_20201202_20_00</v>
      </c>
      <c r="I339" s="69">
        <f t="shared" si="177"/>
        <v>1</v>
      </c>
      <c r="J339" s="76" t="str">
        <f t="shared" si="177"/>
        <v>Hypericum</v>
      </c>
      <c r="K339" s="76" t="str">
        <f t="shared" si="177"/>
        <v>revolutum</v>
      </c>
      <c r="L339" s="77">
        <f t="shared" si="177"/>
        <v>6</v>
      </c>
      <c r="M339" s="77">
        <f t="shared" si="177"/>
        <v>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Dec</v>
      </c>
      <c r="C340" s="73">
        <f t="shared" si="175"/>
        <v>2</v>
      </c>
      <c r="D340" s="74">
        <f t="shared" si="158"/>
        <v>20</v>
      </c>
      <c r="E340" s="75">
        <f t="shared" si="159"/>
        <v>31</v>
      </c>
      <c r="F340" s="79"/>
      <c r="G340" s="82"/>
      <c r="H340" s="68" t="str">
        <f t="shared" si="176"/>
        <v>Hyprev6_20201202_20_00</v>
      </c>
      <c r="I340" s="69">
        <f t="shared" si="177"/>
        <v>1</v>
      </c>
      <c r="J340" s="76" t="str">
        <f t="shared" si="177"/>
        <v>Hypericum</v>
      </c>
      <c r="K340" s="76" t="str">
        <f t="shared" si="177"/>
        <v>revolutum</v>
      </c>
      <c r="L340" s="77">
        <f t="shared" si="177"/>
        <v>6</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Dec</v>
      </c>
      <c r="C341" s="73">
        <f t="shared" si="175"/>
        <v>2</v>
      </c>
      <c r="D341" s="74">
        <f t="shared" si="158"/>
        <v>20</v>
      </c>
      <c r="E341" s="75">
        <f t="shared" si="159"/>
        <v>32</v>
      </c>
      <c r="F341" s="79"/>
      <c r="G341" s="82"/>
      <c r="H341" s="68" t="str">
        <f t="shared" si="176"/>
        <v>Hyprev6_20201202_20_00</v>
      </c>
      <c r="I341" s="69">
        <f t="shared" ref="I341:N356" si="178">I340</f>
        <v>1</v>
      </c>
      <c r="J341" s="76" t="str">
        <f t="shared" si="178"/>
        <v>Hypericum</v>
      </c>
      <c r="K341" s="76" t="str">
        <f t="shared" si="178"/>
        <v>revolutum</v>
      </c>
      <c r="L341" s="77">
        <f t="shared" si="178"/>
        <v>6</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Dec</v>
      </c>
      <c r="C342" s="73">
        <f t="shared" si="175"/>
        <v>2</v>
      </c>
      <c r="D342" s="74">
        <f t="shared" si="158"/>
        <v>20</v>
      </c>
      <c r="E342" s="75">
        <f t="shared" si="159"/>
        <v>33</v>
      </c>
      <c r="F342" s="79"/>
      <c r="G342" s="82"/>
      <c r="H342" s="68" t="str">
        <f t="shared" si="176"/>
        <v>Hyprev6_20201202_20_00</v>
      </c>
      <c r="I342" s="69">
        <f t="shared" si="178"/>
        <v>1</v>
      </c>
      <c r="J342" s="76" t="str">
        <f t="shared" si="178"/>
        <v>Hypericum</v>
      </c>
      <c r="K342" s="76" t="str">
        <f t="shared" si="178"/>
        <v>revolutum</v>
      </c>
      <c r="L342" s="77">
        <f t="shared" si="178"/>
        <v>6</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Dec</v>
      </c>
      <c r="C343" s="73">
        <f t="shared" si="175"/>
        <v>2</v>
      </c>
      <c r="D343" s="74">
        <f t="shared" si="158"/>
        <v>20</v>
      </c>
      <c r="E343" s="75">
        <f t="shared" si="159"/>
        <v>34</v>
      </c>
      <c r="F343" s="79"/>
      <c r="G343" s="82"/>
      <c r="H343" s="68" t="str">
        <f t="shared" si="176"/>
        <v>Hyprev6_20201202_20_00</v>
      </c>
      <c r="I343" s="69">
        <f t="shared" si="178"/>
        <v>1</v>
      </c>
      <c r="J343" s="76" t="str">
        <f t="shared" si="178"/>
        <v>Hypericum</v>
      </c>
      <c r="K343" s="76" t="str">
        <f t="shared" si="178"/>
        <v>revolutum</v>
      </c>
      <c r="L343" s="77">
        <f t="shared" si="178"/>
        <v>6</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Dec</v>
      </c>
      <c r="C344" s="73">
        <f t="shared" si="175"/>
        <v>2</v>
      </c>
      <c r="D344" s="74">
        <f t="shared" si="158"/>
        <v>20</v>
      </c>
      <c r="E344" s="75">
        <f t="shared" si="159"/>
        <v>35</v>
      </c>
      <c r="F344" s="79"/>
      <c r="G344" s="82"/>
      <c r="H344" s="68" t="str">
        <f t="shared" si="176"/>
        <v>Hyprev6_20201202_20_00</v>
      </c>
      <c r="I344" s="69">
        <f t="shared" si="178"/>
        <v>1</v>
      </c>
      <c r="J344" s="76" t="str">
        <f t="shared" si="178"/>
        <v>Hypericum</v>
      </c>
      <c r="K344" s="76" t="str">
        <f t="shared" si="178"/>
        <v>revolutum</v>
      </c>
      <c r="L344" s="77">
        <f t="shared" si="178"/>
        <v>6</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Dec</v>
      </c>
      <c r="C345" s="73">
        <f t="shared" si="175"/>
        <v>2</v>
      </c>
      <c r="D345" s="74">
        <f t="shared" si="158"/>
        <v>20</v>
      </c>
      <c r="E345" s="75">
        <f t="shared" si="159"/>
        <v>36</v>
      </c>
      <c r="F345" s="79"/>
      <c r="G345" s="82"/>
      <c r="H345" s="68" t="str">
        <f t="shared" si="176"/>
        <v>Hyprev6_20201202_20_00</v>
      </c>
      <c r="I345" s="69">
        <f t="shared" si="178"/>
        <v>1</v>
      </c>
      <c r="J345" s="76" t="str">
        <f t="shared" si="178"/>
        <v>Hypericum</v>
      </c>
      <c r="K345" s="76" t="str">
        <f t="shared" si="178"/>
        <v>revolutum</v>
      </c>
      <c r="L345" s="77">
        <f t="shared" si="178"/>
        <v>6</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Dec</v>
      </c>
      <c r="C346" s="73">
        <f t="shared" si="175"/>
        <v>2</v>
      </c>
      <c r="D346" s="74">
        <f t="shared" si="158"/>
        <v>20</v>
      </c>
      <c r="E346" s="75">
        <f t="shared" si="159"/>
        <v>37</v>
      </c>
      <c r="F346" s="79"/>
      <c r="G346" s="82"/>
      <c r="H346" s="68" t="str">
        <f t="shared" si="176"/>
        <v>Hyprev6_20201202_20_00</v>
      </c>
      <c r="I346" s="69">
        <f t="shared" si="178"/>
        <v>1</v>
      </c>
      <c r="J346" s="76" t="str">
        <f t="shared" si="178"/>
        <v>Hypericum</v>
      </c>
      <c r="K346" s="76" t="str">
        <f t="shared" si="178"/>
        <v>revolutum</v>
      </c>
      <c r="L346" s="77">
        <f t="shared" si="178"/>
        <v>6</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Dec</v>
      </c>
      <c r="C347" s="73">
        <f t="shared" si="175"/>
        <v>2</v>
      </c>
      <c r="D347" s="74">
        <f t="shared" si="158"/>
        <v>20</v>
      </c>
      <c r="E347" s="75">
        <f t="shared" si="159"/>
        <v>38</v>
      </c>
      <c r="F347" s="79"/>
      <c r="G347" s="82"/>
      <c r="H347" s="68" t="str">
        <f t="shared" si="176"/>
        <v>Hyprev6_20201202_20_00</v>
      </c>
      <c r="I347" s="69">
        <f t="shared" si="178"/>
        <v>1</v>
      </c>
      <c r="J347" s="76" t="str">
        <f t="shared" si="178"/>
        <v>Hypericum</v>
      </c>
      <c r="K347" s="76" t="str">
        <f t="shared" si="178"/>
        <v>revolutum</v>
      </c>
      <c r="L347" s="77">
        <f t="shared" si="178"/>
        <v>6</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Dec</v>
      </c>
      <c r="C348" s="73">
        <f t="shared" si="175"/>
        <v>2</v>
      </c>
      <c r="D348" s="74">
        <f t="shared" si="158"/>
        <v>20</v>
      </c>
      <c r="E348" s="75">
        <f t="shared" si="159"/>
        <v>39</v>
      </c>
      <c r="F348" s="79"/>
      <c r="G348" s="82"/>
      <c r="H348" s="68" t="str">
        <f t="shared" si="176"/>
        <v>Hyprev6_20201202_20_00</v>
      </c>
      <c r="I348" s="69">
        <f t="shared" si="178"/>
        <v>1</v>
      </c>
      <c r="J348" s="76" t="str">
        <f t="shared" si="178"/>
        <v>Hypericum</v>
      </c>
      <c r="K348" s="76" t="str">
        <f t="shared" si="178"/>
        <v>revolutum</v>
      </c>
      <c r="L348" s="77">
        <f t="shared" si="178"/>
        <v>6</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Dec</v>
      </c>
      <c r="C349" s="73">
        <f t="shared" si="175"/>
        <v>2</v>
      </c>
      <c r="D349" s="74">
        <f t="shared" si="158"/>
        <v>20</v>
      </c>
      <c r="E349" s="75">
        <f t="shared" si="159"/>
        <v>40</v>
      </c>
      <c r="F349" s="79"/>
      <c r="G349" s="82"/>
      <c r="H349" s="68" t="str">
        <f t="shared" si="176"/>
        <v>Hyprev6_20201202_20_00</v>
      </c>
      <c r="I349" s="69">
        <f t="shared" si="178"/>
        <v>1</v>
      </c>
      <c r="J349" s="76" t="str">
        <f t="shared" si="178"/>
        <v>Hypericum</v>
      </c>
      <c r="K349" s="76" t="str">
        <f t="shared" si="178"/>
        <v>revolutum</v>
      </c>
      <c r="L349" s="77">
        <f t="shared" si="178"/>
        <v>6</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Dec</v>
      </c>
      <c r="C350" s="73">
        <f t="shared" si="175"/>
        <v>2</v>
      </c>
      <c r="D350" s="74">
        <f t="shared" si="158"/>
        <v>20</v>
      </c>
      <c r="E350" s="75">
        <f t="shared" si="159"/>
        <v>41</v>
      </c>
      <c r="F350" s="79"/>
      <c r="G350" s="82"/>
      <c r="H350" s="68" t="str">
        <f t="shared" si="176"/>
        <v>Hyprev6_20201202_20_00</v>
      </c>
      <c r="I350" s="69">
        <f t="shared" si="178"/>
        <v>1</v>
      </c>
      <c r="J350" s="76" t="str">
        <f t="shared" si="178"/>
        <v>Hypericum</v>
      </c>
      <c r="K350" s="76" t="str">
        <f t="shared" si="178"/>
        <v>revolutum</v>
      </c>
      <c r="L350" s="77">
        <f t="shared" si="178"/>
        <v>6</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Dec</v>
      </c>
      <c r="C351" s="73">
        <f t="shared" si="175"/>
        <v>2</v>
      </c>
      <c r="D351" s="74">
        <f t="shared" si="158"/>
        <v>20</v>
      </c>
      <c r="E351" s="75">
        <f t="shared" si="159"/>
        <v>42</v>
      </c>
      <c r="F351" s="79"/>
      <c r="G351" s="82"/>
      <c r="H351" s="68" t="str">
        <f t="shared" si="176"/>
        <v>Hyprev6_20201202_20_00</v>
      </c>
      <c r="I351" s="69">
        <f t="shared" si="178"/>
        <v>1</v>
      </c>
      <c r="J351" s="76" t="str">
        <f t="shared" si="178"/>
        <v>Hypericum</v>
      </c>
      <c r="K351" s="76" t="str">
        <f t="shared" si="178"/>
        <v>revolutum</v>
      </c>
      <c r="L351" s="77">
        <f t="shared" si="178"/>
        <v>6</v>
      </c>
      <c r="M351" s="77">
        <f t="shared" si="178"/>
        <v>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Dec</v>
      </c>
      <c r="C352" s="73">
        <f t="shared" si="175"/>
        <v>2</v>
      </c>
      <c r="D352" s="74">
        <f t="shared" si="158"/>
        <v>20</v>
      </c>
      <c r="E352" s="75">
        <f t="shared" si="159"/>
        <v>43</v>
      </c>
      <c r="F352" s="79"/>
      <c r="G352" s="82"/>
      <c r="H352" s="68" t="str">
        <f t="shared" si="176"/>
        <v>Hyprev6_20201202_20_00</v>
      </c>
      <c r="I352" s="69">
        <f t="shared" si="178"/>
        <v>1</v>
      </c>
      <c r="J352" s="76" t="str">
        <f t="shared" si="178"/>
        <v>Hypericum</v>
      </c>
      <c r="K352" s="76" t="str">
        <f t="shared" si="178"/>
        <v>revolutum</v>
      </c>
      <c r="L352" s="77">
        <f t="shared" si="178"/>
        <v>6</v>
      </c>
      <c r="M352" s="77">
        <f t="shared" si="178"/>
        <v>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Dec</v>
      </c>
      <c r="C353" s="73">
        <f t="shared" si="175"/>
        <v>2</v>
      </c>
      <c r="D353" s="74">
        <f t="shared" si="158"/>
        <v>20</v>
      </c>
      <c r="E353" s="75">
        <f t="shared" si="159"/>
        <v>44</v>
      </c>
      <c r="F353" s="79"/>
      <c r="G353" s="82"/>
      <c r="H353" s="68" t="str">
        <f t="shared" si="176"/>
        <v>Hyprev6_20201202_20_00</v>
      </c>
      <c r="I353" s="69">
        <f t="shared" si="178"/>
        <v>1</v>
      </c>
      <c r="J353" s="76" t="str">
        <f t="shared" si="178"/>
        <v>Hypericum</v>
      </c>
      <c r="K353" s="76" t="str">
        <f t="shared" si="178"/>
        <v>revolutum</v>
      </c>
      <c r="L353" s="77">
        <f t="shared" si="178"/>
        <v>6</v>
      </c>
      <c r="M353" s="77">
        <f t="shared" si="178"/>
        <v>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Dec</v>
      </c>
      <c r="C354" s="73">
        <f t="shared" si="175"/>
        <v>2</v>
      </c>
      <c r="D354" s="74">
        <f t="shared" si="158"/>
        <v>20</v>
      </c>
      <c r="E354" s="75">
        <f t="shared" si="159"/>
        <v>45</v>
      </c>
      <c r="F354" s="79"/>
      <c r="G354" s="82"/>
      <c r="H354" s="68" t="str">
        <f t="shared" si="176"/>
        <v>Hyprev6_20201202_20_00</v>
      </c>
      <c r="I354" s="69">
        <f t="shared" si="178"/>
        <v>1</v>
      </c>
      <c r="J354" s="76" t="str">
        <f t="shared" si="178"/>
        <v>Hypericum</v>
      </c>
      <c r="K354" s="76" t="str">
        <f t="shared" si="178"/>
        <v>revolutum</v>
      </c>
      <c r="L354" s="77">
        <f t="shared" si="178"/>
        <v>6</v>
      </c>
      <c r="M354" s="77">
        <f t="shared" si="178"/>
        <v>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Dec</v>
      </c>
      <c r="C355" s="73">
        <f t="shared" si="175"/>
        <v>2</v>
      </c>
      <c r="D355" s="74">
        <f t="shared" si="158"/>
        <v>20</v>
      </c>
      <c r="E355" s="75">
        <f t="shared" si="159"/>
        <v>46</v>
      </c>
      <c r="F355" s="79"/>
      <c r="G355" s="82"/>
      <c r="H355" s="68" t="str">
        <f t="shared" si="176"/>
        <v>Hyprev6_20201202_20_00</v>
      </c>
      <c r="I355" s="69">
        <f t="shared" si="178"/>
        <v>1</v>
      </c>
      <c r="J355" s="76" t="str">
        <f t="shared" si="178"/>
        <v>Hypericum</v>
      </c>
      <c r="K355" s="76" t="str">
        <f t="shared" si="178"/>
        <v>revolutum</v>
      </c>
      <c r="L355" s="77">
        <f t="shared" si="178"/>
        <v>6</v>
      </c>
      <c r="M355" s="77">
        <f t="shared" si="178"/>
        <v>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Dec</v>
      </c>
      <c r="C356" s="73">
        <f t="shared" si="175"/>
        <v>2</v>
      </c>
      <c r="D356" s="74">
        <f t="shared" si="158"/>
        <v>20</v>
      </c>
      <c r="E356" s="75">
        <f t="shared" si="159"/>
        <v>47</v>
      </c>
      <c r="F356" s="79"/>
      <c r="G356" s="82"/>
      <c r="H356" s="68" t="str">
        <f t="shared" si="176"/>
        <v>Hyprev6_20201202_20_00</v>
      </c>
      <c r="I356" s="69">
        <f t="shared" si="178"/>
        <v>1</v>
      </c>
      <c r="J356" s="76" t="str">
        <f t="shared" si="178"/>
        <v>Hypericum</v>
      </c>
      <c r="K356" s="76" t="str">
        <f t="shared" si="178"/>
        <v>revolutum</v>
      </c>
      <c r="L356" s="77">
        <f t="shared" si="178"/>
        <v>6</v>
      </c>
      <c r="M356" s="77">
        <f t="shared" si="178"/>
        <v>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Dec</v>
      </c>
      <c r="C357" s="73">
        <f t="shared" si="175"/>
        <v>2</v>
      </c>
      <c r="D357" s="74">
        <f t="shared" si="158"/>
        <v>20</v>
      </c>
      <c r="E357" s="75">
        <f t="shared" si="159"/>
        <v>48</v>
      </c>
      <c r="F357" s="79"/>
      <c r="G357" s="82"/>
      <c r="H357" s="68" t="str">
        <f t="shared" si="176"/>
        <v>Hyprev6_20201202_20_00</v>
      </c>
      <c r="I357" s="69">
        <f t="shared" ref="I357:N372" si="179">I356</f>
        <v>1</v>
      </c>
      <c r="J357" s="76" t="str">
        <f t="shared" si="179"/>
        <v>Hypericum</v>
      </c>
      <c r="K357" s="76" t="str">
        <f t="shared" si="179"/>
        <v>revolutum</v>
      </c>
      <c r="L357" s="77">
        <f t="shared" si="179"/>
        <v>6</v>
      </c>
      <c r="M357" s="77">
        <f t="shared" si="179"/>
        <v>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Dec</v>
      </c>
      <c r="C358" s="73">
        <f t="shared" si="175"/>
        <v>2</v>
      </c>
      <c r="D358" s="74">
        <f t="shared" si="158"/>
        <v>20</v>
      </c>
      <c r="E358" s="75">
        <f t="shared" si="159"/>
        <v>49</v>
      </c>
      <c r="F358" s="79"/>
      <c r="G358" s="82"/>
      <c r="H358" s="68" t="str">
        <f t="shared" si="176"/>
        <v>Hyprev6_20201202_20_00</v>
      </c>
      <c r="I358" s="69">
        <f t="shared" si="179"/>
        <v>1</v>
      </c>
      <c r="J358" s="76" t="str">
        <f t="shared" si="179"/>
        <v>Hypericum</v>
      </c>
      <c r="K358" s="76" t="str">
        <f t="shared" si="179"/>
        <v>revolutum</v>
      </c>
      <c r="L358" s="77">
        <f t="shared" si="179"/>
        <v>6</v>
      </c>
      <c r="M358" s="77">
        <f t="shared" si="179"/>
        <v>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Dec</v>
      </c>
      <c r="C359" s="73">
        <f t="shared" si="175"/>
        <v>2</v>
      </c>
      <c r="D359" s="74">
        <f t="shared" si="158"/>
        <v>20</v>
      </c>
      <c r="E359" s="75">
        <f t="shared" si="159"/>
        <v>50</v>
      </c>
      <c r="F359" s="79"/>
      <c r="G359" s="82"/>
      <c r="H359" s="68" t="str">
        <f t="shared" si="176"/>
        <v>Hyprev6_20201202_20_00</v>
      </c>
      <c r="I359" s="69">
        <f t="shared" si="179"/>
        <v>1</v>
      </c>
      <c r="J359" s="76" t="str">
        <f t="shared" si="179"/>
        <v>Hypericum</v>
      </c>
      <c r="K359" s="76" t="str">
        <f t="shared" si="179"/>
        <v>revolutum</v>
      </c>
      <c r="L359" s="77">
        <f t="shared" si="179"/>
        <v>6</v>
      </c>
      <c r="M359" s="77">
        <f t="shared" si="179"/>
        <v>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Dec</v>
      </c>
      <c r="C360" s="73">
        <f t="shared" si="175"/>
        <v>2</v>
      </c>
      <c r="D360" s="74">
        <f t="shared" si="158"/>
        <v>20</v>
      </c>
      <c r="E360" s="75">
        <f t="shared" si="159"/>
        <v>51</v>
      </c>
      <c r="F360" s="79"/>
      <c r="G360" s="82"/>
      <c r="H360" s="68" t="str">
        <f t="shared" si="176"/>
        <v>Hyprev6_20201202_20_00</v>
      </c>
      <c r="I360" s="69">
        <f t="shared" si="179"/>
        <v>1</v>
      </c>
      <c r="J360" s="76" t="str">
        <f t="shared" si="179"/>
        <v>Hypericum</v>
      </c>
      <c r="K360" s="76" t="str">
        <f t="shared" si="179"/>
        <v>revolutum</v>
      </c>
      <c r="L360" s="77">
        <f t="shared" si="179"/>
        <v>6</v>
      </c>
      <c r="M360" s="77">
        <f t="shared" si="179"/>
        <v>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Dec</v>
      </c>
      <c r="C361" s="73">
        <f t="shared" si="175"/>
        <v>2</v>
      </c>
      <c r="D361" s="74">
        <f t="shared" si="158"/>
        <v>20</v>
      </c>
      <c r="E361" s="75">
        <f t="shared" si="159"/>
        <v>52</v>
      </c>
      <c r="F361" s="79"/>
      <c r="G361" s="82"/>
      <c r="H361" s="68" t="str">
        <f t="shared" si="176"/>
        <v>Hyprev6_20201202_20_00</v>
      </c>
      <c r="I361" s="69">
        <f t="shared" si="179"/>
        <v>1</v>
      </c>
      <c r="J361" s="76" t="str">
        <f t="shared" si="179"/>
        <v>Hypericum</v>
      </c>
      <c r="K361" s="76" t="str">
        <f t="shared" si="179"/>
        <v>revolutum</v>
      </c>
      <c r="L361" s="77">
        <f t="shared" si="179"/>
        <v>6</v>
      </c>
      <c r="M361" s="77">
        <f t="shared" si="179"/>
        <v>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Dec</v>
      </c>
      <c r="C362" s="73">
        <f t="shared" si="175"/>
        <v>2</v>
      </c>
      <c r="D362" s="74">
        <f t="shared" si="158"/>
        <v>20</v>
      </c>
      <c r="E362" s="75">
        <f t="shared" si="159"/>
        <v>53</v>
      </c>
      <c r="F362" s="79"/>
      <c r="G362" s="82"/>
      <c r="H362" s="68" t="str">
        <f t="shared" si="176"/>
        <v>Hyprev6_20201202_20_00</v>
      </c>
      <c r="I362" s="69">
        <f t="shared" si="179"/>
        <v>1</v>
      </c>
      <c r="J362" s="76" t="str">
        <f t="shared" si="179"/>
        <v>Hypericum</v>
      </c>
      <c r="K362" s="76" t="str">
        <f t="shared" si="179"/>
        <v>revolutum</v>
      </c>
      <c r="L362" s="77">
        <f t="shared" si="179"/>
        <v>6</v>
      </c>
      <c r="M362" s="77">
        <f t="shared" si="179"/>
        <v>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Dec</v>
      </c>
      <c r="C363" s="73">
        <f t="shared" si="175"/>
        <v>2</v>
      </c>
      <c r="D363" s="74">
        <f t="shared" si="158"/>
        <v>20</v>
      </c>
      <c r="E363" s="75">
        <f t="shared" si="159"/>
        <v>54</v>
      </c>
      <c r="F363" s="79"/>
      <c r="G363" s="82"/>
      <c r="H363" s="68" t="str">
        <f t="shared" si="176"/>
        <v>Hyprev6_20201202_20_00</v>
      </c>
      <c r="I363" s="69">
        <f t="shared" si="179"/>
        <v>1</v>
      </c>
      <c r="J363" s="76" t="str">
        <f t="shared" si="179"/>
        <v>Hypericum</v>
      </c>
      <c r="K363" s="76" t="str">
        <f t="shared" si="179"/>
        <v>revolutum</v>
      </c>
      <c r="L363" s="77">
        <f t="shared" si="179"/>
        <v>6</v>
      </c>
      <c r="M363" s="77">
        <f t="shared" si="179"/>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Dec</v>
      </c>
      <c r="C364" s="73">
        <f t="shared" si="175"/>
        <v>2</v>
      </c>
      <c r="D364" s="74">
        <f t="shared" si="158"/>
        <v>20</v>
      </c>
      <c r="E364" s="75">
        <f t="shared" si="159"/>
        <v>55</v>
      </c>
      <c r="F364" s="79"/>
      <c r="G364" s="82"/>
      <c r="H364" s="68" t="str">
        <f t="shared" si="176"/>
        <v>Hyprev6_20201202_20_00</v>
      </c>
      <c r="I364" s="69">
        <f t="shared" si="179"/>
        <v>1</v>
      </c>
      <c r="J364" s="76" t="str">
        <f t="shared" si="179"/>
        <v>Hypericum</v>
      </c>
      <c r="K364" s="76" t="str">
        <f t="shared" si="179"/>
        <v>revolutum</v>
      </c>
      <c r="L364" s="77">
        <f t="shared" si="179"/>
        <v>6</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Dec</v>
      </c>
      <c r="C365" s="73">
        <f t="shared" si="175"/>
        <v>2</v>
      </c>
      <c r="D365" s="74">
        <f t="shared" si="158"/>
        <v>20</v>
      </c>
      <c r="E365" s="75">
        <f t="shared" si="159"/>
        <v>56</v>
      </c>
      <c r="F365" s="79"/>
      <c r="G365" s="82"/>
      <c r="H365" s="68" t="str">
        <f t="shared" si="176"/>
        <v>Hyprev6_20201202_20_00</v>
      </c>
      <c r="I365" s="69">
        <f t="shared" si="179"/>
        <v>1</v>
      </c>
      <c r="J365" s="76" t="str">
        <f t="shared" si="179"/>
        <v>Hypericum</v>
      </c>
      <c r="K365" s="76" t="str">
        <f t="shared" si="179"/>
        <v>revolutum</v>
      </c>
      <c r="L365" s="77">
        <f t="shared" si="179"/>
        <v>6</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Dec</v>
      </c>
      <c r="C366" s="73">
        <f t="shared" si="175"/>
        <v>2</v>
      </c>
      <c r="D366" s="74">
        <f t="shared" si="158"/>
        <v>20</v>
      </c>
      <c r="E366" s="75">
        <f t="shared" si="159"/>
        <v>57</v>
      </c>
      <c r="F366" s="79"/>
      <c r="G366" s="82"/>
      <c r="H366" s="68" t="str">
        <f t="shared" si="176"/>
        <v>Hyprev6_20201202_20_00</v>
      </c>
      <c r="I366" s="69">
        <f t="shared" si="179"/>
        <v>1</v>
      </c>
      <c r="J366" s="76" t="str">
        <f t="shared" si="179"/>
        <v>Hypericum</v>
      </c>
      <c r="K366" s="76" t="str">
        <f t="shared" si="179"/>
        <v>revolutum</v>
      </c>
      <c r="L366" s="77">
        <f t="shared" si="179"/>
        <v>6</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Dec</v>
      </c>
      <c r="C367" s="73">
        <f t="shared" si="175"/>
        <v>2</v>
      </c>
      <c r="D367" s="74">
        <f t="shared" si="158"/>
        <v>20</v>
      </c>
      <c r="E367" s="75">
        <f t="shared" si="159"/>
        <v>58</v>
      </c>
      <c r="F367" s="79"/>
      <c r="G367" s="82"/>
      <c r="H367" s="68" t="str">
        <f t="shared" si="176"/>
        <v>Hyprev6_20201202_20_00</v>
      </c>
      <c r="I367" s="69">
        <f t="shared" si="179"/>
        <v>1</v>
      </c>
      <c r="J367" s="76" t="str">
        <f t="shared" si="179"/>
        <v>Hypericum</v>
      </c>
      <c r="K367" s="76" t="str">
        <f t="shared" si="179"/>
        <v>revolutum</v>
      </c>
      <c r="L367" s="77">
        <f t="shared" si="179"/>
        <v>6</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Dec</v>
      </c>
      <c r="C368" s="73">
        <f t="shared" si="175"/>
        <v>2</v>
      </c>
      <c r="D368" s="74">
        <f t="shared" si="158"/>
        <v>20</v>
      </c>
      <c r="E368" s="75">
        <f t="shared" si="159"/>
        <v>59</v>
      </c>
      <c r="F368" s="79"/>
      <c r="G368" s="82"/>
      <c r="H368" s="68" t="str">
        <f t="shared" si="176"/>
        <v>Hyprev6_20201202_20_00</v>
      </c>
      <c r="I368" s="69">
        <f t="shared" si="179"/>
        <v>1</v>
      </c>
      <c r="J368" s="76" t="str">
        <f t="shared" si="179"/>
        <v>Hypericum</v>
      </c>
      <c r="K368" s="76" t="str">
        <f t="shared" si="179"/>
        <v>revolutum</v>
      </c>
      <c r="L368" s="77">
        <f t="shared" si="179"/>
        <v>6</v>
      </c>
      <c r="M368" s="77">
        <f t="shared" si="179"/>
        <v>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Dec</v>
      </c>
      <c r="C369" s="73">
        <f t="shared" si="175"/>
        <v>2</v>
      </c>
      <c r="D369" s="74">
        <f t="shared" si="158"/>
        <v>21</v>
      </c>
      <c r="E369" s="75">
        <f t="shared" si="159"/>
        <v>0</v>
      </c>
      <c r="F369" s="79"/>
      <c r="G369" s="82"/>
      <c r="H369" s="68" t="str">
        <f t="shared" si="176"/>
        <v>Hyprev6_20201202_21_00</v>
      </c>
      <c r="I369" s="69">
        <f t="shared" si="179"/>
        <v>1</v>
      </c>
      <c r="J369" s="76" t="str">
        <f t="shared" si="179"/>
        <v>Hypericum</v>
      </c>
      <c r="K369" s="76" t="str">
        <f t="shared" si="179"/>
        <v>revolutum</v>
      </c>
      <c r="L369" s="77">
        <f t="shared" si="179"/>
        <v>6</v>
      </c>
      <c r="M369" s="77">
        <f t="shared" si="179"/>
        <v>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Dec</v>
      </c>
      <c r="C370" s="73">
        <f t="shared" si="175"/>
        <v>2</v>
      </c>
      <c r="D370" s="74">
        <f t="shared" si="158"/>
        <v>21</v>
      </c>
      <c r="E370" s="75">
        <f t="shared" si="159"/>
        <v>1</v>
      </c>
      <c r="F370" s="79"/>
      <c r="G370" s="82"/>
      <c r="H370" s="68" t="str">
        <f t="shared" si="176"/>
        <v>Hyprev6_20201202_21_00</v>
      </c>
      <c r="I370" s="69">
        <f t="shared" si="179"/>
        <v>1</v>
      </c>
      <c r="J370" s="76" t="str">
        <f t="shared" si="179"/>
        <v>Hypericum</v>
      </c>
      <c r="K370" s="76" t="str">
        <f t="shared" si="179"/>
        <v>revolutum</v>
      </c>
      <c r="L370" s="77">
        <f t="shared" si="179"/>
        <v>6</v>
      </c>
      <c r="M370" s="77">
        <f t="shared" si="179"/>
        <v>1</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Dec</v>
      </c>
      <c r="C371" s="73">
        <f t="shared" si="175"/>
        <v>2</v>
      </c>
      <c r="D371" s="74">
        <f t="shared" si="158"/>
        <v>21</v>
      </c>
      <c r="E371" s="75">
        <f t="shared" si="159"/>
        <v>2</v>
      </c>
      <c r="F371" s="79"/>
      <c r="G371" s="82"/>
      <c r="H371" s="68" t="str">
        <f t="shared" si="176"/>
        <v>Hyprev6_20201202_21_00</v>
      </c>
      <c r="I371" s="69">
        <f t="shared" si="179"/>
        <v>1</v>
      </c>
      <c r="J371" s="76" t="str">
        <f t="shared" si="179"/>
        <v>Hypericum</v>
      </c>
      <c r="K371" s="76" t="str">
        <f t="shared" si="179"/>
        <v>revolutum</v>
      </c>
      <c r="L371" s="77">
        <f t="shared" si="179"/>
        <v>6</v>
      </c>
      <c r="M371" s="77">
        <f t="shared" si="179"/>
        <v>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Dec</v>
      </c>
      <c r="C372" s="73">
        <f t="shared" si="175"/>
        <v>2</v>
      </c>
      <c r="D372" s="74">
        <f t="shared" si="158"/>
        <v>21</v>
      </c>
      <c r="E372" s="75">
        <f t="shared" si="159"/>
        <v>3</v>
      </c>
      <c r="F372" s="79"/>
      <c r="G372" s="82"/>
      <c r="H372" s="68" t="str">
        <f t="shared" si="176"/>
        <v>Hyprev6_20201202_21_00</v>
      </c>
      <c r="I372" s="69">
        <f t="shared" si="179"/>
        <v>1</v>
      </c>
      <c r="J372" s="76" t="str">
        <f t="shared" si="179"/>
        <v>Hypericum</v>
      </c>
      <c r="K372" s="76" t="str">
        <f t="shared" si="179"/>
        <v>revolutum</v>
      </c>
      <c r="L372" s="77">
        <f t="shared" si="179"/>
        <v>6</v>
      </c>
      <c r="M372" s="77">
        <f t="shared" si="179"/>
        <v>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Dec</v>
      </c>
      <c r="C373" s="73">
        <f t="shared" si="175"/>
        <v>2</v>
      </c>
      <c r="D373" s="74">
        <f t="shared" si="158"/>
        <v>21</v>
      </c>
      <c r="E373" s="75">
        <f t="shared" si="159"/>
        <v>4</v>
      </c>
      <c r="F373" s="79"/>
      <c r="G373" s="82"/>
      <c r="H373" s="68" t="str">
        <f t="shared" si="176"/>
        <v>Hyprev6_20201202_21_00</v>
      </c>
      <c r="I373" s="69">
        <f t="shared" ref="I373:N388" si="180">I372</f>
        <v>1</v>
      </c>
      <c r="J373" s="76" t="str">
        <f t="shared" si="180"/>
        <v>Hypericum</v>
      </c>
      <c r="K373" s="76" t="str">
        <f t="shared" si="180"/>
        <v>revolutum</v>
      </c>
      <c r="L373" s="77">
        <f t="shared" si="180"/>
        <v>6</v>
      </c>
      <c r="M373" s="77">
        <f t="shared" si="180"/>
        <v>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Dec</v>
      </c>
      <c r="C374" s="73">
        <f t="shared" si="175"/>
        <v>2</v>
      </c>
      <c r="D374" s="74">
        <f t="shared" si="158"/>
        <v>21</v>
      </c>
      <c r="E374" s="75">
        <f t="shared" si="159"/>
        <v>5</v>
      </c>
      <c r="F374" s="79"/>
      <c r="G374" s="82"/>
      <c r="H374" s="68" t="str">
        <f t="shared" si="176"/>
        <v>Hyprev6_20201202_21_00</v>
      </c>
      <c r="I374" s="69">
        <f t="shared" si="180"/>
        <v>1</v>
      </c>
      <c r="J374" s="76" t="str">
        <f t="shared" si="180"/>
        <v>Hypericum</v>
      </c>
      <c r="K374" s="76" t="str">
        <f t="shared" si="180"/>
        <v>revolutum</v>
      </c>
      <c r="L374" s="77">
        <f t="shared" si="180"/>
        <v>6</v>
      </c>
      <c r="M374" s="77">
        <f t="shared" si="180"/>
        <v>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Dec</v>
      </c>
      <c r="C375" s="73">
        <f t="shared" si="175"/>
        <v>2</v>
      </c>
      <c r="D375" s="74">
        <f t="shared" si="158"/>
        <v>21</v>
      </c>
      <c r="E375" s="75">
        <f t="shared" si="159"/>
        <v>6</v>
      </c>
      <c r="F375" s="79"/>
      <c r="G375" s="82"/>
      <c r="H375" s="68" t="str">
        <f t="shared" si="176"/>
        <v>Hyprev6_20201202_21_00</v>
      </c>
      <c r="I375" s="69">
        <f t="shared" si="180"/>
        <v>1</v>
      </c>
      <c r="J375" s="76" t="str">
        <f t="shared" si="180"/>
        <v>Hypericum</v>
      </c>
      <c r="K375" s="76" t="str">
        <f t="shared" si="180"/>
        <v>revolutum</v>
      </c>
      <c r="L375" s="77">
        <f t="shared" si="180"/>
        <v>6</v>
      </c>
      <c r="M375" s="77">
        <f t="shared" si="180"/>
        <v>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Dec</v>
      </c>
      <c r="C376" s="73">
        <f t="shared" si="175"/>
        <v>2</v>
      </c>
      <c r="D376" s="74">
        <f t="shared" si="158"/>
        <v>21</v>
      </c>
      <c r="E376" s="75">
        <f t="shared" si="159"/>
        <v>7</v>
      </c>
      <c r="F376" s="79"/>
      <c r="G376" s="82"/>
      <c r="H376" s="68" t="str">
        <f t="shared" si="176"/>
        <v>Hyprev6_20201202_21_00</v>
      </c>
      <c r="I376" s="69">
        <f t="shared" si="180"/>
        <v>1</v>
      </c>
      <c r="J376" s="76" t="str">
        <f t="shared" si="180"/>
        <v>Hypericum</v>
      </c>
      <c r="K376" s="76" t="str">
        <f t="shared" si="180"/>
        <v>revolutum</v>
      </c>
      <c r="L376" s="77">
        <f t="shared" si="180"/>
        <v>6</v>
      </c>
      <c r="M376" s="77">
        <f t="shared" si="180"/>
        <v>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Dec</v>
      </c>
      <c r="C377" s="73">
        <f t="shared" si="175"/>
        <v>2</v>
      </c>
      <c r="D377" s="74">
        <f t="shared" si="158"/>
        <v>21</v>
      </c>
      <c r="E377" s="75">
        <f t="shared" si="159"/>
        <v>8</v>
      </c>
      <c r="F377" s="79"/>
      <c r="G377" s="82"/>
      <c r="H377" s="68" t="str">
        <f t="shared" si="176"/>
        <v>Hyprev6_20201202_21_00</v>
      </c>
      <c r="I377" s="69">
        <f t="shared" si="180"/>
        <v>1</v>
      </c>
      <c r="J377" s="76" t="str">
        <f t="shared" si="180"/>
        <v>Hypericum</v>
      </c>
      <c r="K377" s="76" t="str">
        <f t="shared" si="180"/>
        <v>revolutum</v>
      </c>
      <c r="L377" s="77">
        <f t="shared" si="180"/>
        <v>6</v>
      </c>
      <c r="M377" s="77">
        <f t="shared" si="180"/>
        <v>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Dec</v>
      </c>
      <c r="C378" s="73">
        <f t="shared" si="175"/>
        <v>2</v>
      </c>
      <c r="D378" s="74">
        <f t="shared" si="158"/>
        <v>21</v>
      </c>
      <c r="E378" s="75">
        <f t="shared" si="159"/>
        <v>9</v>
      </c>
      <c r="F378" s="79"/>
      <c r="G378" s="82"/>
      <c r="H378" s="68" t="str">
        <f t="shared" si="176"/>
        <v>Hyprev6_20201202_21_00</v>
      </c>
      <c r="I378" s="69">
        <f t="shared" si="180"/>
        <v>1</v>
      </c>
      <c r="J378" s="76" t="str">
        <f t="shared" si="180"/>
        <v>Hypericum</v>
      </c>
      <c r="K378" s="76" t="str">
        <f t="shared" si="180"/>
        <v>revolutum</v>
      </c>
      <c r="L378" s="77">
        <f t="shared" si="180"/>
        <v>6</v>
      </c>
      <c r="M378" s="77">
        <f t="shared" si="180"/>
        <v>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Dec</v>
      </c>
      <c r="C379" s="73">
        <f t="shared" si="175"/>
        <v>2</v>
      </c>
      <c r="D379" s="74">
        <f t="shared" si="158"/>
        <v>21</v>
      </c>
      <c r="E379" s="75">
        <f t="shared" si="159"/>
        <v>10</v>
      </c>
      <c r="F379" s="79"/>
      <c r="G379" s="82"/>
      <c r="H379" s="68" t="str">
        <f t="shared" si="176"/>
        <v>Hyprev6_20201202_21_00</v>
      </c>
      <c r="I379" s="69">
        <f t="shared" si="180"/>
        <v>1</v>
      </c>
      <c r="J379" s="76" t="str">
        <f t="shared" si="180"/>
        <v>Hypericum</v>
      </c>
      <c r="K379" s="76" t="str">
        <f t="shared" si="180"/>
        <v>revolutum</v>
      </c>
      <c r="L379" s="77">
        <f t="shared" si="180"/>
        <v>6</v>
      </c>
      <c r="M379" s="77">
        <f t="shared" si="180"/>
        <v>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Dec</v>
      </c>
      <c r="C380" s="73">
        <f t="shared" si="175"/>
        <v>2</v>
      </c>
      <c r="D380" s="74">
        <f t="shared" si="158"/>
        <v>21</v>
      </c>
      <c r="E380" s="75">
        <f t="shared" si="159"/>
        <v>11</v>
      </c>
      <c r="F380" s="79"/>
      <c r="G380" s="82"/>
      <c r="H380" s="68" t="str">
        <f t="shared" si="176"/>
        <v>Hyprev6_20201202_21_00</v>
      </c>
      <c r="I380" s="69">
        <f t="shared" si="180"/>
        <v>1</v>
      </c>
      <c r="J380" s="76" t="str">
        <f t="shared" si="180"/>
        <v>Hypericum</v>
      </c>
      <c r="K380" s="76" t="str">
        <f t="shared" si="180"/>
        <v>revolutum</v>
      </c>
      <c r="L380" s="77">
        <f t="shared" si="180"/>
        <v>6</v>
      </c>
      <c r="M380" s="77">
        <f t="shared" si="180"/>
        <v>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Dec</v>
      </c>
      <c r="C381" s="73">
        <f t="shared" si="175"/>
        <v>2</v>
      </c>
      <c r="D381" s="74">
        <f t="shared" si="158"/>
        <v>21</v>
      </c>
      <c r="E381" s="75">
        <f t="shared" si="159"/>
        <v>12</v>
      </c>
      <c r="F381" s="79"/>
      <c r="G381" s="82"/>
      <c r="H381" s="68" t="str">
        <f t="shared" si="176"/>
        <v>Hyprev6_20201202_21_00</v>
      </c>
      <c r="I381" s="69">
        <f t="shared" si="180"/>
        <v>1</v>
      </c>
      <c r="J381" s="76" t="str">
        <f t="shared" si="180"/>
        <v>Hypericum</v>
      </c>
      <c r="K381" s="76" t="str">
        <f t="shared" si="180"/>
        <v>revolutum</v>
      </c>
      <c r="L381" s="77">
        <f t="shared" si="180"/>
        <v>6</v>
      </c>
      <c r="M381" s="77">
        <f t="shared" si="180"/>
        <v>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Dec</v>
      </c>
      <c r="C382" s="73">
        <f t="shared" si="175"/>
        <v>2</v>
      </c>
      <c r="D382" s="74">
        <f t="shared" si="158"/>
        <v>21</v>
      </c>
      <c r="E382" s="75">
        <f t="shared" si="159"/>
        <v>13</v>
      </c>
      <c r="F382" s="79"/>
      <c r="G382" s="82"/>
      <c r="H382" s="68" t="str">
        <f t="shared" si="176"/>
        <v>Hyprev6_20201202_21_00</v>
      </c>
      <c r="I382" s="69">
        <f t="shared" si="180"/>
        <v>1</v>
      </c>
      <c r="J382" s="76" t="str">
        <f t="shared" si="180"/>
        <v>Hypericum</v>
      </c>
      <c r="K382" s="76" t="str">
        <f t="shared" si="180"/>
        <v>revolutum</v>
      </c>
      <c r="L382" s="77">
        <f t="shared" si="180"/>
        <v>6</v>
      </c>
      <c r="M382" s="77">
        <f t="shared" si="180"/>
        <v>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Dec</v>
      </c>
      <c r="C383" s="73">
        <f t="shared" si="175"/>
        <v>2</v>
      </c>
      <c r="D383" s="74">
        <f t="shared" si="158"/>
        <v>21</v>
      </c>
      <c r="E383" s="75">
        <f t="shared" si="159"/>
        <v>14</v>
      </c>
      <c r="F383" s="79"/>
      <c r="G383" s="82"/>
      <c r="H383" s="68" t="str">
        <f t="shared" si="176"/>
        <v>Hyprev6_20201202_21_00</v>
      </c>
      <c r="I383" s="69">
        <f t="shared" si="180"/>
        <v>1</v>
      </c>
      <c r="J383" s="76" t="str">
        <f t="shared" si="180"/>
        <v>Hypericum</v>
      </c>
      <c r="K383" s="76" t="str">
        <f t="shared" si="180"/>
        <v>revolutum</v>
      </c>
      <c r="L383" s="77">
        <f t="shared" si="180"/>
        <v>6</v>
      </c>
      <c r="M383" s="77">
        <f t="shared" si="180"/>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Dec</v>
      </c>
      <c r="C384" s="73">
        <f t="shared" si="175"/>
        <v>2</v>
      </c>
      <c r="D384" s="74">
        <f t="shared" si="158"/>
        <v>21</v>
      </c>
      <c r="E384" s="75">
        <f t="shared" si="159"/>
        <v>15</v>
      </c>
      <c r="F384" s="79"/>
      <c r="G384" s="82"/>
      <c r="H384" s="68" t="str">
        <f t="shared" si="176"/>
        <v>Hyprev6_20201202_21_00</v>
      </c>
      <c r="I384" s="69">
        <f t="shared" si="180"/>
        <v>1</v>
      </c>
      <c r="J384" s="76" t="str">
        <f t="shared" si="180"/>
        <v>Hypericum</v>
      </c>
      <c r="K384" s="76" t="str">
        <f t="shared" si="180"/>
        <v>revolutum</v>
      </c>
      <c r="L384" s="77">
        <f t="shared" si="180"/>
        <v>6</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Dec</v>
      </c>
      <c r="C385" s="73">
        <f t="shared" si="175"/>
        <v>2</v>
      </c>
      <c r="D385" s="74">
        <f t="shared" si="158"/>
        <v>21</v>
      </c>
      <c r="E385" s="75">
        <f t="shared" si="159"/>
        <v>16</v>
      </c>
      <c r="F385" s="79"/>
      <c r="G385" s="82"/>
      <c r="H385" s="68" t="str">
        <f t="shared" si="176"/>
        <v>Hyprev6_20201202_21_00</v>
      </c>
      <c r="I385" s="69">
        <f t="shared" si="180"/>
        <v>1</v>
      </c>
      <c r="J385" s="76" t="str">
        <f t="shared" si="180"/>
        <v>Hypericum</v>
      </c>
      <c r="K385" s="76" t="str">
        <f t="shared" si="180"/>
        <v>revolutum</v>
      </c>
      <c r="L385" s="77">
        <f t="shared" si="180"/>
        <v>6</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Dec</v>
      </c>
      <c r="C386" s="73">
        <f t="shared" si="175"/>
        <v>2</v>
      </c>
      <c r="D386" s="74">
        <f t="shared" si="158"/>
        <v>21</v>
      </c>
      <c r="E386" s="75">
        <f t="shared" si="159"/>
        <v>17</v>
      </c>
      <c r="F386" s="79"/>
      <c r="G386" s="82"/>
      <c r="H386" s="68" t="str">
        <f t="shared" si="176"/>
        <v>Hyprev6_20201202_21_00</v>
      </c>
      <c r="I386" s="69">
        <f t="shared" si="180"/>
        <v>1</v>
      </c>
      <c r="J386" s="76" t="str">
        <f t="shared" si="180"/>
        <v>Hypericum</v>
      </c>
      <c r="K386" s="76" t="str">
        <f t="shared" si="180"/>
        <v>revolutum</v>
      </c>
      <c r="L386" s="77">
        <f t="shared" si="180"/>
        <v>6</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Dec</v>
      </c>
      <c r="C387" s="73">
        <f t="shared" si="175"/>
        <v>2</v>
      </c>
      <c r="D387" s="74">
        <f t="shared" si="158"/>
        <v>21</v>
      </c>
      <c r="E387" s="75">
        <f t="shared" si="159"/>
        <v>18</v>
      </c>
      <c r="F387" s="79"/>
      <c r="G387" s="82"/>
      <c r="H387" s="68" t="str">
        <f t="shared" si="176"/>
        <v>Hyprev6_20201202_21_00</v>
      </c>
      <c r="I387" s="69">
        <f t="shared" si="180"/>
        <v>1</v>
      </c>
      <c r="J387" s="76" t="str">
        <f t="shared" si="180"/>
        <v>Hypericum</v>
      </c>
      <c r="K387" s="76" t="str">
        <f t="shared" si="180"/>
        <v>revolutum</v>
      </c>
      <c r="L387" s="77">
        <f t="shared" si="180"/>
        <v>6</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Dec</v>
      </c>
      <c r="C388" s="73">
        <f t="shared" si="175"/>
        <v>2</v>
      </c>
      <c r="D388" s="74">
        <f t="shared" ref="D388:D451" si="188">IF(IF(E387=59,D387+1,D387)=24,0,IF(E387=59,D387+1,D387))</f>
        <v>21</v>
      </c>
      <c r="E388" s="75">
        <f t="shared" ref="E388:E451" si="189">IF(E387&lt;59,E387+1,0)</f>
        <v>19</v>
      </c>
      <c r="F388" s="79"/>
      <c r="G388" s="82"/>
      <c r="H388" s="68" t="str">
        <f t="shared" si="176"/>
        <v>Hyprev6_20201202_21_00</v>
      </c>
      <c r="I388" s="69">
        <f t="shared" si="180"/>
        <v>1</v>
      </c>
      <c r="J388" s="76" t="str">
        <f t="shared" si="180"/>
        <v>Hypericum</v>
      </c>
      <c r="K388" s="76" t="str">
        <f t="shared" si="180"/>
        <v>revolutum</v>
      </c>
      <c r="L388" s="77">
        <f t="shared" si="180"/>
        <v>6</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Dec</v>
      </c>
      <c r="C389" s="73">
        <f t="shared" ref="C389:C452" si="205">IF(AND(D389=0, E389=0), IF(TEXT(C388,"dd")=TEXT(EOMONTH(DATE(A388,MONTH(DATEVALUE(B388&amp;"1")),C388),0), "dd"), 1, C388+1), C388)</f>
        <v>2</v>
      </c>
      <c r="D389" s="74">
        <f t="shared" si="188"/>
        <v>21</v>
      </c>
      <c r="E389" s="75">
        <f t="shared" si="189"/>
        <v>20</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Hyprev6_20201202_21_00</v>
      </c>
      <c r="I389" s="69">
        <f t="shared" ref="I389:N404" si="207">I388</f>
        <v>1</v>
      </c>
      <c r="J389" s="76" t="str">
        <f t="shared" si="207"/>
        <v>Hypericum</v>
      </c>
      <c r="K389" s="76" t="str">
        <f t="shared" si="207"/>
        <v>revolutum</v>
      </c>
      <c r="L389" s="77">
        <f t="shared" si="207"/>
        <v>6</v>
      </c>
      <c r="M389" s="77">
        <f t="shared" si="207"/>
        <v>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Dec</v>
      </c>
      <c r="C390" s="73">
        <f t="shared" si="205"/>
        <v>2</v>
      </c>
      <c r="D390" s="74">
        <f t="shared" si="188"/>
        <v>21</v>
      </c>
      <c r="E390" s="75">
        <f t="shared" si="189"/>
        <v>21</v>
      </c>
      <c r="F390" s="79"/>
      <c r="G390" s="82"/>
      <c r="H390" s="68" t="str">
        <f t="shared" si="206"/>
        <v>Hyprev6_20201202_21_00</v>
      </c>
      <c r="I390" s="69">
        <f t="shared" si="207"/>
        <v>1</v>
      </c>
      <c r="J390" s="76" t="str">
        <f t="shared" si="207"/>
        <v>Hypericum</v>
      </c>
      <c r="K390" s="76" t="str">
        <f t="shared" si="207"/>
        <v>revolutum</v>
      </c>
      <c r="L390" s="77">
        <f t="shared" si="207"/>
        <v>6</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Dec</v>
      </c>
      <c r="C391" s="73">
        <f t="shared" si="205"/>
        <v>2</v>
      </c>
      <c r="D391" s="74">
        <f t="shared" si="188"/>
        <v>21</v>
      </c>
      <c r="E391" s="75">
        <f t="shared" si="189"/>
        <v>22</v>
      </c>
      <c r="F391" s="79"/>
      <c r="G391" s="82"/>
      <c r="H391" s="68" t="str">
        <f t="shared" si="206"/>
        <v>Hyprev6_20201202_21_00</v>
      </c>
      <c r="I391" s="69">
        <f t="shared" si="207"/>
        <v>1</v>
      </c>
      <c r="J391" s="76" t="str">
        <f t="shared" si="207"/>
        <v>Hypericum</v>
      </c>
      <c r="K391" s="76" t="str">
        <f t="shared" si="207"/>
        <v>revolutum</v>
      </c>
      <c r="L391" s="77">
        <f t="shared" si="207"/>
        <v>6</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Dec</v>
      </c>
      <c r="C392" s="73">
        <f t="shared" si="205"/>
        <v>2</v>
      </c>
      <c r="D392" s="74">
        <f t="shared" si="188"/>
        <v>21</v>
      </c>
      <c r="E392" s="75">
        <f t="shared" si="189"/>
        <v>23</v>
      </c>
      <c r="F392" s="79"/>
      <c r="G392" s="82"/>
      <c r="H392" s="68" t="str">
        <f t="shared" si="206"/>
        <v>Hyprev6_20201202_21_00</v>
      </c>
      <c r="I392" s="69">
        <f t="shared" si="207"/>
        <v>1</v>
      </c>
      <c r="J392" s="76" t="str">
        <f t="shared" si="207"/>
        <v>Hypericum</v>
      </c>
      <c r="K392" s="76" t="str">
        <f t="shared" si="207"/>
        <v>revolutum</v>
      </c>
      <c r="L392" s="77">
        <f t="shared" si="207"/>
        <v>6</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Dec</v>
      </c>
      <c r="C393" s="73">
        <f t="shared" si="205"/>
        <v>2</v>
      </c>
      <c r="D393" s="74">
        <f t="shared" si="188"/>
        <v>21</v>
      </c>
      <c r="E393" s="75">
        <f t="shared" si="189"/>
        <v>24</v>
      </c>
      <c r="F393" s="79"/>
      <c r="G393" s="82"/>
      <c r="H393" s="68" t="str">
        <f t="shared" si="206"/>
        <v>Hyprev6_20201202_21_00</v>
      </c>
      <c r="I393" s="69">
        <f t="shared" si="207"/>
        <v>1</v>
      </c>
      <c r="J393" s="76" t="str">
        <f t="shared" si="207"/>
        <v>Hypericum</v>
      </c>
      <c r="K393" s="76" t="str">
        <f t="shared" si="207"/>
        <v>revolutum</v>
      </c>
      <c r="L393" s="77">
        <f t="shared" si="207"/>
        <v>6</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Dec</v>
      </c>
      <c r="C394" s="73">
        <f t="shared" si="205"/>
        <v>2</v>
      </c>
      <c r="D394" s="74">
        <f t="shared" si="188"/>
        <v>21</v>
      </c>
      <c r="E394" s="75">
        <f t="shared" si="189"/>
        <v>25</v>
      </c>
      <c r="F394" s="79"/>
      <c r="G394" s="82"/>
      <c r="H394" s="68" t="str">
        <f t="shared" si="206"/>
        <v>Hyprev6_20201202_21_00</v>
      </c>
      <c r="I394" s="69">
        <f t="shared" si="207"/>
        <v>1</v>
      </c>
      <c r="J394" s="76" t="str">
        <f t="shared" si="207"/>
        <v>Hypericum</v>
      </c>
      <c r="K394" s="76" t="str">
        <f t="shared" si="207"/>
        <v>revolutum</v>
      </c>
      <c r="L394" s="77">
        <f t="shared" si="207"/>
        <v>6</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Dec</v>
      </c>
      <c r="C395" s="73">
        <f t="shared" si="205"/>
        <v>2</v>
      </c>
      <c r="D395" s="74">
        <f t="shared" si="188"/>
        <v>21</v>
      </c>
      <c r="E395" s="75">
        <f t="shared" si="189"/>
        <v>26</v>
      </c>
      <c r="F395" s="79"/>
      <c r="G395" s="82"/>
      <c r="H395" s="68" t="str">
        <f t="shared" si="206"/>
        <v>Hyprev6_20201202_21_00</v>
      </c>
      <c r="I395" s="69">
        <f t="shared" si="207"/>
        <v>1</v>
      </c>
      <c r="J395" s="76" t="str">
        <f t="shared" si="207"/>
        <v>Hypericum</v>
      </c>
      <c r="K395" s="76" t="str">
        <f t="shared" si="207"/>
        <v>revolutum</v>
      </c>
      <c r="L395" s="77">
        <f t="shared" si="207"/>
        <v>6</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Dec</v>
      </c>
      <c r="C396" s="73">
        <f t="shared" si="205"/>
        <v>2</v>
      </c>
      <c r="D396" s="74">
        <f t="shared" si="188"/>
        <v>21</v>
      </c>
      <c r="E396" s="75">
        <f t="shared" si="189"/>
        <v>27</v>
      </c>
      <c r="F396" s="79"/>
      <c r="G396" s="82"/>
      <c r="H396" s="68" t="str">
        <f t="shared" si="206"/>
        <v>Hyprev6_20201202_21_00</v>
      </c>
      <c r="I396" s="69">
        <f t="shared" si="207"/>
        <v>1</v>
      </c>
      <c r="J396" s="76" t="str">
        <f t="shared" si="207"/>
        <v>Hypericum</v>
      </c>
      <c r="K396" s="76" t="str">
        <f t="shared" si="207"/>
        <v>revolutum</v>
      </c>
      <c r="L396" s="77">
        <f t="shared" si="207"/>
        <v>6</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Dec</v>
      </c>
      <c r="C397" s="73">
        <f t="shared" si="205"/>
        <v>2</v>
      </c>
      <c r="D397" s="74">
        <f t="shared" si="188"/>
        <v>21</v>
      </c>
      <c r="E397" s="75">
        <f t="shared" si="189"/>
        <v>28</v>
      </c>
      <c r="F397" s="79"/>
      <c r="G397" s="82"/>
      <c r="H397" s="68" t="str">
        <f t="shared" si="206"/>
        <v>Hyprev6_20201202_21_00</v>
      </c>
      <c r="I397" s="69">
        <f t="shared" si="207"/>
        <v>1</v>
      </c>
      <c r="J397" s="76" t="str">
        <f t="shared" si="207"/>
        <v>Hypericum</v>
      </c>
      <c r="K397" s="76" t="str">
        <f t="shared" si="207"/>
        <v>revolutum</v>
      </c>
      <c r="L397" s="77">
        <f t="shared" si="207"/>
        <v>6</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Dec</v>
      </c>
      <c r="C398" s="73">
        <f t="shared" si="205"/>
        <v>2</v>
      </c>
      <c r="D398" s="74">
        <f t="shared" si="188"/>
        <v>21</v>
      </c>
      <c r="E398" s="75">
        <f t="shared" si="189"/>
        <v>29</v>
      </c>
      <c r="F398" s="79"/>
      <c r="G398" s="82"/>
      <c r="H398" s="68" t="str">
        <f t="shared" si="206"/>
        <v>Hyprev6_20201202_21_00</v>
      </c>
      <c r="I398" s="69">
        <f t="shared" si="207"/>
        <v>1</v>
      </c>
      <c r="J398" s="76" t="str">
        <f t="shared" si="207"/>
        <v>Hypericum</v>
      </c>
      <c r="K398" s="76" t="str">
        <f t="shared" si="207"/>
        <v>revolutum</v>
      </c>
      <c r="L398" s="77">
        <f t="shared" si="207"/>
        <v>6</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Dec</v>
      </c>
      <c r="C399" s="73">
        <f t="shared" si="205"/>
        <v>2</v>
      </c>
      <c r="D399" s="74">
        <f t="shared" si="188"/>
        <v>21</v>
      </c>
      <c r="E399" s="75">
        <f t="shared" si="189"/>
        <v>30</v>
      </c>
      <c r="F399" s="79"/>
      <c r="G399" s="82"/>
      <c r="H399" s="68" t="str">
        <f t="shared" si="206"/>
        <v>Hyprev6_20201202_21_00</v>
      </c>
      <c r="I399" s="69">
        <f t="shared" si="207"/>
        <v>1</v>
      </c>
      <c r="J399" s="76" t="str">
        <f t="shared" si="207"/>
        <v>Hypericum</v>
      </c>
      <c r="K399" s="76" t="str">
        <f t="shared" si="207"/>
        <v>revolutum</v>
      </c>
      <c r="L399" s="77">
        <f t="shared" si="207"/>
        <v>6</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Dec</v>
      </c>
      <c r="C400" s="73">
        <f t="shared" si="205"/>
        <v>2</v>
      </c>
      <c r="D400" s="74">
        <f t="shared" si="188"/>
        <v>21</v>
      </c>
      <c r="E400" s="75">
        <f t="shared" si="189"/>
        <v>31</v>
      </c>
      <c r="F400" s="79"/>
      <c r="G400" s="82"/>
      <c r="H400" s="68" t="str">
        <f t="shared" si="206"/>
        <v>Hyprev6_20201202_21_00</v>
      </c>
      <c r="I400" s="69">
        <f t="shared" si="207"/>
        <v>1</v>
      </c>
      <c r="J400" s="76" t="str">
        <f t="shared" si="207"/>
        <v>Hypericum</v>
      </c>
      <c r="K400" s="76" t="str">
        <f t="shared" si="207"/>
        <v>revolutum</v>
      </c>
      <c r="L400" s="77">
        <f t="shared" si="207"/>
        <v>6</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Dec</v>
      </c>
      <c r="C401" s="73">
        <f t="shared" si="205"/>
        <v>2</v>
      </c>
      <c r="D401" s="74">
        <f t="shared" si="188"/>
        <v>21</v>
      </c>
      <c r="E401" s="75">
        <f t="shared" si="189"/>
        <v>32</v>
      </c>
      <c r="F401" s="79"/>
      <c r="G401" s="82"/>
      <c r="H401" s="68" t="str">
        <f t="shared" si="206"/>
        <v>Hyprev6_20201202_21_00</v>
      </c>
      <c r="I401" s="69">
        <f t="shared" si="207"/>
        <v>1</v>
      </c>
      <c r="J401" s="76" t="str">
        <f t="shared" si="207"/>
        <v>Hypericum</v>
      </c>
      <c r="K401" s="76" t="str">
        <f t="shared" si="207"/>
        <v>revolutum</v>
      </c>
      <c r="L401" s="77">
        <f t="shared" si="207"/>
        <v>6</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Dec</v>
      </c>
      <c r="C402" s="73">
        <f t="shared" si="205"/>
        <v>2</v>
      </c>
      <c r="D402" s="74">
        <f t="shared" si="188"/>
        <v>21</v>
      </c>
      <c r="E402" s="75">
        <f t="shared" si="189"/>
        <v>33</v>
      </c>
      <c r="F402" s="79"/>
      <c r="G402" s="82"/>
      <c r="H402" s="68" t="str">
        <f t="shared" si="206"/>
        <v>Hyprev6_20201202_21_00</v>
      </c>
      <c r="I402" s="69">
        <f t="shared" si="207"/>
        <v>1</v>
      </c>
      <c r="J402" s="76" t="str">
        <f t="shared" si="207"/>
        <v>Hypericum</v>
      </c>
      <c r="K402" s="76" t="str">
        <f t="shared" si="207"/>
        <v>revolutum</v>
      </c>
      <c r="L402" s="77">
        <f t="shared" si="207"/>
        <v>6</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Dec</v>
      </c>
      <c r="C403" s="73">
        <f t="shared" si="205"/>
        <v>2</v>
      </c>
      <c r="D403" s="74">
        <f t="shared" si="188"/>
        <v>21</v>
      </c>
      <c r="E403" s="75">
        <f t="shared" si="189"/>
        <v>34</v>
      </c>
      <c r="F403" s="79"/>
      <c r="G403" s="82"/>
      <c r="H403" s="68" t="str">
        <f t="shared" si="206"/>
        <v>Hyprev6_20201202_21_00</v>
      </c>
      <c r="I403" s="69">
        <f t="shared" si="207"/>
        <v>1</v>
      </c>
      <c r="J403" s="76" t="str">
        <f t="shared" si="207"/>
        <v>Hypericum</v>
      </c>
      <c r="K403" s="76" t="str">
        <f t="shared" si="207"/>
        <v>revolutum</v>
      </c>
      <c r="L403" s="77">
        <f t="shared" si="207"/>
        <v>6</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Dec</v>
      </c>
      <c r="C404" s="73">
        <f t="shared" si="205"/>
        <v>2</v>
      </c>
      <c r="D404" s="74">
        <f t="shared" si="188"/>
        <v>21</v>
      </c>
      <c r="E404" s="75">
        <f t="shared" si="189"/>
        <v>35</v>
      </c>
      <c r="F404" s="79"/>
      <c r="G404" s="82"/>
      <c r="H404" s="68" t="str">
        <f t="shared" si="206"/>
        <v>Hyprev6_20201202_21_00</v>
      </c>
      <c r="I404" s="69">
        <f t="shared" si="207"/>
        <v>1</v>
      </c>
      <c r="J404" s="76" t="str">
        <f t="shared" si="207"/>
        <v>Hypericum</v>
      </c>
      <c r="K404" s="76" t="str">
        <f t="shared" si="207"/>
        <v>revolutum</v>
      </c>
      <c r="L404" s="77">
        <f t="shared" si="207"/>
        <v>6</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Dec</v>
      </c>
      <c r="C405" s="73">
        <f t="shared" si="205"/>
        <v>2</v>
      </c>
      <c r="D405" s="74">
        <f t="shared" si="188"/>
        <v>21</v>
      </c>
      <c r="E405" s="75">
        <f t="shared" si="189"/>
        <v>36</v>
      </c>
      <c r="F405" s="79"/>
      <c r="G405" s="82"/>
      <c r="H405" s="68" t="str">
        <f t="shared" si="206"/>
        <v>Hyprev6_20201202_21_00</v>
      </c>
      <c r="I405" s="69">
        <f t="shared" ref="I405:N420" si="208">I404</f>
        <v>1</v>
      </c>
      <c r="J405" s="76" t="str">
        <f t="shared" si="208"/>
        <v>Hypericum</v>
      </c>
      <c r="K405" s="76" t="str">
        <f t="shared" si="208"/>
        <v>revolutum</v>
      </c>
      <c r="L405" s="77">
        <f t="shared" si="208"/>
        <v>6</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Dec</v>
      </c>
      <c r="C406" s="73">
        <f t="shared" si="205"/>
        <v>2</v>
      </c>
      <c r="D406" s="74">
        <f t="shared" si="188"/>
        <v>21</v>
      </c>
      <c r="E406" s="75">
        <f t="shared" si="189"/>
        <v>37</v>
      </c>
      <c r="F406" s="79"/>
      <c r="G406" s="82"/>
      <c r="H406" s="68" t="str">
        <f t="shared" si="206"/>
        <v>Hyprev6_20201202_21_00</v>
      </c>
      <c r="I406" s="69">
        <f t="shared" si="208"/>
        <v>1</v>
      </c>
      <c r="J406" s="76" t="str">
        <f t="shared" si="208"/>
        <v>Hypericum</v>
      </c>
      <c r="K406" s="76" t="str">
        <f t="shared" si="208"/>
        <v>revolutum</v>
      </c>
      <c r="L406" s="77">
        <f t="shared" si="208"/>
        <v>6</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Dec</v>
      </c>
      <c r="C407" s="73">
        <f t="shared" si="205"/>
        <v>2</v>
      </c>
      <c r="D407" s="74">
        <f t="shared" si="188"/>
        <v>21</v>
      </c>
      <c r="E407" s="75">
        <f t="shared" si="189"/>
        <v>38</v>
      </c>
      <c r="F407" s="79"/>
      <c r="G407" s="82"/>
      <c r="H407" s="68" t="str">
        <f t="shared" si="206"/>
        <v>Hyprev6_20201202_21_00</v>
      </c>
      <c r="I407" s="69">
        <f t="shared" si="208"/>
        <v>1</v>
      </c>
      <c r="J407" s="76" t="str">
        <f t="shared" si="208"/>
        <v>Hypericum</v>
      </c>
      <c r="K407" s="76" t="str">
        <f t="shared" si="208"/>
        <v>revolutum</v>
      </c>
      <c r="L407" s="77">
        <f t="shared" si="208"/>
        <v>6</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Dec</v>
      </c>
      <c r="C408" s="73">
        <f t="shared" si="205"/>
        <v>2</v>
      </c>
      <c r="D408" s="74">
        <f t="shared" si="188"/>
        <v>21</v>
      </c>
      <c r="E408" s="75">
        <f t="shared" si="189"/>
        <v>39</v>
      </c>
      <c r="F408" s="79"/>
      <c r="G408" s="82"/>
      <c r="H408" s="68" t="str">
        <f t="shared" si="206"/>
        <v>Hyprev6_20201202_21_00</v>
      </c>
      <c r="I408" s="69">
        <f t="shared" si="208"/>
        <v>1</v>
      </c>
      <c r="J408" s="76" t="str">
        <f t="shared" si="208"/>
        <v>Hypericum</v>
      </c>
      <c r="K408" s="76" t="str">
        <f t="shared" si="208"/>
        <v>revolutum</v>
      </c>
      <c r="L408" s="77">
        <f t="shared" si="208"/>
        <v>6</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Dec</v>
      </c>
      <c r="C409" s="73">
        <f t="shared" si="205"/>
        <v>2</v>
      </c>
      <c r="D409" s="74">
        <f t="shared" si="188"/>
        <v>21</v>
      </c>
      <c r="E409" s="75">
        <f t="shared" si="189"/>
        <v>40</v>
      </c>
      <c r="F409" s="79"/>
      <c r="G409" s="82"/>
      <c r="H409" s="68" t="str">
        <f t="shared" si="206"/>
        <v>Hyprev6_20201202_21_00</v>
      </c>
      <c r="I409" s="69">
        <f t="shared" si="208"/>
        <v>1</v>
      </c>
      <c r="J409" s="76" t="str">
        <f t="shared" si="208"/>
        <v>Hypericum</v>
      </c>
      <c r="K409" s="76" t="str">
        <f t="shared" si="208"/>
        <v>revolutum</v>
      </c>
      <c r="L409" s="77">
        <f t="shared" si="208"/>
        <v>6</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Dec</v>
      </c>
      <c r="C410" s="73">
        <f t="shared" si="205"/>
        <v>2</v>
      </c>
      <c r="D410" s="74">
        <f t="shared" si="188"/>
        <v>21</v>
      </c>
      <c r="E410" s="75">
        <f t="shared" si="189"/>
        <v>41</v>
      </c>
      <c r="F410" s="79"/>
      <c r="G410" s="82"/>
      <c r="H410" s="68" t="str">
        <f t="shared" si="206"/>
        <v>Hyprev6_20201202_21_00</v>
      </c>
      <c r="I410" s="69">
        <f t="shared" si="208"/>
        <v>1</v>
      </c>
      <c r="J410" s="76" t="str">
        <f t="shared" si="208"/>
        <v>Hypericum</v>
      </c>
      <c r="K410" s="76" t="str">
        <f t="shared" si="208"/>
        <v>revolutum</v>
      </c>
      <c r="L410" s="77">
        <f t="shared" si="208"/>
        <v>6</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Dec</v>
      </c>
      <c r="C411" s="73">
        <f t="shared" si="205"/>
        <v>2</v>
      </c>
      <c r="D411" s="74">
        <f t="shared" si="188"/>
        <v>21</v>
      </c>
      <c r="E411" s="75">
        <f t="shared" si="189"/>
        <v>42</v>
      </c>
      <c r="F411" s="79"/>
      <c r="G411" s="82"/>
      <c r="H411" s="68" t="str">
        <f t="shared" si="206"/>
        <v>Hyprev6_20201202_21_00</v>
      </c>
      <c r="I411" s="69">
        <f t="shared" si="208"/>
        <v>1</v>
      </c>
      <c r="J411" s="76" t="str">
        <f t="shared" si="208"/>
        <v>Hypericum</v>
      </c>
      <c r="K411" s="76" t="str">
        <f t="shared" si="208"/>
        <v>revolutum</v>
      </c>
      <c r="L411" s="77">
        <f t="shared" si="208"/>
        <v>6</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Dec</v>
      </c>
      <c r="C412" s="73">
        <f t="shared" si="205"/>
        <v>2</v>
      </c>
      <c r="D412" s="74">
        <f t="shared" si="188"/>
        <v>21</v>
      </c>
      <c r="E412" s="75">
        <f t="shared" si="189"/>
        <v>43</v>
      </c>
      <c r="F412" s="79"/>
      <c r="G412" s="82"/>
      <c r="H412" s="68" t="str">
        <f t="shared" si="206"/>
        <v>Hyprev6_20201202_21_00</v>
      </c>
      <c r="I412" s="69">
        <f t="shared" si="208"/>
        <v>1</v>
      </c>
      <c r="J412" s="76" t="str">
        <f t="shared" si="208"/>
        <v>Hypericum</v>
      </c>
      <c r="K412" s="76" t="str">
        <f t="shared" si="208"/>
        <v>revolutum</v>
      </c>
      <c r="L412" s="77">
        <f t="shared" si="208"/>
        <v>6</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Dec</v>
      </c>
      <c r="C413" s="73">
        <f t="shared" si="205"/>
        <v>2</v>
      </c>
      <c r="D413" s="74">
        <f t="shared" si="188"/>
        <v>21</v>
      </c>
      <c r="E413" s="75">
        <f t="shared" si="189"/>
        <v>44</v>
      </c>
      <c r="F413" s="79"/>
      <c r="G413" s="82"/>
      <c r="H413" s="68" t="str">
        <f t="shared" si="206"/>
        <v>Hyprev6_20201202_21_00</v>
      </c>
      <c r="I413" s="69">
        <f t="shared" si="208"/>
        <v>1</v>
      </c>
      <c r="J413" s="76" t="str">
        <f t="shared" si="208"/>
        <v>Hypericum</v>
      </c>
      <c r="K413" s="76" t="str">
        <f t="shared" si="208"/>
        <v>revolutum</v>
      </c>
      <c r="L413" s="77">
        <f t="shared" si="208"/>
        <v>6</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Dec</v>
      </c>
      <c r="C414" s="73">
        <f t="shared" si="205"/>
        <v>2</v>
      </c>
      <c r="D414" s="74">
        <f t="shared" si="188"/>
        <v>21</v>
      </c>
      <c r="E414" s="75">
        <f t="shared" si="189"/>
        <v>45</v>
      </c>
      <c r="F414" s="79"/>
      <c r="G414" s="82"/>
      <c r="H414" s="68" t="str">
        <f t="shared" si="206"/>
        <v>Hyprev6_20201202_21_00</v>
      </c>
      <c r="I414" s="69">
        <f t="shared" si="208"/>
        <v>1</v>
      </c>
      <c r="J414" s="76" t="str">
        <f t="shared" si="208"/>
        <v>Hypericum</v>
      </c>
      <c r="K414" s="76" t="str">
        <f t="shared" si="208"/>
        <v>revolutum</v>
      </c>
      <c r="L414" s="77">
        <f t="shared" si="208"/>
        <v>6</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Dec</v>
      </c>
      <c r="C415" s="73">
        <f t="shared" si="205"/>
        <v>2</v>
      </c>
      <c r="D415" s="74">
        <f t="shared" si="188"/>
        <v>21</v>
      </c>
      <c r="E415" s="75">
        <f t="shared" si="189"/>
        <v>46</v>
      </c>
      <c r="F415" s="79"/>
      <c r="G415" s="82"/>
      <c r="H415" s="68" t="str">
        <f t="shared" si="206"/>
        <v>Hyprev6_20201202_21_00</v>
      </c>
      <c r="I415" s="69">
        <f t="shared" si="208"/>
        <v>1</v>
      </c>
      <c r="J415" s="76" t="str">
        <f t="shared" si="208"/>
        <v>Hypericum</v>
      </c>
      <c r="K415" s="76" t="str">
        <f t="shared" si="208"/>
        <v>revolutum</v>
      </c>
      <c r="L415" s="77">
        <f t="shared" si="208"/>
        <v>6</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Dec</v>
      </c>
      <c r="C416" s="73">
        <f t="shared" si="205"/>
        <v>2</v>
      </c>
      <c r="D416" s="74">
        <f t="shared" si="188"/>
        <v>21</v>
      </c>
      <c r="E416" s="75">
        <f t="shared" si="189"/>
        <v>47</v>
      </c>
      <c r="F416" s="79"/>
      <c r="G416" s="82"/>
      <c r="H416" s="68" t="str">
        <f t="shared" si="206"/>
        <v>Hyprev6_20201202_21_00</v>
      </c>
      <c r="I416" s="69">
        <f t="shared" si="208"/>
        <v>1</v>
      </c>
      <c r="J416" s="76" t="str">
        <f t="shared" si="208"/>
        <v>Hypericum</v>
      </c>
      <c r="K416" s="76" t="str">
        <f t="shared" si="208"/>
        <v>revolutum</v>
      </c>
      <c r="L416" s="77">
        <f t="shared" si="208"/>
        <v>6</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Dec</v>
      </c>
      <c r="C417" s="73">
        <f t="shared" si="205"/>
        <v>2</v>
      </c>
      <c r="D417" s="74">
        <f t="shared" si="188"/>
        <v>21</v>
      </c>
      <c r="E417" s="75">
        <f t="shared" si="189"/>
        <v>48</v>
      </c>
      <c r="F417" s="79"/>
      <c r="G417" s="82"/>
      <c r="H417" s="68" t="str">
        <f t="shared" si="206"/>
        <v>Hyprev6_20201202_21_00</v>
      </c>
      <c r="I417" s="69">
        <f t="shared" si="208"/>
        <v>1</v>
      </c>
      <c r="J417" s="76" t="str">
        <f t="shared" si="208"/>
        <v>Hypericum</v>
      </c>
      <c r="K417" s="76" t="str">
        <f t="shared" si="208"/>
        <v>revolutum</v>
      </c>
      <c r="L417" s="77">
        <f t="shared" si="208"/>
        <v>6</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Dec</v>
      </c>
      <c r="C418" s="73">
        <f t="shared" si="205"/>
        <v>2</v>
      </c>
      <c r="D418" s="74">
        <f t="shared" si="188"/>
        <v>21</v>
      </c>
      <c r="E418" s="75">
        <f t="shared" si="189"/>
        <v>49</v>
      </c>
      <c r="F418" s="79"/>
      <c r="G418" s="82"/>
      <c r="H418" s="68" t="str">
        <f t="shared" si="206"/>
        <v>Hyprev6_20201202_21_00</v>
      </c>
      <c r="I418" s="69">
        <f t="shared" si="208"/>
        <v>1</v>
      </c>
      <c r="J418" s="76" t="str">
        <f t="shared" si="208"/>
        <v>Hypericum</v>
      </c>
      <c r="K418" s="76" t="str">
        <f t="shared" si="208"/>
        <v>revolutum</v>
      </c>
      <c r="L418" s="77">
        <f t="shared" si="208"/>
        <v>6</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Dec</v>
      </c>
      <c r="C419" s="73">
        <f t="shared" si="205"/>
        <v>2</v>
      </c>
      <c r="D419" s="74">
        <f t="shared" si="188"/>
        <v>21</v>
      </c>
      <c r="E419" s="75">
        <f t="shared" si="189"/>
        <v>50</v>
      </c>
      <c r="F419" s="79"/>
      <c r="G419" s="82"/>
      <c r="H419" s="68" t="str">
        <f t="shared" si="206"/>
        <v>Hyprev6_20201202_21_00</v>
      </c>
      <c r="I419" s="69">
        <f t="shared" si="208"/>
        <v>1</v>
      </c>
      <c r="J419" s="76" t="str">
        <f t="shared" si="208"/>
        <v>Hypericum</v>
      </c>
      <c r="K419" s="76" t="str">
        <f t="shared" si="208"/>
        <v>revolutum</v>
      </c>
      <c r="L419" s="77">
        <f t="shared" si="208"/>
        <v>6</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Dec</v>
      </c>
      <c r="C420" s="73">
        <f t="shared" si="205"/>
        <v>2</v>
      </c>
      <c r="D420" s="74">
        <f t="shared" si="188"/>
        <v>21</v>
      </c>
      <c r="E420" s="75">
        <f t="shared" si="189"/>
        <v>51</v>
      </c>
      <c r="F420" s="79"/>
      <c r="G420" s="82"/>
      <c r="H420" s="68" t="str">
        <f t="shared" si="206"/>
        <v>Hyprev6_20201202_21_00</v>
      </c>
      <c r="I420" s="69">
        <f t="shared" si="208"/>
        <v>1</v>
      </c>
      <c r="J420" s="76" t="str">
        <f t="shared" si="208"/>
        <v>Hypericum</v>
      </c>
      <c r="K420" s="76" t="str">
        <f t="shared" si="208"/>
        <v>revolutum</v>
      </c>
      <c r="L420" s="77">
        <f t="shared" si="208"/>
        <v>6</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Dec</v>
      </c>
      <c r="C421" s="73">
        <f t="shared" si="205"/>
        <v>2</v>
      </c>
      <c r="D421" s="74">
        <f t="shared" si="188"/>
        <v>21</v>
      </c>
      <c r="E421" s="75">
        <f t="shared" si="189"/>
        <v>52</v>
      </c>
      <c r="F421" s="79"/>
      <c r="G421" s="82"/>
      <c r="H421" s="68" t="str">
        <f t="shared" si="206"/>
        <v>Hyprev6_20201202_21_00</v>
      </c>
      <c r="I421" s="69">
        <f t="shared" ref="I421:N436" si="209">I420</f>
        <v>1</v>
      </c>
      <c r="J421" s="76" t="str">
        <f t="shared" si="209"/>
        <v>Hypericum</v>
      </c>
      <c r="K421" s="76" t="str">
        <f t="shared" si="209"/>
        <v>revolutum</v>
      </c>
      <c r="L421" s="77">
        <f t="shared" si="209"/>
        <v>6</v>
      </c>
      <c r="M421" s="77">
        <f t="shared" si="209"/>
        <v>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Dec</v>
      </c>
      <c r="C422" s="73">
        <f t="shared" si="205"/>
        <v>2</v>
      </c>
      <c r="D422" s="74">
        <f t="shared" si="188"/>
        <v>21</v>
      </c>
      <c r="E422" s="75">
        <f t="shared" si="189"/>
        <v>53</v>
      </c>
      <c r="F422" s="79"/>
      <c r="G422" s="82"/>
      <c r="H422" s="68" t="str">
        <f t="shared" si="206"/>
        <v>Hyprev6_20201202_21_00</v>
      </c>
      <c r="I422" s="69">
        <f t="shared" si="209"/>
        <v>1</v>
      </c>
      <c r="J422" s="76" t="str">
        <f t="shared" si="209"/>
        <v>Hypericum</v>
      </c>
      <c r="K422" s="76" t="str">
        <f t="shared" si="209"/>
        <v>revolutum</v>
      </c>
      <c r="L422" s="77">
        <f t="shared" si="209"/>
        <v>6</v>
      </c>
      <c r="M422" s="77">
        <f t="shared" si="209"/>
        <v>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Dec</v>
      </c>
      <c r="C423" s="73">
        <f t="shared" si="205"/>
        <v>2</v>
      </c>
      <c r="D423" s="74">
        <f t="shared" si="188"/>
        <v>21</v>
      </c>
      <c r="E423" s="75">
        <f t="shared" si="189"/>
        <v>54</v>
      </c>
      <c r="F423" s="79"/>
      <c r="G423" s="82"/>
      <c r="H423" s="68" t="str">
        <f t="shared" si="206"/>
        <v>Hyprev6_20201202_21_00</v>
      </c>
      <c r="I423" s="69">
        <f t="shared" si="209"/>
        <v>1</v>
      </c>
      <c r="J423" s="76" t="str">
        <f t="shared" si="209"/>
        <v>Hypericum</v>
      </c>
      <c r="K423" s="76" t="str">
        <f t="shared" si="209"/>
        <v>revolutum</v>
      </c>
      <c r="L423" s="77">
        <f t="shared" si="209"/>
        <v>6</v>
      </c>
      <c r="M423" s="77">
        <f t="shared" si="209"/>
        <v>1</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Dec</v>
      </c>
      <c r="C424" s="73">
        <f t="shared" si="205"/>
        <v>2</v>
      </c>
      <c r="D424" s="74">
        <f t="shared" si="188"/>
        <v>21</v>
      </c>
      <c r="E424" s="75">
        <f t="shared" si="189"/>
        <v>55</v>
      </c>
      <c r="F424" s="79"/>
      <c r="G424" s="82"/>
      <c r="H424" s="68" t="str">
        <f t="shared" si="206"/>
        <v>Hyprev6_20201202_21_00</v>
      </c>
      <c r="I424" s="69">
        <f t="shared" si="209"/>
        <v>1</v>
      </c>
      <c r="J424" s="76" t="str">
        <f t="shared" si="209"/>
        <v>Hypericum</v>
      </c>
      <c r="K424" s="76" t="str">
        <f t="shared" si="209"/>
        <v>revolutum</v>
      </c>
      <c r="L424" s="77">
        <f t="shared" si="209"/>
        <v>6</v>
      </c>
      <c r="M424" s="77">
        <f t="shared" si="209"/>
        <v>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Dec</v>
      </c>
      <c r="C425" s="73">
        <f t="shared" si="205"/>
        <v>2</v>
      </c>
      <c r="D425" s="74">
        <f t="shared" si="188"/>
        <v>21</v>
      </c>
      <c r="E425" s="75">
        <f t="shared" si="189"/>
        <v>56</v>
      </c>
      <c r="F425" s="79"/>
      <c r="G425" s="82"/>
      <c r="H425" s="68" t="str">
        <f t="shared" si="206"/>
        <v>Hyprev6_20201202_21_00</v>
      </c>
      <c r="I425" s="69">
        <f t="shared" si="209"/>
        <v>1</v>
      </c>
      <c r="J425" s="76" t="str">
        <f t="shared" si="209"/>
        <v>Hypericum</v>
      </c>
      <c r="K425" s="76" t="str">
        <f t="shared" si="209"/>
        <v>revolutum</v>
      </c>
      <c r="L425" s="77">
        <f t="shared" si="209"/>
        <v>6</v>
      </c>
      <c r="M425" s="77">
        <f t="shared" si="209"/>
        <v>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Dec</v>
      </c>
      <c r="C426" s="73">
        <f t="shared" si="205"/>
        <v>2</v>
      </c>
      <c r="D426" s="74">
        <f t="shared" si="188"/>
        <v>21</v>
      </c>
      <c r="E426" s="75">
        <f t="shared" si="189"/>
        <v>57</v>
      </c>
      <c r="F426" s="79"/>
      <c r="G426" s="82"/>
      <c r="H426" s="68" t="str">
        <f t="shared" si="206"/>
        <v>Hyprev6_20201202_21_00</v>
      </c>
      <c r="I426" s="69">
        <f t="shared" si="209"/>
        <v>1</v>
      </c>
      <c r="J426" s="76" t="str">
        <f t="shared" si="209"/>
        <v>Hypericum</v>
      </c>
      <c r="K426" s="76" t="str">
        <f t="shared" si="209"/>
        <v>revolutum</v>
      </c>
      <c r="L426" s="77">
        <f t="shared" si="209"/>
        <v>6</v>
      </c>
      <c r="M426" s="77">
        <f t="shared" si="209"/>
        <v>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Dec</v>
      </c>
      <c r="C427" s="73">
        <f t="shared" si="205"/>
        <v>2</v>
      </c>
      <c r="D427" s="74">
        <f t="shared" si="188"/>
        <v>21</v>
      </c>
      <c r="E427" s="75">
        <f t="shared" si="189"/>
        <v>58</v>
      </c>
      <c r="F427" s="79"/>
      <c r="G427" s="82"/>
      <c r="H427" s="68" t="str">
        <f t="shared" si="206"/>
        <v>Hyprev6_20201202_21_00</v>
      </c>
      <c r="I427" s="69">
        <f t="shared" si="209"/>
        <v>1</v>
      </c>
      <c r="J427" s="76" t="str">
        <f t="shared" si="209"/>
        <v>Hypericum</v>
      </c>
      <c r="K427" s="76" t="str">
        <f t="shared" si="209"/>
        <v>revolutum</v>
      </c>
      <c r="L427" s="77">
        <f t="shared" si="209"/>
        <v>6</v>
      </c>
      <c r="M427" s="77">
        <f t="shared" si="209"/>
        <v>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Dec</v>
      </c>
      <c r="C428" s="73">
        <f t="shared" si="205"/>
        <v>2</v>
      </c>
      <c r="D428" s="74">
        <f t="shared" si="188"/>
        <v>21</v>
      </c>
      <c r="E428" s="75">
        <f t="shared" si="189"/>
        <v>59</v>
      </c>
      <c r="F428" s="79"/>
      <c r="G428" s="82"/>
      <c r="H428" s="68" t="str">
        <f t="shared" si="206"/>
        <v>Hyprev6_20201202_21_00</v>
      </c>
      <c r="I428" s="69">
        <f t="shared" si="209"/>
        <v>1</v>
      </c>
      <c r="J428" s="76" t="str">
        <f t="shared" si="209"/>
        <v>Hypericum</v>
      </c>
      <c r="K428" s="76" t="str">
        <f t="shared" si="209"/>
        <v>revolutum</v>
      </c>
      <c r="L428" s="77">
        <f t="shared" si="209"/>
        <v>6</v>
      </c>
      <c r="M428" s="77">
        <f t="shared" si="209"/>
        <v>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Dec</v>
      </c>
      <c r="C429" s="73">
        <f t="shared" si="205"/>
        <v>2</v>
      </c>
      <c r="D429" s="74">
        <f t="shared" si="188"/>
        <v>22</v>
      </c>
      <c r="E429" s="75">
        <f t="shared" si="189"/>
        <v>0</v>
      </c>
      <c r="F429" s="79"/>
      <c r="G429" s="82"/>
      <c r="H429" s="68" t="str">
        <f t="shared" si="206"/>
        <v>Hyprev6_20201202_22_00</v>
      </c>
      <c r="I429" s="69">
        <f t="shared" si="209"/>
        <v>1</v>
      </c>
      <c r="J429" s="76" t="str">
        <f t="shared" si="209"/>
        <v>Hypericum</v>
      </c>
      <c r="K429" s="76" t="str">
        <f t="shared" si="209"/>
        <v>revolutum</v>
      </c>
      <c r="L429" s="77">
        <f t="shared" si="209"/>
        <v>6</v>
      </c>
      <c r="M429" s="77">
        <f t="shared" si="209"/>
        <v>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Dec</v>
      </c>
      <c r="C430" s="73">
        <f t="shared" si="205"/>
        <v>2</v>
      </c>
      <c r="D430" s="74">
        <f t="shared" si="188"/>
        <v>22</v>
      </c>
      <c r="E430" s="75">
        <f t="shared" si="189"/>
        <v>1</v>
      </c>
      <c r="F430" s="79"/>
      <c r="G430" s="82"/>
      <c r="H430" s="68" t="str">
        <f t="shared" si="206"/>
        <v>Hyprev6_20201202_22_00</v>
      </c>
      <c r="I430" s="69">
        <f t="shared" si="209"/>
        <v>1</v>
      </c>
      <c r="J430" s="76" t="str">
        <f t="shared" si="209"/>
        <v>Hypericum</v>
      </c>
      <c r="K430" s="76" t="str">
        <f t="shared" si="209"/>
        <v>revolutum</v>
      </c>
      <c r="L430" s="77">
        <f t="shared" si="209"/>
        <v>6</v>
      </c>
      <c r="M430" s="77">
        <f t="shared" si="209"/>
        <v>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Dec</v>
      </c>
      <c r="C431" s="73">
        <f t="shared" si="205"/>
        <v>2</v>
      </c>
      <c r="D431" s="74">
        <f t="shared" si="188"/>
        <v>22</v>
      </c>
      <c r="E431" s="75">
        <f t="shared" si="189"/>
        <v>2</v>
      </c>
      <c r="F431" s="79"/>
      <c r="G431" s="82"/>
      <c r="H431" s="68" t="str">
        <f t="shared" si="206"/>
        <v>Hyprev6_20201202_22_00</v>
      </c>
      <c r="I431" s="69">
        <f t="shared" si="209"/>
        <v>1</v>
      </c>
      <c r="J431" s="76" t="str">
        <f t="shared" si="209"/>
        <v>Hypericum</v>
      </c>
      <c r="K431" s="76" t="str">
        <f t="shared" si="209"/>
        <v>revolutum</v>
      </c>
      <c r="L431" s="77">
        <f t="shared" si="209"/>
        <v>6</v>
      </c>
      <c r="M431" s="77">
        <f t="shared" si="209"/>
        <v>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Dec</v>
      </c>
      <c r="C432" s="73">
        <f t="shared" si="205"/>
        <v>2</v>
      </c>
      <c r="D432" s="74">
        <f t="shared" si="188"/>
        <v>22</v>
      </c>
      <c r="E432" s="75">
        <f t="shared" si="189"/>
        <v>3</v>
      </c>
      <c r="F432" s="79"/>
      <c r="G432" s="82"/>
      <c r="H432" s="68" t="str">
        <f t="shared" si="206"/>
        <v>Hyprev6_20201202_22_00</v>
      </c>
      <c r="I432" s="69">
        <f t="shared" si="209"/>
        <v>1</v>
      </c>
      <c r="J432" s="76" t="str">
        <f t="shared" si="209"/>
        <v>Hypericum</v>
      </c>
      <c r="K432" s="76" t="str">
        <f t="shared" si="209"/>
        <v>revolutum</v>
      </c>
      <c r="L432" s="77">
        <f t="shared" si="209"/>
        <v>6</v>
      </c>
      <c r="M432" s="77">
        <f t="shared" si="209"/>
        <v>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Dec</v>
      </c>
      <c r="C433" s="73">
        <f t="shared" si="205"/>
        <v>2</v>
      </c>
      <c r="D433" s="74">
        <f t="shared" si="188"/>
        <v>22</v>
      </c>
      <c r="E433" s="75">
        <f t="shared" si="189"/>
        <v>4</v>
      </c>
      <c r="F433" s="79"/>
      <c r="G433" s="82"/>
      <c r="H433" s="68" t="str">
        <f t="shared" si="206"/>
        <v>Hyprev6_20201202_22_00</v>
      </c>
      <c r="I433" s="69">
        <f t="shared" si="209"/>
        <v>1</v>
      </c>
      <c r="J433" s="76" t="str">
        <f t="shared" si="209"/>
        <v>Hypericum</v>
      </c>
      <c r="K433" s="76" t="str">
        <f t="shared" si="209"/>
        <v>revolutum</v>
      </c>
      <c r="L433" s="77">
        <f t="shared" si="209"/>
        <v>6</v>
      </c>
      <c r="M433" s="77">
        <f t="shared" si="209"/>
        <v>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Dec</v>
      </c>
      <c r="C434" s="73">
        <f t="shared" si="205"/>
        <v>2</v>
      </c>
      <c r="D434" s="74">
        <f t="shared" si="188"/>
        <v>22</v>
      </c>
      <c r="E434" s="75">
        <f t="shared" si="189"/>
        <v>5</v>
      </c>
      <c r="F434" s="79"/>
      <c r="G434" s="82"/>
      <c r="H434" s="68" t="str">
        <f t="shared" si="206"/>
        <v>Hyprev6_20201202_22_00</v>
      </c>
      <c r="I434" s="69">
        <f t="shared" si="209"/>
        <v>1</v>
      </c>
      <c r="J434" s="76" t="str">
        <f t="shared" si="209"/>
        <v>Hypericum</v>
      </c>
      <c r="K434" s="76" t="str">
        <f t="shared" si="209"/>
        <v>revolutum</v>
      </c>
      <c r="L434" s="77">
        <f t="shared" si="209"/>
        <v>6</v>
      </c>
      <c r="M434" s="77">
        <f t="shared" si="209"/>
        <v>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Dec</v>
      </c>
      <c r="C435" s="73">
        <f t="shared" si="205"/>
        <v>2</v>
      </c>
      <c r="D435" s="74">
        <f t="shared" si="188"/>
        <v>22</v>
      </c>
      <c r="E435" s="75">
        <f t="shared" si="189"/>
        <v>6</v>
      </c>
      <c r="F435" s="79"/>
      <c r="G435" s="82"/>
      <c r="H435" s="68" t="str">
        <f t="shared" si="206"/>
        <v>Hyprev6_20201202_22_00</v>
      </c>
      <c r="I435" s="69">
        <f t="shared" si="209"/>
        <v>1</v>
      </c>
      <c r="J435" s="76" t="str">
        <f t="shared" si="209"/>
        <v>Hypericum</v>
      </c>
      <c r="K435" s="76" t="str">
        <f t="shared" si="209"/>
        <v>revolutum</v>
      </c>
      <c r="L435" s="77">
        <f t="shared" si="209"/>
        <v>6</v>
      </c>
      <c r="M435" s="77">
        <f t="shared" si="209"/>
        <v>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Dec</v>
      </c>
      <c r="C436" s="73">
        <f t="shared" si="205"/>
        <v>2</v>
      </c>
      <c r="D436" s="74">
        <f t="shared" si="188"/>
        <v>22</v>
      </c>
      <c r="E436" s="75">
        <f t="shared" si="189"/>
        <v>7</v>
      </c>
      <c r="F436" s="79"/>
      <c r="G436" s="82"/>
      <c r="H436" s="68" t="str">
        <f t="shared" si="206"/>
        <v>Hyprev6_20201202_22_00</v>
      </c>
      <c r="I436" s="69">
        <f t="shared" si="209"/>
        <v>1</v>
      </c>
      <c r="J436" s="76" t="str">
        <f t="shared" si="209"/>
        <v>Hypericum</v>
      </c>
      <c r="K436" s="76" t="str">
        <f t="shared" si="209"/>
        <v>revolutum</v>
      </c>
      <c r="L436" s="77">
        <f t="shared" si="209"/>
        <v>6</v>
      </c>
      <c r="M436" s="77">
        <f t="shared" si="209"/>
        <v>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Dec</v>
      </c>
      <c r="C437" s="73">
        <f t="shared" si="205"/>
        <v>2</v>
      </c>
      <c r="D437" s="74">
        <f t="shared" si="188"/>
        <v>22</v>
      </c>
      <c r="E437" s="75">
        <f t="shared" si="189"/>
        <v>8</v>
      </c>
      <c r="F437" s="79"/>
      <c r="G437" s="82"/>
      <c r="H437" s="68" t="str">
        <f t="shared" si="206"/>
        <v>Hyprev6_20201202_22_00</v>
      </c>
      <c r="I437" s="69">
        <f t="shared" ref="I437:N452" si="210">I436</f>
        <v>1</v>
      </c>
      <c r="J437" s="76" t="str">
        <f t="shared" si="210"/>
        <v>Hypericum</v>
      </c>
      <c r="K437" s="76" t="str">
        <f t="shared" si="210"/>
        <v>revolutum</v>
      </c>
      <c r="L437" s="77">
        <f t="shared" si="210"/>
        <v>6</v>
      </c>
      <c r="M437" s="77">
        <f t="shared" si="210"/>
        <v>1</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Dec</v>
      </c>
      <c r="C438" s="73">
        <f t="shared" si="205"/>
        <v>2</v>
      </c>
      <c r="D438" s="74">
        <f t="shared" si="188"/>
        <v>22</v>
      </c>
      <c r="E438" s="75">
        <f t="shared" si="189"/>
        <v>9</v>
      </c>
      <c r="F438" s="79"/>
      <c r="G438" s="82"/>
      <c r="H438" s="68" t="str">
        <f t="shared" si="206"/>
        <v>Hyprev6_20201202_22_00</v>
      </c>
      <c r="I438" s="69">
        <f t="shared" si="210"/>
        <v>1</v>
      </c>
      <c r="J438" s="76" t="str">
        <f t="shared" si="210"/>
        <v>Hypericum</v>
      </c>
      <c r="K438" s="76" t="str">
        <f t="shared" si="210"/>
        <v>revolutum</v>
      </c>
      <c r="L438" s="77">
        <f t="shared" si="210"/>
        <v>6</v>
      </c>
      <c r="M438" s="77">
        <f t="shared" si="210"/>
        <v>1</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Dec</v>
      </c>
      <c r="C439" s="73">
        <f t="shared" si="205"/>
        <v>2</v>
      </c>
      <c r="D439" s="74">
        <f t="shared" si="188"/>
        <v>22</v>
      </c>
      <c r="E439" s="75">
        <f t="shared" si="189"/>
        <v>10</v>
      </c>
      <c r="F439" s="79"/>
      <c r="G439" s="82"/>
      <c r="H439" s="68" t="str">
        <f t="shared" si="206"/>
        <v>Hyprev6_20201202_22_00</v>
      </c>
      <c r="I439" s="69">
        <f t="shared" si="210"/>
        <v>1</v>
      </c>
      <c r="J439" s="76" t="str">
        <f t="shared" si="210"/>
        <v>Hypericum</v>
      </c>
      <c r="K439" s="76" t="str">
        <f t="shared" si="210"/>
        <v>revolutum</v>
      </c>
      <c r="L439" s="77">
        <f t="shared" si="210"/>
        <v>6</v>
      </c>
      <c r="M439" s="77">
        <f t="shared" si="210"/>
        <v>1</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Dec</v>
      </c>
      <c r="C440" s="73">
        <f t="shared" si="205"/>
        <v>2</v>
      </c>
      <c r="D440" s="74">
        <f t="shared" si="188"/>
        <v>22</v>
      </c>
      <c r="E440" s="75">
        <f t="shared" si="189"/>
        <v>11</v>
      </c>
      <c r="F440" s="79"/>
      <c r="G440" s="82"/>
      <c r="H440" s="68" t="str">
        <f t="shared" si="206"/>
        <v>Hyprev6_20201202_22_00</v>
      </c>
      <c r="I440" s="69">
        <f t="shared" si="210"/>
        <v>1</v>
      </c>
      <c r="J440" s="76" t="str">
        <f t="shared" si="210"/>
        <v>Hypericum</v>
      </c>
      <c r="K440" s="76" t="str">
        <f t="shared" si="210"/>
        <v>revolutum</v>
      </c>
      <c r="L440" s="77">
        <f t="shared" si="210"/>
        <v>6</v>
      </c>
      <c r="M440" s="77">
        <f t="shared" si="210"/>
        <v>1</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Dec</v>
      </c>
      <c r="C441" s="73">
        <f t="shared" si="205"/>
        <v>2</v>
      </c>
      <c r="D441" s="74">
        <f t="shared" si="188"/>
        <v>22</v>
      </c>
      <c r="E441" s="75">
        <f t="shared" si="189"/>
        <v>12</v>
      </c>
      <c r="F441" s="79"/>
      <c r="G441" s="82"/>
      <c r="H441" s="68" t="str">
        <f t="shared" si="206"/>
        <v>Hyprev6_20201202_22_00</v>
      </c>
      <c r="I441" s="69">
        <f t="shared" si="210"/>
        <v>1</v>
      </c>
      <c r="J441" s="76" t="str">
        <f t="shared" si="210"/>
        <v>Hypericum</v>
      </c>
      <c r="K441" s="76" t="str">
        <f t="shared" si="210"/>
        <v>revolutum</v>
      </c>
      <c r="L441" s="77">
        <f t="shared" si="210"/>
        <v>6</v>
      </c>
      <c r="M441" s="77">
        <f t="shared" si="210"/>
        <v>1</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Dec</v>
      </c>
      <c r="C442" s="73">
        <f t="shared" si="205"/>
        <v>2</v>
      </c>
      <c r="D442" s="74">
        <f t="shared" si="188"/>
        <v>22</v>
      </c>
      <c r="E442" s="75">
        <f t="shared" si="189"/>
        <v>13</v>
      </c>
      <c r="F442" s="79"/>
      <c r="G442" s="82"/>
      <c r="H442" s="68" t="str">
        <f t="shared" si="206"/>
        <v>Hyprev6_20201202_22_00</v>
      </c>
      <c r="I442" s="69">
        <f t="shared" si="210"/>
        <v>1</v>
      </c>
      <c r="J442" s="76" t="str">
        <f t="shared" si="210"/>
        <v>Hypericum</v>
      </c>
      <c r="K442" s="76" t="str">
        <f t="shared" si="210"/>
        <v>revolutum</v>
      </c>
      <c r="L442" s="77">
        <f t="shared" si="210"/>
        <v>6</v>
      </c>
      <c r="M442" s="77">
        <f t="shared" si="210"/>
        <v>1</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Dec</v>
      </c>
      <c r="C443" s="73">
        <f t="shared" si="205"/>
        <v>2</v>
      </c>
      <c r="D443" s="74">
        <f t="shared" si="188"/>
        <v>22</v>
      </c>
      <c r="E443" s="75">
        <f t="shared" si="189"/>
        <v>14</v>
      </c>
      <c r="F443" s="79"/>
      <c r="G443" s="82"/>
      <c r="H443" s="68" t="str">
        <f t="shared" si="206"/>
        <v>Hyprev6_20201202_22_00</v>
      </c>
      <c r="I443" s="69">
        <f t="shared" si="210"/>
        <v>1</v>
      </c>
      <c r="J443" s="76" t="str">
        <f t="shared" si="210"/>
        <v>Hypericum</v>
      </c>
      <c r="K443" s="76" t="str">
        <f t="shared" si="210"/>
        <v>revolutum</v>
      </c>
      <c r="L443" s="77">
        <f t="shared" si="210"/>
        <v>6</v>
      </c>
      <c r="M443" s="77">
        <f t="shared" si="210"/>
        <v>1</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Dec</v>
      </c>
      <c r="C444" s="73">
        <f t="shared" si="205"/>
        <v>2</v>
      </c>
      <c r="D444" s="74">
        <f t="shared" si="188"/>
        <v>22</v>
      </c>
      <c r="E444" s="75">
        <f t="shared" si="189"/>
        <v>15</v>
      </c>
      <c r="F444" s="79"/>
      <c r="G444" s="82"/>
      <c r="H444" s="68" t="str">
        <f t="shared" si="206"/>
        <v>Hyprev6_20201202_22_00</v>
      </c>
      <c r="I444" s="69">
        <f t="shared" si="210"/>
        <v>1</v>
      </c>
      <c r="J444" s="76" t="str">
        <f t="shared" si="210"/>
        <v>Hypericum</v>
      </c>
      <c r="K444" s="76" t="str">
        <f t="shared" si="210"/>
        <v>revolutum</v>
      </c>
      <c r="L444" s="77">
        <f t="shared" si="210"/>
        <v>6</v>
      </c>
      <c r="M444" s="77">
        <f t="shared" si="210"/>
        <v>1</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Dec</v>
      </c>
      <c r="C445" s="73">
        <f t="shared" si="205"/>
        <v>2</v>
      </c>
      <c r="D445" s="74">
        <f t="shared" si="188"/>
        <v>22</v>
      </c>
      <c r="E445" s="75">
        <f t="shared" si="189"/>
        <v>16</v>
      </c>
      <c r="F445" s="79"/>
      <c r="G445" s="82"/>
      <c r="H445" s="68" t="str">
        <f t="shared" si="206"/>
        <v>Hyprev6_20201202_22_00</v>
      </c>
      <c r="I445" s="69">
        <f t="shared" si="210"/>
        <v>1</v>
      </c>
      <c r="J445" s="76" t="str">
        <f t="shared" si="210"/>
        <v>Hypericum</v>
      </c>
      <c r="K445" s="76" t="str">
        <f t="shared" si="210"/>
        <v>revolutum</v>
      </c>
      <c r="L445" s="77">
        <f t="shared" si="210"/>
        <v>6</v>
      </c>
      <c r="M445" s="77">
        <f t="shared" si="210"/>
        <v>1</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Dec</v>
      </c>
      <c r="C446" s="73">
        <f t="shared" si="205"/>
        <v>2</v>
      </c>
      <c r="D446" s="74">
        <f t="shared" si="188"/>
        <v>22</v>
      </c>
      <c r="E446" s="75">
        <f t="shared" si="189"/>
        <v>17</v>
      </c>
      <c r="F446" s="79"/>
      <c r="G446" s="82"/>
      <c r="H446" s="68" t="str">
        <f t="shared" si="206"/>
        <v>Hyprev6_20201202_22_00</v>
      </c>
      <c r="I446" s="69">
        <f t="shared" si="210"/>
        <v>1</v>
      </c>
      <c r="J446" s="76" t="str">
        <f t="shared" si="210"/>
        <v>Hypericum</v>
      </c>
      <c r="K446" s="76" t="str">
        <f t="shared" si="210"/>
        <v>revolutum</v>
      </c>
      <c r="L446" s="77">
        <f t="shared" si="210"/>
        <v>6</v>
      </c>
      <c r="M446" s="77">
        <f t="shared" si="210"/>
        <v>1</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Dec</v>
      </c>
      <c r="C447" s="73">
        <f t="shared" si="205"/>
        <v>2</v>
      </c>
      <c r="D447" s="74">
        <f t="shared" si="188"/>
        <v>22</v>
      </c>
      <c r="E447" s="75">
        <f t="shared" si="189"/>
        <v>18</v>
      </c>
      <c r="F447" s="79"/>
      <c r="G447" s="82"/>
      <c r="H447" s="68" t="str">
        <f t="shared" si="206"/>
        <v>Hyprev6_20201202_22_00</v>
      </c>
      <c r="I447" s="69">
        <f t="shared" si="210"/>
        <v>1</v>
      </c>
      <c r="J447" s="76" t="str">
        <f t="shared" si="210"/>
        <v>Hypericum</v>
      </c>
      <c r="K447" s="76" t="str">
        <f t="shared" si="210"/>
        <v>revolutum</v>
      </c>
      <c r="L447" s="77">
        <f t="shared" si="210"/>
        <v>6</v>
      </c>
      <c r="M447" s="77">
        <f t="shared" si="210"/>
        <v>1</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Dec</v>
      </c>
      <c r="C448" s="73">
        <f t="shared" si="205"/>
        <v>2</v>
      </c>
      <c r="D448" s="74">
        <f t="shared" si="188"/>
        <v>22</v>
      </c>
      <c r="E448" s="75">
        <f t="shared" si="189"/>
        <v>19</v>
      </c>
      <c r="F448" s="79"/>
      <c r="G448" s="82"/>
      <c r="H448" s="68" t="str">
        <f t="shared" si="206"/>
        <v>Hyprev6_20201202_22_00</v>
      </c>
      <c r="I448" s="69">
        <f t="shared" si="210"/>
        <v>1</v>
      </c>
      <c r="J448" s="76" t="str">
        <f t="shared" si="210"/>
        <v>Hypericum</v>
      </c>
      <c r="K448" s="76" t="str">
        <f t="shared" si="210"/>
        <v>revolutum</v>
      </c>
      <c r="L448" s="77">
        <f t="shared" si="210"/>
        <v>6</v>
      </c>
      <c r="M448" s="77">
        <f t="shared" si="210"/>
        <v>1</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Dec</v>
      </c>
      <c r="C449" s="73">
        <f t="shared" si="205"/>
        <v>2</v>
      </c>
      <c r="D449" s="74">
        <f t="shared" si="188"/>
        <v>22</v>
      </c>
      <c r="E449" s="75">
        <f t="shared" si="189"/>
        <v>20</v>
      </c>
      <c r="F449" s="79"/>
      <c r="G449" s="82"/>
      <c r="H449" s="68" t="str">
        <f t="shared" si="206"/>
        <v>Hyprev6_20201202_22_00</v>
      </c>
      <c r="I449" s="69">
        <f t="shared" si="210"/>
        <v>1</v>
      </c>
      <c r="J449" s="76" t="str">
        <f t="shared" si="210"/>
        <v>Hypericum</v>
      </c>
      <c r="K449" s="76" t="str">
        <f t="shared" si="210"/>
        <v>revolutum</v>
      </c>
      <c r="L449" s="77">
        <f t="shared" si="210"/>
        <v>6</v>
      </c>
      <c r="M449" s="77">
        <f t="shared" si="210"/>
        <v>1</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Dec</v>
      </c>
      <c r="C450" s="73">
        <f t="shared" si="205"/>
        <v>2</v>
      </c>
      <c r="D450" s="74">
        <f t="shared" si="188"/>
        <v>22</v>
      </c>
      <c r="E450" s="75">
        <f t="shared" si="189"/>
        <v>21</v>
      </c>
      <c r="F450" s="79"/>
      <c r="G450" s="82"/>
      <c r="H450" s="68" t="str">
        <f t="shared" si="206"/>
        <v>Hyprev6_20201202_22_00</v>
      </c>
      <c r="I450" s="69">
        <f t="shared" si="210"/>
        <v>1</v>
      </c>
      <c r="J450" s="76" t="str">
        <f t="shared" si="210"/>
        <v>Hypericum</v>
      </c>
      <c r="K450" s="76" t="str">
        <f t="shared" si="210"/>
        <v>revolutum</v>
      </c>
      <c r="L450" s="77">
        <f t="shared" si="210"/>
        <v>6</v>
      </c>
      <c r="M450" s="77">
        <f t="shared" si="210"/>
        <v>1</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Dec</v>
      </c>
      <c r="C451" s="73">
        <f t="shared" si="205"/>
        <v>2</v>
      </c>
      <c r="D451" s="74">
        <f t="shared" si="188"/>
        <v>22</v>
      </c>
      <c r="E451" s="75">
        <f t="shared" si="189"/>
        <v>22</v>
      </c>
      <c r="F451" s="79"/>
      <c r="G451" s="82"/>
      <c r="H451" s="68" t="str">
        <f t="shared" si="206"/>
        <v>Hyprev6_20201202_22_00</v>
      </c>
      <c r="I451" s="69">
        <f t="shared" si="210"/>
        <v>1</v>
      </c>
      <c r="J451" s="76" t="str">
        <f t="shared" si="210"/>
        <v>Hypericum</v>
      </c>
      <c r="K451" s="76" t="str">
        <f t="shared" si="210"/>
        <v>revolutum</v>
      </c>
      <c r="L451" s="77">
        <f t="shared" si="210"/>
        <v>6</v>
      </c>
      <c r="M451" s="77">
        <f t="shared" si="210"/>
        <v>1</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Dec</v>
      </c>
      <c r="C452" s="73">
        <f t="shared" si="205"/>
        <v>2</v>
      </c>
      <c r="D452" s="74">
        <f t="shared" ref="D452:D515" si="218">IF(IF(E451=59,D451+1,D451)=24,0,IF(E451=59,D451+1,D451))</f>
        <v>22</v>
      </c>
      <c r="E452" s="75">
        <f t="shared" ref="E452:E515" si="219">IF(E451&lt;59,E451+1,0)</f>
        <v>23</v>
      </c>
      <c r="F452" s="79"/>
      <c r="G452" s="82"/>
      <c r="H452" s="68" t="str">
        <f t="shared" si="206"/>
        <v>Hyprev6_20201202_22_00</v>
      </c>
      <c r="I452" s="69">
        <f t="shared" si="210"/>
        <v>1</v>
      </c>
      <c r="J452" s="76" t="str">
        <f t="shared" si="210"/>
        <v>Hypericum</v>
      </c>
      <c r="K452" s="76" t="str">
        <f t="shared" si="210"/>
        <v>revolutum</v>
      </c>
      <c r="L452" s="77">
        <f t="shared" si="210"/>
        <v>6</v>
      </c>
      <c r="M452" s="77">
        <f t="shared" si="210"/>
        <v>1</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Dec</v>
      </c>
      <c r="C453" s="73">
        <f t="shared" ref="C453:C516" si="235">IF(AND(D453=0, E453=0), IF(TEXT(C452,"dd")=TEXT(EOMONTH(DATE(A452,MONTH(DATEVALUE(B452&amp;"1")),C452),0), "dd"), 1, C452+1), C452)</f>
        <v>2</v>
      </c>
      <c r="D453" s="74">
        <f t="shared" si="218"/>
        <v>22</v>
      </c>
      <c r="E453" s="75">
        <f t="shared" si="219"/>
        <v>24</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Hyprev6_20201202_22_00</v>
      </c>
      <c r="I453" s="69">
        <f t="shared" ref="I453:N468" si="237">I452</f>
        <v>1</v>
      </c>
      <c r="J453" s="76" t="str">
        <f t="shared" si="237"/>
        <v>Hypericum</v>
      </c>
      <c r="K453" s="76" t="str">
        <f t="shared" si="237"/>
        <v>revolutum</v>
      </c>
      <c r="L453" s="77">
        <f t="shared" si="237"/>
        <v>6</v>
      </c>
      <c r="M453" s="77">
        <f t="shared" si="237"/>
        <v>1</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Dec</v>
      </c>
      <c r="C454" s="73">
        <f t="shared" si="235"/>
        <v>2</v>
      </c>
      <c r="D454" s="74">
        <f t="shared" si="218"/>
        <v>22</v>
      </c>
      <c r="E454" s="75">
        <f t="shared" si="219"/>
        <v>25</v>
      </c>
      <c r="F454" s="79"/>
      <c r="G454" s="82"/>
      <c r="H454" s="68" t="str">
        <f t="shared" si="236"/>
        <v>Hyprev6_20201202_22_00</v>
      </c>
      <c r="I454" s="69">
        <f t="shared" si="237"/>
        <v>1</v>
      </c>
      <c r="J454" s="76" t="str">
        <f t="shared" si="237"/>
        <v>Hypericum</v>
      </c>
      <c r="K454" s="76" t="str">
        <f t="shared" si="237"/>
        <v>revolutum</v>
      </c>
      <c r="L454" s="77">
        <f t="shared" si="237"/>
        <v>6</v>
      </c>
      <c r="M454" s="77">
        <f t="shared" si="237"/>
        <v>1</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Dec</v>
      </c>
      <c r="C455" s="73">
        <f t="shared" si="235"/>
        <v>2</v>
      </c>
      <c r="D455" s="74">
        <f t="shared" si="218"/>
        <v>22</v>
      </c>
      <c r="E455" s="75">
        <f t="shared" si="219"/>
        <v>26</v>
      </c>
      <c r="F455" s="79"/>
      <c r="G455" s="82"/>
      <c r="H455" s="68" t="str">
        <f t="shared" si="236"/>
        <v>Hyprev6_20201202_22_00</v>
      </c>
      <c r="I455" s="69">
        <f t="shared" si="237"/>
        <v>1</v>
      </c>
      <c r="J455" s="76" t="str">
        <f t="shared" si="237"/>
        <v>Hypericum</v>
      </c>
      <c r="K455" s="76" t="str">
        <f t="shared" si="237"/>
        <v>revolutum</v>
      </c>
      <c r="L455" s="77">
        <f t="shared" si="237"/>
        <v>6</v>
      </c>
      <c r="M455" s="77">
        <f t="shared" si="237"/>
        <v>1</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Dec</v>
      </c>
      <c r="C456" s="73">
        <f t="shared" si="235"/>
        <v>2</v>
      </c>
      <c r="D456" s="74">
        <f t="shared" si="218"/>
        <v>22</v>
      </c>
      <c r="E456" s="75">
        <f t="shared" si="219"/>
        <v>27</v>
      </c>
      <c r="F456" s="79"/>
      <c r="G456" s="82"/>
      <c r="H456" s="68" t="str">
        <f t="shared" si="236"/>
        <v>Hyprev6_20201202_22_00</v>
      </c>
      <c r="I456" s="69">
        <f t="shared" si="237"/>
        <v>1</v>
      </c>
      <c r="J456" s="76" t="str">
        <f t="shared" si="237"/>
        <v>Hypericum</v>
      </c>
      <c r="K456" s="76" t="str">
        <f t="shared" si="237"/>
        <v>revolutum</v>
      </c>
      <c r="L456" s="77">
        <f t="shared" si="237"/>
        <v>6</v>
      </c>
      <c r="M456" s="77">
        <f t="shared" si="237"/>
        <v>1</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Dec</v>
      </c>
      <c r="C457" s="73">
        <f t="shared" si="235"/>
        <v>2</v>
      </c>
      <c r="D457" s="74">
        <f t="shared" si="218"/>
        <v>22</v>
      </c>
      <c r="E457" s="75">
        <f t="shared" si="219"/>
        <v>28</v>
      </c>
      <c r="F457" s="79"/>
      <c r="G457" s="82"/>
      <c r="H457" s="68" t="str">
        <f t="shared" si="236"/>
        <v>Hyprev6_20201202_22_00</v>
      </c>
      <c r="I457" s="69">
        <f t="shared" si="237"/>
        <v>1</v>
      </c>
      <c r="J457" s="76" t="str">
        <f t="shared" si="237"/>
        <v>Hypericum</v>
      </c>
      <c r="K457" s="76" t="str">
        <f t="shared" si="237"/>
        <v>revolutum</v>
      </c>
      <c r="L457" s="77">
        <f t="shared" si="237"/>
        <v>6</v>
      </c>
      <c r="M457" s="77">
        <f t="shared" si="237"/>
        <v>1</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Dec</v>
      </c>
      <c r="C458" s="73">
        <f t="shared" si="235"/>
        <v>2</v>
      </c>
      <c r="D458" s="74">
        <f t="shared" si="218"/>
        <v>22</v>
      </c>
      <c r="E458" s="75">
        <f t="shared" si="219"/>
        <v>29</v>
      </c>
      <c r="F458" s="79"/>
      <c r="G458" s="82"/>
      <c r="H458" s="68" t="str">
        <f t="shared" si="236"/>
        <v>Hyprev6_20201202_22_00</v>
      </c>
      <c r="I458" s="69">
        <f t="shared" si="237"/>
        <v>1</v>
      </c>
      <c r="J458" s="76" t="str">
        <f t="shared" si="237"/>
        <v>Hypericum</v>
      </c>
      <c r="K458" s="76" t="str">
        <f t="shared" si="237"/>
        <v>revolutum</v>
      </c>
      <c r="L458" s="77">
        <f t="shared" si="237"/>
        <v>6</v>
      </c>
      <c r="M458" s="77">
        <f t="shared" si="237"/>
        <v>1</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Dec</v>
      </c>
      <c r="C459" s="73">
        <f t="shared" si="235"/>
        <v>2</v>
      </c>
      <c r="D459" s="74">
        <f t="shared" si="218"/>
        <v>22</v>
      </c>
      <c r="E459" s="75">
        <f t="shared" si="219"/>
        <v>30</v>
      </c>
      <c r="F459" s="79"/>
      <c r="G459" s="82"/>
      <c r="H459" s="68" t="str">
        <f t="shared" si="236"/>
        <v>Hyprev6_20201202_22_00</v>
      </c>
      <c r="I459" s="69">
        <f t="shared" si="237"/>
        <v>1</v>
      </c>
      <c r="J459" s="76" t="str">
        <f t="shared" si="237"/>
        <v>Hypericum</v>
      </c>
      <c r="K459" s="76" t="str">
        <f t="shared" si="237"/>
        <v>revolutum</v>
      </c>
      <c r="L459" s="77">
        <f t="shared" si="237"/>
        <v>6</v>
      </c>
      <c r="M459" s="77">
        <f t="shared" si="237"/>
        <v>1</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Dec</v>
      </c>
      <c r="C460" s="73">
        <f t="shared" si="235"/>
        <v>2</v>
      </c>
      <c r="D460" s="74">
        <f t="shared" si="218"/>
        <v>22</v>
      </c>
      <c r="E460" s="75">
        <f t="shared" si="219"/>
        <v>31</v>
      </c>
      <c r="F460" s="79"/>
      <c r="G460" s="82"/>
      <c r="H460" s="68" t="str">
        <f t="shared" si="236"/>
        <v>Hyprev6_20201202_22_00</v>
      </c>
      <c r="I460" s="69">
        <f t="shared" si="237"/>
        <v>1</v>
      </c>
      <c r="J460" s="76" t="str">
        <f t="shared" si="237"/>
        <v>Hypericum</v>
      </c>
      <c r="K460" s="76" t="str">
        <f t="shared" si="237"/>
        <v>revolutum</v>
      </c>
      <c r="L460" s="77">
        <f t="shared" si="237"/>
        <v>6</v>
      </c>
      <c r="M460" s="77">
        <f t="shared" si="237"/>
        <v>1</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Dec</v>
      </c>
      <c r="C461" s="73">
        <f t="shared" si="235"/>
        <v>2</v>
      </c>
      <c r="D461" s="74">
        <f t="shared" si="218"/>
        <v>22</v>
      </c>
      <c r="E461" s="75">
        <f t="shared" si="219"/>
        <v>32</v>
      </c>
      <c r="F461" s="79"/>
      <c r="G461" s="82"/>
      <c r="H461" s="68" t="str">
        <f t="shared" si="236"/>
        <v>Hyprev6_20201202_22_00</v>
      </c>
      <c r="I461" s="69">
        <f t="shared" si="237"/>
        <v>1</v>
      </c>
      <c r="J461" s="76" t="str">
        <f t="shared" si="237"/>
        <v>Hypericum</v>
      </c>
      <c r="K461" s="76" t="str">
        <f t="shared" si="237"/>
        <v>revolutum</v>
      </c>
      <c r="L461" s="77">
        <f t="shared" si="237"/>
        <v>6</v>
      </c>
      <c r="M461" s="77">
        <f t="shared" si="237"/>
        <v>1</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Dec</v>
      </c>
      <c r="C462" s="73">
        <f t="shared" si="235"/>
        <v>2</v>
      </c>
      <c r="D462" s="74">
        <f t="shared" si="218"/>
        <v>22</v>
      </c>
      <c r="E462" s="75">
        <f t="shared" si="219"/>
        <v>33</v>
      </c>
      <c r="F462" s="79"/>
      <c r="G462" s="82"/>
      <c r="H462" s="68" t="str">
        <f t="shared" si="236"/>
        <v>Hyprev6_20201202_22_00</v>
      </c>
      <c r="I462" s="69">
        <f t="shared" si="237"/>
        <v>1</v>
      </c>
      <c r="J462" s="76" t="str">
        <f t="shared" si="237"/>
        <v>Hypericum</v>
      </c>
      <c r="K462" s="76" t="str">
        <f t="shared" si="237"/>
        <v>revolutum</v>
      </c>
      <c r="L462" s="77">
        <f t="shared" si="237"/>
        <v>6</v>
      </c>
      <c r="M462" s="77">
        <f t="shared" si="237"/>
        <v>1</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Dec</v>
      </c>
      <c r="C463" s="73">
        <f t="shared" si="235"/>
        <v>2</v>
      </c>
      <c r="D463" s="74">
        <f t="shared" si="218"/>
        <v>22</v>
      </c>
      <c r="E463" s="75">
        <f t="shared" si="219"/>
        <v>34</v>
      </c>
      <c r="F463" s="79"/>
      <c r="G463" s="82"/>
      <c r="H463" s="68" t="str">
        <f t="shared" si="236"/>
        <v>Hyprev6_20201202_22_00</v>
      </c>
      <c r="I463" s="69">
        <f t="shared" si="237"/>
        <v>1</v>
      </c>
      <c r="J463" s="76" t="str">
        <f t="shared" si="237"/>
        <v>Hypericum</v>
      </c>
      <c r="K463" s="76" t="str">
        <f t="shared" si="237"/>
        <v>revolutum</v>
      </c>
      <c r="L463" s="77">
        <f t="shared" si="237"/>
        <v>6</v>
      </c>
      <c r="M463" s="77">
        <f t="shared" si="237"/>
        <v>1</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Dec</v>
      </c>
      <c r="C464" s="73">
        <f t="shared" si="235"/>
        <v>2</v>
      </c>
      <c r="D464" s="74">
        <f t="shared" si="218"/>
        <v>22</v>
      </c>
      <c r="E464" s="75">
        <f t="shared" si="219"/>
        <v>35</v>
      </c>
      <c r="F464" s="79"/>
      <c r="G464" s="82"/>
      <c r="H464" s="68" t="str">
        <f t="shared" si="236"/>
        <v>Hyprev6_20201202_22_00</v>
      </c>
      <c r="I464" s="69">
        <f t="shared" si="237"/>
        <v>1</v>
      </c>
      <c r="J464" s="76" t="str">
        <f t="shared" si="237"/>
        <v>Hypericum</v>
      </c>
      <c r="K464" s="76" t="str">
        <f t="shared" si="237"/>
        <v>revolutum</v>
      </c>
      <c r="L464" s="77">
        <f t="shared" si="237"/>
        <v>6</v>
      </c>
      <c r="M464" s="77">
        <f t="shared" si="237"/>
        <v>1</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Dec</v>
      </c>
      <c r="C465" s="73">
        <f t="shared" si="235"/>
        <v>2</v>
      </c>
      <c r="D465" s="74">
        <f t="shared" si="218"/>
        <v>22</v>
      </c>
      <c r="E465" s="75">
        <f t="shared" si="219"/>
        <v>36</v>
      </c>
      <c r="F465" s="79"/>
      <c r="G465" s="82"/>
      <c r="H465" s="68" t="str">
        <f t="shared" si="236"/>
        <v>Hyprev6_20201202_22_00</v>
      </c>
      <c r="I465" s="69">
        <f t="shared" si="237"/>
        <v>1</v>
      </c>
      <c r="J465" s="76" t="str">
        <f t="shared" si="237"/>
        <v>Hypericum</v>
      </c>
      <c r="K465" s="76" t="str">
        <f t="shared" si="237"/>
        <v>revolutum</v>
      </c>
      <c r="L465" s="77">
        <f t="shared" si="237"/>
        <v>6</v>
      </c>
      <c r="M465" s="77">
        <f t="shared" si="237"/>
        <v>1</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Dec</v>
      </c>
      <c r="C466" s="73">
        <f t="shared" si="235"/>
        <v>2</v>
      </c>
      <c r="D466" s="74">
        <f t="shared" si="218"/>
        <v>22</v>
      </c>
      <c r="E466" s="75">
        <f t="shared" si="219"/>
        <v>37</v>
      </c>
      <c r="F466" s="79"/>
      <c r="G466" s="82"/>
      <c r="H466" s="68" t="str">
        <f t="shared" si="236"/>
        <v>Hyprev6_20201202_22_00</v>
      </c>
      <c r="I466" s="69">
        <f t="shared" si="237"/>
        <v>1</v>
      </c>
      <c r="J466" s="76" t="str">
        <f t="shared" si="237"/>
        <v>Hypericum</v>
      </c>
      <c r="K466" s="76" t="str">
        <f t="shared" si="237"/>
        <v>revolutum</v>
      </c>
      <c r="L466" s="77">
        <f t="shared" si="237"/>
        <v>6</v>
      </c>
      <c r="M466" s="77">
        <f t="shared" si="237"/>
        <v>1</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Dec</v>
      </c>
      <c r="C467" s="73">
        <f t="shared" si="235"/>
        <v>2</v>
      </c>
      <c r="D467" s="74">
        <f t="shared" si="218"/>
        <v>22</v>
      </c>
      <c r="E467" s="75">
        <f t="shared" si="219"/>
        <v>38</v>
      </c>
      <c r="F467" s="79"/>
      <c r="G467" s="82"/>
      <c r="H467" s="68" t="str">
        <f t="shared" si="236"/>
        <v>Hyprev6_20201202_22_00</v>
      </c>
      <c r="I467" s="69">
        <f t="shared" si="237"/>
        <v>1</v>
      </c>
      <c r="J467" s="76" t="str">
        <f t="shared" si="237"/>
        <v>Hypericum</v>
      </c>
      <c r="K467" s="76" t="str">
        <f t="shared" si="237"/>
        <v>revolutum</v>
      </c>
      <c r="L467" s="77">
        <f t="shared" si="237"/>
        <v>6</v>
      </c>
      <c r="M467" s="77">
        <f t="shared" si="237"/>
        <v>1</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Dec</v>
      </c>
      <c r="C468" s="73">
        <f t="shared" si="235"/>
        <v>2</v>
      </c>
      <c r="D468" s="74">
        <f t="shared" si="218"/>
        <v>22</v>
      </c>
      <c r="E468" s="75">
        <f t="shared" si="219"/>
        <v>39</v>
      </c>
      <c r="F468" s="79"/>
      <c r="G468" s="82"/>
      <c r="H468" s="68" t="str">
        <f t="shared" si="236"/>
        <v>Hyprev6_20201202_22_00</v>
      </c>
      <c r="I468" s="69">
        <f t="shared" si="237"/>
        <v>1</v>
      </c>
      <c r="J468" s="76" t="str">
        <f t="shared" si="237"/>
        <v>Hypericum</v>
      </c>
      <c r="K468" s="76" t="str">
        <f t="shared" si="237"/>
        <v>revolutum</v>
      </c>
      <c r="L468" s="77">
        <f t="shared" si="237"/>
        <v>6</v>
      </c>
      <c r="M468" s="77">
        <f t="shared" si="237"/>
        <v>1</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Dec</v>
      </c>
      <c r="C469" s="73">
        <f t="shared" si="235"/>
        <v>2</v>
      </c>
      <c r="D469" s="74">
        <f t="shared" si="218"/>
        <v>22</v>
      </c>
      <c r="E469" s="75">
        <f t="shared" si="219"/>
        <v>40</v>
      </c>
      <c r="F469" s="79"/>
      <c r="G469" s="82"/>
      <c r="H469" s="68" t="str">
        <f t="shared" si="236"/>
        <v>Hyprev6_20201202_22_00</v>
      </c>
      <c r="I469" s="69">
        <f t="shared" ref="I469:N484" si="238">I468</f>
        <v>1</v>
      </c>
      <c r="J469" s="76" t="str">
        <f t="shared" si="238"/>
        <v>Hypericum</v>
      </c>
      <c r="K469" s="76" t="str">
        <f t="shared" si="238"/>
        <v>revolutum</v>
      </c>
      <c r="L469" s="77">
        <f t="shared" si="238"/>
        <v>6</v>
      </c>
      <c r="M469" s="77">
        <f t="shared" si="238"/>
        <v>1</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Dec</v>
      </c>
      <c r="C470" s="73">
        <f t="shared" si="235"/>
        <v>2</v>
      </c>
      <c r="D470" s="74">
        <f t="shared" si="218"/>
        <v>22</v>
      </c>
      <c r="E470" s="75">
        <f t="shared" si="219"/>
        <v>41</v>
      </c>
      <c r="F470" s="79"/>
      <c r="G470" s="82"/>
      <c r="H470" s="68" t="str">
        <f t="shared" si="236"/>
        <v>Hyprev6_20201202_22_00</v>
      </c>
      <c r="I470" s="69">
        <f t="shared" si="238"/>
        <v>1</v>
      </c>
      <c r="J470" s="76" t="str">
        <f t="shared" si="238"/>
        <v>Hypericum</v>
      </c>
      <c r="K470" s="76" t="str">
        <f t="shared" si="238"/>
        <v>revolutum</v>
      </c>
      <c r="L470" s="77">
        <f t="shared" si="238"/>
        <v>6</v>
      </c>
      <c r="M470" s="77">
        <f t="shared" si="238"/>
        <v>1</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Dec</v>
      </c>
      <c r="C471" s="73">
        <f t="shared" si="235"/>
        <v>2</v>
      </c>
      <c r="D471" s="74">
        <f t="shared" si="218"/>
        <v>22</v>
      </c>
      <c r="E471" s="75">
        <f t="shared" si="219"/>
        <v>42</v>
      </c>
      <c r="F471" s="79"/>
      <c r="G471" s="82"/>
      <c r="H471" s="68" t="str">
        <f t="shared" si="236"/>
        <v>Hyprev6_20201202_22_00</v>
      </c>
      <c r="I471" s="69">
        <f t="shared" si="238"/>
        <v>1</v>
      </c>
      <c r="J471" s="76" t="str">
        <f t="shared" si="238"/>
        <v>Hypericum</v>
      </c>
      <c r="K471" s="76" t="str">
        <f t="shared" si="238"/>
        <v>revolutum</v>
      </c>
      <c r="L471" s="77">
        <f t="shared" si="238"/>
        <v>6</v>
      </c>
      <c r="M471" s="77">
        <f t="shared" si="238"/>
        <v>1</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Dec</v>
      </c>
      <c r="C472" s="73">
        <f t="shared" si="235"/>
        <v>2</v>
      </c>
      <c r="D472" s="74">
        <f t="shared" si="218"/>
        <v>22</v>
      </c>
      <c r="E472" s="75">
        <f t="shared" si="219"/>
        <v>43</v>
      </c>
      <c r="F472" s="79"/>
      <c r="G472" s="82"/>
      <c r="H472" s="68" t="str">
        <f t="shared" si="236"/>
        <v>Hyprev6_20201202_22_00</v>
      </c>
      <c r="I472" s="69">
        <f t="shared" si="238"/>
        <v>1</v>
      </c>
      <c r="J472" s="76" t="str">
        <f t="shared" si="238"/>
        <v>Hypericum</v>
      </c>
      <c r="K472" s="76" t="str">
        <f t="shared" si="238"/>
        <v>revolutum</v>
      </c>
      <c r="L472" s="77">
        <f t="shared" si="238"/>
        <v>6</v>
      </c>
      <c r="M472" s="77">
        <f t="shared" si="238"/>
        <v>1</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Dec</v>
      </c>
      <c r="C473" s="73">
        <f t="shared" si="235"/>
        <v>2</v>
      </c>
      <c r="D473" s="74">
        <f t="shared" si="218"/>
        <v>22</v>
      </c>
      <c r="E473" s="75">
        <f t="shared" si="219"/>
        <v>44</v>
      </c>
      <c r="F473" s="79"/>
      <c r="G473" s="82"/>
      <c r="H473" s="68" t="str">
        <f t="shared" si="236"/>
        <v>Hyprev6_20201202_22_00</v>
      </c>
      <c r="I473" s="69">
        <f t="shared" si="238"/>
        <v>1</v>
      </c>
      <c r="J473" s="76" t="str">
        <f t="shared" si="238"/>
        <v>Hypericum</v>
      </c>
      <c r="K473" s="76" t="str">
        <f t="shared" si="238"/>
        <v>revolutum</v>
      </c>
      <c r="L473" s="77">
        <f t="shared" si="238"/>
        <v>6</v>
      </c>
      <c r="M473" s="77">
        <f t="shared" si="238"/>
        <v>1</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Dec</v>
      </c>
      <c r="C474" s="73">
        <f t="shared" si="235"/>
        <v>2</v>
      </c>
      <c r="D474" s="74">
        <f t="shared" si="218"/>
        <v>22</v>
      </c>
      <c r="E474" s="75">
        <f t="shared" si="219"/>
        <v>45</v>
      </c>
      <c r="F474" s="79"/>
      <c r="G474" s="82"/>
      <c r="H474" s="68" t="str">
        <f t="shared" si="236"/>
        <v>Hyprev6_20201202_22_00</v>
      </c>
      <c r="I474" s="69">
        <f t="shared" si="238"/>
        <v>1</v>
      </c>
      <c r="J474" s="76" t="str">
        <f t="shared" si="238"/>
        <v>Hypericum</v>
      </c>
      <c r="K474" s="76" t="str">
        <f t="shared" si="238"/>
        <v>revolutum</v>
      </c>
      <c r="L474" s="77">
        <f t="shared" si="238"/>
        <v>6</v>
      </c>
      <c r="M474" s="77">
        <f t="shared" si="238"/>
        <v>1</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Dec</v>
      </c>
      <c r="C475" s="73">
        <f t="shared" si="235"/>
        <v>2</v>
      </c>
      <c r="D475" s="74">
        <f t="shared" si="218"/>
        <v>22</v>
      </c>
      <c r="E475" s="75">
        <f t="shared" si="219"/>
        <v>46</v>
      </c>
      <c r="F475" s="79"/>
      <c r="G475" s="82"/>
      <c r="H475" s="68" t="str">
        <f t="shared" si="236"/>
        <v>Hyprev6_20201202_22_00</v>
      </c>
      <c r="I475" s="69">
        <f t="shared" si="238"/>
        <v>1</v>
      </c>
      <c r="J475" s="76" t="str">
        <f t="shared" si="238"/>
        <v>Hypericum</v>
      </c>
      <c r="K475" s="76" t="str">
        <f t="shared" si="238"/>
        <v>revolutum</v>
      </c>
      <c r="L475" s="77">
        <f t="shared" si="238"/>
        <v>6</v>
      </c>
      <c r="M475" s="77">
        <f t="shared" si="238"/>
        <v>1</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Dec</v>
      </c>
      <c r="C476" s="73">
        <f t="shared" si="235"/>
        <v>2</v>
      </c>
      <c r="D476" s="74">
        <f t="shared" si="218"/>
        <v>22</v>
      </c>
      <c r="E476" s="75">
        <f t="shared" si="219"/>
        <v>47</v>
      </c>
      <c r="F476" s="79"/>
      <c r="G476" s="82"/>
      <c r="H476" s="68" t="str">
        <f t="shared" si="236"/>
        <v>Hyprev6_20201202_22_00</v>
      </c>
      <c r="I476" s="69">
        <f t="shared" si="238"/>
        <v>1</v>
      </c>
      <c r="J476" s="76" t="str">
        <f t="shared" si="238"/>
        <v>Hypericum</v>
      </c>
      <c r="K476" s="76" t="str">
        <f t="shared" si="238"/>
        <v>revolutum</v>
      </c>
      <c r="L476" s="77">
        <f t="shared" si="238"/>
        <v>6</v>
      </c>
      <c r="M476" s="77">
        <f t="shared" si="238"/>
        <v>1</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Dec</v>
      </c>
      <c r="C477" s="73">
        <f t="shared" si="235"/>
        <v>2</v>
      </c>
      <c r="D477" s="74">
        <f t="shared" si="218"/>
        <v>22</v>
      </c>
      <c r="E477" s="75">
        <f t="shared" si="219"/>
        <v>48</v>
      </c>
      <c r="F477" s="79"/>
      <c r="G477" s="82"/>
      <c r="H477" s="68" t="str">
        <f t="shared" si="236"/>
        <v>Hyprev6_20201202_22_00</v>
      </c>
      <c r="I477" s="69">
        <f t="shared" si="238"/>
        <v>1</v>
      </c>
      <c r="J477" s="76" t="str">
        <f t="shared" si="238"/>
        <v>Hypericum</v>
      </c>
      <c r="K477" s="76" t="str">
        <f t="shared" si="238"/>
        <v>revolutum</v>
      </c>
      <c r="L477" s="77">
        <f t="shared" si="238"/>
        <v>6</v>
      </c>
      <c r="M477" s="77">
        <f t="shared" si="238"/>
        <v>1</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Dec</v>
      </c>
      <c r="C478" s="73">
        <f t="shared" si="235"/>
        <v>2</v>
      </c>
      <c r="D478" s="74">
        <f t="shared" si="218"/>
        <v>22</v>
      </c>
      <c r="E478" s="75">
        <f t="shared" si="219"/>
        <v>49</v>
      </c>
      <c r="F478" s="79"/>
      <c r="G478" s="82"/>
      <c r="H478" s="68" t="str">
        <f t="shared" si="236"/>
        <v>Hyprev6_20201202_22_00</v>
      </c>
      <c r="I478" s="69">
        <f t="shared" si="238"/>
        <v>1</v>
      </c>
      <c r="J478" s="76" t="str">
        <f t="shared" si="238"/>
        <v>Hypericum</v>
      </c>
      <c r="K478" s="76" t="str">
        <f t="shared" si="238"/>
        <v>revolutum</v>
      </c>
      <c r="L478" s="77">
        <f t="shared" si="238"/>
        <v>6</v>
      </c>
      <c r="M478" s="77">
        <f t="shared" si="238"/>
        <v>1</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Dec</v>
      </c>
      <c r="C479" s="73">
        <f t="shared" si="235"/>
        <v>2</v>
      </c>
      <c r="D479" s="74">
        <f t="shared" si="218"/>
        <v>22</v>
      </c>
      <c r="E479" s="75">
        <f t="shared" si="219"/>
        <v>50</v>
      </c>
      <c r="F479" s="79"/>
      <c r="G479" s="82"/>
      <c r="H479" s="68" t="str">
        <f t="shared" si="236"/>
        <v>Hyprev6_20201202_22_00</v>
      </c>
      <c r="I479" s="69">
        <f t="shared" si="238"/>
        <v>1</v>
      </c>
      <c r="J479" s="76" t="str">
        <f t="shared" si="238"/>
        <v>Hypericum</v>
      </c>
      <c r="K479" s="76" t="str">
        <f t="shared" si="238"/>
        <v>revolutum</v>
      </c>
      <c r="L479" s="77">
        <f t="shared" si="238"/>
        <v>6</v>
      </c>
      <c r="M479" s="77">
        <f t="shared" si="238"/>
        <v>1</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Dec</v>
      </c>
      <c r="C480" s="73">
        <f t="shared" si="235"/>
        <v>2</v>
      </c>
      <c r="D480" s="74">
        <f t="shared" si="218"/>
        <v>22</v>
      </c>
      <c r="E480" s="75">
        <f t="shared" si="219"/>
        <v>51</v>
      </c>
      <c r="F480" s="79"/>
      <c r="G480" s="82"/>
      <c r="H480" s="68" t="str">
        <f t="shared" si="236"/>
        <v>Hyprev6_20201202_22_00</v>
      </c>
      <c r="I480" s="69">
        <f t="shared" si="238"/>
        <v>1</v>
      </c>
      <c r="J480" s="76" t="str">
        <f t="shared" si="238"/>
        <v>Hypericum</v>
      </c>
      <c r="K480" s="76" t="str">
        <f t="shared" si="238"/>
        <v>revolutum</v>
      </c>
      <c r="L480" s="77">
        <f t="shared" si="238"/>
        <v>6</v>
      </c>
      <c r="M480" s="77">
        <f t="shared" si="238"/>
        <v>1</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Dec</v>
      </c>
      <c r="C481" s="73">
        <f t="shared" si="235"/>
        <v>2</v>
      </c>
      <c r="D481" s="74">
        <f t="shared" si="218"/>
        <v>22</v>
      </c>
      <c r="E481" s="75">
        <f t="shared" si="219"/>
        <v>52</v>
      </c>
      <c r="F481" s="79"/>
      <c r="G481" s="82"/>
      <c r="H481" s="68" t="str">
        <f t="shared" si="236"/>
        <v>Hyprev6_20201202_22_00</v>
      </c>
      <c r="I481" s="69">
        <f t="shared" si="238"/>
        <v>1</v>
      </c>
      <c r="J481" s="76" t="str">
        <f t="shared" si="238"/>
        <v>Hypericum</v>
      </c>
      <c r="K481" s="76" t="str">
        <f t="shared" si="238"/>
        <v>revolutum</v>
      </c>
      <c r="L481" s="77">
        <f t="shared" si="238"/>
        <v>6</v>
      </c>
      <c r="M481" s="77">
        <f t="shared" si="238"/>
        <v>1</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Dec</v>
      </c>
      <c r="C482" s="73">
        <f t="shared" si="235"/>
        <v>2</v>
      </c>
      <c r="D482" s="74">
        <f t="shared" si="218"/>
        <v>22</v>
      </c>
      <c r="E482" s="75">
        <f t="shared" si="219"/>
        <v>53</v>
      </c>
      <c r="F482" s="79"/>
      <c r="G482" s="82"/>
      <c r="H482" s="68" t="str">
        <f t="shared" si="236"/>
        <v>Hyprev6_20201202_22_00</v>
      </c>
      <c r="I482" s="69">
        <f t="shared" si="238"/>
        <v>1</v>
      </c>
      <c r="J482" s="76" t="str">
        <f t="shared" si="238"/>
        <v>Hypericum</v>
      </c>
      <c r="K482" s="76" t="str">
        <f t="shared" si="238"/>
        <v>revolutum</v>
      </c>
      <c r="L482" s="77">
        <f t="shared" si="238"/>
        <v>6</v>
      </c>
      <c r="M482" s="77">
        <f t="shared" si="238"/>
        <v>1</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Dec</v>
      </c>
      <c r="C483" s="73">
        <f t="shared" si="235"/>
        <v>2</v>
      </c>
      <c r="D483" s="74">
        <f t="shared" si="218"/>
        <v>22</v>
      </c>
      <c r="E483" s="75">
        <f t="shared" si="219"/>
        <v>54</v>
      </c>
      <c r="F483" s="79"/>
      <c r="G483" s="82"/>
      <c r="H483" s="68" t="str">
        <f t="shared" si="236"/>
        <v>Hyprev6_20201202_22_00</v>
      </c>
      <c r="I483" s="69">
        <f t="shared" si="238"/>
        <v>1</v>
      </c>
      <c r="J483" s="76" t="str">
        <f t="shared" si="238"/>
        <v>Hypericum</v>
      </c>
      <c r="K483" s="76" t="str">
        <f t="shared" si="238"/>
        <v>revolutum</v>
      </c>
      <c r="L483" s="77">
        <f t="shared" si="238"/>
        <v>6</v>
      </c>
      <c r="M483" s="77">
        <f t="shared" si="238"/>
        <v>1</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Dec</v>
      </c>
      <c r="C484" s="73">
        <f t="shared" si="235"/>
        <v>2</v>
      </c>
      <c r="D484" s="74">
        <f t="shared" si="218"/>
        <v>22</v>
      </c>
      <c r="E484" s="75">
        <f t="shared" si="219"/>
        <v>55</v>
      </c>
      <c r="F484" s="79"/>
      <c r="G484" s="82"/>
      <c r="H484" s="68" t="str">
        <f t="shared" si="236"/>
        <v>Hyprev6_20201202_22_00</v>
      </c>
      <c r="I484" s="69">
        <f t="shared" si="238"/>
        <v>1</v>
      </c>
      <c r="J484" s="76" t="str">
        <f t="shared" si="238"/>
        <v>Hypericum</v>
      </c>
      <c r="K484" s="76" t="str">
        <f t="shared" si="238"/>
        <v>revolutum</v>
      </c>
      <c r="L484" s="77">
        <f t="shared" si="238"/>
        <v>6</v>
      </c>
      <c r="M484" s="77">
        <f t="shared" si="238"/>
        <v>1</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Dec</v>
      </c>
      <c r="C485" s="73">
        <f t="shared" si="235"/>
        <v>2</v>
      </c>
      <c r="D485" s="74">
        <f t="shared" si="218"/>
        <v>22</v>
      </c>
      <c r="E485" s="75">
        <f t="shared" si="219"/>
        <v>56</v>
      </c>
      <c r="F485" s="79"/>
      <c r="G485" s="82"/>
      <c r="H485" s="68" t="str">
        <f t="shared" si="236"/>
        <v>Hyprev6_20201202_22_00</v>
      </c>
      <c r="I485" s="69">
        <f t="shared" ref="I485:N500" si="239">I484</f>
        <v>1</v>
      </c>
      <c r="J485" s="76" t="str">
        <f t="shared" si="239"/>
        <v>Hypericum</v>
      </c>
      <c r="K485" s="76" t="str">
        <f t="shared" si="239"/>
        <v>revolutum</v>
      </c>
      <c r="L485" s="77">
        <f t="shared" si="239"/>
        <v>6</v>
      </c>
      <c r="M485" s="77">
        <f t="shared" si="239"/>
        <v>1</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Dec</v>
      </c>
      <c r="C486" s="73">
        <f t="shared" si="235"/>
        <v>2</v>
      </c>
      <c r="D486" s="74">
        <f t="shared" si="218"/>
        <v>22</v>
      </c>
      <c r="E486" s="75">
        <f t="shared" si="219"/>
        <v>57</v>
      </c>
      <c r="F486" s="79"/>
      <c r="G486" s="82"/>
      <c r="H486" s="68" t="str">
        <f t="shared" si="236"/>
        <v>Hyprev6_20201202_22_00</v>
      </c>
      <c r="I486" s="69">
        <f t="shared" si="239"/>
        <v>1</v>
      </c>
      <c r="J486" s="76" t="str">
        <f t="shared" si="239"/>
        <v>Hypericum</v>
      </c>
      <c r="K486" s="76" t="str">
        <f t="shared" si="239"/>
        <v>revolutum</v>
      </c>
      <c r="L486" s="77">
        <f t="shared" si="239"/>
        <v>6</v>
      </c>
      <c r="M486" s="77">
        <f t="shared" si="239"/>
        <v>1</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Dec</v>
      </c>
      <c r="C487" s="73">
        <f t="shared" si="235"/>
        <v>2</v>
      </c>
      <c r="D487" s="74">
        <f t="shared" si="218"/>
        <v>22</v>
      </c>
      <c r="E487" s="75">
        <f t="shared" si="219"/>
        <v>58</v>
      </c>
      <c r="F487" s="79"/>
      <c r="G487" s="82"/>
      <c r="H487" s="68" t="str">
        <f t="shared" si="236"/>
        <v>Hyprev6_20201202_22_00</v>
      </c>
      <c r="I487" s="69">
        <f t="shared" si="239"/>
        <v>1</v>
      </c>
      <c r="J487" s="76" t="str">
        <f t="shared" si="239"/>
        <v>Hypericum</v>
      </c>
      <c r="K487" s="76" t="str">
        <f t="shared" si="239"/>
        <v>revolutum</v>
      </c>
      <c r="L487" s="77">
        <f t="shared" si="239"/>
        <v>6</v>
      </c>
      <c r="M487" s="77">
        <f t="shared" si="239"/>
        <v>1</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Dec</v>
      </c>
      <c r="C488" s="73">
        <f t="shared" si="235"/>
        <v>2</v>
      </c>
      <c r="D488" s="74">
        <f t="shared" si="218"/>
        <v>22</v>
      </c>
      <c r="E488" s="75">
        <f t="shared" si="219"/>
        <v>59</v>
      </c>
      <c r="F488" s="79"/>
      <c r="G488" s="82"/>
      <c r="H488" s="68" t="str">
        <f t="shared" si="236"/>
        <v>Hyprev6_20201202_22_00</v>
      </c>
      <c r="I488" s="69">
        <f t="shared" si="239"/>
        <v>1</v>
      </c>
      <c r="J488" s="76" t="str">
        <f t="shared" si="239"/>
        <v>Hypericum</v>
      </c>
      <c r="K488" s="76" t="str">
        <f t="shared" si="239"/>
        <v>revolutum</v>
      </c>
      <c r="L488" s="77">
        <f t="shared" si="239"/>
        <v>6</v>
      </c>
      <c r="M488" s="77">
        <f t="shared" si="239"/>
        <v>1</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Dec</v>
      </c>
      <c r="C489" s="73">
        <f t="shared" si="235"/>
        <v>2</v>
      </c>
      <c r="D489" s="74">
        <f t="shared" si="218"/>
        <v>23</v>
      </c>
      <c r="E489" s="75">
        <f t="shared" si="219"/>
        <v>0</v>
      </c>
      <c r="F489" s="79"/>
      <c r="G489" s="82"/>
      <c r="H489" s="68" t="str">
        <f t="shared" si="236"/>
        <v>Hyprev6_20201202_23_00</v>
      </c>
      <c r="I489" s="69">
        <f t="shared" si="239"/>
        <v>1</v>
      </c>
      <c r="J489" s="76" t="str">
        <f t="shared" si="239"/>
        <v>Hypericum</v>
      </c>
      <c r="K489" s="76" t="str">
        <f t="shared" si="239"/>
        <v>revolutum</v>
      </c>
      <c r="L489" s="77">
        <f t="shared" si="239"/>
        <v>6</v>
      </c>
      <c r="M489" s="77">
        <f t="shared" si="239"/>
        <v>1</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Dec</v>
      </c>
      <c r="C490" s="73">
        <f t="shared" si="235"/>
        <v>2</v>
      </c>
      <c r="D490" s="74">
        <f t="shared" si="218"/>
        <v>23</v>
      </c>
      <c r="E490" s="75">
        <f t="shared" si="219"/>
        <v>1</v>
      </c>
      <c r="F490" s="79"/>
      <c r="G490" s="82"/>
      <c r="H490" s="68" t="str">
        <f t="shared" si="236"/>
        <v>Hyprev6_20201202_23_00</v>
      </c>
      <c r="I490" s="69">
        <f t="shared" si="239"/>
        <v>1</v>
      </c>
      <c r="J490" s="76" t="str">
        <f t="shared" si="239"/>
        <v>Hypericum</v>
      </c>
      <c r="K490" s="76" t="str">
        <f t="shared" si="239"/>
        <v>revolutum</v>
      </c>
      <c r="L490" s="77">
        <f t="shared" si="239"/>
        <v>6</v>
      </c>
      <c r="M490" s="77">
        <f t="shared" si="239"/>
        <v>1</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Dec</v>
      </c>
      <c r="C491" s="73">
        <f t="shared" si="235"/>
        <v>2</v>
      </c>
      <c r="D491" s="74">
        <f t="shared" si="218"/>
        <v>23</v>
      </c>
      <c r="E491" s="75">
        <f t="shared" si="219"/>
        <v>2</v>
      </c>
      <c r="F491" s="79"/>
      <c r="G491" s="82"/>
      <c r="H491" s="68" t="str">
        <f t="shared" si="236"/>
        <v>Hyprev6_20201202_23_00</v>
      </c>
      <c r="I491" s="69">
        <f t="shared" si="239"/>
        <v>1</v>
      </c>
      <c r="J491" s="76" t="str">
        <f t="shared" si="239"/>
        <v>Hypericum</v>
      </c>
      <c r="K491" s="76" t="str">
        <f t="shared" si="239"/>
        <v>revolutum</v>
      </c>
      <c r="L491" s="77">
        <f t="shared" si="239"/>
        <v>6</v>
      </c>
      <c r="M491" s="77">
        <f t="shared" si="239"/>
        <v>1</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Dec</v>
      </c>
      <c r="C492" s="73">
        <f t="shared" si="235"/>
        <v>2</v>
      </c>
      <c r="D492" s="74">
        <f t="shared" si="218"/>
        <v>23</v>
      </c>
      <c r="E492" s="75">
        <f t="shared" si="219"/>
        <v>3</v>
      </c>
      <c r="F492" s="79"/>
      <c r="G492" s="82"/>
      <c r="H492" s="68" t="str">
        <f t="shared" si="236"/>
        <v>Hyprev6_20201202_23_00</v>
      </c>
      <c r="I492" s="69">
        <f t="shared" si="239"/>
        <v>1</v>
      </c>
      <c r="J492" s="76" t="str">
        <f t="shared" si="239"/>
        <v>Hypericum</v>
      </c>
      <c r="K492" s="76" t="str">
        <f t="shared" si="239"/>
        <v>revolutum</v>
      </c>
      <c r="L492" s="77">
        <f t="shared" si="239"/>
        <v>6</v>
      </c>
      <c r="M492" s="77">
        <f t="shared" si="239"/>
        <v>1</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Dec</v>
      </c>
      <c r="C493" s="73">
        <f t="shared" si="235"/>
        <v>2</v>
      </c>
      <c r="D493" s="74">
        <f t="shared" si="218"/>
        <v>23</v>
      </c>
      <c r="E493" s="75">
        <f t="shared" si="219"/>
        <v>4</v>
      </c>
      <c r="F493" s="79"/>
      <c r="G493" s="82"/>
      <c r="H493" s="68" t="str">
        <f t="shared" si="236"/>
        <v>Hyprev6_20201202_23_00</v>
      </c>
      <c r="I493" s="69">
        <f t="shared" si="239"/>
        <v>1</v>
      </c>
      <c r="J493" s="76" t="str">
        <f t="shared" si="239"/>
        <v>Hypericum</v>
      </c>
      <c r="K493" s="76" t="str">
        <f t="shared" si="239"/>
        <v>revolutum</v>
      </c>
      <c r="L493" s="77">
        <f t="shared" si="239"/>
        <v>6</v>
      </c>
      <c r="M493" s="77">
        <f t="shared" si="239"/>
        <v>1</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Dec</v>
      </c>
      <c r="C494" s="73">
        <f t="shared" si="235"/>
        <v>2</v>
      </c>
      <c r="D494" s="74">
        <f t="shared" si="218"/>
        <v>23</v>
      </c>
      <c r="E494" s="75">
        <f t="shared" si="219"/>
        <v>5</v>
      </c>
      <c r="F494" s="79"/>
      <c r="G494" s="82"/>
      <c r="H494" s="68" t="str">
        <f t="shared" si="236"/>
        <v>Hyprev6_20201202_23_00</v>
      </c>
      <c r="I494" s="69">
        <f t="shared" si="239"/>
        <v>1</v>
      </c>
      <c r="J494" s="76" t="str">
        <f t="shared" si="239"/>
        <v>Hypericum</v>
      </c>
      <c r="K494" s="76" t="str">
        <f t="shared" si="239"/>
        <v>revolutum</v>
      </c>
      <c r="L494" s="77">
        <f t="shared" si="239"/>
        <v>6</v>
      </c>
      <c r="M494" s="77">
        <f t="shared" si="239"/>
        <v>1</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Dec</v>
      </c>
      <c r="C495" s="73">
        <f t="shared" si="235"/>
        <v>2</v>
      </c>
      <c r="D495" s="74">
        <f t="shared" si="218"/>
        <v>23</v>
      </c>
      <c r="E495" s="75">
        <f t="shared" si="219"/>
        <v>6</v>
      </c>
      <c r="F495" s="79"/>
      <c r="G495" s="82"/>
      <c r="H495" s="68" t="str">
        <f t="shared" si="236"/>
        <v>Hyprev6_20201202_23_00</v>
      </c>
      <c r="I495" s="69">
        <f t="shared" si="239"/>
        <v>1</v>
      </c>
      <c r="J495" s="76" t="str">
        <f t="shared" si="239"/>
        <v>Hypericum</v>
      </c>
      <c r="K495" s="76" t="str">
        <f t="shared" si="239"/>
        <v>revolutum</v>
      </c>
      <c r="L495" s="77">
        <f t="shared" si="239"/>
        <v>6</v>
      </c>
      <c r="M495" s="77">
        <f t="shared" si="239"/>
        <v>1</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Dec</v>
      </c>
      <c r="C496" s="73">
        <f t="shared" si="235"/>
        <v>2</v>
      </c>
      <c r="D496" s="74">
        <f t="shared" si="218"/>
        <v>23</v>
      </c>
      <c r="E496" s="75">
        <f t="shared" si="219"/>
        <v>7</v>
      </c>
      <c r="F496" s="79"/>
      <c r="G496" s="82"/>
      <c r="H496" s="68" t="str">
        <f t="shared" si="236"/>
        <v>Hyprev6_20201202_23_00</v>
      </c>
      <c r="I496" s="69">
        <f t="shared" si="239"/>
        <v>1</v>
      </c>
      <c r="J496" s="76" t="str">
        <f t="shared" si="239"/>
        <v>Hypericum</v>
      </c>
      <c r="K496" s="76" t="str">
        <f t="shared" si="239"/>
        <v>revolutum</v>
      </c>
      <c r="L496" s="77">
        <f t="shared" si="239"/>
        <v>6</v>
      </c>
      <c r="M496" s="77">
        <f t="shared" si="239"/>
        <v>1</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Dec</v>
      </c>
      <c r="C497" s="73">
        <f t="shared" si="235"/>
        <v>2</v>
      </c>
      <c r="D497" s="74">
        <f t="shared" si="218"/>
        <v>23</v>
      </c>
      <c r="E497" s="75">
        <f t="shared" si="219"/>
        <v>8</v>
      </c>
      <c r="F497" s="79"/>
      <c r="G497" s="82"/>
      <c r="H497" s="68" t="str">
        <f t="shared" si="236"/>
        <v>Hyprev6_20201202_23_00</v>
      </c>
      <c r="I497" s="69">
        <f t="shared" si="239"/>
        <v>1</v>
      </c>
      <c r="J497" s="76" t="str">
        <f t="shared" si="239"/>
        <v>Hypericum</v>
      </c>
      <c r="K497" s="76" t="str">
        <f t="shared" si="239"/>
        <v>revolutum</v>
      </c>
      <c r="L497" s="77">
        <f t="shared" si="239"/>
        <v>6</v>
      </c>
      <c r="M497" s="77">
        <f t="shared" si="239"/>
        <v>1</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Dec</v>
      </c>
      <c r="C498" s="73">
        <f t="shared" si="235"/>
        <v>2</v>
      </c>
      <c r="D498" s="74">
        <f t="shared" si="218"/>
        <v>23</v>
      </c>
      <c r="E498" s="75">
        <f t="shared" si="219"/>
        <v>9</v>
      </c>
      <c r="F498" s="79"/>
      <c r="G498" s="82"/>
      <c r="H498" s="68" t="str">
        <f t="shared" si="236"/>
        <v>Hyprev6_20201202_23_00</v>
      </c>
      <c r="I498" s="69">
        <f t="shared" si="239"/>
        <v>1</v>
      </c>
      <c r="J498" s="76" t="str">
        <f t="shared" si="239"/>
        <v>Hypericum</v>
      </c>
      <c r="K498" s="76" t="str">
        <f t="shared" si="239"/>
        <v>revolutum</v>
      </c>
      <c r="L498" s="77">
        <f t="shared" si="239"/>
        <v>6</v>
      </c>
      <c r="M498" s="77">
        <f t="shared" si="239"/>
        <v>1</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Dec</v>
      </c>
      <c r="C499" s="73">
        <f t="shared" si="235"/>
        <v>2</v>
      </c>
      <c r="D499" s="74">
        <f t="shared" si="218"/>
        <v>23</v>
      </c>
      <c r="E499" s="75">
        <f t="shared" si="219"/>
        <v>10</v>
      </c>
      <c r="F499" s="79"/>
      <c r="G499" s="82"/>
      <c r="H499" s="68" t="str">
        <f t="shared" si="236"/>
        <v>Hyprev6_20201202_23_00</v>
      </c>
      <c r="I499" s="69">
        <f t="shared" si="239"/>
        <v>1</v>
      </c>
      <c r="J499" s="76" t="str">
        <f t="shared" si="239"/>
        <v>Hypericum</v>
      </c>
      <c r="K499" s="76" t="str">
        <f t="shared" si="239"/>
        <v>revolutum</v>
      </c>
      <c r="L499" s="77">
        <f t="shared" si="239"/>
        <v>6</v>
      </c>
      <c r="M499" s="77">
        <f t="shared" si="239"/>
        <v>1</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Dec</v>
      </c>
      <c r="C500" s="73">
        <f t="shared" si="235"/>
        <v>2</v>
      </c>
      <c r="D500" s="74">
        <f t="shared" si="218"/>
        <v>23</v>
      </c>
      <c r="E500" s="75">
        <f t="shared" si="219"/>
        <v>11</v>
      </c>
      <c r="F500" s="79"/>
      <c r="G500" s="82"/>
      <c r="H500" s="68" t="str">
        <f t="shared" si="236"/>
        <v>Hyprev6_20201202_23_00</v>
      </c>
      <c r="I500" s="69">
        <f t="shared" si="239"/>
        <v>1</v>
      </c>
      <c r="J500" s="76" t="str">
        <f t="shared" si="239"/>
        <v>Hypericum</v>
      </c>
      <c r="K500" s="76" t="str">
        <f t="shared" si="239"/>
        <v>revolutum</v>
      </c>
      <c r="L500" s="77">
        <f t="shared" si="239"/>
        <v>6</v>
      </c>
      <c r="M500" s="77">
        <f t="shared" si="239"/>
        <v>1</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Dec</v>
      </c>
      <c r="C501" s="73">
        <f t="shared" si="235"/>
        <v>2</v>
      </c>
      <c r="D501" s="74">
        <f t="shared" si="218"/>
        <v>23</v>
      </c>
      <c r="E501" s="75">
        <f t="shared" si="219"/>
        <v>12</v>
      </c>
      <c r="F501" s="79"/>
      <c r="G501" s="82"/>
      <c r="H501" s="68" t="str">
        <f t="shared" si="236"/>
        <v>Hyprev6_20201202_23_00</v>
      </c>
      <c r="I501" s="69">
        <f t="shared" ref="I501:N516" si="240">I500</f>
        <v>1</v>
      </c>
      <c r="J501" s="76" t="str">
        <f t="shared" si="240"/>
        <v>Hypericum</v>
      </c>
      <c r="K501" s="76" t="str">
        <f t="shared" si="240"/>
        <v>revolutum</v>
      </c>
      <c r="L501" s="77">
        <f t="shared" si="240"/>
        <v>6</v>
      </c>
      <c r="M501" s="77">
        <f t="shared" si="240"/>
        <v>1</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Dec</v>
      </c>
      <c r="C502" s="73">
        <f t="shared" si="235"/>
        <v>2</v>
      </c>
      <c r="D502" s="74">
        <f t="shared" si="218"/>
        <v>23</v>
      </c>
      <c r="E502" s="75">
        <f t="shared" si="219"/>
        <v>13</v>
      </c>
      <c r="F502" s="79"/>
      <c r="G502" s="82"/>
      <c r="H502" s="68" t="str">
        <f t="shared" si="236"/>
        <v>Hyprev6_20201202_23_00</v>
      </c>
      <c r="I502" s="69">
        <f t="shared" si="240"/>
        <v>1</v>
      </c>
      <c r="J502" s="76" t="str">
        <f t="shared" si="240"/>
        <v>Hypericum</v>
      </c>
      <c r="K502" s="76" t="str">
        <f t="shared" si="240"/>
        <v>revolutum</v>
      </c>
      <c r="L502" s="77">
        <f t="shared" si="240"/>
        <v>6</v>
      </c>
      <c r="M502" s="77">
        <f t="shared" si="240"/>
        <v>1</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Dec</v>
      </c>
      <c r="C503" s="73">
        <f t="shared" si="235"/>
        <v>2</v>
      </c>
      <c r="D503" s="74">
        <f t="shared" si="218"/>
        <v>23</v>
      </c>
      <c r="E503" s="75">
        <f t="shared" si="219"/>
        <v>14</v>
      </c>
      <c r="F503" s="79"/>
      <c r="G503" s="82"/>
      <c r="H503" s="68" t="str">
        <f t="shared" si="236"/>
        <v>Hyprev6_20201202_23_00</v>
      </c>
      <c r="I503" s="69">
        <f t="shared" si="240"/>
        <v>1</v>
      </c>
      <c r="J503" s="76" t="str">
        <f t="shared" si="240"/>
        <v>Hypericum</v>
      </c>
      <c r="K503" s="76" t="str">
        <f t="shared" si="240"/>
        <v>revolutum</v>
      </c>
      <c r="L503" s="77">
        <f t="shared" si="240"/>
        <v>6</v>
      </c>
      <c r="M503" s="77">
        <f t="shared" si="240"/>
        <v>1</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Dec</v>
      </c>
      <c r="C504" s="73">
        <f t="shared" si="235"/>
        <v>2</v>
      </c>
      <c r="D504" s="74">
        <f t="shared" si="218"/>
        <v>23</v>
      </c>
      <c r="E504" s="75">
        <f t="shared" si="219"/>
        <v>15</v>
      </c>
      <c r="F504" s="79"/>
      <c r="G504" s="82"/>
      <c r="H504" s="68" t="str">
        <f t="shared" si="236"/>
        <v>Hyprev6_20201202_23_00</v>
      </c>
      <c r="I504" s="69">
        <f t="shared" si="240"/>
        <v>1</v>
      </c>
      <c r="J504" s="76" t="str">
        <f t="shared" si="240"/>
        <v>Hypericum</v>
      </c>
      <c r="K504" s="76" t="str">
        <f t="shared" si="240"/>
        <v>revolutum</v>
      </c>
      <c r="L504" s="77">
        <f t="shared" si="240"/>
        <v>6</v>
      </c>
      <c r="M504" s="77">
        <f t="shared" si="240"/>
        <v>1</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Dec</v>
      </c>
      <c r="C505" s="73">
        <f t="shared" si="235"/>
        <v>2</v>
      </c>
      <c r="D505" s="74">
        <f t="shared" si="218"/>
        <v>23</v>
      </c>
      <c r="E505" s="75">
        <f t="shared" si="219"/>
        <v>16</v>
      </c>
      <c r="F505" s="79"/>
      <c r="G505" s="82"/>
      <c r="H505" s="68" t="str">
        <f t="shared" si="236"/>
        <v>Hyprev6_20201202_23_00</v>
      </c>
      <c r="I505" s="69">
        <f t="shared" si="240"/>
        <v>1</v>
      </c>
      <c r="J505" s="76" t="str">
        <f t="shared" si="240"/>
        <v>Hypericum</v>
      </c>
      <c r="K505" s="76" t="str">
        <f t="shared" si="240"/>
        <v>revolutum</v>
      </c>
      <c r="L505" s="77">
        <f t="shared" si="240"/>
        <v>6</v>
      </c>
      <c r="M505" s="77">
        <f t="shared" si="240"/>
        <v>1</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Dec</v>
      </c>
      <c r="C506" s="73">
        <f t="shared" si="235"/>
        <v>2</v>
      </c>
      <c r="D506" s="74">
        <f t="shared" si="218"/>
        <v>23</v>
      </c>
      <c r="E506" s="75">
        <f t="shared" si="219"/>
        <v>17</v>
      </c>
      <c r="F506" s="79"/>
      <c r="G506" s="82"/>
      <c r="H506" s="68" t="str">
        <f t="shared" si="236"/>
        <v>Hyprev6_20201202_23_00</v>
      </c>
      <c r="I506" s="69">
        <f t="shared" si="240"/>
        <v>1</v>
      </c>
      <c r="J506" s="76" t="str">
        <f t="shared" si="240"/>
        <v>Hypericum</v>
      </c>
      <c r="K506" s="76" t="str">
        <f t="shared" si="240"/>
        <v>revolutum</v>
      </c>
      <c r="L506" s="77">
        <f t="shared" si="240"/>
        <v>6</v>
      </c>
      <c r="M506" s="77">
        <f t="shared" si="240"/>
        <v>1</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Dec</v>
      </c>
      <c r="C507" s="73">
        <f t="shared" si="235"/>
        <v>2</v>
      </c>
      <c r="D507" s="74">
        <f t="shared" si="218"/>
        <v>23</v>
      </c>
      <c r="E507" s="75">
        <f t="shared" si="219"/>
        <v>18</v>
      </c>
      <c r="F507" s="79"/>
      <c r="G507" s="82"/>
      <c r="H507" s="68" t="str">
        <f t="shared" si="236"/>
        <v>Hyprev6_20201202_23_00</v>
      </c>
      <c r="I507" s="69">
        <f t="shared" si="240"/>
        <v>1</v>
      </c>
      <c r="J507" s="76" t="str">
        <f t="shared" si="240"/>
        <v>Hypericum</v>
      </c>
      <c r="K507" s="76" t="str">
        <f t="shared" si="240"/>
        <v>revolutum</v>
      </c>
      <c r="L507" s="77">
        <f t="shared" si="240"/>
        <v>6</v>
      </c>
      <c r="M507" s="77">
        <f t="shared" si="240"/>
        <v>1</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Dec</v>
      </c>
      <c r="C508" s="73">
        <f t="shared" si="235"/>
        <v>2</v>
      </c>
      <c r="D508" s="74">
        <f t="shared" si="218"/>
        <v>23</v>
      </c>
      <c r="E508" s="75">
        <f t="shared" si="219"/>
        <v>19</v>
      </c>
      <c r="F508" s="79"/>
      <c r="G508" s="82"/>
      <c r="H508" s="68" t="str">
        <f t="shared" si="236"/>
        <v>Hyprev6_20201202_23_00</v>
      </c>
      <c r="I508" s="69">
        <f t="shared" si="240"/>
        <v>1</v>
      </c>
      <c r="J508" s="76" t="str">
        <f t="shared" si="240"/>
        <v>Hypericum</v>
      </c>
      <c r="K508" s="76" t="str">
        <f t="shared" si="240"/>
        <v>revolutum</v>
      </c>
      <c r="L508" s="77">
        <f t="shared" si="240"/>
        <v>6</v>
      </c>
      <c r="M508" s="77">
        <f t="shared" si="240"/>
        <v>1</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Dec</v>
      </c>
      <c r="C509" s="73">
        <f t="shared" si="235"/>
        <v>2</v>
      </c>
      <c r="D509" s="74">
        <f t="shared" si="218"/>
        <v>23</v>
      </c>
      <c r="E509" s="75">
        <f t="shared" si="219"/>
        <v>20</v>
      </c>
      <c r="F509" s="79"/>
      <c r="G509" s="82"/>
      <c r="H509" s="68" t="str">
        <f t="shared" si="236"/>
        <v>Hyprev6_20201202_23_00</v>
      </c>
      <c r="I509" s="69">
        <f t="shared" si="240"/>
        <v>1</v>
      </c>
      <c r="J509" s="76" t="str">
        <f t="shared" si="240"/>
        <v>Hypericum</v>
      </c>
      <c r="K509" s="76" t="str">
        <f t="shared" si="240"/>
        <v>revolutum</v>
      </c>
      <c r="L509" s="77">
        <f t="shared" si="240"/>
        <v>6</v>
      </c>
      <c r="M509" s="77">
        <f t="shared" si="240"/>
        <v>1</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Dec</v>
      </c>
      <c r="C510" s="73">
        <f t="shared" si="235"/>
        <v>2</v>
      </c>
      <c r="D510" s="74">
        <f t="shared" si="218"/>
        <v>23</v>
      </c>
      <c r="E510" s="75">
        <f t="shared" si="219"/>
        <v>21</v>
      </c>
      <c r="F510" s="79"/>
      <c r="G510" s="82"/>
      <c r="H510" s="68" t="str">
        <f t="shared" si="236"/>
        <v>Hyprev6_20201202_23_00</v>
      </c>
      <c r="I510" s="69">
        <f t="shared" si="240"/>
        <v>1</v>
      </c>
      <c r="J510" s="76" t="str">
        <f t="shared" si="240"/>
        <v>Hypericum</v>
      </c>
      <c r="K510" s="76" t="str">
        <f t="shared" si="240"/>
        <v>revolutum</v>
      </c>
      <c r="L510" s="77">
        <f t="shared" si="240"/>
        <v>6</v>
      </c>
      <c r="M510" s="77">
        <f t="shared" si="240"/>
        <v>1</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Dec</v>
      </c>
      <c r="C511" s="73">
        <f t="shared" si="235"/>
        <v>2</v>
      </c>
      <c r="D511" s="74">
        <f t="shared" si="218"/>
        <v>23</v>
      </c>
      <c r="E511" s="75">
        <f t="shared" si="219"/>
        <v>22</v>
      </c>
      <c r="F511" s="79"/>
      <c r="G511" s="82"/>
      <c r="H511" s="68" t="str">
        <f t="shared" si="236"/>
        <v>Hyprev6_20201202_23_00</v>
      </c>
      <c r="I511" s="69">
        <f t="shared" si="240"/>
        <v>1</v>
      </c>
      <c r="J511" s="76" t="str">
        <f t="shared" si="240"/>
        <v>Hypericum</v>
      </c>
      <c r="K511" s="76" t="str">
        <f t="shared" si="240"/>
        <v>revolutum</v>
      </c>
      <c r="L511" s="77">
        <f t="shared" si="240"/>
        <v>6</v>
      </c>
      <c r="M511" s="77">
        <f t="shared" si="240"/>
        <v>1</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Dec</v>
      </c>
      <c r="C512" s="73">
        <f t="shared" si="235"/>
        <v>2</v>
      </c>
      <c r="D512" s="74">
        <f t="shared" si="218"/>
        <v>23</v>
      </c>
      <c r="E512" s="75">
        <f t="shared" si="219"/>
        <v>23</v>
      </c>
      <c r="F512" s="79"/>
      <c r="G512" s="82"/>
      <c r="H512" s="68" t="str">
        <f t="shared" si="236"/>
        <v>Hyprev6_20201202_23_00</v>
      </c>
      <c r="I512" s="69">
        <f t="shared" si="240"/>
        <v>1</v>
      </c>
      <c r="J512" s="76" t="str">
        <f t="shared" si="240"/>
        <v>Hypericum</v>
      </c>
      <c r="K512" s="76" t="str">
        <f t="shared" si="240"/>
        <v>revolutum</v>
      </c>
      <c r="L512" s="77">
        <f t="shared" si="240"/>
        <v>6</v>
      </c>
      <c r="M512" s="77">
        <f t="shared" si="240"/>
        <v>1</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Dec</v>
      </c>
      <c r="C513" s="73">
        <f t="shared" si="235"/>
        <v>2</v>
      </c>
      <c r="D513" s="74">
        <f t="shared" si="218"/>
        <v>23</v>
      </c>
      <c r="E513" s="75">
        <f t="shared" si="219"/>
        <v>24</v>
      </c>
      <c r="F513" s="79"/>
      <c r="G513" s="82"/>
      <c r="H513" s="68" t="str">
        <f t="shared" si="236"/>
        <v>Hyprev6_20201202_23_00</v>
      </c>
      <c r="I513" s="69">
        <f t="shared" si="240"/>
        <v>1</v>
      </c>
      <c r="J513" s="76" t="str">
        <f t="shared" si="240"/>
        <v>Hypericum</v>
      </c>
      <c r="K513" s="76" t="str">
        <f t="shared" si="240"/>
        <v>revolutum</v>
      </c>
      <c r="L513" s="77">
        <f t="shared" si="240"/>
        <v>6</v>
      </c>
      <c r="M513" s="77">
        <f t="shared" si="240"/>
        <v>1</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Dec</v>
      </c>
      <c r="C514" s="73">
        <f t="shared" si="235"/>
        <v>2</v>
      </c>
      <c r="D514" s="74">
        <f t="shared" si="218"/>
        <v>23</v>
      </c>
      <c r="E514" s="75">
        <f t="shared" si="219"/>
        <v>25</v>
      </c>
      <c r="F514" s="79"/>
      <c r="G514" s="82"/>
      <c r="H514" s="68" t="str">
        <f t="shared" si="236"/>
        <v>Hyprev6_20201202_23_00</v>
      </c>
      <c r="I514" s="69">
        <f t="shared" si="240"/>
        <v>1</v>
      </c>
      <c r="J514" s="76" t="str">
        <f t="shared" si="240"/>
        <v>Hypericum</v>
      </c>
      <c r="K514" s="76" t="str">
        <f t="shared" si="240"/>
        <v>revolutum</v>
      </c>
      <c r="L514" s="77">
        <f t="shared" si="240"/>
        <v>6</v>
      </c>
      <c r="M514" s="77">
        <f t="shared" si="240"/>
        <v>1</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Dec</v>
      </c>
      <c r="C515" s="73">
        <f t="shared" si="235"/>
        <v>2</v>
      </c>
      <c r="D515" s="74">
        <f t="shared" si="218"/>
        <v>23</v>
      </c>
      <c r="E515" s="75">
        <f t="shared" si="219"/>
        <v>26</v>
      </c>
      <c r="F515" s="79"/>
      <c r="G515" s="82"/>
      <c r="H515" s="68" t="str">
        <f t="shared" si="236"/>
        <v>Hyprev6_20201202_23_00</v>
      </c>
      <c r="I515" s="69">
        <f t="shared" si="240"/>
        <v>1</v>
      </c>
      <c r="J515" s="76" t="str">
        <f t="shared" si="240"/>
        <v>Hypericum</v>
      </c>
      <c r="K515" s="76" t="str">
        <f t="shared" si="240"/>
        <v>revolutum</v>
      </c>
      <c r="L515" s="77">
        <f t="shared" si="240"/>
        <v>6</v>
      </c>
      <c r="M515" s="77">
        <f t="shared" si="240"/>
        <v>1</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Dec</v>
      </c>
      <c r="C516" s="73">
        <f t="shared" si="235"/>
        <v>2</v>
      </c>
      <c r="D516" s="74">
        <f t="shared" ref="D516:D579" si="248">IF(IF(E515=59,D515+1,D515)=24,0,IF(E515=59,D515+1,D515))</f>
        <v>23</v>
      </c>
      <c r="E516" s="75">
        <f t="shared" ref="E516:E579" si="249">IF(E515&lt;59,E515+1,0)</f>
        <v>27</v>
      </c>
      <c r="F516" s="79"/>
      <c r="G516" s="82"/>
      <c r="H516" s="68" t="str">
        <f t="shared" si="236"/>
        <v>Hyprev6_20201202_23_00</v>
      </c>
      <c r="I516" s="69">
        <f t="shared" si="240"/>
        <v>1</v>
      </c>
      <c r="J516" s="76" t="str">
        <f t="shared" si="240"/>
        <v>Hypericum</v>
      </c>
      <c r="K516" s="76" t="str">
        <f t="shared" si="240"/>
        <v>revolutum</v>
      </c>
      <c r="L516" s="77">
        <f t="shared" si="240"/>
        <v>6</v>
      </c>
      <c r="M516" s="77">
        <f t="shared" si="240"/>
        <v>1</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Dec</v>
      </c>
      <c r="C517" s="73">
        <f t="shared" ref="C517:C580" si="265">IF(AND(D517=0, E517=0), IF(TEXT(C516,"dd")=TEXT(EOMONTH(DATE(A516,MONTH(DATEVALUE(B516&amp;"1")),C516),0), "dd"), 1, C516+1), C516)</f>
        <v>2</v>
      </c>
      <c r="D517" s="74">
        <f t="shared" si="248"/>
        <v>23</v>
      </c>
      <c r="E517" s="75">
        <f t="shared" si="249"/>
        <v>28</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Hyprev6_20201202_23_00</v>
      </c>
      <c r="I517" s="69">
        <f t="shared" ref="I517:N532" si="267">I516</f>
        <v>1</v>
      </c>
      <c r="J517" s="76" t="str">
        <f t="shared" si="267"/>
        <v>Hypericum</v>
      </c>
      <c r="K517" s="76" t="str">
        <f t="shared" si="267"/>
        <v>revolutum</v>
      </c>
      <c r="L517" s="77">
        <f t="shared" si="267"/>
        <v>6</v>
      </c>
      <c r="M517" s="77">
        <f t="shared" si="267"/>
        <v>1</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Dec</v>
      </c>
      <c r="C518" s="73">
        <f t="shared" si="265"/>
        <v>2</v>
      </c>
      <c r="D518" s="74">
        <f t="shared" si="248"/>
        <v>23</v>
      </c>
      <c r="E518" s="75">
        <f t="shared" si="249"/>
        <v>29</v>
      </c>
      <c r="F518" s="79"/>
      <c r="G518" s="82"/>
      <c r="H518" s="68" t="str">
        <f t="shared" si="266"/>
        <v>Hyprev6_20201202_23_00</v>
      </c>
      <c r="I518" s="69">
        <f t="shared" si="267"/>
        <v>1</v>
      </c>
      <c r="J518" s="76" t="str">
        <f t="shared" si="267"/>
        <v>Hypericum</v>
      </c>
      <c r="K518" s="76" t="str">
        <f t="shared" si="267"/>
        <v>revolutum</v>
      </c>
      <c r="L518" s="77">
        <f t="shared" si="267"/>
        <v>6</v>
      </c>
      <c r="M518" s="77">
        <f t="shared" si="267"/>
        <v>1</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Dec</v>
      </c>
      <c r="C519" s="73">
        <f t="shared" si="265"/>
        <v>2</v>
      </c>
      <c r="D519" s="74">
        <f t="shared" si="248"/>
        <v>23</v>
      </c>
      <c r="E519" s="75">
        <f t="shared" si="249"/>
        <v>30</v>
      </c>
      <c r="F519" s="79"/>
      <c r="G519" s="82"/>
      <c r="H519" s="68" t="str">
        <f t="shared" si="266"/>
        <v>Hyprev6_20201202_23_00</v>
      </c>
      <c r="I519" s="69">
        <f t="shared" si="267"/>
        <v>1</v>
      </c>
      <c r="J519" s="76" t="str">
        <f t="shared" si="267"/>
        <v>Hypericum</v>
      </c>
      <c r="K519" s="76" t="str">
        <f t="shared" si="267"/>
        <v>revolutum</v>
      </c>
      <c r="L519" s="77">
        <f t="shared" si="267"/>
        <v>6</v>
      </c>
      <c r="M519" s="77">
        <f t="shared" si="267"/>
        <v>1</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Dec</v>
      </c>
      <c r="C520" s="73">
        <f t="shared" si="265"/>
        <v>2</v>
      </c>
      <c r="D520" s="74">
        <f t="shared" si="248"/>
        <v>23</v>
      </c>
      <c r="E520" s="75">
        <f t="shared" si="249"/>
        <v>31</v>
      </c>
      <c r="F520" s="79"/>
      <c r="G520" s="82"/>
      <c r="H520" s="68" t="str">
        <f t="shared" si="266"/>
        <v>Hyprev6_20201202_23_00</v>
      </c>
      <c r="I520" s="69">
        <f t="shared" si="267"/>
        <v>1</v>
      </c>
      <c r="J520" s="76" t="str">
        <f t="shared" si="267"/>
        <v>Hypericum</v>
      </c>
      <c r="K520" s="76" t="str">
        <f t="shared" si="267"/>
        <v>revolutum</v>
      </c>
      <c r="L520" s="77">
        <f t="shared" si="267"/>
        <v>6</v>
      </c>
      <c r="M520" s="77">
        <f t="shared" si="267"/>
        <v>1</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Dec</v>
      </c>
      <c r="C521" s="73">
        <f t="shared" si="265"/>
        <v>2</v>
      </c>
      <c r="D521" s="74">
        <f t="shared" si="248"/>
        <v>23</v>
      </c>
      <c r="E521" s="75">
        <f t="shared" si="249"/>
        <v>32</v>
      </c>
      <c r="F521" s="79"/>
      <c r="G521" s="82"/>
      <c r="H521" s="68" t="str">
        <f t="shared" si="266"/>
        <v>Hyprev6_20201202_23_00</v>
      </c>
      <c r="I521" s="69">
        <f t="shared" si="267"/>
        <v>1</v>
      </c>
      <c r="J521" s="76" t="str">
        <f t="shared" si="267"/>
        <v>Hypericum</v>
      </c>
      <c r="K521" s="76" t="str">
        <f t="shared" si="267"/>
        <v>revolutum</v>
      </c>
      <c r="L521" s="77">
        <f t="shared" si="267"/>
        <v>6</v>
      </c>
      <c r="M521" s="77">
        <f t="shared" si="267"/>
        <v>1</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Dec</v>
      </c>
      <c r="C522" s="73">
        <f t="shared" si="265"/>
        <v>2</v>
      </c>
      <c r="D522" s="74">
        <f t="shared" si="248"/>
        <v>23</v>
      </c>
      <c r="E522" s="75">
        <f t="shared" si="249"/>
        <v>33</v>
      </c>
      <c r="F522" s="79"/>
      <c r="G522" s="82"/>
      <c r="H522" s="68" t="str">
        <f t="shared" si="266"/>
        <v>Hyprev6_20201202_23_00</v>
      </c>
      <c r="I522" s="69">
        <f t="shared" si="267"/>
        <v>1</v>
      </c>
      <c r="J522" s="76" t="str">
        <f t="shared" si="267"/>
        <v>Hypericum</v>
      </c>
      <c r="K522" s="76" t="str">
        <f t="shared" si="267"/>
        <v>revolutum</v>
      </c>
      <c r="L522" s="77">
        <f t="shared" si="267"/>
        <v>6</v>
      </c>
      <c r="M522" s="77">
        <f t="shared" si="267"/>
        <v>1</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Dec</v>
      </c>
      <c r="C523" s="73">
        <f t="shared" si="265"/>
        <v>2</v>
      </c>
      <c r="D523" s="74">
        <f t="shared" si="248"/>
        <v>23</v>
      </c>
      <c r="E523" s="75">
        <f t="shared" si="249"/>
        <v>34</v>
      </c>
      <c r="F523" s="79"/>
      <c r="G523" s="82"/>
      <c r="H523" s="68" t="str">
        <f t="shared" si="266"/>
        <v>Hyprev6_20201202_23_00</v>
      </c>
      <c r="I523" s="69">
        <f t="shared" si="267"/>
        <v>1</v>
      </c>
      <c r="J523" s="76" t="str">
        <f t="shared" si="267"/>
        <v>Hypericum</v>
      </c>
      <c r="K523" s="76" t="str">
        <f t="shared" si="267"/>
        <v>revolutum</v>
      </c>
      <c r="L523" s="77">
        <f t="shared" si="267"/>
        <v>6</v>
      </c>
      <c r="M523" s="77">
        <f t="shared" si="267"/>
        <v>1</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Dec</v>
      </c>
      <c r="C524" s="73">
        <f t="shared" si="265"/>
        <v>2</v>
      </c>
      <c r="D524" s="74">
        <f t="shared" si="248"/>
        <v>23</v>
      </c>
      <c r="E524" s="75">
        <f t="shared" si="249"/>
        <v>35</v>
      </c>
      <c r="F524" s="79"/>
      <c r="G524" s="82"/>
      <c r="H524" s="68" t="str">
        <f t="shared" si="266"/>
        <v>Hyprev6_20201202_23_00</v>
      </c>
      <c r="I524" s="69">
        <f t="shared" si="267"/>
        <v>1</v>
      </c>
      <c r="J524" s="76" t="str">
        <f t="shared" si="267"/>
        <v>Hypericum</v>
      </c>
      <c r="K524" s="76" t="str">
        <f t="shared" si="267"/>
        <v>revolutum</v>
      </c>
      <c r="L524" s="77">
        <f t="shared" si="267"/>
        <v>6</v>
      </c>
      <c r="M524" s="77">
        <f t="shared" si="267"/>
        <v>1</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Dec</v>
      </c>
      <c r="C525" s="73">
        <f t="shared" si="265"/>
        <v>2</v>
      </c>
      <c r="D525" s="74">
        <f t="shared" si="248"/>
        <v>23</v>
      </c>
      <c r="E525" s="75">
        <f t="shared" si="249"/>
        <v>36</v>
      </c>
      <c r="F525" s="79"/>
      <c r="G525" s="82"/>
      <c r="H525" s="68" t="str">
        <f t="shared" si="266"/>
        <v>Hyprev6_20201202_23_00</v>
      </c>
      <c r="I525" s="69">
        <f t="shared" si="267"/>
        <v>1</v>
      </c>
      <c r="J525" s="76" t="str">
        <f t="shared" si="267"/>
        <v>Hypericum</v>
      </c>
      <c r="K525" s="76" t="str">
        <f t="shared" si="267"/>
        <v>revolutum</v>
      </c>
      <c r="L525" s="77">
        <f t="shared" si="267"/>
        <v>6</v>
      </c>
      <c r="M525" s="77">
        <f t="shared" si="267"/>
        <v>1</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Dec</v>
      </c>
      <c r="C526" s="73">
        <f t="shared" si="265"/>
        <v>2</v>
      </c>
      <c r="D526" s="74">
        <f t="shared" si="248"/>
        <v>23</v>
      </c>
      <c r="E526" s="75">
        <f t="shared" si="249"/>
        <v>37</v>
      </c>
      <c r="F526" s="79"/>
      <c r="G526" s="82"/>
      <c r="H526" s="68" t="str">
        <f t="shared" si="266"/>
        <v>Hyprev6_20201202_23_00</v>
      </c>
      <c r="I526" s="69">
        <f t="shared" si="267"/>
        <v>1</v>
      </c>
      <c r="J526" s="76" t="str">
        <f t="shared" si="267"/>
        <v>Hypericum</v>
      </c>
      <c r="K526" s="76" t="str">
        <f t="shared" si="267"/>
        <v>revolutum</v>
      </c>
      <c r="L526" s="77">
        <f t="shared" si="267"/>
        <v>6</v>
      </c>
      <c r="M526" s="77">
        <f t="shared" si="267"/>
        <v>1</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Dec</v>
      </c>
      <c r="C527" s="73">
        <f t="shared" si="265"/>
        <v>2</v>
      </c>
      <c r="D527" s="74">
        <f t="shared" si="248"/>
        <v>23</v>
      </c>
      <c r="E527" s="75">
        <f t="shared" si="249"/>
        <v>38</v>
      </c>
      <c r="F527" s="79"/>
      <c r="G527" s="82"/>
      <c r="H527" s="68" t="str">
        <f t="shared" si="266"/>
        <v>Hyprev6_20201202_23_00</v>
      </c>
      <c r="I527" s="69">
        <f t="shared" si="267"/>
        <v>1</v>
      </c>
      <c r="J527" s="76" t="str">
        <f t="shared" si="267"/>
        <v>Hypericum</v>
      </c>
      <c r="K527" s="76" t="str">
        <f t="shared" si="267"/>
        <v>revolutum</v>
      </c>
      <c r="L527" s="77">
        <f t="shared" si="267"/>
        <v>6</v>
      </c>
      <c r="M527" s="77">
        <f t="shared" si="267"/>
        <v>1</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Dec</v>
      </c>
      <c r="C528" s="73">
        <f t="shared" si="265"/>
        <v>2</v>
      </c>
      <c r="D528" s="74">
        <f t="shared" si="248"/>
        <v>23</v>
      </c>
      <c r="E528" s="75">
        <f t="shared" si="249"/>
        <v>39</v>
      </c>
      <c r="F528" s="79"/>
      <c r="G528" s="82"/>
      <c r="H528" s="68" t="str">
        <f t="shared" si="266"/>
        <v>Hyprev6_20201202_23_00</v>
      </c>
      <c r="I528" s="69">
        <f t="shared" si="267"/>
        <v>1</v>
      </c>
      <c r="J528" s="76" t="str">
        <f t="shared" si="267"/>
        <v>Hypericum</v>
      </c>
      <c r="K528" s="76" t="str">
        <f t="shared" si="267"/>
        <v>revolutum</v>
      </c>
      <c r="L528" s="77">
        <f t="shared" si="267"/>
        <v>6</v>
      </c>
      <c r="M528" s="77">
        <f t="shared" si="267"/>
        <v>1</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Dec</v>
      </c>
      <c r="C529" s="73">
        <f t="shared" si="265"/>
        <v>2</v>
      </c>
      <c r="D529" s="74">
        <f t="shared" si="248"/>
        <v>23</v>
      </c>
      <c r="E529" s="75">
        <f t="shared" si="249"/>
        <v>40</v>
      </c>
      <c r="F529" s="79"/>
      <c r="G529" s="82"/>
      <c r="H529" s="68" t="str">
        <f t="shared" si="266"/>
        <v>Hyprev6_20201202_23_00</v>
      </c>
      <c r="I529" s="69">
        <f t="shared" si="267"/>
        <v>1</v>
      </c>
      <c r="J529" s="76" t="str">
        <f t="shared" si="267"/>
        <v>Hypericum</v>
      </c>
      <c r="K529" s="76" t="str">
        <f t="shared" si="267"/>
        <v>revolutum</v>
      </c>
      <c r="L529" s="77">
        <f t="shared" si="267"/>
        <v>6</v>
      </c>
      <c r="M529" s="77">
        <f t="shared" si="267"/>
        <v>1</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Dec</v>
      </c>
      <c r="C530" s="73">
        <f t="shared" si="265"/>
        <v>2</v>
      </c>
      <c r="D530" s="74">
        <f t="shared" si="248"/>
        <v>23</v>
      </c>
      <c r="E530" s="75">
        <f t="shared" si="249"/>
        <v>41</v>
      </c>
      <c r="F530" s="79"/>
      <c r="G530" s="82"/>
      <c r="H530" s="68" t="str">
        <f t="shared" si="266"/>
        <v>Hyprev6_20201202_23_00</v>
      </c>
      <c r="I530" s="69">
        <f t="shared" si="267"/>
        <v>1</v>
      </c>
      <c r="J530" s="76" t="str">
        <f t="shared" si="267"/>
        <v>Hypericum</v>
      </c>
      <c r="K530" s="76" t="str">
        <f t="shared" si="267"/>
        <v>revolutum</v>
      </c>
      <c r="L530" s="77">
        <f t="shared" si="267"/>
        <v>6</v>
      </c>
      <c r="M530" s="77">
        <f t="shared" si="267"/>
        <v>1</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Dec</v>
      </c>
      <c r="C531" s="73">
        <f t="shared" si="265"/>
        <v>2</v>
      </c>
      <c r="D531" s="74">
        <f t="shared" si="248"/>
        <v>23</v>
      </c>
      <c r="E531" s="75">
        <f t="shared" si="249"/>
        <v>42</v>
      </c>
      <c r="F531" s="79"/>
      <c r="G531" s="82"/>
      <c r="H531" s="68" t="str">
        <f t="shared" si="266"/>
        <v>Hyprev6_20201202_23_00</v>
      </c>
      <c r="I531" s="69">
        <f t="shared" si="267"/>
        <v>1</v>
      </c>
      <c r="J531" s="76" t="str">
        <f t="shared" si="267"/>
        <v>Hypericum</v>
      </c>
      <c r="K531" s="76" t="str">
        <f t="shared" si="267"/>
        <v>revolutum</v>
      </c>
      <c r="L531" s="77">
        <f t="shared" si="267"/>
        <v>6</v>
      </c>
      <c r="M531" s="77">
        <f t="shared" si="267"/>
        <v>1</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Dec</v>
      </c>
      <c r="C532" s="73">
        <f t="shared" si="265"/>
        <v>2</v>
      </c>
      <c r="D532" s="74">
        <f t="shared" si="248"/>
        <v>23</v>
      </c>
      <c r="E532" s="75">
        <f t="shared" si="249"/>
        <v>43</v>
      </c>
      <c r="F532" s="79"/>
      <c r="G532" s="82"/>
      <c r="H532" s="68" t="str">
        <f t="shared" si="266"/>
        <v>Hyprev6_20201202_23_00</v>
      </c>
      <c r="I532" s="69">
        <f t="shared" si="267"/>
        <v>1</v>
      </c>
      <c r="J532" s="76" t="str">
        <f t="shared" si="267"/>
        <v>Hypericum</v>
      </c>
      <c r="K532" s="76" t="str">
        <f t="shared" si="267"/>
        <v>revolutum</v>
      </c>
      <c r="L532" s="77">
        <f t="shared" si="267"/>
        <v>6</v>
      </c>
      <c r="M532" s="77">
        <f t="shared" si="267"/>
        <v>1</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Dec</v>
      </c>
      <c r="C533" s="73">
        <f t="shared" si="265"/>
        <v>2</v>
      </c>
      <c r="D533" s="74">
        <f t="shared" si="248"/>
        <v>23</v>
      </c>
      <c r="E533" s="75">
        <f t="shared" si="249"/>
        <v>44</v>
      </c>
      <c r="F533" s="79"/>
      <c r="G533" s="82"/>
      <c r="H533" s="68" t="str">
        <f t="shared" si="266"/>
        <v>Hyprev6_20201202_23_00</v>
      </c>
      <c r="I533" s="69">
        <f t="shared" ref="I533:N548" si="268">I532</f>
        <v>1</v>
      </c>
      <c r="J533" s="76" t="str">
        <f t="shared" si="268"/>
        <v>Hypericum</v>
      </c>
      <c r="K533" s="76" t="str">
        <f t="shared" si="268"/>
        <v>revolutum</v>
      </c>
      <c r="L533" s="77">
        <f t="shared" si="268"/>
        <v>6</v>
      </c>
      <c r="M533" s="77">
        <f t="shared" si="268"/>
        <v>1</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Dec</v>
      </c>
      <c r="C534" s="73">
        <f t="shared" si="265"/>
        <v>2</v>
      </c>
      <c r="D534" s="74">
        <f t="shared" si="248"/>
        <v>23</v>
      </c>
      <c r="E534" s="75">
        <f t="shared" si="249"/>
        <v>45</v>
      </c>
      <c r="F534" s="79"/>
      <c r="G534" s="82"/>
      <c r="H534" s="68" t="str">
        <f t="shared" si="266"/>
        <v>Hyprev6_20201202_23_00</v>
      </c>
      <c r="I534" s="69">
        <f t="shared" si="268"/>
        <v>1</v>
      </c>
      <c r="J534" s="76" t="str">
        <f t="shared" si="268"/>
        <v>Hypericum</v>
      </c>
      <c r="K534" s="76" t="str">
        <f t="shared" si="268"/>
        <v>revolutum</v>
      </c>
      <c r="L534" s="77">
        <f t="shared" si="268"/>
        <v>6</v>
      </c>
      <c r="M534" s="77">
        <f t="shared" si="268"/>
        <v>1</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Dec</v>
      </c>
      <c r="C535" s="73">
        <f t="shared" si="265"/>
        <v>2</v>
      </c>
      <c r="D535" s="74">
        <f t="shared" si="248"/>
        <v>23</v>
      </c>
      <c r="E535" s="75">
        <f t="shared" si="249"/>
        <v>46</v>
      </c>
      <c r="F535" s="79"/>
      <c r="G535" s="82"/>
      <c r="H535" s="68" t="str">
        <f t="shared" si="266"/>
        <v>Hyprev6_20201202_23_00</v>
      </c>
      <c r="I535" s="69">
        <f t="shared" si="268"/>
        <v>1</v>
      </c>
      <c r="J535" s="76" t="str">
        <f t="shared" si="268"/>
        <v>Hypericum</v>
      </c>
      <c r="K535" s="76" t="str">
        <f t="shared" si="268"/>
        <v>revolutum</v>
      </c>
      <c r="L535" s="77">
        <f t="shared" si="268"/>
        <v>6</v>
      </c>
      <c r="M535" s="77">
        <f t="shared" si="268"/>
        <v>1</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Dec</v>
      </c>
      <c r="C536" s="73">
        <f t="shared" si="265"/>
        <v>2</v>
      </c>
      <c r="D536" s="74">
        <f t="shared" si="248"/>
        <v>23</v>
      </c>
      <c r="E536" s="75">
        <f t="shared" si="249"/>
        <v>47</v>
      </c>
      <c r="F536" s="79"/>
      <c r="G536" s="82"/>
      <c r="H536" s="68" t="str">
        <f t="shared" si="266"/>
        <v>Hyprev6_20201202_23_00</v>
      </c>
      <c r="I536" s="69">
        <f t="shared" si="268"/>
        <v>1</v>
      </c>
      <c r="J536" s="76" t="str">
        <f t="shared" si="268"/>
        <v>Hypericum</v>
      </c>
      <c r="K536" s="76" t="str">
        <f t="shared" si="268"/>
        <v>revolutum</v>
      </c>
      <c r="L536" s="77">
        <f t="shared" si="268"/>
        <v>6</v>
      </c>
      <c r="M536" s="77">
        <f t="shared" si="268"/>
        <v>1</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Dec</v>
      </c>
      <c r="C537" s="73">
        <f t="shared" si="265"/>
        <v>2</v>
      </c>
      <c r="D537" s="74">
        <f t="shared" si="248"/>
        <v>23</v>
      </c>
      <c r="E537" s="75">
        <f t="shared" si="249"/>
        <v>48</v>
      </c>
      <c r="F537" s="79"/>
      <c r="G537" s="82"/>
      <c r="H537" s="68" t="str">
        <f t="shared" si="266"/>
        <v>Hyprev6_20201202_23_00</v>
      </c>
      <c r="I537" s="69">
        <f t="shared" si="268"/>
        <v>1</v>
      </c>
      <c r="J537" s="76" t="str">
        <f t="shared" si="268"/>
        <v>Hypericum</v>
      </c>
      <c r="K537" s="76" t="str">
        <f t="shared" si="268"/>
        <v>revolutum</v>
      </c>
      <c r="L537" s="77">
        <f t="shared" si="268"/>
        <v>6</v>
      </c>
      <c r="M537" s="77">
        <f t="shared" si="268"/>
        <v>1</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Dec</v>
      </c>
      <c r="C538" s="73">
        <f t="shared" si="265"/>
        <v>2</v>
      </c>
      <c r="D538" s="74">
        <f t="shared" si="248"/>
        <v>23</v>
      </c>
      <c r="E538" s="75">
        <f t="shared" si="249"/>
        <v>49</v>
      </c>
      <c r="F538" s="79"/>
      <c r="G538" s="82"/>
      <c r="H538" s="68" t="str">
        <f t="shared" si="266"/>
        <v>Hyprev6_20201202_23_00</v>
      </c>
      <c r="I538" s="69">
        <f t="shared" si="268"/>
        <v>1</v>
      </c>
      <c r="J538" s="76" t="str">
        <f t="shared" si="268"/>
        <v>Hypericum</v>
      </c>
      <c r="K538" s="76" t="str">
        <f t="shared" si="268"/>
        <v>revolutum</v>
      </c>
      <c r="L538" s="77">
        <f t="shared" si="268"/>
        <v>6</v>
      </c>
      <c r="M538" s="77">
        <f t="shared" si="268"/>
        <v>1</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Dec</v>
      </c>
      <c r="C539" s="73">
        <f t="shared" si="265"/>
        <v>2</v>
      </c>
      <c r="D539" s="74">
        <f t="shared" si="248"/>
        <v>23</v>
      </c>
      <c r="E539" s="75">
        <f t="shared" si="249"/>
        <v>50</v>
      </c>
      <c r="F539" s="79"/>
      <c r="G539" s="82"/>
      <c r="H539" s="68" t="str">
        <f t="shared" si="266"/>
        <v>Hyprev6_20201202_23_00</v>
      </c>
      <c r="I539" s="69">
        <f t="shared" si="268"/>
        <v>1</v>
      </c>
      <c r="J539" s="76" t="str">
        <f t="shared" si="268"/>
        <v>Hypericum</v>
      </c>
      <c r="K539" s="76" t="str">
        <f t="shared" si="268"/>
        <v>revolutum</v>
      </c>
      <c r="L539" s="77">
        <f t="shared" si="268"/>
        <v>6</v>
      </c>
      <c r="M539" s="77">
        <f t="shared" si="268"/>
        <v>1</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Dec</v>
      </c>
      <c r="C540" s="73">
        <f t="shared" si="265"/>
        <v>2</v>
      </c>
      <c r="D540" s="74">
        <f t="shared" si="248"/>
        <v>23</v>
      </c>
      <c r="E540" s="75">
        <f t="shared" si="249"/>
        <v>51</v>
      </c>
      <c r="F540" s="79"/>
      <c r="G540" s="82"/>
      <c r="H540" s="68" t="str">
        <f t="shared" si="266"/>
        <v>Hyprev6_20201202_23_00</v>
      </c>
      <c r="I540" s="69">
        <f t="shared" si="268"/>
        <v>1</v>
      </c>
      <c r="J540" s="76" t="str">
        <f t="shared" si="268"/>
        <v>Hypericum</v>
      </c>
      <c r="K540" s="76" t="str">
        <f t="shared" si="268"/>
        <v>revolutum</v>
      </c>
      <c r="L540" s="77">
        <f t="shared" si="268"/>
        <v>6</v>
      </c>
      <c r="M540" s="77">
        <f t="shared" si="268"/>
        <v>1</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Dec</v>
      </c>
      <c r="C541" s="73">
        <f t="shared" si="265"/>
        <v>2</v>
      </c>
      <c r="D541" s="74">
        <f t="shared" si="248"/>
        <v>23</v>
      </c>
      <c r="E541" s="75">
        <f t="shared" si="249"/>
        <v>52</v>
      </c>
      <c r="F541" s="79"/>
      <c r="G541" s="82"/>
      <c r="H541" s="68" t="str">
        <f t="shared" si="266"/>
        <v>Hyprev6_20201202_23_00</v>
      </c>
      <c r="I541" s="69">
        <f t="shared" si="268"/>
        <v>1</v>
      </c>
      <c r="J541" s="76" t="str">
        <f t="shared" si="268"/>
        <v>Hypericum</v>
      </c>
      <c r="K541" s="76" t="str">
        <f t="shared" si="268"/>
        <v>revolutum</v>
      </c>
      <c r="L541" s="77">
        <f t="shared" si="268"/>
        <v>6</v>
      </c>
      <c r="M541" s="77">
        <f t="shared" si="268"/>
        <v>1</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Dec</v>
      </c>
      <c r="C542" s="73">
        <f t="shared" si="265"/>
        <v>2</v>
      </c>
      <c r="D542" s="74">
        <f t="shared" si="248"/>
        <v>23</v>
      </c>
      <c r="E542" s="75">
        <f t="shared" si="249"/>
        <v>53</v>
      </c>
      <c r="F542" s="79"/>
      <c r="G542" s="82"/>
      <c r="H542" s="68" t="str">
        <f t="shared" si="266"/>
        <v>Hyprev6_20201202_23_00</v>
      </c>
      <c r="I542" s="69">
        <f t="shared" si="268"/>
        <v>1</v>
      </c>
      <c r="J542" s="76" t="str">
        <f t="shared" si="268"/>
        <v>Hypericum</v>
      </c>
      <c r="K542" s="76" t="str">
        <f t="shared" si="268"/>
        <v>revolutum</v>
      </c>
      <c r="L542" s="77">
        <f t="shared" si="268"/>
        <v>6</v>
      </c>
      <c r="M542" s="77">
        <f t="shared" si="268"/>
        <v>1</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Dec</v>
      </c>
      <c r="C543" s="73">
        <f t="shared" si="265"/>
        <v>2</v>
      </c>
      <c r="D543" s="74">
        <f t="shared" si="248"/>
        <v>23</v>
      </c>
      <c r="E543" s="75">
        <f t="shared" si="249"/>
        <v>54</v>
      </c>
      <c r="F543" s="79"/>
      <c r="G543" s="82"/>
      <c r="H543" s="68" t="str">
        <f t="shared" si="266"/>
        <v>Hyprev6_20201202_23_00</v>
      </c>
      <c r="I543" s="69">
        <f t="shared" si="268"/>
        <v>1</v>
      </c>
      <c r="J543" s="76" t="str">
        <f t="shared" si="268"/>
        <v>Hypericum</v>
      </c>
      <c r="K543" s="76" t="str">
        <f t="shared" si="268"/>
        <v>revolutum</v>
      </c>
      <c r="L543" s="77">
        <f t="shared" si="268"/>
        <v>6</v>
      </c>
      <c r="M543" s="77">
        <f t="shared" si="268"/>
        <v>1</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Dec</v>
      </c>
      <c r="C544" s="73">
        <f t="shared" si="265"/>
        <v>2</v>
      </c>
      <c r="D544" s="74">
        <f t="shared" si="248"/>
        <v>23</v>
      </c>
      <c r="E544" s="75">
        <f t="shared" si="249"/>
        <v>55</v>
      </c>
      <c r="F544" s="79"/>
      <c r="G544" s="82"/>
      <c r="H544" s="68" t="str">
        <f t="shared" si="266"/>
        <v>Hyprev6_20201202_23_00</v>
      </c>
      <c r="I544" s="69">
        <f t="shared" si="268"/>
        <v>1</v>
      </c>
      <c r="J544" s="76" t="str">
        <f t="shared" si="268"/>
        <v>Hypericum</v>
      </c>
      <c r="K544" s="76" t="str">
        <f t="shared" si="268"/>
        <v>revolutum</v>
      </c>
      <c r="L544" s="77">
        <f t="shared" si="268"/>
        <v>6</v>
      </c>
      <c r="M544" s="77">
        <f t="shared" si="268"/>
        <v>1</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Dec</v>
      </c>
      <c r="C545" s="73">
        <f t="shared" si="265"/>
        <v>2</v>
      </c>
      <c r="D545" s="74">
        <f t="shared" si="248"/>
        <v>23</v>
      </c>
      <c r="E545" s="75">
        <f t="shared" si="249"/>
        <v>56</v>
      </c>
      <c r="F545" s="79"/>
      <c r="G545" s="82"/>
      <c r="H545" s="68" t="str">
        <f t="shared" si="266"/>
        <v>Hyprev6_20201202_23_00</v>
      </c>
      <c r="I545" s="69">
        <f t="shared" si="268"/>
        <v>1</v>
      </c>
      <c r="J545" s="76" t="str">
        <f t="shared" si="268"/>
        <v>Hypericum</v>
      </c>
      <c r="K545" s="76" t="str">
        <f t="shared" si="268"/>
        <v>revolutum</v>
      </c>
      <c r="L545" s="77">
        <f t="shared" si="268"/>
        <v>6</v>
      </c>
      <c r="M545" s="77">
        <f t="shared" si="268"/>
        <v>1</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Dec</v>
      </c>
      <c r="C546" s="73">
        <f t="shared" si="265"/>
        <v>2</v>
      </c>
      <c r="D546" s="74">
        <f t="shared" si="248"/>
        <v>23</v>
      </c>
      <c r="E546" s="75">
        <f t="shared" si="249"/>
        <v>57</v>
      </c>
      <c r="F546" s="79"/>
      <c r="G546" s="82"/>
      <c r="H546" s="68" t="str">
        <f t="shared" si="266"/>
        <v>Hyprev6_20201202_23_00</v>
      </c>
      <c r="I546" s="69">
        <f t="shared" si="268"/>
        <v>1</v>
      </c>
      <c r="J546" s="76" t="str">
        <f t="shared" si="268"/>
        <v>Hypericum</v>
      </c>
      <c r="K546" s="76" t="str">
        <f t="shared" si="268"/>
        <v>revolutum</v>
      </c>
      <c r="L546" s="77">
        <f t="shared" si="268"/>
        <v>6</v>
      </c>
      <c r="M546" s="77">
        <f t="shared" si="268"/>
        <v>1</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Dec</v>
      </c>
      <c r="C547" s="73">
        <f t="shared" si="265"/>
        <v>2</v>
      </c>
      <c r="D547" s="74">
        <f t="shared" si="248"/>
        <v>23</v>
      </c>
      <c r="E547" s="75">
        <f t="shared" si="249"/>
        <v>58</v>
      </c>
      <c r="F547" s="79"/>
      <c r="G547" s="82"/>
      <c r="H547" s="68" t="str">
        <f t="shared" si="266"/>
        <v>Hyprev6_20201202_23_00</v>
      </c>
      <c r="I547" s="69">
        <f t="shared" si="268"/>
        <v>1</v>
      </c>
      <c r="J547" s="76" t="str">
        <f t="shared" si="268"/>
        <v>Hypericum</v>
      </c>
      <c r="K547" s="76" t="str">
        <f t="shared" si="268"/>
        <v>revolutum</v>
      </c>
      <c r="L547" s="77">
        <f t="shared" si="268"/>
        <v>6</v>
      </c>
      <c r="M547" s="77">
        <f t="shared" si="268"/>
        <v>1</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Dec</v>
      </c>
      <c r="C548" s="73">
        <f t="shared" si="265"/>
        <v>2</v>
      </c>
      <c r="D548" s="74">
        <f t="shared" si="248"/>
        <v>23</v>
      </c>
      <c r="E548" s="75">
        <f t="shared" si="249"/>
        <v>59</v>
      </c>
      <c r="F548" s="79"/>
      <c r="G548" s="82"/>
      <c r="H548" s="68" t="str">
        <f t="shared" si="266"/>
        <v>Hyprev6_20201202_23_00</v>
      </c>
      <c r="I548" s="69">
        <f t="shared" si="268"/>
        <v>1</v>
      </c>
      <c r="J548" s="76" t="str">
        <f t="shared" si="268"/>
        <v>Hypericum</v>
      </c>
      <c r="K548" s="76" t="str">
        <f t="shared" si="268"/>
        <v>revolutum</v>
      </c>
      <c r="L548" s="77">
        <f t="shared" si="268"/>
        <v>6</v>
      </c>
      <c r="M548" s="77">
        <f t="shared" si="268"/>
        <v>1</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Dec</v>
      </c>
      <c r="C549" s="73">
        <f t="shared" si="265"/>
        <v>3</v>
      </c>
      <c r="D549" s="74">
        <f t="shared" si="248"/>
        <v>0</v>
      </c>
      <c r="E549" s="75">
        <f t="shared" si="249"/>
        <v>0</v>
      </c>
      <c r="F549" s="79"/>
      <c r="G549" s="82"/>
      <c r="H549" s="68" t="str">
        <f t="shared" si="266"/>
        <v>Hyprev6_20201203_00_00</v>
      </c>
      <c r="I549" s="69">
        <f t="shared" ref="I549:N564" si="269">I548</f>
        <v>1</v>
      </c>
      <c r="J549" s="76" t="str">
        <f t="shared" si="269"/>
        <v>Hypericum</v>
      </c>
      <c r="K549" s="76" t="str">
        <f t="shared" si="269"/>
        <v>revolutum</v>
      </c>
      <c r="L549" s="77">
        <f t="shared" si="269"/>
        <v>6</v>
      </c>
      <c r="M549" s="77">
        <f t="shared" si="269"/>
        <v>1</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Dec</v>
      </c>
      <c r="C550" s="73">
        <f t="shared" si="265"/>
        <v>3</v>
      </c>
      <c r="D550" s="74">
        <f t="shared" si="248"/>
        <v>0</v>
      </c>
      <c r="E550" s="75">
        <f t="shared" si="249"/>
        <v>1</v>
      </c>
      <c r="F550" s="79"/>
      <c r="G550" s="82"/>
      <c r="H550" s="68" t="str">
        <f t="shared" si="266"/>
        <v>Hyprev6_20201203_00_00</v>
      </c>
      <c r="I550" s="69">
        <f t="shared" si="269"/>
        <v>1</v>
      </c>
      <c r="J550" s="76" t="str">
        <f t="shared" si="269"/>
        <v>Hypericum</v>
      </c>
      <c r="K550" s="76" t="str">
        <f t="shared" si="269"/>
        <v>revolutum</v>
      </c>
      <c r="L550" s="77">
        <f t="shared" si="269"/>
        <v>6</v>
      </c>
      <c r="M550" s="77">
        <f t="shared" si="269"/>
        <v>1</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Dec</v>
      </c>
      <c r="C551" s="73">
        <f t="shared" si="265"/>
        <v>3</v>
      </c>
      <c r="D551" s="74">
        <f t="shared" si="248"/>
        <v>0</v>
      </c>
      <c r="E551" s="75">
        <f t="shared" si="249"/>
        <v>2</v>
      </c>
      <c r="F551" s="79"/>
      <c r="G551" s="82"/>
      <c r="H551" s="68" t="str">
        <f t="shared" si="266"/>
        <v>Hyprev6_20201203_00_00</v>
      </c>
      <c r="I551" s="69">
        <f t="shared" si="269"/>
        <v>1</v>
      </c>
      <c r="J551" s="76" t="str">
        <f t="shared" si="269"/>
        <v>Hypericum</v>
      </c>
      <c r="K551" s="76" t="str">
        <f t="shared" si="269"/>
        <v>revolutum</v>
      </c>
      <c r="L551" s="77">
        <f t="shared" si="269"/>
        <v>6</v>
      </c>
      <c r="M551" s="77">
        <f t="shared" si="269"/>
        <v>1</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Dec</v>
      </c>
      <c r="C552" s="73">
        <f t="shared" si="265"/>
        <v>3</v>
      </c>
      <c r="D552" s="74">
        <f t="shared" si="248"/>
        <v>0</v>
      </c>
      <c r="E552" s="75">
        <f t="shared" si="249"/>
        <v>3</v>
      </c>
      <c r="F552" s="79"/>
      <c r="G552" s="82"/>
      <c r="H552" s="68" t="str">
        <f t="shared" si="266"/>
        <v>Hyprev6_20201203_00_00</v>
      </c>
      <c r="I552" s="69">
        <f t="shared" si="269"/>
        <v>1</v>
      </c>
      <c r="J552" s="76" t="str">
        <f t="shared" si="269"/>
        <v>Hypericum</v>
      </c>
      <c r="K552" s="76" t="str">
        <f t="shared" si="269"/>
        <v>revolutum</v>
      </c>
      <c r="L552" s="77">
        <f t="shared" si="269"/>
        <v>6</v>
      </c>
      <c r="M552" s="77">
        <f t="shared" si="269"/>
        <v>1</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Dec</v>
      </c>
      <c r="C553" s="73">
        <f t="shared" si="265"/>
        <v>3</v>
      </c>
      <c r="D553" s="74">
        <f t="shared" si="248"/>
        <v>0</v>
      </c>
      <c r="E553" s="75">
        <f t="shared" si="249"/>
        <v>4</v>
      </c>
      <c r="F553" s="79"/>
      <c r="G553" s="82"/>
      <c r="H553" s="68" t="str">
        <f t="shared" si="266"/>
        <v>Hyprev6_20201203_00_00</v>
      </c>
      <c r="I553" s="69">
        <f t="shared" si="269"/>
        <v>1</v>
      </c>
      <c r="J553" s="76" t="str">
        <f t="shared" si="269"/>
        <v>Hypericum</v>
      </c>
      <c r="K553" s="76" t="str">
        <f t="shared" si="269"/>
        <v>revolutum</v>
      </c>
      <c r="L553" s="77">
        <f t="shared" si="269"/>
        <v>6</v>
      </c>
      <c r="M553" s="77">
        <f t="shared" si="269"/>
        <v>1</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Dec</v>
      </c>
      <c r="C554" s="73">
        <f t="shared" si="265"/>
        <v>3</v>
      </c>
      <c r="D554" s="74">
        <f t="shared" si="248"/>
        <v>0</v>
      </c>
      <c r="E554" s="75">
        <f t="shared" si="249"/>
        <v>5</v>
      </c>
      <c r="F554" s="79"/>
      <c r="G554" s="82"/>
      <c r="H554" s="68" t="str">
        <f t="shared" si="266"/>
        <v>Hyprev6_20201203_00_00</v>
      </c>
      <c r="I554" s="69">
        <f t="shared" si="269"/>
        <v>1</v>
      </c>
      <c r="J554" s="76" t="str">
        <f t="shared" si="269"/>
        <v>Hypericum</v>
      </c>
      <c r="K554" s="76" t="str">
        <f t="shared" si="269"/>
        <v>revolutum</v>
      </c>
      <c r="L554" s="77">
        <f t="shared" si="269"/>
        <v>6</v>
      </c>
      <c r="M554" s="77">
        <f t="shared" si="269"/>
        <v>1</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Dec</v>
      </c>
      <c r="C555" s="73">
        <f t="shared" si="265"/>
        <v>3</v>
      </c>
      <c r="D555" s="74">
        <f t="shared" si="248"/>
        <v>0</v>
      </c>
      <c r="E555" s="75">
        <f t="shared" si="249"/>
        <v>6</v>
      </c>
      <c r="F555" s="79"/>
      <c r="G555" s="82"/>
      <c r="H555" s="68" t="str">
        <f t="shared" si="266"/>
        <v>Hyprev6_20201203_00_00</v>
      </c>
      <c r="I555" s="69">
        <f t="shared" si="269"/>
        <v>1</v>
      </c>
      <c r="J555" s="76" t="str">
        <f t="shared" si="269"/>
        <v>Hypericum</v>
      </c>
      <c r="K555" s="76" t="str">
        <f t="shared" si="269"/>
        <v>revolutum</v>
      </c>
      <c r="L555" s="77">
        <f t="shared" si="269"/>
        <v>6</v>
      </c>
      <c r="M555" s="77">
        <f t="shared" si="269"/>
        <v>1</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Dec</v>
      </c>
      <c r="C556" s="73">
        <f t="shared" si="265"/>
        <v>3</v>
      </c>
      <c r="D556" s="74">
        <f t="shared" si="248"/>
        <v>0</v>
      </c>
      <c r="E556" s="75">
        <f t="shared" si="249"/>
        <v>7</v>
      </c>
      <c r="F556" s="79"/>
      <c r="G556" s="82"/>
      <c r="H556" s="68" t="str">
        <f t="shared" si="266"/>
        <v>Hyprev6_20201203_00_00</v>
      </c>
      <c r="I556" s="69">
        <f t="shared" si="269"/>
        <v>1</v>
      </c>
      <c r="J556" s="76" t="str">
        <f t="shared" si="269"/>
        <v>Hypericum</v>
      </c>
      <c r="K556" s="76" t="str">
        <f t="shared" si="269"/>
        <v>revolutum</v>
      </c>
      <c r="L556" s="77">
        <f t="shared" si="269"/>
        <v>6</v>
      </c>
      <c r="M556" s="77">
        <f t="shared" si="269"/>
        <v>1</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Dec</v>
      </c>
      <c r="C557" s="73">
        <f t="shared" si="265"/>
        <v>3</v>
      </c>
      <c r="D557" s="74">
        <f t="shared" si="248"/>
        <v>0</v>
      </c>
      <c r="E557" s="75">
        <f t="shared" si="249"/>
        <v>8</v>
      </c>
      <c r="F557" s="79"/>
      <c r="G557" s="82"/>
      <c r="H557" s="68" t="str">
        <f t="shared" si="266"/>
        <v>Hyprev6_20201203_00_00</v>
      </c>
      <c r="I557" s="69">
        <f t="shared" si="269"/>
        <v>1</v>
      </c>
      <c r="J557" s="76" t="str">
        <f t="shared" si="269"/>
        <v>Hypericum</v>
      </c>
      <c r="K557" s="76" t="str">
        <f t="shared" si="269"/>
        <v>revolutum</v>
      </c>
      <c r="L557" s="77">
        <f t="shared" si="269"/>
        <v>6</v>
      </c>
      <c r="M557" s="77">
        <f t="shared" si="269"/>
        <v>1</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Dec</v>
      </c>
      <c r="C558" s="73">
        <f t="shared" si="265"/>
        <v>3</v>
      </c>
      <c r="D558" s="74">
        <f t="shared" si="248"/>
        <v>0</v>
      </c>
      <c r="E558" s="75">
        <f t="shared" si="249"/>
        <v>9</v>
      </c>
      <c r="F558" s="79"/>
      <c r="G558" s="82"/>
      <c r="H558" s="68" t="str">
        <f t="shared" si="266"/>
        <v>Hyprev6_20201203_00_00</v>
      </c>
      <c r="I558" s="69">
        <f t="shared" si="269"/>
        <v>1</v>
      </c>
      <c r="J558" s="76" t="str">
        <f t="shared" si="269"/>
        <v>Hypericum</v>
      </c>
      <c r="K558" s="76" t="str">
        <f t="shared" si="269"/>
        <v>revolutum</v>
      </c>
      <c r="L558" s="77">
        <f t="shared" si="269"/>
        <v>6</v>
      </c>
      <c r="M558" s="77">
        <f t="shared" si="269"/>
        <v>1</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Dec</v>
      </c>
      <c r="C559" s="73">
        <f t="shared" si="265"/>
        <v>3</v>
      </c>
      <c r="D559" s="74">
        <f t="shared" si="248"/>
        <v>0</v>
      </c>
      <c r="E559" s="75">
        <f t="shared" si="249"/>
        <v>10</v>
      </c>
      <c r="F559" s="79"/>
      <c r="G559" s="82"/>
      <c r="H559" s="68" t="str">
        <f t="shared" si="266"/>
        <v>Hyprev6_20201203_00_00</v>
      </c>
      <c r="I559" s="69">
        <f t="shared" si="269"/>
        <v>1</v>
      </c>
      <c r="J559" s="76" t="str">
        <f t="shared" si="269"/>
        <v>Hypericum</v>
      </c>
      <c r="K559" s="76" t="str">
        <f t="shared" si="269"/>
        <v>revolutum</v>
      </c>
      <c r="L559" s="77">
        <f t="shared" si="269"/>
        <v>6</v>
      </c>
      <c r="M559" s="77">
        <f t="shared" si="269"/>
        <v>1</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Dec</v>
      </c>
      <c r="C560" s="73">
        <f t="shared" si="265"/>
        <v>3</v>
      </c>
      <c r="D560" s="74">
        <f t="shared" si="248"/>
        <v>0</v>
      </c>
      <c r="E560" s="75">
        <f t="shared" si="249"/>
        <v>11</v>
      </c>
      <c r="F560" s="79"/>
      <c r="G560" s="82"/>
      <c r="H560" s="68" t="str">
        <f t="shared" si="266"/>
        <v>Hyprev6_20201203_00_00</v>
      </c>
      <c r="I560" s="69">
        <f t="shared" si="269"/>
        <v>1</v>
      </c>
      <c r="J560" s="76" t="str">
        <f t="shared" si="269"/>
        <v>Hypericum</v>
      </c>
      <c r="K560" s="76" t="str">
        <f t="shared" si="269"/>
        <v>revolutum</v>
      </c>
      <c r="L560" s="77">
        <f t="shared" si="269"/>
        <v>6</v>
      </c>
      <c r="M560" s="77">
        <f t="shared" si="269"/>
        <v>1</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Dec</v>
      </c>
      <c r="C561" s="73">
        <f t="shared" si="265"/>
        <v>3</v>
      </c>
      <c r="D561" s="74">
        <f t="shared" si="248"/>
        <v>0</v>
      </c>
      <c r="E561" s="75">
        <f t="shared" si="249"/>
        <v>12</v>
      </c>
      <c r="F561" s="79"/>
      <c r="G561" s="82"/>
      <c r="H561" s="68" t="str">
        <f t="shared" si="266"/>
        <v>Hyprev6_20201203_00_00</v>
      </c>
      <c r="I561" s="69">
        <f t="shared" si="269"/>
        <v>1</v>
      </c>
      <c r="J561" s="76" t="str">
        <f t="shared" si="269"/>
        <v>Hypericum</v>
      </c>
      <c r="K561" s="76" t="str">
        <f t="shared" si="269"/>
        <v>revolutum</v>
      </c>
      <c r="L561" s="77">
        <f t="shared" si="269"/>
        <v>6</v>
      </c>
      <c r="M561" s="77">
        <f t="shared" si="269"/>
        <v>1</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Dec</v>
      </c>
      <c r="C562" s="73">
        <f t="shared" si="265"/>
        <v>3</v>
      </c>
      <c r="D562" s="74">
        <f t="shared" si="248"/>
        <v>0</v>
      </c>
      <c r="E562" s="75">
        <f t="shared" si="249"/>
        <v>13</v>
      </c>
      <c r="F562" s="79"/>
      <c r="G562" s="82"/>
      <c r="H562" s="68" t="str">
        <f t="shared" si="266"/>
        <v>Hyprev6_20201203_00_00</v>
      </c>
      <c r="I562" s="69">
        <f t="shared" si="269"/>
        <v>1</v>
      </c>
      <c r="J562" s="76" t="str">
        <f t="shared" si="269"/>
        <v>Hypericum</v>
      </c>
      <c r="K562" s="76" t="str">
        <f t="shared" si="269"/>
        <v>revolutum</v>
      </c>
      <c r="L562" s="77">
        <f t="shared" si="269"/>
        <v>6</v>
      </c>
      <c r="M562" s="77">
        <f t="shared" si="269"/>
        <v>1</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Dec</v>
      </c>
      <c r="C563" s="73">
        <f t="shared" si="265"/>
        <v>3</v>
      </c>
      <c r="D563" s="74">
        <f t="shared" si="248"/>
        <v>0</v>
      </c>
      <c r="E563" s="75">
        <f t="shared" si="249"/>
        <v>14</v>
      </c>
      <c r="F563" s="79"/>
      <c r="G563" s="82"/>
      <c r="H563" s="68" t="str">
        <f t="shared" si="266"/>
        <v>Hyprev6_20201203_00_00</v>
      </c>
      <c r="I563" s="69">
        <f t="shared" si="269"/>
        <v>1</v>
      </c>
      <c r="J563" s="76" t="str">
        <f t="shared" si="269"/>
        <v>Hypericum</v>
      </c>
      <c r="K563" s="76" t="str">
        <f t="shared" si="269"/>
        <v>revolutum</v>
      </c>
      <c r="L563" s="77">
        <f t="shared" si="269"/>
        <v>6</v>
      </c>
      <c r="M563" s="77">
        <f t="shared" si="269"/>
        <v>1</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Dec</v>
      </c>
      <c r="C564" s="73">
        <f t="shared" si="265"/>
        <v>3</v>
      </c>
      <c r="D564" s="74">
        <f t="shared" si="248"/>
        <v>0</v>
      </c>
      <c r="E564" s="75">
        <f t="shared" si="249"/>
        <v>15</v>
      </c>
      <c r="F564" s="79"/>
      <c r="G564" s="82"/>
      <c r="H564" s="68" t="str">
        <f t="shared" si="266"/>
        <v>Hyprev6_20201203_00_00</v>
      </c>
      <c r="I564" s="69">
        <f t="shared" si="269"/>
        <v>1</v>
      </c>
      <c r="J564" s="76" t="str">
        <f t="shared" si="269"/>
        <v>Hypericum</v>
      </c>
      <c r="K564" s="76" t="str">
        <f t="shared" si="269"/>
        <v>revolutum</v>
      </c>
      <c r="L564" s="77">
        <f t="shared" si="269"/>
        <v>6</v>
      </c>
      <c r="M564" s="77">
        <f t="shared" si="269"/>
        <v>1</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Dec</v>
      </c>
      <c r="C565" s="73">
        <f t="shared" si="265"/>
        <v>3</v>
      </c>
      <c r="D565" s="74">
        <f t="shared" si="248"/>
        <v>0</v>
      </c>
      <c r="E565" s="75">
        <f t="shared" si="249"/>
        <v>16</v>
      </c>
      <c r="F565" s="79"/>
      <c r="G565" s="82"/>
      <c r="H565" s="68" t="str">
        <f t="shared" si="266"/>
        <v>Hyprev6_20201203_00_00</v>
      </c>
      <c r="I565" s="69">
        <f t="shared" ref="I565:N580" si="270">I564</f>
        <v>1</v>
      </c>
      <c r="J565" s="76" t="str">
        <f t="shared" si="270"/>
        <v>Hypericum</v>
      </c>
      <c r="K565" s="76" t="str">
        <f t="shared" si="270"/>
        <v>revolutum</v>
      </c>
      <c r="L565" s="77">
        <f t="shared" si="270"/>
        <v>6</v>
      </c>
      <c r="M565" s="77">
        <f t="shared" si="270"/>
        <v>1</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Dec</v>
      </c>
      <c r="C566" s="73">
        <f t="shared" si="265"/>
        <v>3</v>
      </c>
      <c r="D566" s="74">
        <f t="shared" si="248"/>
        <v>0</v>
      </c>
      <c r="E566" s="75">
        <f t="shared" si="249"/>
        <v>17</v>
      </c>
      <c r="F566" s="79"/>
      <c r="G566" s="82"/>
      <c r="H566" s="68" t="str">
        <f t="shared" si="266"/>
        <v>Hyprev6_20201203_00_00</v>
      </c>
      <c r="I566" s="69">
        <f t="shared" si="270"/>
        <v>1</v>
      </c>
      <c r="J566" s="76" t="str">
        <f t="shared" si="270"/>
        <v>Hypericum</v>
      </c>
      <c r="K566" s="76" t="str">
        <f t="shared" si="270"/>
        <v>revolutum</v>
      </c>
      <c r="L566" s="77">
        <f t="shared" si="270"/>
        <v>6</v>
      </c>
      <c r="M566" s="77">
        <f t="shared" si="270"/>
        <v>1</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Dec</v>
      </c>
      <c r="C567" s="73">
        <f t="shared" si="265"/>
        <v>3</v>
      </c>
      <c r="D567" s="74">
        <f t="shared" si="248"/>
        <v>0</v>
      </c>
      <c r="E567" s="75">
        <f t="shared" si="249"/>
        <v>18</v>
      </c>
      <c r="F567" s="79"/>
      <c r="G567" s="82"/>
      <c r="H567" s="68" t="str">
        <f t="shared" si="266"/>
        <v>Hyprev6_20201203_00_00</v>
      </c>
      <c r="I567" s="69">
        <f t="shared" si="270"/>
        <v>1</v>
      </c>
      <c r="J567" s="76" t="str">
        <f t="shared" si="270"/>
        <v>Hypericum</v>
      </c>
      <c r="K567" s="76" t="str">
        <f t="shared" si="270"/>
        <v>revolutum</v>
      </c>
      <c r="L567" s="77">
        <f t="shared" si="270"/>
        <v>6</v>
      </c>
      <c r="M567" s="77">
        <f t="shared" si="270"/>
        <v>1</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Dec</v>
      </c>
      <c r="C568" s="73">
        <f t="shared" si="265"/>
        <v>3</v>
      </c>
      <c r="D568" s="74">
        <f t="shared" si="248"/>
        <v>0</v>
      </c>
      <c r="E568" s="75">
        <f t="shared" si="249"/>
        <v>19</v>
      </c>
      <c r="F568" s="79"/>
      <c r="G568" s="82"/>
      <c r="H568" s="68" t="str">
        <f t="shared" si="266"/>
        <v>Hyprev6_20201203_00_00</v>
      </c>
      <c r="I568" s="69">
        <f t="shared" si="270"/>
        <v>1</v>
      </c>
      <c r="J568" s="76" t="str">
        <f t="shared" si="270"/>
        <v>Hypericum</v>
      </c>
      <c r="K568" s="76" t="str">
        <f t="shared" si="270"/>
        <v>revolutum</v>
      </c>
      <c r="L568" s="77">
        <f t="shared" si="270"/>
        <v>6</v>
      </c>
      <c r="M568" s="77">
        <f t="shared" si="270"/>
        <v>1</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Dec</v>
      </c>
      <c r="C569" s="73">
        <f t="shared" si="265"/>
        <v>3</v>
      </c>
      <c r="D569" s="74">
        <f t="shared" si="248"/>
        <v>0</v>
      </c>
      <c r="E569" s="75">
        <f t="shared" si="249"/>
        <v>20</v>
      </c>
      <c r="F569" s="79"/>
      <c r="G569" s="82"/>
      <c r="H569" s="68" t="str">
        <f t="shared" si="266"/>
        <v>Hyprev6_20201203_00_00</v>
      </c>
      <c r="I569" s="69">
        <f t="shared" si="270"/>
        <v>1</v>
      </c>
      <c r="J569" s="76" t="str">
        <f t="shared" si="270"/>
        <v>Hypericum</v>
      </c>
      <c r="K569" s="76" t="str">
        <f t="shared" si="270"/>
        <v>revolutum</v>
      </c>
      <c r="L569" s="77">
        <f t="shared" si="270"/>
        <v>6</v>
      </c>
      <c r="M569" s="77">
        <f t="shared" si="270"/>
        <v>1</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Dec</v>
      </c>
      <c r="C570" s="73">
        <f t="shared" si="265"/>
        <v>3</v>
      </c>
      <c r="D570" s="74">
        <f t="shared" si="248"/>
        <v>0</v>
      </c>
      <c r="E570" s="75">
        <f t="shared" si="249"/>
        <v>21</v>
      </c>
      <c r="F570" s="79"/>
      <c r="G570" s="82"/>
      <c r="H570" s="68" t="str">
        <f t="shared" si="266"/>
        <v>Hyprev6_20201203_00_00</v>
      </c>
      <c r="I570" s="69">
        <f t="shared" si="270"/>
        <v>1</v>
      </c>
      <c r="J570" s="76" t="str">
        <f t="shared" si="270"/>
        <v>Hypericum</v>
      </c>
      <c r="K570" s="76" t="str">
        <f t="shared" si="270"/>
        <v>revolutum</v>
      </c>
      <c r="L570" s="77">
        <f t="shared" si="270"/>
        <v>6</v>
      </c>
      <c r="M570" s="77">
        <f t="shared" si="270"/>
        <v>1</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Dec</v>
      </c>
      <c r="C571" s="73">
        <f t="shared" si="265"/>
        <v>3</v>
      </c>
      <c r="D571" s="74">
        <f t="shared" si="248"/>
        <v>0</v>
      </c>
      <c r="E571" s="75">
        <f t="shared" si="249"/>
        <v>22</v>
      </c>
      <c r="F571" s="79"/>
      <c r="G571" s="82"/>
      <c r="H571" s="68" t="str">
        <f t="shared" si="266"/>
        <v>Hyprev6_20201203_00_00</v>
      </c>
      <c r="I571" s="69">
        <f t="shared" si="270"/>
        <v>1</v>
      </c>
      <c r="J571" s="76" t="str">
        <f t="shared" si="270"/>
        <v>Hypericum</v>
      </c>
      <c r="K571" s="76" t="str">
        <f t="shared" si="270"/>
        <v>revolutum</v>
      </c>
      <c r="L571" s="77">
        <f t="shared" si="270"/>
        <v>6</v>
      </c>
      <c r="M571" s="77">
        <f t="shared" si="270"/>
        <v>1</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Dec</v>
      </c>
      <c r="C572" s="73">
        <f t="shared" si="265"/>
        <v>3</v>
      </c>
      <c r="D572" s="74">
        <f t="shared" si="248"/>
        <v>0</v>
      </c>
      <c r="E572" s="75">
        <f t="shared" si="249"/>
        <v>23</v>
      </c>
      <c r="F572" s="79"/>
      <c r="G572" s="82"/>
      <c r="H572" s="68" t="str">
        <f t="shared" si="266"/>
        <v>Hyprev6_20201203_00_00</v>
      </c>
      <c r="I572" s="69">
        <f t="shared" si="270"/>
        <v>1</v>
      </c>
      <c r="J572" s="76" t="str">
        <f t="shared" si="270"/>
        <v>Hypericum</v>
      </c>
      <c r="K572" s="76" t="str">
        <f t="shared" si="270"/>
        <v>revolutum</v>
      </c>
      <c r="L572" s="77">
        <f t="shared" si="270"/>
        <v>6</v>
      </c>
      <c r="M572" s="77">
        <f t="shared" si="270"/>
        <v>1</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Dec</v>
      </c>
      <c r="C573" s="73">
        <f t="shared" si="265"/>
        <v>3</v>
      </c>
      <c r="D573" s="74">
        <f t="shared" si="248"/>
        <v>0</v>
      </c>
      <c r="E573" s="75">
        <f t="shared" si="249"/>
        <v>24</v>
      </c>
      <c r="F573" s="79"/>
      <c r="G573" s="82"/>
      <c r="H573" s="68" t="str">
        <f t="shared" si="266"/>
        <v>Hyprev6_20201203_00_00</v>
      </c>
      <c r="I573" s="69">
        <f t="shared" si="270"/>
        <v>1</v>
      </c>
      <c r="J573" s="76" t="str">
        <f t="shared" si="270"/>
        <v>Hypericum</v>
      </c>
      <c r="K573" s="76" t="str">
        <f t="shared" si="270"/>
        <v>revolutum</v>
      </c>
      <c r="L573" s="77">
        <f t="shared" si="270"/>
        <v>6</v>
      </c>
      <c r="M573" s="77">
        <f t="shared" si="270"/>
        <v>1</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Dec</v>
      </c>
      <c r="C574" s="73">
        <f t="shared" si="265"/>
        <v>3</v>
      </c>
      <c r="D574" s="74">
        <f t="shared" si="248"/>
        <v>0</v>
      </c>
      <c r="E574" s="75">
        <f t="shared" si="249"/>
        <v>25</v>
      </c>
      <c r="F574" s="79"/>
      <c r="G574" s="82"/>
      <c r="H574" s="68" t="str">
        <f t="shared" si="266"/>
        <v>Hyprev6_20201203_00_00</v>
      </c>
      <c r="I574" s="69">
        <f t="shared" si="270"/>
        <v>1</v>
      </c>
      <c r="J574" s="76" t="str">
        <f t="shared" si="270"/>
        <v>Hypericum</v>
      </c>
      <c r="K574" s="76" t="str">
        <f t="shared" si="270"/>
        <v>revolutum</v>
      </c>
      <c r="L574" s="77">
        <f t="shared" si="270"/>
        <v>6</v>
      </c>
      <c r="M574" s="77">
        <f t="shared" si="270"/>
        <v>1</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Dec</v>
      </c>
      <c r="C575" s="73">
        <f t="shared" si="265"/>
        <v>3</v>
      </c>
      <c r="D575" s="74">
        <f t="shared" si="248"/>
        <v>0</v>
      </c>
      <c r="E575" s="75">
        <f t="shared" si="249"/>
        <v>26</v>
      </c>
      <c r="F575" s="79"/>
      <c r="G575" s="82"/>
      <c r="H575" s="68" t="str">
        <f t="shared" si="266"/>
        <v>Hyprev6_20201203_00_00</v>
      </c>
      <c r="I575" s="69">
        <f t="shared" si="270"/>
        <v>1</v>
      </c>
      <c r="J575" s="76" t="str">
        <f t="shared" si="270"/>
        <v>Hypericum</v>
      </c>
      <c r="K575" s="76" t="str">
        <f t="shared" si="270"/>
        <v>revolutum</v>
      </c>
      <c r="L575" s="77">
        <f t="shared" si="270"/>
        <v>6</v>
      </c>
      <c r="M575" s="77">
        <f t="shared" si="270"/>
        <v>1</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Dec</v>
      </c>
      <c r="C576" s="73">
        <f t="shared" si="265"/>
        <v>3</v>
      </c>
      <c r="D576" s="74">
        <f t="shared" si="248"/>
        <v>0</v>
      </c>
      <c r="E576" s="75">
        <f t="shared" si="249"/>
        <v>27</v>
      </c>
      <c r="F576" s="79"/>
      <c r="G576" s="82"/>
      <c r="H576" s="68" t="str">
        <f t="shared" si="266"/>
        <v>Hyprev6_20201203_00_00</v>
      </c>
      <c r="I576" s="69">
        <f t="shared" si="270"/>
        <v>1</v>
      </c>
      <c r="J576" s="76" t="str">
        <f t="shared" si="270"/>
        <v>Hypericum</v>
      </c>
      <c r="K576" s="76" t="str">
        <f t="shared" si="270"/>
        <v>revolutum</v>
      </c>
      <c r="L576" s="77">
        <f t="shared" si="270"/>
        <v>6</v>
      </c>
      <c r="M576" s="77">
        <f t="shared" si="270"/>
        <v>1</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Dec</v>
      </c>
      <c r="C577" s="73">
        <f t="shared" si="265"/>
        <v>3</v>
      </c>
      <c r="D577" s="74">
        <f t="shared" si="248"/>
        <v>0</v>
      </c>
      <c r="E577" s="75">
        <f t="shared" si="249"/>
        <v>28</v>
      </c>
      <c r="F577" s="79"/>
      <c r="G577" s="82"/>
      <c r="H577" s="68" t="str">
        <f t="shared" si="266"/>
        <v>Hyprev6_20201203_00_00</v>
      </c>
      <c r="I577" s="69">
        <f t="shared" si="270"/>
        <v>1</v>
      </c>
      <c r="J577" s="76" t="str">
        <f t="shared" si="270"/>
        <v>Hypericum</v>
      </c>
      <c r="K577" s="76" t="str">
        <f t="shared" si="270"/>
        <v>revolutum</v>
      </c>
      <c r="L577" s="77">
        <f t="shared" si="270"/>
        <v>6</v>
      </c>
      <c r="M577" s="77">
        <f t="shared" si="270"/>
        <v>1</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Dec</v>
      </c>
      <c r="C578" s="73">
        <f t="shared" si="265"/>
        <v>3</v>
      </c>
      <c r="D578" s="74">
        <f t="shared" si="248"/>
        <v>0</v>
      </c>
      <c r="E578" s="75">
        <f t="shared" si="249"/>
        <v>29</v>
      </c>
      <c r="F578" s="79"/>
      <c r="G578" s="82"/>
      <c r="H578" s="68" t="str">
        <f t="shared" si="266"/>
        <v>Hyprev6_20201203_00_00</v>
      </c>
      <c r="I578" s="69">
        <f t="shared" si="270"/>
        <v>1</v>
      </c>
      <c r="J578" s="76" t="str">
        <f t="shared" si="270"/>
        <v>Hypericum</v>
      </c>
      <c r="K578" s="76" t="str">
        <f t="shared" si="270"/>
        <v>revolutum</v>
      </c>
      <c r="L578" s="77">
        <f t="shared" si="270"/>
        <v>6</v>
      </c>
      <c r="M578" s="77">
        <f t="shared" si="270"/>
        <v>1</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Dec</v>
      </c>
      <c r="C579" s="73">
        <f t="shared" si="265"/>
        <v>3</v>
      </c>
      <c r="D579" s="74">
        <f t="shared" si="248"/>
        <v>0</v>
      </c>
      <c r="E579" s="75">
        <f t="shared" si="249"/>
        <v>30</v>
      </c>
      <c r="F579" s="79"/>
      <c r="G579" s="82"/>
      <c r="H579" s="68" t="str">
        <f t="shared" si="266"/>
        <v>Hyprev6_20201203_00_00</v>
      </c>
      <c r="I579" s="69">
        <f t="shared" si="270"/>
        <v>1</v>
      </c>
      <c r="J579" s="76" t="str">
        <f t="shared" si="270"/>
        <v>Hypericum</v>
      </c>
      <c r="K579" s="76" t="str">
        <f t="shared" si="270"/>
        <v>revolutum</v>
      </c>
      <c r="L579" s="77">
        <f t="shared" si="270"/>
        <v>6</v>
      </c>
      <c r="M579" s="77">
        <f t="shared" si="270"/>
        <v>1</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Dec</v>
      </c>
      <c r="C580" s="73">
        <f t="shared" si="265"/>
        <v>3</v>
      </c>
      <c r="D580" s="74">
        <f t="shared" ref="D580:D643" si="278">IF(IF(E579=59,D579+1,D579)=24,0,IF(E579=59,D579+1,D579))</f>
        <v>0</v>
      </c>
      <c r="E580" s="75">
        <f t="shared" ref="E580:E643" si="279">IF(E579&lt;59,E579+1,0)</f>
        <v>31</v>
      </c>
      <c r="F580" s="79"/>
      <c r="G580" s="82"/>
      <c r="H580" s="68" t="str">
        <f t="shared" si="266"/>
        <v>Hyprev6_20201203_00_00</v>
      </c>
      <c r="I580" s="69">
        <f t="shared" si="270"/>
        <v>1</v>
      </c>
      <c r="J580" s="76" t="str">
        <f t="shared" si="270"/>
        <v>Hypericum</v>
      </c>
      <c r="K580" s="76" t="str">
        <f t="shared" si="270"/>
        <v>revolutum</v>
      </c>
      <c r="L580" s="77">
        <f t="shared" si="270"/>
        <v>6</v>
      </c>
      <c r="M580" s="77">
        <f t="shared" si="270"/>
        <v>1</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Dec</v>
      </c>
      <c r="C581" s="73">
        <f t="shared" ref="C581:C644" si="295">IF(AND(D581=0, E581=0), IF(TEXT(C580,"dd")=TEXT(EOMONTH(DATE(A580,MONTH(DATEVALUE(B580&amp;"1")),C580),0), "dd"), 1, C580+1), C580)</f>
        <v>3</v>
      </c>
      <c r="D581" s="74">
        <f t="shared" si="278"/>
        <v>0</v>
      </c>
      <c r="E581" s="75">
        <f t="shared" si="279"/>
        <v>32</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Hyprev6_20201203_00_00</v>
      </c>
      <c r="I581" s="69">
        <f t="shared" ref="I581:N596" si="297">I580</f>
        <v>1</v>
      </c>
      <c r="J581" s="76" t="str">
        <f t="shared" si="297"/>
        <v>Hypericum</v>
      </c>
      <c r="K581" s="76" t="str">
        <f t="shared" si="297"/>
        <v>revolutum</v>
      </c>
      <c r="L581" s="77">
        <f t="shared" si="297"/>
        <v>6</v>
      </c>
      <c r="M581" s="77">
        <f t="shared" si="297"/>
        <v>1</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Dec</v>
      </c>
      <c r="C582" s="73">
        <f t="shared" si="295"/>
        <v>3</v>
      </c>
      <c r="D582" s="74">
        <f t="shared" si="278"/>
        <v>0</v>
      </c>
      <c r="E582" s="75">
        <f t="shared" si="279"/>
        <v>33</v>
      </c>
      <c r="F582" s="79"/>
      <c r="G582" s="82"/>
      <c r="H582" s="68" t="str">
        <f t="shared" si="296"/>
        <v>Hyprev6_20201203_00_00</v>
      </c>
      <c r="I582" s="69">
        <f t="shared" si="297"/>
        <v>1</v>
      </c>
      <c r="J582" s="76" t="str">
        <f t="shared" si="297"/>
        <v>Hypericum</v>
      </c>
      <c r="K582" s="76" t="str">
        <f t="shared" si="297"/>
        <v>revolutum</v>
      </c>
      <c r="L582" s="77">
        <f t="shared" si="297"/>
        <v>6</v>
      </c>
      <c r="M582" s="77">
        <f t="shared" si="297"/>
        <v>1</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Dec</v>
      </c>
      <c r="C583" s="73">
        <f t="shared" si="295"/>
        <v>3</v>
      </c>
      <c r="D583" s="74">
        <f t="shared" si="278"/>
        <v>0</v>
      </c>
      <c r="E583" s="75">
        <f t="shared" si="279"/>
        <v>34</v>
      </c>
      <c r="F583" s="79"/>
      <c r="G583" s="82"/>
      <c r="H583" s="68" t="str">
        <f t="shared" si="296"/>
        <v>Hyprev6_20201203_00_00</v>
      </c>
      <c r="I583" s="69">
        <f t="shared" si="297"/>
        <v>1</v>
      </c>
      <c r="J583" s="76" t="str">
        <f t="shared" si="297"/>
        <v>Hypericum</v>
      </c>
      <c r="K583" s="76" t="str">
        <f t="shared" si="297"/>
        <v>revolutum</v>
      </c>
      <c r="L583" s="77">
        <f t="shared" si="297"/>
        <v>6</v>
      </c>
      <c r="M583" s="77">
        <f t="shared" si="297"/>
        <v>1</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Dec</v>
      </c>
      <c r="C584" s="73">
        <f t="shared" si="295"/>
        <v>3</v>
      </c>
      <c r="D584" s="74">
        <f t="shared" si="278"/>
        <v>0</v>
      </c>
      <c r="E584" s="75">
        <f t="shared" si="279"/>
        <v>35</v>
      </c>
      <c r="F584" s="79"/>
      <c r="G584" s="82"/>
      <c r="H584" s="68" t="str">
        <f t="shared" si="296"/>
        <v>Hyprev6_20201203_00_00</v>
      </c>
      <c r="I584" s="69">
        <f t="shared" si="297"/>
        <v>1</v>
      </c>
      <c r="J584" s="76" t="str">
        <f t="shared" si="297"/>
        <v>Hypericum</v>
      </c>
      <c r="K584" s="76" t="str">
        <f t="shared" si="297"/>
        <v>revolutum</v>
      </c>
      <c r="L584" s="77">
        <f t="shared" si="297"/>
        <v>6</v>
      </c>
      <c r="M584" s="77">
        <f t="shared" si="297"/>
        <v>1</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Dec</v>
      </c>
      <c r="C585" s="73">
        <f t="shared" si="295"/>
        <v>3</v>
      </c>
      <c r="D585" s="74">
        <f t="shared" si="278"/>
        <v>0</v>
      </c>
      <c r="E585" s="75">
        <f t="shared" si="279"/>
        <v>36</v>
      </c>
      <c r="F585" s="79"/>
      <c r="G585" s="82"/>
      <c r="H585" s="68" t="str">
        <f t="shared" si="296"/>
        <v>Hyprev6_20201203_00_00</v>
      </c>
      <c r="I585" s="69">
        <f t="shared" si="297"/>
        <v>1</v>
      </c>
      <c r="J585" s="76" t="str">
        <f t="shared" si="297"/>
        <v>Hypericum</v>
      </c>
      <c r="K585" s="76" t="str">
        <f t="shared" si="297"/>
        <v>revolutum</v>
      </c>
      <c r="L585" s="77">
        <f t="shared" si="297"/>
        <v>6</v>
      </c>
      <c r="M585" s="77">
        <f t="shared" si="297"/>
        <v>1</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Dec</v>
      </c>
      <c r="C586" s="73">
        <f t="shared" si="295"/>
        <v>3</v>
      </c>
      <c r="D586" s="74">
        <f t="shared" si="278"/>
        <v>0</v>
      </c>
      <c r="E586" s="75">
        <f t="shared" si="279"/>
        <v>37</v>
      </c>
      <c r="F586" s="79"/>
      <c r="G586" s="82"/>
      <c r="H586" s="68" t="str">
        <f t="shared" si="296"/>
        <v>Hyprev6_20201203_00_00</v>
      </c>
      <c r="I586" s="69">
        <f t="shared" si="297"/>
        <v>1</v>
      </c>
      <c r="J586" s="76" t="str">
        <f t="shared" si="297"/>
        <v>Hypericum</v>
      </c>
      <c r="K586" s="76" t="str">
        <f t="shared" si="297"/>
        <v>revolutum</v>
      </c>
      <c r="L586" s="77">
        <f t="shared" si="297"/>
        <v>6</v>
      </c>
      <c r="M586" s="77">
        <f t="shared" si="297"/>
        <v>1</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Dec</v>
      </c>
      <c r="C587" s="73">
        <f t="shared" si="295"/>
        <v>3</v>
      </c>
      <c r="D587" s="74">
        <f t="shared" si="278"/>
        <v>0</v>
      </c>
      <c r="E587" s="75">
        <f t="shared" si="279"/>
        <v>38</v>
      </c>
      <c r="F587" s="79"/>
      <c r="G587" s="82"/>
      <c r="H587" s="68" t="str">
        <f t="shared" si="296"/>
        <v>Hyprev6_20201203_00_00</v>
      </c>
      <c r="I587" s="69">
        <f t="shared" si="297"/>
        <v>1</v>
      </c>
      <c r="J587" s="76" t="str">
        <f t="shared" si="297"/>
        <v>Hypericum</v>
      </c>
      <c r="K587" s="76" t="str">
        <f t="shared" si="297"/>
        <v>revolutum</v>
      </c>
      <c r="L587" s="77">
        <f t="shared" si="297"/>
        <v>6</v>
      </c>
      <c r="M587" s="77">
        <f t="shared" si="297"/>
        <v>1</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Dec</v>
      </c>
      <c r="C588" s="73">
        <f t="shared" si="295"/>
        <v>3</v>
      </c>
      <c r="D588" s="74">
        <f t="shared" si="278"/>
        <v>0</v>
      </c>
      <c r="E588" s="75">
        <f t="shared" si="279"/>
        <v>39</v>
      </c>
      <c r="F588" s="79"/>
      <c r="G588" s="82"/>
      <c r="H588" s="68" t="str">
        <f t="shared" si="296"/>
        <v>Hyprev6_20201203_00_00</v>
      </c>
      <c r="I588" s="69">
        <f t="shared" si="297"/>
        <v>1</v>
      </c>
      <c r="J588" s="76" t="str">
        <f t="shared" si="297"/>
        <v>Hypericum</v>
      </c>
      <c r="K588" s="76" t="str">
        <f t="shared" si="297"/>
        <v>revolutum</v>
      </c>
      <c r="L588" s="77">
        <f t="shared" si="297"/>
        <v>6</v>
      </c>
      <c r="M588" s="77">
        <f t="shared" si="297"/>
        <v>1</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Dec</v>
      </c>
      <c r="C589" s="73">
        <f t="shared" si="295"/>
        <v>3</v>
      </c>
      <c r="D589" s="74">
        <f t="shared" si="278"/>
        <v>0</v>
      </c>
      <c r="E589" s="75">
        <f t="shared" si="279"/>
        <v>40</v>
      </c>
      <c r="F589" s="79"/>
      <c r="G589" s="82"/>
      <c r="H589" s="68" t="str">
        <f t="shared" si="296"/>
        <v>Hyprev6_20201203_00_00</v>
      </c>
      <c r="I589" s="69">
        <f t="shared" si="297"/>
        <v>1</v>
      </c>
      <c r="J589" s="76" t="str">
        <f t="shared" si="297"/>
        <v>Hypericum</v>
      </c>
      <c r="K589" s="76" t="str">
        <f t="shared" si="297"/>
        <v>revolutum</v>
      </c>
      <c r="L589" s="77">
        <f t="shared" si="297"/>
        <v>6</v>
      </c>
      <c r="M589" s="77">
        <f t="shared" si="297"/>
        <v>1</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Dec</v>
      </c>
      <c r="C590" s="73">
        <f t="shared" si="295"/>
        <v>3</v>
      </c>
      <c r="D590" s="74">
        <f t="shared" si="278"/>
        <v>0</v>
      </c>
      <c r="E590" s="75">
        <f t="shared" si="279"/>
        <v>41</v>
      </c>
      <c r="F590" s="79"/>
      <c r="G590" s="82"/>
      <c r="H590" s="68" t="str">
        <f t="shared" si="296"/>
        <v>Hyprev6_20201203_00_00</v>
      </c>
      <c r="I590" s="69">
        <f t="shared" si="297"/>
        <v>1</v>
      </c>
      <c r="J590" s="76" t="str">
        <f t="shared" si="297"/>
        <v>Hypericum</v>
      </c>
      <c r="K590" s="76" t="str">
        <f t="shared" si="297"/>
        <v>revolutum</v>
      </c>
      <c r="L590" s="77">
        <f t="shared" si="297"/>
        <v>6</v>
      </c>
      <c r="M590" s="77">
        <f t="shared" si="297"/>
        <v>1</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Dec</v>
      </c>
      <c r="C591" s="73">
        <f t="shared" si="295"/>
        <v>3</v>
      </c>
      <c r="D591" s="74">
        <f t="shared" si="278"/>
        <v>0</v>
      </c>
      <c r="E591" s="75">
        <f t="shared" si="279"/>
        <v>42</v>
      </c>
      <c r="F591" s="79"/>
      <c r="G591" s="82"/>
      <c r="H591" s="68" t="str">
        <f t="shared" si="296"/>
        <v>Hyprev6_20201203_00_00</v>
      </c>
      <c r="I591" s="69">
        <f t="shared" si="297"/>
        <v>1</v>
      </c>
      <c r="J591" s="76" t="str">
        <f t="shared" si="297"/>
        <v>Hypericum</v>
      </c>
      <c r="K591" s="76" t="str">
        <f t="shared" si="297"/>
        <v>revolutum</v>
      </c>
      <c r="L591" s="77">
        <f t="shared" si="297"/>
        <v>6</v>
      </c>
      <c r="M591" s="77">
        <f t="shared" si="297"/>
        <v>1</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Dec</v>
      </c>
      <c r="C592" s="73">
        <f t="shared" si="295"/>
        <v>3</v>
      </c>
      <c r="D592" s="74">
        <f t="shared" si="278"/>
        <v>0</v>
      </c>
      <c r="E592" s="75">
        <f t="shared" si="279"/>
        <v>43</v>
      </c>
      <c r="F592" s="79"/>
      <c r="G592" s="82"/>
      <c r="H592" s="68" t="str">
        <f t="shared" si="296"/>
        <v>Hyprev6_20201203_00_00</v>
      </c>
      <c r="I592" s="69">
        <f t="shared" si="297"/>
        <v>1</v>
      </c>
      <c r="J592" s="76" t="str">
        <f t="shared" si="297"/>
        <v>Hypericum</v>
      </c>
      <c r="K592" s="76" t="str">
        <f t="shared" si="297"/>
        <v>revolutum</v>
      </c>
      <c r="L592" s="77">
        <f t="shared" si="297"/>
        <v>6</v>
      </c>
      <c r="M592" s="77">
        <f t="shared" si="297"/>
        <v>1</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Dec</v>
      </c>
      <c r="C593" s="73">
        <f t="shared" si="295"/>
        <v>3</v>
      </c>
      <c r="D593" s="74">
        <f t="shared" si="278"/>
        <v>0</v>
      </c>
      <c r="E593" s="75">
        <f t="shared" si="279"/>
        <v>44</v>
      </c>
      <c r="F593" s="79"/>
      <c r="G593" s="82"/>
      <c r="H593" s="68" t="str">
        <f t="shared" si="296"/>
        <v>Hyprev6_20201203_00_00</v>
      </c>
      <c r="I593" s="69">
        <f t="shared" si="297"/>
        <v>1</v>
      </c>
      <c r="J593" s="76" t="str">
        <f t="shared" si="297"/>
        <v>Hypericum</v>
      </c>
      <c r="K593" s="76" t="str">
        <f t="shared" si="297"/>
        <v>revolutum</v>
      </c>
      <c r="L593" s="77">
        <f t="shared" si="297"/>
        <v>6</v>
      </c>
      <c r="M593" s="77">
        <f t="shared" si="297"/>
        <v>1</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Dec</v>
      </c>
      <c r="C594" s="73">
        <f t="shared" si="295"/>
        <v>3</v>
      </c>
      <c r="D594" s="74">
        <f t="shared" si="278"/>
        <v>0</v>
      </c>
      <c r="E594" s="75">
        <f t="shared" si="279"/>
        <v>45</v>
      </c>
      <c r="F594" s="79"/>
      <c r="G594" s="82"/>
      <c r="H594" s="68" t="str">
        <f t="shared" si="296"/>
        <v>Hyprev6_20201203_00_00</v>
      </c>
      <c r="I594" s="69">
        <f t="shared" si="297"/>
        <v>1</v>
      </c>
      <c r="J594" s="76" t="str">
        <f t="shared" si="297"/>
        <v>Hypericum</v>
      </c>
      <c r="K594" s="76" t="str">
        <f t="shared" si="297"/>
        <v>revolutum</v>
      </c>
      <c r="L594" s="77">
        <f t="shared" si="297"/>
        <v>6</v>
      </c>
      <c r="M594" s="77">
        <f t="shared" si="297"/>
        <v>1</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Dec</v>
      </c>
      <c r="C595" s="73">
        <f t="shared" si="295"/>
        <v>3</v>
      </c>
      <c r="D595" s="74">
        <f t="shared" si="278"/>
        <v>0</v>
      </c>
      <c r="E595" s="75">
        <f t="shared" si="279"/>
        <v>46</v>
      </c>
      <c r="F595" s="79"/>
      <c r="G595" s="82"/>
      <c r="H595" s="68" t="str">
        <f t="shared" si="296"/>
        <v>Hyprev6_20201203_00_00</v>
      </c>
      <c r="I595" s="69">
        <f t="shared" si="297"/>
        <v>1</v>
      </c>
      <c r="J595" s="76" t="str">
        <f t="shared" si="297"/>
        <v>Hypericum</v>
      </c>
      <c r="K595" s="76" t="str">
        <f t="shared" si="297"/>
        <v>revolutum</v>
      </c>
      <c r="L595" s="77">
        <f t="shared" si="297"/>
        <v>6</v>
      </c>
      <c r="M595" s="77">
        <f t="shared" si="297"/>
        <v>1</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Dec</v>
      </c>
      <c r="C596" s="73">
        <f t="shared" si="295"/>
        <v>3</v>
      </c>
      <c r="D596" s="74">
        <f t="shared" si="278"/>
        <v>0</v>
      </c>
      <c r="E596" s="75">
        <f t="shared" si="279"/>
        <v>47</v>
      </c>
      <c r="F596" s="79"/>
      <c r="G596" s="82"/>
      <c r="H596" s="68" t="str">
        <f t="shared" si="296"/>
        <v>Hyprev6_20201203_00_00</v>
      </c>
      <c r="I596" s="69">
        <f t="shared" si="297"/>
        <v>1</v>
      </c>
      <c r="J596" s="76" t="str">
        <f t="shared" si="297"/>
        <v>Hypericum</v>
      </c>
      <c r="K596" s="76" t="str">
        <f t="shared" si="297"/>
        <v>revolutum</v>
      </c>
      <c r="L596" s="77">
        <f t="shared" si="297"/>
        <v>6</v>
      </c>
      <c r="M596" s="77">
        <f t="shared" si="297"/>
        <v>1</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Dec</v>
      </c>
      <c r="C597" s="73">
        <f t="shared" si="295"/>
        <v>3</v>
      </c>
      <c r="D597" s="74">
        <f t="shared" si="278"/>
        <v>0</v>
      </c>
      <c r="E597" s="75">
        <f t="shared" si="279"/>
        <v>48</v>
      </c>
      <c r="F597" s="79"/>
      <c r="G597" s="82"/>
      <c r="H597" s="68" t="str">
        <f t="shared" si="296"/>
        <v>Hyprev6_20201203_00_00</v>
      </c>
      <c r="I597" s="69">
        <f t="shared" ref="I597:N612" si="298">I596</f>
        <v>1</v>
      </c>
      <c r="J597" s="76" t="str">
        <f t="shared" si="298"/>
        <v>Hypericum</v>
      </c>
      <c r="K597" s="76" t="str">
        <f t="shared" si="298"/>
        <v>revolutum</v>
      </c>
      <c r="L597" s="77">
        <f t="shared" si="298"/>
        <v>6</v>
      </c>
      <c r="M597" s="77">
        <f t="shared" si="298"/>
        <v>1</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Dec</v>
      </c>
      <c r="C598" s="73">
        <f t="shared" si="295"/>
        <v>3</v>
      </c>
      <c r="D598" s="74">
        <f t="shared" si="278"/>
        <v>0</v>
      </c>
      <c r="E598" s="75">
        <f t="shared" si="279"/>
        <v>49</v>
      </c>
      <c r="F598" s="79"/>
      <c r="G598" s="82"/>
      <c r="H598" s="68" t="str">
        <f t="shared" si="296"/>
        <v>Hyprev6_20201203_00_00</v>
      </c>
      <c r="I598" s="69">
        <f t="shared" si="298"/>
        <v>1</v>
      </c>
      <c r="J598" s="76" t="str">
        <f t="shared" si="298"/>
        <v>Hypericum</v>
      </c>
      <c r="K598" s="76" t="str">
        <f t="shared" si="298"/>
        <v>revolutum</v>
      </c>
      <c r="L598" s="77">
        <f t="shared" si="298"/>
        <v>6</v>
      </c>
      <c r="M598" s="77">
        <f t="shared" si="298"/>
        <v>1</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Dec</v>
      </c>
      <c r="C599" s="73">
        <f t="shared" si="295"/>
        <v>3</v>
      </c>
      <c r="D599" s="74">
        <f t="shared" si="278"/>
        <v>0</v>
      </c>
      <c r="E599" s="75">
        <f t="shared" si="279"/>
        <v>50</v>
      </c>
      <c r="F599" s="79"/>
      <c r="G599" s="82"/>
      <c r="H599" s="68" t="str">
        <f t="shared" si="296"/>
        <v>Hyprev6_20201203_00_00</v>
      </c>
      <c r="I599" s="69">
        <f t="shared" si="298"/>
        <v>1</v>
      </c>
      <c r="J599" s="76" t="str">
        <f t="shared" si="298"/>
        <v>Hypericum</v>
      </c>
      <c r="K599" s="76" t="str">
        <f t="shared" si="298"/>
        <v>revolutum</v>
      </c>
      <c r="L599" s="77">
        <f t="shared" si="298"/>
        <v>6</v>
      </c>
      <c r="M599" s="77">
        <f t="shared" si="298"/>
        <v>1</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Dec</v>
      </c>
      <c r="C600" s="73">
        <f t="shared" si="295"/>
        <v>3</v>
      </c>
      <c r="D600" s="74">
        <f t="shared" si="278"/>
        <v>0</v>
      </c>
      <c r="E600" s="75">
        <f t="shared" si="279"/>
        <v>51</v>
      </c>
      <c r="F600" s="79"/>
      <c r="G600" s="82"/>
      <c r="H600" s="68" t="str">
        <f t="shared" si="296"/>
        <v>Hyprev6_20201203_00_00</v>
      </c>
      <c r="I600" s="69">
        <f t="shared" si="298"/>
        <v>1</v>
      </c>
      <c r="J600" s="76" t="str">
        <f t="shared" si="298"/>
        <v>Hypericum</v>
      </c>
      <c r="K600" s="76" t="str">
        <f t="shared" si="298"/>
        <v>revolutum</v>
      </c>
      <c r="L600" s="77">
        <f t="shared" si="298"/>
        <v>6</v>
      </c>
      <c r="M600" s="77">
        <f t="shared" si="298"/>
        <v>1</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Dec</v>
      </c>
      <c r="C601" s="73">
        <f t="shared" si="295"/>
        <v>3</v>
      </c>
      <c r="D601" s="74">
        <f t="shared" si="278"/>
        <v>0</v>
      </c>
      <c r="E601" s="75">
        <f t="shared" si="279"/>
        <v>52</v>
      </c>
      <c r="F601" s="79"/>
      <c r="G601" s="82"/>
      <c r="H601" s="68" t="str">
        <f t="shared" si="296"/>
        <v>Hyprev6_20201203_00_00</v>
      </c>
      <c r="I601" s="69">
        <f t="shared" si="298"/>
        <v>1</v>
      </c>
      <c r="J601" s="76" t="str">
        <f t="shared" si="298"/>
        <v>Hypericum</v>
      </c>
      <c r="K601" s="76" t="str">
        <f t="shared" si="298"/>
        <v>revolutum</v>
      </c>
      <c r="L601" s="77">
        <f t="shared" si="298"/>
        <v>6</v>
      </c>
      <c r="M601" s="77">
        <f t="shared" si="298"/>
        <v>1</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Dec</v>
      </c>
      <c r="C602" s="73">
        <f t="shared" si="295"/>
        <v>3</v>
      </c>
      <c r="D602" s="74">
        <f t="shared" si="278"/>
        <v>0</v>
      </c>
      <c r="E602" s="75">
        <f t="shared" si="279"/>
        <v>53</v>
      </c>
      <c r="F602" s="79"/>
      <c r="G602" s="82"/>
      <c r="H602" s="68" t="str">
        <f t="shared" si="296"/>
        <v>Hyprev6_20201203_00_00</v>
      </c>
      <c r="I602" s="69">
        <f t="shared" si="298"/>
        <v>1</v>
      </c>
      <c r="J602" s="76" t="str">
        <f t="shared" si="298"/>
        <v>Hypericum</v>
      </c>
      <c r="K602" s="76" t="str">
        <f t="shared" si="298"/>
        <v>revolutum</v>
      </c>
      <c r="L602" s="77">
        <f t="shared" si="298"/>
        <v>6</v>
      </c>
      <c r="M602" s="77">
        <f t="shared" si="298"/>
        <v>1</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Dec</v>
      </c>
      <c r="C603" s="73">
        <f t="shared" si="295"/>
        <v>3</v>
      </c>
      <c r="D603" s="74">
        <f t="shared" si="278"/>
        <v>0</v>
      </c>
      <c r="E603" s="75">
        <f t="shared" si="279"/>
        <v>54</v>
      </c>
      <c r="F603" s="79"/>
      <c r="G603" s="82"/>
      <c r="H603" s="68" t="str">
        <f t="shared" si="296"/>
        <v>Hyprev6_20201203_00_00</v>
      </c>
      <c r="I603" s="69">
        <f t="shared" si="298"/>
        <v>1</v>
      </c>
      <c r="J603" s="76" t="str">
        <f t="shared" si="298"/>
        <v>Hypericum</v>
      </c>
      <c r="K603" s="76" t="str">
        <f t="shared" si="298"/>
        <v>revolutum</v>
      </c>
      <c r="L603" s="77">
        <f t="shared" si="298"/>
        <v>6</v>
      </c>
      <c r="M603" s="77">
        <f t="shared" si="298"/>
        <v>1</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Dec</v>
      </c>
      <c r="C604" s="73">
        <f t="shared" si="295"/>
        <v>3</v>
      </c>
      <c r="D604" s="74">
        <f t="shared" si="278"/>
        <v>0</v>
      </c>
      <c r="E604" s="75">
        <f t="shared" si="279"/>
        <v>55</v>
      </c>
      <c r="F604" s="79"/>
      <c r="G604" s="82"/>
      <c r="H604" s="68" t="str">
        <f t="shared" si="296"/>
        <v>Hyprev6_20201203_00_00</v>
      </c>
      <c r="I604" s="69">
        <f t="shared" si="298"/>
        <v>1</v>
      </c>
      <c r="J604" s="76" t="str">
        <f t="shared" si="298"/>
        <v>Hypericum</v>
      </c>
      <c r="K604" s="76" t="str">
        <f t="shared" si="298"/>
        <v>revolutum</v>
      </c>
      <c r="L604" s="77">
        <f t="shared" si="298"/>
        <v>6</v>
      </c>
      <c r="M604" s="77">
        <f t="shared" si="298"/>
        <v>1</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Dec</v>
      </c>
      <c r="C605" s="73">
        <f t="shared" si="295"/>
        <v>3</v>
      </c>
      <c r="D605" s="74">
        <f t="shared" si="278"/>
        <v>0</v>
      </c>
      <c r="E605" s="75">
        <f t="shared" si="279"/>
        <v>56</v>
      </c>
      <c r="F605" s="79"/>
      <c r="G605" s="82"/>
      <c r="H605" s="68" t="str">
        <f t="shared" si="296"/>
        <v>Hyprev6_20201203_00_00</v>
      </c>
      <c r="I605" s="69">
        <f t="shared" si="298"/>
        <v>1</v>
      </c>
      <c r="J605" s="76" t="str">
        <f t="shared" si="298"/>
        <v>Hypericum</v>
      </c>
      <c r="K605" s="76" t="str">
        <f t="shared" si="298"/>
        <v>revolutum</v>
      </c>
      <c r="L605" s="77">
        <f t="shared" si="298"/>
        <v>6</v>
      </c>
      <c r="M605" s="77">
        <f t="shared" si="298"/>
        <v>1</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Dec</v>
      </c>
      <c r="C606" s="73">
        <f t="shared" si="295"/>
        <v>3</v>
      </c>
      <c r="D606" s="74">
        <f t="shared" si="278"/>
        <v>0</v>
      </c>
      <c r="E606" s="75">
        <f t="shared" si="279"/>
        <v>57</v>
      </c>
      <c r="F606" s="79"/>
      <c r="G606" s="82"/>
      <c r="H606" s="68" t="str">
        <f t="shared" si="296"/>
        <v>Hyprev6_20201203_00_00</v>
      </c>
      <c r="I606" s="69">
        <f t="shared" si="298"/>
        <v>1</v>
      </c>
      <c r="J606" s="76" t="str">
        <f t="shared" si="298"/>
        <v>Hypericum</v>
      </c>
      <c r="K606" s="76" t="str">
        <f t="shared" si="298"/>
        <v>revolutum</v>
      </c>
      <c r="L606" s="77">
        <f t="shared" si="298"/>
        <v>6</v>
      </c>
      <c r="M606" s="77">
        <f t="shared" si="298"/>
        <v>1</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Dec</v>
      </c>
      <c r="C607" s="73">
        <f t="shared" si="295"/>
        <v>3</v>
      </c>
      <c r="D607" s="74">
        <f t="shared" si="278"/>
        <v>0</v>
      </c>
      <c r="E607" s="75">
        <f t="shared" si="279"/>
        <v>58</v>
      </c>
      <c r="F607" s="79"/>
      <c r="G607" s="82"/>
      <c r="H607" s="68" t="str">
        <f t="shared" si="296"/>
        <v>Hyprev6_20201203_00_00</v>
      </c>
      <c r="I607" s="69">
        <f t="shared" si="298"/>
        <v>1</v>
      </c>
      <c r="J607" s="76" t="str">
        <f t="shared" si="298"/>
        <v>Hypericum</v>
      </c>
      <c r="K607" s="76" t="str">
        <f t="shared" si="298"/>
        <v>revolutum</v>
      </c>
      <c r="L607" s="77">
        <f t="shared" si="298"/>
        <v>6</v>
      </c>
      <c r="M607" s="77">
        <f t="shared" si="298"/>
        <v>1</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Dec</v>
      </c>
      <c r="C608" s="73">
        <f t="shared" si="295"/>
        <v>3</v>
      </c>
      <c r="D608" s="74">
        <f t="shared" si="278"/>
        <v>0</v>
      </c>
      <c r="E608" s="75">
        <f t="shared" si="279"/>
        <v>59</v>
      </c>
      <c r="F608" s="79"/>
      <c r="G608" s="82"/>
      <c r="H608" s="68" t="str">
        <f t="shared" si="296"/>
        <v>Hyprev6_20201203_00_00</v>
      </c>
      <c r="I608" s="69">
        <f t="shared" si="298"/>
        <v>1</v>
      </c>
      <c r="J608" s="76" t="str">
        <f t="shared" si="298"/>
        <v>Hypericum</v>
      </c>
      <c r="K608" s="76" t="str">
        <f t="shared" si="298"/>
        <v>revolutum</v>
      </c>
      <c r="L608" s="77">
        <f t="shared" si="298"/>
        <v>6</v>
      </c>
      <c r="M608" s="77">
        <f t="shared" si="298"/>
        <v>1</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Dec</v>
      </c>
      <c r="C609" s="73">
        <f t="shared" si="295"/>
        <v>3</v>
      </c>
      <c r="D609" s="74">
        <f t="shared" si="278"/>
        <v>1</v>
      </c>
      <c r="E609" s="75">
        <f t="shared" si="279"/>
        <v>0</v>
      </c>
      <c r="F609" s="79"/>
      <c r="G609" s="82"/>
      <c r="H609" s="68" t="str">
        <f t="shared" si="296"/>
        <v>Hyprev6_20201203_01_00</v>
      </c>
      <c r="I609" s="69">
        <f t="shared" si="298"/>
        <v>1</v>
      </c>
      <c r="J609" s="76" t="str">
        <f t="shared" si="298"/>
        <v>Hypericum</v>
      </c>
      <c r="K609" s="76" t="str">
        <f t="shared" si="298"/>
        <v>revolutum</v>
      </c>
      <c r="L609" s="77">
        <f t="shared" si="298"/>
        <v>6</v>
      </c>
      <c r="M609" s="77">
        <f t="shared" si="298"/>
        <v>1</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Dec</v>
      </c>
      <c r="C610" s="73">
        <f t="shared" si="295"/>
        <v>3</v>
      </c>
      <c r="D610" s="74">
        <f t="shared" si="278"/>
        <v>1</v>
      </c>
      <c r="E610" s="75">
        <f t="shared" si="279"/>
        <v>1</v>
      </c>
      <c r="F610" s="79"/>
      <c r="G610" s="82"/>
      <c r="H610" s="68" t="str">
        <f t="shared" si="296"/>
        <v>Hyprev6_20201203_01_00</v>
      </c>
      <c r="I610" s="69">
        <f t="shared" si="298"/>
        <v>1</v>
      </c>
      <c r="J610" s="76" t="str">
        <f t="shared" si="298"/>
        <v>Hypericum</v>
      </c>
      <c r="K610" s="76" t="str">
        <f t="shared" si="298"/>
        <v>revolutum</v>
      </c>
      <c r="L610" s="77">
        <f t="shared" si="298"/>
        <v>6</v>
      </c>
      <c r="M610" s="77">
        <f t="shared" si="298"/>
        <v>1</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Dec</v>
      </c>
      <c r="C611" s="73">
        <f t="shared" si="295"/>
        <v>3</v>
      </c>
      <c r="D611" s="74">
        <f t="shared" si="278"/>
        <v>1</v>
      </c>
      <c r="E611" s="75">
        <f t="shared" si="279"/>
        <v>2</v>
      </c>
      <c r="F611" s="79"/>
      <c r="G611" s="82"/>
      <c r="H611" s="68" t="str">
        <f t="shared" si="296"/>
        <v>Hyprev6_20201203_01_00</v>
      </c>
      <c r="I611" s="69">
        <f t="shared" si="298"/>
        <v>1</v>
      </c>
      <c r="J611" s="76" t="str">
        <f t="shared" si="298"/>
        <v>Hypericum</v>
      </c>
      <c r="K611" s="76" t="str">
        <f t="shared" si="298"/>
        <v>revolutum</v>
      </c>
      <c r="L611" s="77">
        <f t="shared" si="298"/>
        <v>6</v>
      </c>
      <c r="M611" s="77">
        <f t="shared" si="298"/>
        <v>1</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Dec</v>
      </c>
      <c r="C612" s="73">
        <f t="shared" si="295"/>
        <v>3</v>
      </c>
      <c r="D612" s="74">
        <f t="shared" si="278"/>
        <v>1</v>
      </c>
      <c r="E612" s="75">
        <f t="shared" si="279"/>
        <v>3</v>
      </c>
      <c r="F612" s="79"/>
      <c r="G612" s="82"/>
      <c r="H612" s="68" t="str">
        <f t="shared" si="296"/>
        <v>Hyprev6_20201203_01_00</v>
      </c>
      <c r="I612" s="69">
        <f t="shared" si="298"/>
        <v>1</v>
      </c>
      <c r="J612" s="76" t="str">
        <f t="shared" si="298"/>
        <v>Hypericum</v>
      </c>
      <c r="K612" s="76" t="str">
        <f t="shared" si="298"/>
        <v>revolutum</v>
      </c>
      <c r="L612" s="77">
        <f t="shared" si="298"/>
        <v>6</v>
      </c>
      <c r="M612" s="77">
        <f t="shared" si="298"/>
        <v>1</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Dec</v>
      </c>
      <c r="C613" s="73">
        <f t="shared" si="295"/>
        <v>3</v>
      </c>
      <c r="D613" s="74">
        <f t="shared" si="278"/>
        <v>1</v>
      </c>
      <c r="E613" s="75">
        <f t="shared" si="279"/>
        <v>4</v>
      </c>
      <c r="F613" s="79"/>
      <c r="G613" s="82"/>
      <c r="H613" s="68" t="str">
        <f t="shared" si="296"/>
        <v>Hyprev6_20201203_01_00</v>
      </c>
      <c r="I613" s="69">
        <f t="shared" ref="I613:N628" si="299">I612</f>
        <v>1</v>
      </c>
      <c r="J613" s="76" t="str">
        <f t="shared" si="299"/>
        <v>Hypericum</v>
      </c>
      <c r="K613" s="76" t="str">
        <f t="shared" si="299"/>
        <v>revolutum</v>
      </c>
      <c r="L613" s="77">
        <f t="shared" si="299"/>
        <v>6</v>
      </c>
      <c r="M613" s="77">
        <f t="shared" si="299"/>
        <v>1</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Dec</v>
      </c>
      <c r="C614" s="73">
        <f t="shared" si="295"/>
        <v>3</v>
      </c>
      <c r="D614" s="74">
        <f t="shared" si="278"/>
        <v>1</v>
      </c>
      <c r="E614" s="75">
        <f t="shared" si="279"/>
        <v>5</v>
      </c>
      <c r="F614" s="79"/>
      <c r="G614" s="82"/>
      <c r="H614" s="68" t="str">
        <f t="shared" si="296"/>
        <v>Hyprev6_20201203_01_00</v>
      </c>
      <c r="I614" s="69">
        <f t="shared" si="299"/>
        <v>1</v>
      </c>
      <c r="J614" s="76" t="str">
        <f t="shared" si="299"/>
        <v>Hypericum</v>
      </c>
      <c r="K614" s="76" t="str">
        <f t="shared" si="299"/>
        <v>revolutum</v>
      </c>
      <c r="L614" s="77">
        <f t="shared" si="299"/>
        <v>6</v>
      </c>
      <c r="M614" s="77">
        <f t="shared" si="299"/>
        <v>1</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Dec</v>
      </c>
      <c r="C615" s="73">
        <f t="shared" si="295"/>
        <v>3</v>
      </c>
      <c r="D615" s="74">
        <f t="shared" si="278"/>
        <v>1</v>
      </c>
      <c r="E615" s="75">
        <f t="shared" si="279"/>
        <v>6</v>
      </c>
      <c r="F615" s="79"/>
      <c r="G615" s="82"/>
      <c r="H615" s="68" t="str">
        <f t="shared" si="296"/>
        <v>Hyprev6_20201203_01_00</v>
      </c>
      <c r="I615" s="69">
        <f t="shared" si="299"/>
        <v>1</v>
      </c>
      <c r="J615" s="76" t="str">
        <f t="shared" si="299"/>
        <v>Hypericum</v>
      </c>
      <c r="K615" s="76" t="str">
        <f t="shared" si="299"/>
        <v>revolutum</v>
      </c>
      <c r="L615" s="77">
        <f t="shared" si="299"/>
        <v>6</v>
      </c>
      <c r="M615" s="77">
        <f t="shared" si="299"/>
        <v>1</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Dec</v>
      </c>
      <c r="C616" s="73">
        <f t="shared" si="295"/>
        <v>3</v>
      </c>
      <c r="D616" s="74">
        <f t="shared" si="278"/>
        <v>1</v>
      </c>
      <c r="E616" s="75">
        <f t="shared" si="279"/>
        <v>7</v>
      </c>
      <c r="F616" s="79"/>
      <c r="G616" s="82"/>
      <c r="H616" s="68" t="str">
        <f t="shared" si="296"/>
        <v>Hyprev6_20201203_01_00</v>
      </c>
      <c r="I616" s="69">
        <f t="shared" si="299"/>
        <v>1</v>
      </c>
      <c r="J616" s="76" t="str">
        <f t="shared" si="299"/>
        <v>Hypericum</v>
      </c>
      <c r="K616" s="76" t="str">
        <f t="shared" si="299"/>
        <v>revolutum</v>
      </c>
      <c r="L616" s="77">
        <f t="shared" si="299"/>
        <v>6</v>
      </c>
      <c r="M616" s="77">
        <f t="shared" si="299"/>
        <v>1</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Dec</v>
      </c>
      <c r="C617" s="73">
        <f t="shared" si="295"/>
        <v>3</v>
      </c>
      <c r="D617" s="74">
        <f t="shared" si="278"/>
        <v>1</v>
      </c>
      <c r="E617" s="75">
        <f t="shared" si="279"/>
        <v>8</v>
      </c>
      <c r="F617" s="79"/>
      <c r="G617" s="82"/>
      <c r="H617" s="68" t="str">
        <f t="shared" si="296"/>
        <v>Hyprev6_20201203_01_00</v>
      </c>
      <c r="I617" s="69">
        <f t="shared" si="299"/>
        <v>1</v>
      </c>
      <c r="J617" s="76" t="str">
        <f t="shared" si="299"/>
        <v>Hypericum</v>
      </c>
      <c r="K617" s="76" t="str">
        <f t="shared" si="299"/>
        <v>revolutum</v>
      </c>
      <c r="L617" s="77">
        <f t="shared" si="299"/>
        <v>6</v>
      </c>
      <c r="M617" s="77">
        <f t="shared" si="299"/>
        <v>1</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Dec</v>
      </c>
      <c r="C618" s="73">
        <f t="shared" si="295"/>
        <v>3</v>
      </c>
      <c r="D618" s="74">
        <f t="shared" si="278"/>
        <v>1</v>
      </c>
      <c r="E618" s="75">
        <f t="shared" si="279"/>
        <v>9</v>
      </c>
      <c r="F618" s="79"/>
      <c r="G618" s="82"/>
      <c r="H618" s="68" t="str">
        <f t="shared" si="296"/>
        <v>Hyprev6_20201203_01_00</v>
      </c>
      <c r="I618" s="69">
        <f t="shared" si="299"/>
        <v>1</v>
      </c>
      <c r="J618" s="76" t="str">
        <f t="shared" si="299"/>
        <v>Hypericum</v>
      </c>
      <c r="K618" s="76" t="str">
        <f t="shared" si="299"/>
        <v>revolutum</v>
      </c>
      <c r="L618" s="77">
        <f t="shared" si="299"/>
        <v>6</v>
      </c>
      <c r="M618" s="77">
        <f t="shared" si="299"/>
        <v>1</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Dec</v>
      </c>
      <c r="C619" s="73">
        <f t="shared" si="295"/>
        <v>3</v>
      </c>
      <c r="D619" s="74">
        <f t="shared" si="278"/>
        <v>1</v>
      </c>
      <c r="E619" s="75">
        <f t="shared" si="279"/>
        <v>10</v>
      </c>
      <c r="F619" s="79"/>
      <c r="G619" s="82"/>
      <c r="H619" s="68" t="str">
        <f t="shared" si="296"/>
        <v>Hyprev6_20201203_01_00</v>
      </c>
      <c r="I619" s="69">
        <f t="shared" si="299"/>
        <v>1</v>
      </c>
      <c r="J619" s="76" t="str">
        <f t="shared" si="299"/>
        <v>Hypericum</v>
      </c>
      <c r="K619" s="76" t="str">
        <f t="shared" si="299"/>
        <v>revolutum</v>
      </c>
      <c r="L619" s="77">
        <f t="shared" si="299"/>
        <v>6</v>
      </c>
      <c r="M619" s="77">
        <f t="shared" si="299"/>
        <v>1</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Dec</v>
      </c>
      <c r="C620" s="73">
        <f t="shared" si="295"/>
        <v>3</v>
      </c>
      <c r="D620" s="74">
        <f t="shared" si="278"/>
        <v>1</v>
      </c>
      <c r="E620" s="75">
        <f t="shared" si="279"/>
        <v>11</v>
      </c>
      <c r="F620" s="79"/>
      <c r="G620" s="82"/>
      <c r="H620" s="68" t="str">
        <f t="shared" si="296"/>
        <v>Hyprev6_20201203_01_00</v>
      </c>
      <c r="I620" s="69">
        <f t="shared" si="299"/>
        <v>1</v>
      </c>
      <c r="J620" s="76" t="str">
        <f t="shared" si="299"/>
        <v>Hypericum</v>
      </c>
      <c r="K620" s="76" t="str">
        <f t="shared" si="299"/>
        <v>revolutum</v>
      </c>
      <c r="L620" s="77">
        <f t="shared" si="299"/>
        <v>6</v>
      </c>
      <c r="M620" s="77">
        <f t="shared" si="299"/>
        <v>1</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Dec</v>
      </c>
      <c r="C621" s="73">
        <f t="shared" si="295"/>
        <v>3</v>
      </c>
      <c r="D621" s="74">
        <f t="shared" si="278"/>
        <v>1</v>
      </c>
      <c r="E621" s="75">
        <f t="shared" si="279"/>
        <v>12</v>
      </c>
      <c r="F621" s="79"/>
      <c r="G621" s="82"/>
      <c r="H621" s="68" t="str">
        <f t="shared" si="296"/>
        <v>Hyprev6_20201203_01_00</v>
      </c>
      <c r="I621" s="69">
        <f t="shared" si="299"/>
        <v>1</v>
      </c>
      <c r="J621" s="76" t="str">
        <f t="shared" si="299"/>
        <v>Hypericum</v>
      </c>
      <c r="K621" s="76" t="str">
        <f t="shared" si="299"/>
        <v>revolutum</v>
      </c>
      <c r="L621" s="77">
        <f t="shared" si="299"/>
        <v>6</v>
      </c>
      <c r="M621" s="77">
        <f t="shared" si="299"/>
        <v>1</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Dec</v>
      </c>
      <c r="C622" s="73">
        <f t="shared" si="295"/>
        <v>3</v>
      </c>
      <c r="D622" s="74">
        <f t="shared" si="278"/>
        <v>1</v>
      </c>
      <c r="E622" s="75">
        <f t="shared" si="279"/>
        <v>13</v>
      </c>
      <c r="F622" s="79"/>
      <c r="G622" s="82"/>
      <c r="H622" s="68" t="str">
        <f t="shared" si="296"/>
        <v>Hyprev6_20201203_01_00</v>
      </c>
      <c r="I622" s="69">
        <f t="shared" si="299"/>
        <v>1</v>
      </c>
      <c r="J622" s="76" t="str">
        <f t="shared" si="299"/>
        <v>Hypericum</v>
      </c>
      <c r="K622" s="76" t="str">
        <f t="shared" si="299"/>
        <v>revolutum</v>
      </c>
      <c r="L622" s="77">
        <f t="shared" si="299"/>
        <v>6</v>
      </c>
      <c r="M622" s="77">
        <f t="shared" si="299"/>
        <v>1</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Dec</v>
      </c>
      <c r="C623" s="73">
        <f t="shared" si="295"/>
        <v>3</v>
      </c>
      <c r="D623" s="74">
        <f t="shared" si="278"/>
        <v>1</v>
      </c>
      <c r="E623" s="75">
        <f t="shared" si="279"/>
        <v>14</v>
      </c>
      <c r="F623" s="79"/>
      <c r="G623" s="82"/>
      <c r="H623" s="68" t="str">
        <f t="shared" si="296"/>
        <v>Hyprev6_20201203_01_00</v>
      </c>
      <c r="I623" s="69">
        <f t="shared" si="299"/>
        <v>1</v>
      </c>
      <c r="J623" s="76" t="str">
        <f t="shared" si="299"/>
        <v>Hypericum</v>
      </c>
      <c r="K623" s="76" t="str">
        <f t="shared" si="299"/>
        <v>revolutum</v>
      </c>
      <c r="L623" s="77">
        <f t="shared" si="299"/>
        <v>6</v>
      </c>
      <c r="M623" s="77">
        <f t="shared" si="299"/>
        <v>1</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Dec</v>
      </c>
      <c r="C624" s="73">
        <f t="shared" si="295"/>
        <v>3</v>
      </c>
      <c r="D624" s="74">
        <f t="shared" si="278"/>
        <v>1</v>
      </c>
      <c r="E624" s="75">
        <f t="shared" si="279"/>
        <v>15</v>
      </c>
      <c r="F624" s="79"/>
      <c r="G624" s="82"/>
      <c r="H624" s="68" t="str">
        <f t="shared" si="296"/>
        <v>Hyprev6_20201203_01_00</v>
      </c>
      <c r="I624" s="69">
        <f t="shared" si="299"/>
        <v>1</v>
      </c>
      <c r="J624" s="76" t="str">
        <f t="shared" si="299"/>
        <v>Hypericum</v>
      </c>
      <c r="K624" s="76" t="str">
        <f t="shared" si="299"/>
        <v>revolutum</v>
      </c>
      <c r="L624" s="77">
        <f t="shared" si="299"/>
        <v>6</v>
      </c>
      <c r="M624" s="77">
        <f t="shared" si="299"/>
        <v>1</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Dec</v>
      </c>
      <c r="C625" s="73">
        <f t="shared" si="295"/>
        <v>3</v>
      </c>
      <c r="D625" s="74">
        <f t="shared" si="278"/>
        <v>1</v>
      </c>
      <c r="E625" s="75">
        <f t="shared" si="279"/>
        <v>16</v>
      </c>
      <c r="F625" s="79"/>
      <c r="G625" s="82"/>
      <c r="H625" s="68" t="str">
        <f t="shared" si="296"/>
        <v>Hyprev6_20201203_01_00</v>
      </c>
      <c r="I625" s="69">
        <f t="shared" si="299"/>
        <v>1</v>
      </c>
      <c r="J625" s="76" t="str">
        <f t="shared" si="299"/>
        <v>Hypericum</v>
      </c>
      <c r="K625" s="76" t="str">
        <f t="shared" si="299"/>
        <v>revolutum</v>
      </c>
      <c r="L625" s="77">
        <f t="shared" si="299"/>
        <v>6</v>
      </c>
      <c r="M625" s="77">
        <f t="shared" si="299"/>
        <v>1</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Dec</v>
      </c>
      <c r="C626" s="73">
        <f t="shared" si="295"/>
        <v>3</v>
      </c>
      <c r="D626" s="74">
        <f t="shared" si="278"/>
        <v>1</v>
      </c>
      <c r="E626" s="75">
        <f t="shared" si="279"/>
        <v>17</v>
      </c>
      <c r="F626" s="79"/>
      <c r="G626" s="82"/>
      <c r="H626" s="68" t="str">
        <f t="shared" si="296"/>
        <v>Hyprev6_20201203_01_00</v>
      </c>
      <c r="I626" s="69">
        <f t="shared" si="299"/>
        <v>1</v>
      </c>
      <c r="J626" s="76" t="str">
        <f t="shared" si="299"/>
        <v>Hypericum</v>
      </c>
      <c r="K626" s="76" t="str">
        <f t="shared" si="299"/>
        <v>revolutum</v>
      </c>
      <c r="L626" s="77">
        <f t="shared" si="299"/>
        <v>6</v>
      </c>
      <c r="M626" s="77">
        <f t="shared" si="299"/>
        <v>1</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Dec</v>
      </c>
      <c r="C627" s="73">
        <f t="shared" si="295"/>
        <v>3</v>
      </c>
      <c r="D627" s="74">
        <f t="shared" si="278"/>
        <v>1</v>
      </c>
      <c r="E627" s="75">
        <f t="shared" si="279"/>
        <v>18</v>
      </c>
      <c r="F627" s="79"/>
      <c r="G627" s="82"/>
      <c r="H627" s="68" t="str">
        <f t="shared" si="296"/>
        <v>Hyprev6_20201203_01_00</v>
      </c>
      <c r="I627" s="69">
        <f t="shared" si="299"/>
        <v>1</v>
      </c>
      <c r="J627" s="76" t="str">
        <f t="shared" si="299"/>
        <v>Hypericum</v>
      </c>
      <c r="K627" s="76" t="str">
        <f t="shared" si="299"/>
        <v>revolutum</v>
      </c>
      <c r="L627" s="77">
        <f t="shared" si="299"/>
        <v>6</v>
      </c>
      <c r="M627" s="77">
        <f t="shared" si="299"/>
        <v>1</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Dec</v>
      </c>
      <c r="C628" s="73">
        <f t="shared" si="295"/>
        <v>3</v>
      </c>
      <c r="D628" s="74">
        <f t="shared" si="278"/>
        <v>1</v>
      </c>
      <c r="E628" s="75">
        <f t="shared" si="279"/>
        <v>19</v>
      </c>
      <c r="F628" s="79"/>
      <c r="G628" s="82"/>
      <c r="H628" s="68" t="str">
        <f t="shared" si="296"/>
        <v>Hyprev6_20201203_01_00</v>
      </c>
      <c r="I628" s="69">
        <f t="shared" si="299"/>
        <v>1</v>
      </c>
      <c r="J628" s="76" t="str">
        <f t="shared" si="299"/>
        <v>Hypericum</v>
      </c>
      <c r="K628" s="76" t="str">
        <f t="shared" si="299"/>
        <v>revolutum</v>
      </c>
      <c r="L628" s="77">
        <f t="shared" si="299"/>
        <v>6</v>
      </c>
      <c r="M628" s="77">
        <f t="shared" si="299"/>
        <v>1</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Dec</v>
      </c>
      <c r="C629" s="73">
        <f t="shared" si="295"/>
        <v>3</v>
      </c>
      <c r="D629" s="74">
        <f t="shared" si="278"/>
        <v>1</v>
      </c>
      <c r="E629" s="75">
        <f t="shared" si="279"/>
        <v>20</v>
      </c>
      <c r="F629" s="79"/>
      <c r="G629" s="82"/>
      <c r="H629" s="68" t="str">
        <f t="shared" si="296"/>
        <v>Hyprev6_20201203_01_00</v>
      </c>
      <c r="I629" s="69">
        <f t="shared" ref="I629:N644" si="300">I628</f>
        <v>1</v>
      </c>
      <c r="J629" s="76" t="str">
        <f t="shared" si="300"/>
        <v>Hypericum</v>
      </c>
      <c r="K629" s="76" t="str">
        <f t="shared" si="300"/>
        <v>revolutum</v>
      </c>
      <c r="L629" s="77">
        <f t="shared" si="300"/>
        <v>6</v>
      </c>
      <c r="M629" s="77">
        <f t="shared" si="300"/>
        <v>1</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Dec</v>
      </c>
      <c r="C630" s="73">
        <f t="shared" si="295"/>
        <v>3</v>
      </c>
      <c r="D630" s="74">
        <f t="shared" si="278"/>
        <v>1</v>
      </c>
      <c r="E630" s="75">
        <f t="shared" si="279"/>
        <v>21</v>
      </c>
      <c r="F630" s="79"/>
      <c r="G630" s="82"/>
      <c r="H630" s="68" t="str">
        <f t="shared" si="296"/>
        <v>Hyprev6_20201203_01_00</v>
      </c>
      <c r="I630" s="69">
        <f t="shared" si="300"/>
        <v>1</v>
      </c>
      <c r="J630" s="76" t="str">
        <f t="shared" si="300"/>
        <v>Hypericum</v>
      </c>
      <c r="K630" s="76" t="str">
        <f t="shared" si="300"/>
        <v>revolutum</v>
      </c>
      <c r="L630" s="77">
        <f t="shared" si="300"/>
        <v>6</v>
      </c>
      <c r="M630" s="77">
        <f t="shared" si="300"/>
        <v>1</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Dec</v>
      </c>
      <c r="C631" s="73">
        <f t="shared" si="295"/>
        <v>3</v>
      </c>
      <c r="D631" s="74">
        <f t="shared" si="278"/>
        <v>1</v>
      </c>
      <c r="E631" s="75">
        <f t="shared" si="279"/>
        <v>22</v>
      </c>
      <c r="F631" s="79"/>
      <c r="G631" s="82"/>
      <c r="H631" s="68" t="str">
        <f t="shared" si="296"/>
        <v>Hyprev6_20201203_01_00</v>
      </c>
      <c r="I631" s="69">
        <f t="shared" si="300"/>
        <v>1</v>
      </c>
      <c r="J631" s="76" t="str">
        <f t="shared" si="300"/>
        <v>Hypericum</v>
      </c>
      <c r="K631" s="76" t="str">
        <f t="shared" si="300"/>
        <v>revolutum</v>
      </c>
      <c r="L631" s="77">
        <f t="shared" si="300"/>
        <v>6</v>
      </c>
      <c r="M631" s="77">
        <f t="shared" si="300"/>
        <v>1</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Dec</v>
      </c>
      <c r="C632" s="73">
        <f t="shared" si="295"/>
        <v>3</v>
      </c>
      <c r="D632" s="74">
        <f t="shared" si="278"/>
        <v>1</v>
      </c>
      <c r="E632" s="75">
        <f t="shared" si="279"/>
        <v>23</v>
      </c>
      <c r="F632" s="79"/>
      <c r="G632" s="82"/>
      <c r="H632" s="68" t="str">
        <f t="shared" si="296"/>
        <v>Hyprev6_20201203_01_00</v>
      </c>
      <c r="I632" s="69">
        <f t="shared" si="300"/>
        <v>1</v>
      </c>
      <c r="J632" s="76" t="str">
        <f t="shared" si="300"/>
        <v>Hypericum</v>
      </c>
      <c r="K632" s="76" t="str">
        <f t="shared" si="300"/>
        <v>revolutum</v>
      </c>
      <c r="L632" s="77">
        <f t="shared" si="300"/>
        <v>6</v>
      </c>
      <c r="M632" s="77">
        <f t="shared" si="300"/>
        <v>1</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Dec</v>
      </c>
      <c r="C633" s="73">
        <f t="shared" si="295"/>
        <v>3</v>
      </c>
      <c r="D633" s="74">
        <f t="shared" si="278"/>
        <v>1</v>
      </c>
      <c r="E633" s="75">
        <f t="shared" si="279"/>
        <v>24</v>
      </c>
      <c r="F633" s="79"/>
      <c r="G633" s="82"/>
      <c r="H633" s="68" t="str">
        <f t="shared" si="296"/>
        <v>Hyprev6_20201203_01_00</v>
      </c>
      <c r="I633" s="69">
        <f t="shared" si="300"/>
        <v>1</v>
      </c>
      <c r="J633" s="76" t="str">
        <f t="shared" si="300"/>
        <v>Hypericum</v>
      </c>
      <c r="K633" s="76" t="str">
        <f t="shared" si="300"/>
        <v>revolutum</v>
      </c>
      <c r="L633" s="77">
        <f t="shared" si="300"/>
        <v>6</v>
      </c>
      <c r="M633" s="77">
        <f t="shared" si="300"/>
        <v>1</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Dec</v>
      </c>
      <c r="C634" s="73">
        <f t="shared" si="295"/>
        <v>3</v>
      </c>
      <c r="D634" s="74">
        <f t="shared" si="278"/>
        <v>1</v>
      </c>
      <c r="E634" s="75">
        <f t="shared" si="279"/>
        <v>25</v>
      </c>
      <c r="F634" s="79"/>
      <c r="G634" s="82"/>
      <c r="H634" s="68" t="str">
        <f t="shared" si="296"/>
        <v>Hyprev6_20201203_01_00</v>
      </c>
      <c r="I634" s="69">
        <f t="shared" si="300"/>
        <v>1</v>
      </c>
      <c r="J634" s="76" t="str">
        <f t="shared" si="300"/>
        <v>Hypericum</v>
      </c>
      <c r="K634" s="76" t="str">
        <f t="shared" si="300"/>
        <v>revolutum</v>
      </c>
      <c r="L634" s="77">
        <f t="shared" si="300"/>
        <v>6</v>
      </c>
      <c r="M634" s="77">
        <f t="shared" si="300"/>
        <v>1</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Dec</v>
      </c>
      <c r="C635" s="73">
        <f t="shared" si="295"/>
        <v>3</v>
      </c>
      <c r="D635" s="74">
        <f t="shared" si="278"/>
        <v>1</v>
      </c>
      <c r="E635" s="75">
        <f t="shared" si="279"/>
        <v>26</v>
      </c>
      <c r="F635" s="79"/>
      <c r="G635" s="82"/>
      <c r="H635" s="68" t="str">
        <f t="shared" si="296"/>
        <v>Hyprev6_20201203_01_00</v>
      </c>
      <c r="I635" s="69">
        <f t="shared" si="300"/>
        <v>1</v>
      </c>
      <c r="J635" s="76" t="str">
        <f t="shared" si="300"/>
        <v>Hypericum</v>
      </c>
      <c r="K635" s="76" t="str">
        <f t="shared" si="300"/>
        <v>revolutum</v>
      </c>
      <c r="L635" s="77">
        <f t="shared" si="300"/>
        <v>6</v>
      </c>
      <c r="M635" s="77">
        <f t="shared" si="300"/>
        <v>1</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Dec</v>
      </c>
      <c r="C636" s="73">
        <f t="shared" si="295"/>
        <v>3</v>
      </c>
      <c r="D636" s="74">
        <f t="shared" si="278"/>
        <v>1</v>
      </c>
      <c r="E636" s="75">
        <f t="shared" si="279"/>
        <v>27</v>
      </c>
      <c r="F636" s="79"/>
      <c r="G636" s="82"/>
      <c r="H636" s="68" t="str">
        <f t="shared" si="296"/>
        <v>Hyprev6_20201203_01_00</v>
      </c>
      <c r="I636" s="69">
        <f t="shared" si="300"/>
        <v>1</v>
      </c>
      <c r="J636" s="76" t="str">
        <f t="shared" si="300"/>
        <v>Hypericum</v>
      </c>
      <c r="K636" s="76" t="str">
        <f t="shared" si="300"/>
        <v>revolutum</v>
      </c>
      <c r="L636" s="77">
        <f t="shared" si="300"/>
        <v>6</v>
      </c>
      <c r="M636" s="77">
        <f t="shared" si="300"/>
        <v>1</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Dec</v>
      </c>
      <c r="C637" s="73">
        <f t="shared" si="295"/>
        <v>3</v>
      </c>
      <c r="D637" s="74">
        <f t="shared" si="278"/>
        <v>1</v>
      </c>
      <c r="E637" s="75">
        <f t="shared" si="279"/>
        <v>28</v>
      </c>
      <c r="F637" s="79"/>
      <c r="G637" s="82"/>
      <c r="H637" s="68" t="str">
        <f t="shared" si="296"/>
        <v>Hyprev6_20201203_01_00</v>
      </c>
      <c r="I637" s="69">
        <f t="shared" si="300"/>
        <v>1</v>
      </c>
      <c r="J637" s="76" t="str">
        <f t="shared" si="300"/>
        <v>Hypericum</v>
      </c>
      <c r="K637" s="76" t="str">
        <f t="shared" si="300"/>
        <v>revolutum</v>
      </c>
      <c r="L637" s="77">
        <f t="shared" si="300"/>
        <v>6</v>
      </c>
      <c r="M637" s="77">
        <f t="shared" si="300"/>
        <v>1</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Dec</v>
      </c>
      <c r="C638" s="73">
        <f t="shared" si="295"/>
        <v>3</v>
      </c>
      <c r="D638" s="74">
        <f t="shared" si="278"/>
        <v>1</v>
      </c>
      <c r="E638" s="75">
        <f t="shared" si="279"/>
        <v>29</v>
      </c>
      <c r="F638" s="79"/>
      <c r="G638" s="82"/>
      <c r="H638" s="68" t="str">
        <f t="shared" si="296"/>
        <v>Hyprev6_20201203_01_00</v>
      </c>
      <c r="I638" s="69">
        <f t="shared" si="300"/>
        <v>1</v>
      </c>
      <c r="J638" s="76" t="str">
        <f t="shared" si="300"/>
        <v>Hypericum</v>
      </c>
      <c r="K638" s="76" t="str">
        <f t="shared" si="300"/>
        <v>revolutum</v>
      </c>
      <c r="L638" s="77">
        <f t="shared" si="300"/>
        <v>6</v>
      </c>
      <c r="M638" s="77">
        <f t="shared" si="300"/>
        <v>1</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Dec</v>
      </c>
      <c r="C639" s="73">
        <f t="shared" si="295"/>
        <v>3</v>
      </c>
      <c r="D639" s="74">
        <f t="shared" si="278"/>
        <v>1</v>
      </c>
      <c r="E639" s="75">
        <f t="shared" si="279"/>
        <v>30</v>
      </c>
      <c r="F639" s="79"/>
      <c r="G639" s="82"/>
      <c r="H639" s="68" t="str">
        <f t="shared" si="296"/>
        <v>Hyprev6_20201203_01_00</v>
      </c>
      <c r="I639" s="69">
        <f t="shared" si="300"/>
        <v>1</v>
      </c>
      <c r="J639" s="76" t="str">
        <f t="shared" si="300"/>
        <v>Hypericum</v>
      </c>
      <c r="K639" s="76" t="str">
        <f t="shared" si="300"/>
        <v>revolutum</v>
      </c>
      <c r="L639" s="77">
        <f t="shared" si="300"/>
        <v>6</v>
      </c>
      <c r="M639" s="77">
        <f t="shared" si="300"/>
        <v>1</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Dec</v>
      </c>
      <c r="C640" s="73">
        <f t="shared" si="295"/>
        <v>3</v>
      </c>
      <c r="D640" s="74">
        <f t="shared" si="278"/>
        <v>1</v>
      </c>
      <c r="E640" s="75">
        <f t="shared" si="279"/>
        <v>31</v>
      </c>
      <c r="F640" s="79"/>
      <c r="G640" s="82"/>
      <c r="H640" s="68" t="str">
        <f t="shared" si="296"/>
        <v>Hyprev6_20201203_01_00</v>
      </c>
      <c r="I640" s="69">
        <f t="shared" si="300"/>
        <v>1</v>
      </c>
      <c r="J640" s="76" t="str">
        <f t="shared" si="300"/>
        <v>Hypericum</v>
      </c>
      <c r="K640" s="76" t="str">
        <f t="shared" si="300"/>
        <v>revolutum</v>
      </c>
      <c r="L640" s="77">
        <f t="shared" si="300"/>
        <v>6</v>
      </c>
      <c r="M640" s="77">
        <f t="shared" si="300"/>
        <v>1</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Dec</v>
      </c>
      <c r="C641" s="73">
        <f t="shared" si="295"/>
        <v>3</v>
      </c>
      <c r="D641" s="74">
        <f t="shared" si="278"/>
        <v>1</v>
      </c>
      <c r="E641" s="75">
        <f t="shared" si="279"/>
        <v>32</v>
      </c>
      <c r="F641" s="79"/>
      <c r="G641" s="82"/>
      <c r="H641" s="68" t="str">
        <f t="shared" si="296"/>
        <v>Hyprev6_20201203_01_00</v>
      </c>
      <c r="I641" s="69">
        <f t="shared" si="300"/>
        <v>1</v>
      </c>
      <c r="J641" s="76" t="str">
        <f t="shared" si="300"/>
        <v>Hypericum</v>
      </c>
      <c r="K641" s="76" t="str">
        <f t="shared" si="300"/>
        <v>revolutum</v>
      </c>
      <c r="L641" s="77">
        <f t="shared" si="300"/>
        <v>6</v>
      </c>
      <c r="M641" s="77">
        <f t="shared" si="300"/>
        <v>1</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Dec</v>
      </c>
      <c r="C642" s="73">
        <f t="shared" si="295"/>
        <v>3</v>
      </c>
      <c r="D642" s="74">
        <f t="shared" si="278"/>
        <v>1</v>
      </c>
      <c r="E642" s="75">
        <f t="shared" si="279"/>
        <v>33</v>
      </c>
      <c r="F642" s="79"/>
      <c r="G642" s="82"/>
      <c r="H642" s="68" t="str">
        <f t="shared" si="296"/>
        <v>Hyprev6_20201203_01_00</v>
      </c>
      <c r="I642" s="69">
        <f t="shared" si="300"/>
        <v>1</v>
      </c>
      <c r="J642" s="76" t="str">
        <f t="shared" si="300"/>
        <v>Hypericum</v>
      </c>
      <c r="K642" s="76" t="str">
        <f t="shared" si="300"/>
        <v>revolutum</v>
      </c>
      <c r="L642" s="77">
        <f t="shared" si="300"/>
        <v>6</v>
      </c>
      <c r="M642" s="77">
        <f t="shared" si="300"/>
        <v>1</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Dec</v>
      </c>
      <c r="C643" s="73">
        <f t="shared" si="295"/>
        <v>3</v>
      </c>
      <c r="D643" s="74">
        <f t="shared" si="278"/>
        <v>1</v>
      </c>
      <c r="E643" s="75">
        <f t="shared" si="279"/>
        <v>34</v>
      </c>
      <c r="F643" s="79"/>
      <c r="G643" s="82"/>
      <c r="H643" s="68" t="str">
        <f t="shared" si="296"/>
        <v>Hyprev6_20201203_01_00</v>
      </c>
      <c r="I643" s="69">
        <f t="shared" si="300"/>
        <v>1</v>
      </c>
      <c r="J643" s="76" t="str">
        <f t="shared" si="300"/>
        <v>Hypericum</v>
      </c>
      <c r="K643" s="76" t="str">
        <f t="shared" si="300"/>
        <v>revolutum</v>
      </c>
      <c r="L643" s="77">
        <f t="shared" si="300"/>
        <v>6</v>
      </c>
      <c r="M643" s="77">
        <f t="shared" si="300"/>
        <v>1</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Dec</v>
      </c>
      <c r="C644" s="73">
        <f t="shared" si="295"/>
        <v>3</v>
      </c>
      <c r="D644" s="74">
        <f t="shared" ref="D644:D707" si="308">IF(IF(E643=59,D643+1,D643)=24,0,IF(E643=59,D643+1,D643))</f>
        <v>1</v>
      </c>
      <c r="E644" s="75">
        <f t="shared" ref="E644:E707" si="309">IF(E643&lt;59,E643+1,0)</f>
        <v>35</v>
      </c>
      <c r="F644" s="79"/>
      <c r="G644" s="82"/>
      <c r="H644" s="68" t="str">
        <f t="shared" si="296"/>
        <v>Hyprev6_20201203_01_00</v>
      </c>
      <c r="I644" s="69">
        <f t="shared" si="300"/>
        <v>1</v>
      </c>
      <c r="J644" s="76" t="str">
        <f t="shared" si="300"/>
        <v>Hypericum</v>
      </c>
      <c r="K644" s="76" t="str">
        <f t="shared" si="300"/>
        <v>revolutum</v>
      </c>
      <c r="L644" s="77">
        <f t="shared" si="300"/>
        <v>6</v>
      </c>
      <c r="M644" s="77">
        <f t="shared" si="300"/>
        <v>1</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Dec</v>
      </c>
      <c r="C645" s="73">
        <f t="shared" ref="C645:C708" si="325">IF(AND(D645=0, E645=0), IF(TEXT(C644,"dd")=TEXT(EOMONTH(DATE(A644,MONTH(DATEVALUE(B644&amp;"1")),C644),0), "dd"), 1, C644+1), C644)</f>
        <v>3</v>
      </c>
      <c r="D645" s="74">
        <f t="shared" si="308"/>
        <v>1</v>
      </c>
      <c r="E645" s="75">
        <f t="shared" si="309"/>
        <v>36</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Hyprev6_20201203_01_00</v>
      </c>
      <c r="I645" s="69">
        <f t="shared" ref="I645:N660" si="327">I644</f>
        <v>1</v>
      </c>
      <c r="J645" s="76" t="str">
        <f t="shared" si="327"/>
        <v>Hypericum</v>
      </c>
      <c r="K645" s="76" t="str">
        <f t="shared" si="327"/>
        <v>revolutum</v>
      </c>
      <c r="L645" s="77">
        <f t="shared" si="327"/>
        <v>6</v>
      </c>
      <c r="M645" s="77">
        <f t="shared" si="327"/>
        <v>1</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Dec</v>
      </c>
      <c r="C646" s="73">
        <f t="shared" si="325"/>
        <v>3</v>
      </c>
      <c r="D646" s="74">
        <f t="shared" si="308"/>
        <v>1</v>
      </c>
      <c r="E646" s="75">
        <f t="shared" si="309"/>
        <v>37</v>
      </c>
      <c r="F646" s="79"/>
      <c r="G646" s="82"/>
      <c r="H646" s="68" t="str">
        <f t="shared" si="326"/>
        <v>Hyprev6_20201203_01_00</v>
      </c>
      <c r="I646" s="69">
        <f t="shared" si="327"/>
        <v>1</v>
      </c>
      <c r="J646" s="76" t="str">
        <f t="shared" si="327"/>
        <v>Hypericum</v>
      </c>
      <c r="K646" s="76" t="str">
        <f t="shared" si="327"/>
        <v>revolutum</v>
      </c>
      <c r="L646" s="77">
        <f t="shared" si="327"/>
        <v>6</v>
      </c>
      <c r="M646" s="77">
        <f t="shared" si="327"/>
        <v>1</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Dec</v>
      </c>
      <c r="C647" s="73">
        <f t="shared" si="325"/>
        <v>3</v>
      </c>
      <c r="D647" s="74">
        <f t="shared" si="308"/>
        <v>1</v>
      </c>
      <c r="E647" s="75">
        <f t="shared" si="309"/>
        <v>38</v>
      </c>
      <c r="F647" s="79"/>
      <c r="G647" s="82"/>
      <c r="H647" s="68" t="str">
        <f t="shared" si="326"/>
        <v>Hyprev6_20201203_01_00</v>
      </c>
      <c r="I647" s="69">
        <f t="shared" si="327"/>
        <v>1</v>
      </c>
      <c r="J647" s="76" t="str">
        <f t="shared" si="327"/>
        <v>Hypericum</v>
      </c>
      <c r="K647" s="76" t="str">
        <f t="shared" si="327"/>
        <v>revolutum</v>
      </c>
      <c r="L647" s="77">
        <f t="shared" si="327"/>
        <v>6</v>
      </c>
      <c r="M647" s="77">
        <f t="shared" si="327"/>
        <v>1</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Dec</v>
      </c>
      <c r="C648" s="73">
        <f t="shared" si="325"/>
        <v>3</v>
      </c>
      <c r="D648" s="74">
        <f t="shared" si="308"/>
        <v>1</v>
      </c>
      <c r="E648" s="75">
        <f t="shared" si="309"/>
        <v>39</v>
      </c>
      <c r="F648" s="79"/>
      <c r="G648" s="82"/>
      <c r="H648" s="68" t="str">
        <f t="shared" si="326"/>
        <v>Hyprev6_20201203_01_00</v>
      </c>
      <c r="I648" s="69">
        <f t="shared" si="327"/>
        <v>1</v>
      </c>
      <c r="J648" s="76" t="str">
        <f t="shared" si="327"/>
        <v>Hypericum</v>
      </c>
      <c r="K648" s="76" t="str">
        <f t="shared" si="327"/>
        <v>revolutum</v>
      </c>
      <c r="L648" s="77">
        <f t="shared" si="327"/>
        <v>6</v>
      </c>
      <c r="M648" s="77">
        <f t="shared" si="327"/>
        <v>1</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Dec</v>
      </c>
      <c r="C649" s="73">
        <f t="shared" si="325"/>
        <v>3</v>
      </c>
      <c r="D649" s="74">
        <f t="shared" si="308"/>
        <v>1</v>
      </c>
      <c r="E649" s="75">
        <f t="shared" si="309"/>
        <v>40</v>
      </c>
      <c r="F649" s="79"/>
      <c r="G649" s="82"/>
      <c r="H649" s="68" t="str">
        <f t="shared" si="326"/>
        <v>Hyprev6_20201203_01_00</v>
      </c>
      <c r="I649" s="69">
        <f t="shared" si="327"/>
        <v>1</v>
      </c>
      <c r="J649" s="76" t="str">
        <f t="shared" si="327"/>
        <v>Hypericum</v>
      </c>
      <c r="K649" s="76" t="str">
        <f t="shared" si="327"/>
        <v>revolutum</v>
      </c>
      <c r="L649" s="77">
        <f t="shared" si="327"/>
        <v>6</v>
      </c>
      <c r="M649" s="77">
        <f t="shared" si="327"/>
        <v>1</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Dec</v>
      </c>
      <c r="C650" s="73">
        <f t="shared" si="325"/>
        <v>3</v>
      </c>
      <c r="D650" s="74">
        <f t="shared" si="308"/>
        <v>1</v>
      </c>
      <c r="E650" s="75">
        <f t="shared" si="309"/>
        <v>41</v>
      </c>
      <c r="F650" s="79"/>
      <c r="G650" s="82"/>
      <c r="H650" s="68" t="str">
        <f t="shared" si="326"/>
        <v>Hyprev6_20201203_01_00</v>
      </c>
      <c r="I650" s="69">
        <f t="shared" si="327"/>
        <v>1</v>
      </c>
      <c r="J650" s="76" t="str">
        <f t="shared" si="327"/>
        <v>Hypericum</v>
      </c>
      <c r="K650" s="76" t="str">
        <f t="shared" si="327"/>
        <v>revolutum</v>
      </c>
      <c r="L650" s="77">
        <f t="shared" si="327"/>
        <v>6</v>
      </c>
      <c r="M650" s="77">
        <f t="shared" si="327"/>
        <v>1</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Dec</v>
      </c>
      <c r="C651" s="73">
        <f t="shared" si="325"/>
        <v>3</v>
      </c>
      <c r="D651" s="74">
        <f t="shared" si="308"/>
        <v>1</v>
      </c>
      <c r="E651" s="75">
        <f t="shared" si="309"/>
        <v>42</v>
      </c>
      <c r="F651" s="79"/>
      <c r="G651" s="82"/>
      <c r="H651" s="68" t="str">
        <f t="shared" si="326"/>
        <v>Hyprev6_20201203_01_00</v>
      </c>
      <c r="I651" s="69">
        <f t="shared" si="327"/>
        <v>1</v>
      </c>
      <c r="J651" s="76" t="str">
        <f t="shared" si="327"/>
        <v>Hypericum</v>
      </c>
      <c r="K651" s="76" t="str">
        <f t="shared" si="327"/>
        <v>revolutum</v>
      </c>
      <c r="L651" s="77">
        <f t="shared" si="327"/>
        <v>6</v>
      </c>
      <c r="M651" s="77">
        <f t="shared" si="327"/>
        <v>1</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Dec</v>
      </c>
      <c r="C652" s="73">
        <f t="shared" si="325"/>
        <v>3</v>
      </c>
      <c r="D652" s="74">
        <f t="shared" si="308"/>
        <v>1</v>
      </c>
      <c r="E652" s="75">
        <f t="shared" si="309"/>
        <v>43</v>
      </c>
      <c r="F652" s="79"/>
      <c r="G652" s="82"/>
      <c r="H652" s="68" t="str">
        <f t="shared" si="326"/>
        <v>Hyprev6_20201203_01_00</v>
      </c>
      <c r="I652" s="69">
        <f t="shared" si="327"/>
        <v>1</v>
      </c>
      <c r="J652" s="76" t="str">
        <f t="shared" si="327"/>
        <v>Hypericum</v>
      </c>
      <c r="K652" s="76" t="str">
        <f t="shared" si="327"/>
        <v>revolutum</v>
      </c>
      <c r="L652" s="77">
        <f t="shared" si="327"/>
        <v>6</v>
      </c>
      <c r="M652" s="77">
        <f t="shared" si="327"/>
        <v>1</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Dec</v>
      </c>
      <c r="C653" s="73">
        <f t="shared" si="325"/>
        <v>3</v>
      </c>
      <c r="D653" s="74">
        <f t="shared" si="308"/>
        <v>1</v>
      </c>
      <c r="E653" s="75">
        <f t="shared" si="309"/>
        <v>44</v>
      </c>
      <c r="F653" s="79"/>
      <c r="G653" s="82"/>
      <c r="H653" s="68" t="str">
        <f t="shared" si="326"/>
        <v>Hyprev6_20201203_01_00</v>
      </c>
      <c r="I653" s="69">
        <f t="shared" si="327"/>
        <v>1</v>
      </c>
      <c r="J653" s="76" t="str">
        <f t="shared" si="327"/>
        <v>Hypericum</v>
      </c>
      <c r="K653" s="76" t="str">
        <f t="shared" si="327"/>
        <v>revolutum</v>
      </c>
      <c r="L653" s="77">
        <f t="shared" si="327"/>
        <v>6</v>
      </c>
      <c r="M653" s="77">
        <f t="shared" si="327"/>
        <v>1</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Dec</v>
      </c>
      <c r="C654" s="73">
        <f t="shared" si="325"/>
        <v>3</v>
      </c>
      <c r="D654" s="74">
        <f t="shared" si="308"/>
        <v>1</v>
      </c>
      <c r="E654" s="75">
        <f t="shared" si="309"/>
        <v>45</v>
      </c>
      <c r="F654" s="79"/>
      <c r="G654" s="82"/>
      <c r="H654" s="68" t="str">
        <f t="shared" si="326"/>
        <v>Hyprev6_20201203_01_00</v>
      </c>
      <c r="I654" s="69">
        <f t="shared" si="327"/>
        <v>1</v>
      </c>
      <c r="J654" s="76" t="str">
        <f t="shared" si="327"/>
        <v>Hypericum</v>
      </c>
      <c r="K654" s="76" t="str">
        <f t="shared" si="327"/>
        <v>revolutum</v>
      </c>
      <c r="L654" s="77">
        <f t="shared" si="327"/>
        <v>6</v>
      </c>
      <c r="M654" s="77">
        <f t="shared" si="327"/>
        <v>1</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Dec</v>
      </c>
      <c r="C655" s="73">
        <f t="shared" si="325"/>
        <v>3</v>
      </c>
      <c r="D655" s="74">
        <f t="shared" si="308"/>
        <v>1</v>
      </c>
      <c r="E655" s="75">
        <f t="shared" si="309"/>
        <v>46</v>
      </c>
      <c r="F655" s="79"/>
      <c r="G655" s="82"/>
      <c r="H655" s="68" t="str">
        <f t="shared" si="326"/>
        <v>Hyprev6_20201203_01_00</v>
      </c>
      <c r="I655" s="69">
        <f t="shared" si="327"/>
        <v>1</v>
      </c>
      <c r="J655" s="76" t="str">
        <f t="shared" si="327"/>
        <v>Hypericum</v>
      </c>
      <c r="K655" s="76" t="str">
        <f t="shared" si="327"/>
        <v>revolutum</v>
      </c>
      <c r="L655" s="77">
        <f t="shared" si="327"/>
        <v>6</v>
      </c>
      <c r="M655" s="77">
        <f t="shared" si="327"/>
        <v>1</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Dec</v>
      </c>
      <c r="C656" s="73">
        <f t="shared" si="325"/>
        <v>3</v>
      </c>
      <c r="D656" s="74">
        <f t="shared" si="308"/>
        <v>1</v>
      </c>
      <c r="E656" s="75">
        <f t="shared" si="309"/>
        <v>47</v>
      </c>
      <c r="F656" s="79"/>
      <c r="G656" s="82"/>
      <c r="H656" s="68" t="str">
        <f t="shared" si="326"/>
        <v>Hyprev6_20201203_01_00</v>
      </c>
      <c r="I656" s="69">
        <f t="shared" si="327"/>
        <v>1</v>
      </c>
      <c r="J656" s="76" t="str">
        <f t="shared" si="327"/>
        <v>Hypericum</v>
      </c>
      <c r="K656" s="76" t="str">
        <f t="shared" si="327"/>
        <v>revolutum</v>
      </c>
      <c r="L656" s="77">
        <f t="shared" si="327"/>
        <v>6</v>
      </c>
      <c r="M656" s="77">
        <f t="shared" si="327"/>
        <v>1</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Dec</v>
      </c>
      <c r="C657" s="73">
        <f t="shared" si="325"/>
        <v>3</v>
      </c>
      <c r="D657" s="74">
        <f t="shared" si="308"/>
        <v>1</v>
      </c>
      <c r="E657" s="75">
        <f t="shared" si="309"/>
        <v>48</v>
      </c>
      <c r="F657" s="79"/>
      <c r="G657" s="82"/>
      <c r="H657" s="68" t="str">
        <f t="shared" si="326"/>
        <v>Hyprev6_20201203_01_00</v>
      </c>
      <c r="I657" s="69">
        <f t="shared" si="327"/>
        <v>1</v>
      </c>
      <c r="J657" s="76" t="str">
        <f t="shared" si="327"/>
        <v>Hypericum</v>
      </c>
      <c r="K657" s="76" t="str">
        <f t="shared" si="327"/>
        <v>revolutum</v>
      </c>
      <c r="L657" s="77">
        <f t="shared" si="327"/>
        <v>6</v>
      </c>
      <c r="M657" s="77">
        <f t="shared" si="327"/>
        <v>1</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Dec</v>
      </c>
      <c r="C658" s="73">
        <f t="shared" si="325"/>
        <v>3</v>
      </c>
      <c r="D658" s="74">
        <f t="shared" si="308"/>
        <v>1</v>
      </c>
      <c r="E658" s="75">
        <f t="shared" si="309"/>
        <v>49</v>
      </c>
      <c r="F658" s="79"/>
      <c r="G658" s="82"/>
      <c r="H658" s="68" t="str">
        <f t="shared" si="326"/>
        <v>Hyprev6_20201203_01_00</v>
      </c>
      <c r="I658" s="69">
        <f t="shared" si="327"/>
        <v>1</v>
      </c>
      <c r="J658" s="76" t="str">
        <f t="shared" si="327"/>
        <v>Hypericum</v>
      </c>
      <c r="K658" s="76" t="str">
        <f t="shared" si="327"/>
        <v>revolutum</v>
      </c>
      <c r="L658" s="77">
        <f t="shared" si="327"/>
        <v>6</v>
      </c>
      <c r="M658" s="77">
        <f t="shared" si="327"/>
        <v>1</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Dec</v>
      </c>
      <c r="C659" s="73">
        <f t="shared" si="325"/>
        <v>3</v>
      </c>
      <c r="D659" s="74">
        <f t="shared" si="308"/>
        <v>1</v>
      </c>
      <c r="E659" s="75">
        <f t="shared" si="309"/>
        <v>50</v>
      </c>
      <c r="F659" s="79"/>
      <c r="G659" s="82"/>
      <c r="H659" s="68" t="str">
        <f t="shared" si="326"/>
        <v>Hyprev6_20201203_01_00</v>
      </c>
      <c r="I659" s="69">
        <f t="shared" si="327"/>
        <v>1</v>
      </c>
      <c r="J659" s="76" t="str">
        <f t="shared" si="327"/>
        <v>Hypericum</v>
      </c>
      <c r="K659" s="76" t="str">
        <f t="shared" si="327"/>
        <v>revolutum</v>
      </c>
      <c r="L659" s="77">
        <f t="shared" si="327"/>
        <v>6</v>
      </c>
      <c r="M659" s="77">
        <f t="shared" si="327"/>
        <v>1</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Dec</v>
      </c>
      <c r="C660" s="73">
        <f t="shared" si="325"/>
        <v>3</v>
      </c>
      <c r="D660" s="74">
        <f t="shared" si="308"/>
        <v>1</v>
      </c>
      <c r="E660" s="75">
        <f t="shared" si="309"/>
        <v>51</v>
      </c>
      <c r="F660" s="79"/>
      <c r="G660" s="82"/>
      <c r="H660" s="68" t="str">
        <f t="shared" si="326"/>
        <v>Hyprev6_20201203_01_00</v>
      </c>
      <c r="I660" s="69">
        <f t="shared" si="327"/>
        <v>1</v>
      </c>
      <c r="J660" s="76" t="str">
        <f t="shared" si="327"/>
        <v>Hypericum</v>
      </c>
      <c r="K660" s="76" t="str">
        <f t="shared" si="327"/>
        <v>revolutum</v>
      </c>
      <c r="L660" s="77">
        <f t="shared" si="327"/>
        <v>6</v>
      </c>
      <c r="M660" s="77">
        <f t="shared" si="327"/>
        <v>1</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Dec</v>
      </c>
      <c r="C661" s="73">
        <f t="shared" si="325"/>
        <v>3</v>
      </c>
      <c r="D661" s="74">
        <f t="shared" si="308"/>
        <v>1</v>
      </c>
      <c r="E661" s="75">
        <f t="shared" si="309"/>
        <v>52</v>
      </c>
      <c r="F661" s="79"/>
      <c r="G661" s="82"/>
      <c r="H661" s="68" t="str">
        <f t="shared" si="326"/>
        <v>Hyprev6_20201203_01_00</v>
      </c>
      <c r="I661" s="69">
        <f t="shared" ref="I661:N676" si="328">I660</f>
        <v>1</v>
      </c>
      <c r="J661" s="76" t="str">
        <f t="shared" si="328"/>
        <v>Hypericum</v>
      </c>
      <c r="K661" s="76" t="str">
        <f t="shared" si="328"/>
        <v>revolutum</v>
      </c>
      <c r="L661" s="77">
        <f t="shared" si="328"/>
        <v>6</v>
      </c>
      <c r="M661" s="77">
        <f t="shared" si="328"/>
        <v>1</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Dec</v>
      </c>
      <c r="C662" s="73">
        <f t="shared" si="325"/>
        <v>3</v>
      </c>
      <c r="D662" s="74">
        <f t="shared" si="308"/>
        <v>1</v>
      </c>
      <c r="E662" s="75">
        <f t="shared" si="309"/>
        <v>53</v>
      </c>
      <c r="F662" s="79"/>
      <c r="G662" s="82"/>
      <c r="H662" s="68" t="str">
        <f t="shared" si="326"/>
        <v>Hyprev6_20201203_01_00</v>
      </c>
      <c r="I662" s="69">
        <f t="shared" si="328"/>
        <v>1</v>
      </c>
      <c r="J662" s="76" t="str">
        <f t="shared" si="328"/>
        <v>Hypericum</v>
      </c>
      <c r="K662" s="76" t="str">
        <f t="shared" si="328"/>
        <v>revolutum</v>
      </c>
      <c r="L662" s="77">
        <f t="shared" si="328"/>
        <v>6</v>
      </c>
      <c r="M662" s="77">
        <f t="shared" si="328"/>
        <v>1</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Dec</v>
      </c>
      <c r="C663" s="73">
        <f t="shared" si="325"/>
        <v>3</v>
      </c>
      <c r="D663" s="74">
        <f t="shared" si="308"/>
        <v>1</v>
      </c>
      <c r="E663" s="75">
        <f t="shared" si="309"/>
        <v>54</v>
      </c>
      <c r="F663" s="79"/>
      <c r="G663" s="82"/>
      <c r="H663" s="68" t="str">
        <f t="shared" si="326"/>
        <v>Hyprev6_20201203_01_00</v>
      </c>
      <c r="I663" s="69">
        <f t="shared" si="328"/>
        <v>1</v>
      </c>
      <c r="J663" s="76" t="str">
        <f t="shared" si="328"/>
        <v>Hypericum</v>
      </c>
      <c r="K663" s="76" t="str">
        <f t="shared" si="328"/>
        <v>revolutum</v>
      </c>
      <c r="L663" s="77">
        <f t="shared" si="328"/>
        <v>6</v>
      </c>
      <c r="M663" s="77">
        <f t="shared" si="328"/>
        <v>1</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Dec</v>
      </c>
      <c r="C664" s="73">
        <f t="shared" si="325"/>
        <v>3</v>
      </c>
      <c r="D664" s="74">
        <f t="shared" si="308"/>
        <v>1</v>
      </c>
      <c r="E664" s="75">
        <f t="shared" si="309"/>
        <v>55</v>
      </c>
      <c r="F664" s="79"/>
      <c r="G664" s="82"/>
      <c r="H664" s="68" t="str">
        <f t="shared" si="326"/>
        <v>Hyprev6_20201203_01_00</v>
      </c>
      <c r="I664" s="69">
        <f t="shared" si="328"/>
        <v>1</v>
      </c>
      <c r="J664" s="76" t="str">
        <f t="shared" si="328"/>
        <v>Hypericum</v>
      </c>
      <c r="K664" s="76" t="str">
        <f t="shared" si="328"/>
        <v>revolutum</v>
      </c>
      <c r="L664" s="77">
        <f t="shared" si="328"/>
        <v>6</v>
      </c>
      <c r="M664" s="77">
        <f t="shared" si="328"/>
        <v>1</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Dec</v>
      </c>
      <c r="C665" s="73">
        <f t="shared" si="325"/>
        <v>3</v>
      </c>
      <c r="D665" s="74">
        <f t="shared" si="308"/>
        <v>1</v>
      </c>
      <c r="E665" s="75">
        <f t="shared" si="309"/>
        <v>56</v>
      </c>
      <c r="F665" s="79"/>
      <c r="G665" s="82"/>
      <c r="H665" s="68" t="str">
        <f t="shared" si="326"/>
        <v>Hyprev6_20201203_01_00</v>
      </c>
      <c r="I665" s="69">
        <f t="shared" si="328"/>
        <v>1</v>
      </c>
      <c r="J665" s="76" t="str">
        <f t="shared" si="328"/>
        <v>Hypericum</v>
      </c>
      <c r="K665" s="76" t="str">
        <f t="shared" si="328"/>
        <v>revolutum</v>
      </c>
      <c r="L665" s="77">
        <f t="shared" si="328"/>
        <v>6</v>
      </c>
      <c r="M665" s="77">
        <f t="shared" si="328"/>
        <v>1</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Dec</v>
      </c>
      <c r="C666" s="73">
        <f t="shared" si="325"/>
        <v>3</v>
      </c>
      <c r="D666" s="74">
        <f t="shared" si="308"/>
        <v>1</v>
      </c>
      <c r="E666" s="75">
        <f t="shared" si="309"/>
        <v>57</v>
      </c>
      <c r="F666" s="79"/>
      <c r="G666" s="82"/>
      <c r="H666" s="68" t="str">
        <f t="shared" si="326"/>
        <v>Hyprev6_20201203_01_00</v>
      </c>
      <c r="I666" s="69">
        <f t="shared" si="328"/>
        <v>1</v>
      </c>
      <c r="J666" s="76" t="str">
        <f t="shared" si="328"/>
        <v>Hypericum</v>
      </c>
      <c r="K666" s="76" t="str">
        <f t="shared" si="328"/>
        <v>revolutum</v>
      </c>
      <c r="L666" s="77">
        <f t="shared" si="328"/>
        <v>6</v>
      </c>
      <c r="M666" s="77">
        <f t="shared" si="328"/>
        <v>1</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Dec</v>
      </c>
      <c r="C667" s="73">
        <f t="shared" si="325"/>
        <v>3</v>
      </c>
      <c r="D667" s="74">
        <f t="shared" si="308"/>
        <v>1</v>
      </c>
      <c r="E667" s="75">
        <f t="shared" si="309"/>
        <v>58</v>
      </c>
      <c r="F667" s="79"/>
      <c r="G667" s="82"/>
      <c r="H667" s="68" t="str">
        <f t="shared" si="326"/>
        <v>Hyprev6_20201203_01_00</v>
      </c>
      <c r="I667" s="69">
        <f t="shared" si="328"/>
        <v>1</v>
      </c>
      <c r="J667" s="76" t="str">
        <f t="shared" si="328"/>
        <v>Hypericum</v>
      </c>
      <c r="K667" s="76" t="str">
        <f t="shared" si="328"/>
        <v>revolutum</v>
      </c>
      <c r="L667" s="77">
        <f t="shared" si="328"/>
        <v>6</v>
      </c>
      <c r="M667" s="77">
        <f t="shared" si="328"/>
        <v>1</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Dec</v>
      </c>
      <c r="C668" s="73">
        <f t="shared" si="325"/>
        <v>3</v>
      </c>
      <c r="D668" s="74">
        <f t="shared" si="308"/>
        <v>1</v>
      </c>
      <c r="E668" s="75">
        <f t="shared" si="309"/>
        <v>59</v>
      </c>
      <c r="F668" s="79"/>
      <c r="G668" s="82"/>
      <c r="H668" s="68" t="str">
        <f t="shared" si="326"/>
        <v>Hyprev6_20201203_01_00</v>
      </c>
      <c r="I668" s="69">
        <f t="shared" si="328"/>
        <v>1</v>
      </c>
      <c r="J668" s="76" t="str">
        <f t="shared" si="328"/>
        <v>Hypericum</v>
      </c>
      <c r="K668" s="76" t="str">
        <f t="shared" si="328"/>
        <v>revolutum</v>
      </c>
      <c r="L668" s="77">
        <f t="shared" si="328"/>
        <v>6</v>
      </c>
      <c r="M668" s="77">
        <f t="shared" si="328"/>
        <v>1</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Dec</v>
      </c>
      <c r="C669" s="73">
        <f t="shared" si="325"/>
        <v>3</v>
      </c>
      <c r="D669" s="74">
        <f t="shared" si="308"/>
        <v>2</v>
      </c>
      <c r="E669" s="75">
        <f t="shared" si="309"/>
        <v>0</v>
      </c>
      <c r="F669" s="79"/>
      <c r="G669" s="82"/>
      <c r="H669" s="68" t="str">
        <f t="shared" si="326"/>
        <v>Hyprev6_20201203_02_00</v>
      </c>
      <c r="I669" s="69">
        <f t="shared" si="328"/>
        <v>1</v>
      </c>
      <c r="J669" s="76" t="str">
        <f t="shared" si="328"/>
        <v>Hypericum</v>
      </c>
      <c r="K669" s="76" t="str">
        <f t="shared" si="328"/>
        <v>revolutum</v>
      </c>
      <c r="L669" s="77">
        <f t="shared" si="328"/>
        <v>6</v>
      </c>
      <c r="M669" s="77">
        <f t="shared" si="328"/>
        <v>1</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Dec</v>
      </c>
      <c r="C670" s="73">
        <f t="shared" si="325"/>
        <v>3</v>
      </c>
      <c r="D670" s="74">
        <f t="shared" si="308"/>
        <v>2</v>
      </c>
      <c r="E670" s="75">
        <f t="shared" si="309"/>
        <v>1</v>
      </c>
      <c r="F670" s="79"/>
      <c r="G670" s="82"/>
      <c r="H670" s="68" t="str">
        <f t="shared" si="326"/>
        <v>Hyprev6_20201203_02_00</v>
      </c>
      <c r="I670" s="69">
        <f t="shared" si="328"/>
        <v>1</v>
      </c>
      <c r="J670" s="76" t="str">
        <f t="shared" si="328"/>
        <v>Hypericum</v>
      </c>
      <c r="K670" s="76" t="str">
        <f t="shared" si="328"/>
        <v>revolutum</v>
      </c>
      <c r="L670" s="77">
        <f t="shared" si="328"/>
        <v>6</v>
      </c>
      <c r="M670" s="77">
        <f t="shared" si="328"/>
        <v>1</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Dec</v>
      </c>
      <c r="C671" s="73">
        <f t="shared" si="325"/>
        <v>3</v>
      </c>
      <c r="D671" s="74">
        <f t="shared" si="308"/>
        <v>2</v>
      </c>
      <c r="E671" s="75">
        <f t="shared" si="309"/>
        <v>2</v>
      </c>
      <c r="F671" s="79"/>
      <c r="G671" s="82"/>
      <c r="H671" s="68" t="str">
        <f t="shared" si="326"/>
        <v>Hyprev6_20201203_02_00</v>
      </c>
      <c r="I671" s="69">
        <f t="shared" si="328"/>
        <v>1</v>
      </c>
      <c r="J671" s="76" t="str">
        <f t="shared" si="328"/>
        <v>Hypericum</v>
      </c>
      <c r="K671" s="76" t="str">
        <f t="shared" si="328"/>
        <v>revolutum</v>
      </c>
      <c r="L671" s="77">
        <f t="shared" si="328"/>
        <v>6</v>
      </c>
      <c r="M671" s="77">
        <f t="shared" si="328"/>
        <v>1</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Dec</v>
      </c>
      <c r="C672" s="73">
        <f t="shared" si="325"/>
        <v>3</v>
      </c>
      <c r="D672" s="74">
        <f t="shared" si="308"/>
        <v>2</v>
      </c>
      <c r="E672" s="75">
        <f t="shared" si="309"/>
        <v>3</v>
      </c>
      <c r="F672" s="79"/>
      <c r="G672" s="82"/>
      <c r="H672" s="68" t="str">
        <f t="shared" si="326"/>
        <v>Hyprev6_20201203_02_00</v>
      </c>
      <c r="I672" s="69">
        <f t="shared" si="328"/>
        <v>1</v>
      </c>
      <c r="J672" s="76" t="str">
        <f t="shared" si="328"/>
        <v>Hypericum</v>
      </c>
      <c r="K672" s="76" t="str">
        <f t="shared" si="328"/>
        <v>revolutum</v>
      </c>
      <c r="L672" s="77">
        <f t="shared" si="328"/>
        <v>6</v>
      </c>
      <c r="M672" s="77">
        <f t="shared" si="328"/>
        <v>1</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Dec</v>
      </c>
      <c r="C673" s="73">
        <f t="shared" si="325"/>
        <v>3</v>
      </c>
      <c r="D673" s="74">
        <f t="shared" si="308"/>
        <v>2</v>
      </c>
      <c r="E673" s="75">
        <f t="shared" si="309"/>
        <v>4</v>
      </c>
      <c r="F673" s="79"/>
      <c r="G673" s="82"/>
      <c r="H673" s="68" t="str">
        <f t="shared" si="326"/>
        <v>Hyprev6_20201203_02_00</v>
      </c>
      <c r="I673" s="69">
        <f t="shared" si="328"/>
        <v>1</v>
      </c>
      <c r="J673" s="76" t="str">
        <f t="shared" si="328"/>
        <v>Hypericum</v>
      </c>
      <c r="K673" s="76" t="str">
        <f t="shared" si="328"/>
        <v>revolutum</v>
      </c>
      <c r="L673" s="77">
        <f t="shared" si="328"/>
        <v>6</v>
      </c>
      <c r="M673" s="77">
        <f t="shared" si="328"/>
        <v>1</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Dec</v>
      </c>
      <c r="C674" s="73">
        <f t="shared" si="325"/>
        <v>3</v>
      </c>
      <c r="D674" s="74">
        <f t="shared" si="308"/>
        <v>2</v>
      </c>
      <c r="E674" s="75">
        <f t="shared" si="309"/>
        <v>5</v>
      </c>
      <c r="F674" s="79"/>
      <c r="G674" s="82"/>
      <c r="H674" s="68" t="str">
        <f t="shared" si="326"/>
        <v>Hyprev6_20201203_02_00</v>
      </c>
      <c r="I674" s="69">
        <f t="shared" si="328"/>
        <v>1</v>
      </c>
      <c r="J674" s="76" t="str">
        <f t="shared" si="328"/>
        <v>Hypericum</v>
      </c>
      <c r="K674" s="76" t="str">
        <f t="shared" si="328"/>
        <v>revolutum</v>
      </c>
      <c r="L674" s="77">
        <f t="shared" si="328"/>
        <v>6</v>
      </c>
      <c r="M674" s="77">
        <f t="shared" si="328"/>
        <v>1</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Dec</v>
      </c>
      <c r="C675" s="73">
        <f t="shared" si="325"/>
        <v>3</v>
      </c>
      <c r="D675" s="74">
        <f t="shared" si="308"/>
        <v>2</v>
      </c>
      <c r="E675" s="75">
        <f t="shared" si="309"/>
        <v>6</v>
      </c>
      <c r="F675" s="79"/>
      <c r="G675" s="82"/>
      <c r="H675" s="68" t="str">
        <f t="shared" si="326"/>
        <v>Hyprev6_20201203_02_00</v>
      </c>
      <c r="I675" s="69">
        <f t="shared" si="328"/>
        <v>1</v>
      </c>
      <c r="J675" s="76" t="str">
        <f t="shared" si="328"/>
        <v>Hypericum</v>
      </c>
      <c r="K675" s="76" t="str">
        <f t="shared" si="328"/>
        <v>revolutum</v>
      </c>
      <c r="L675" s="77">
        <f t="shared" si="328"/>
        <v>6</v>
      </c>
      <c r="M675" s="77">
        <f t="shared" si="328"/>
        <v>1</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Dec</v>
      </c>
      <c r="C676" s="73">
        <f t="shared" si="325"/>
        <v>3</v>
      </c>
      <c r="D676" s="74">
        <f t="shared" si="308"/>
        <v>2</v>
      </c>
      <c r="E676" s="75">
        <f t="shared" si="309"/>
        <v>7</v>
      </c>
      <c r="F676" s="79"/>
      <c r="G676" s="82"/>
      <c r="H676" s="68" t="str">
        <f t="shared" si="326"/>
        <v>Hyprev6_20201203_02_00</v>
      </c>
      <c r="I676" s="69">
        <f t="shared" si="328"/>
        <v>1</v>
      </c>
      <c r="J676" s="76" t="str">
        <f t="shared" si="328"/>
        <v>Hypericum</v>
      </c>
      <c r="K676" s="76" t="str">
        <f t="shared" si="328"/>
        <v>revolutum</v>
      </c>
      <c r="L676" s="77">
        <f t="shared" si="328"/>
        <v>6</v>
      </c>
      <c r="M676" s="77">
        <f t="shared" si="328"/>
        <v>1</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Dec</v>
      </c>
      <c r="C677" s="73">
        <f t="shared" si="325"/>
        <v>3</v>
      </c>
      <c r="D677" s="74">
        <f t="shared" si="308"/>
        <v>2</v>
      </c>
      <c r="E677" s="75">
        <f t="shared" si="309"/>
        <v>8</v>
      </c>
      <c r="F677" s="79"/>
      <c r="G677" s="82"/>
      <c r="H677" s="68" t="str">
        <f t="shared" si="326"/>
        <v>Hyprev6_20201203_02_00</v>
      </c>
      <c r="I677" s="69">
        <f t="shared" ref="I677:N692" si="329">I676</f>
        <v>1</v>
      </c>
      <c r="J677" s="76" t="str">
        <f t="shared" si="329"/>
        <v>Hypericum</v>
      </c>
      <c r="K677" s="76" t="str">
        <f t="shared" si="329"/>
        <v>revolutum</v>
      </c>
      <c r="L677" s="77">
        <f t="shared" si="329"/>
        <v>6</v>
      </c>
      <c r="M677" s="77">
        <f t="shared" si="329"/>
        <v>1</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Dec</v>
      </c>
      <c r="C678" s="73">
        <f t="shared" si="325"/>
        <v>3</v>
      </c>
      <c r="D678" s="74">
        <f t="shared" si="308"/>
        <v>2</v>
      </c>
      <c r="E678" s="75">
        <f t="shared" si="309"/>
        <v>9</v>
      </c>
      <c r="F678" s="79"/>
      <c r="G678" s="82"/>
      <c r="H678" s="68" t="str">
        <f t="shared" si="326"/>
        <v>Hyprev6_20201203_02_00</v>
      </c>
      <c r="I678" s="69">
        <f t="shared" si="329"/>
        <v>1</v>
      </c>
      <c r="J678" s="76" t="str">
        <f t="shared" si="329"/>
        <v>Hypericum</v>
      </c>
      <c r="K678" s="76" t="str">
        <f t="shared" si="329"/>
        <v>revolutum</v>
      </c>
      <c r="L678" s="77">
        <f t="shared" si="329"/>
        <v>6</v>
      </c>
      <c r="M678" s="77">
        <f t="shared" si="329"/>
        <v>1</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Dec</v>
      </c>
      <c r="C679" s="73">
        <f t="shared" si="325"/>
        <v>3</v>
      </c>
      <c r="D679" s="74">
        <f t="shared" si="308"/>
        <v>2</v>
      </c>
      <c r="E679" s="75">
        <f t="shared" si="309"/>
        <v>10</v>
      </c>
      <c r="F679" s="79"/>
      <c r="G679" s="82"/>
      <c r="H679" s="68" t="str">
        <f t="shared" si="326"/>
        <v>Hyprev6_20201203_02_00</v>
      </c>
      <c r="I679" s="69">
        <f t="shared" si="329"/>
        <v>1</v>
      </c>
      <c r="J679" s="76" t="str">
        <f t="shared" si="329"/>
        <v>Hypericum</v>
      </c>
      <c r="K679" s="76" t="str">
        <f t="shared" si="329"/>
        <v>revolutum</v>
      </c>
      <c r="L679" s="77">
        <f t="shared" si="329"/>
        <v>6</v>
      </c>
      <c r="M679" s="77">
        <f t="shared" si="329"/>
        <v>1</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Dec</v>
      </c>
      <c r="C680" s="73">
        <f t="shared" si="325"/>
        <v>3</v>
      </c>
      <c r="D680" s="74">
        <f t="shared" si="308"/>
        <v>2</v>
      </c>
      <c r="E680" s="75">
        <f t="shared" si="309"/>
        <v>11</v>
      </c>
      <c r="F680" s="79"/>
      <c r="G680" s="82"/>
      <c r="H680" s="68" t="str">
        <f t="shared" si="326"/>
        <v>Hyprev6_20201203_02_00</v>
      </c>
      <c r="I680" s="69">
        <f t="shared" si="329"/>
        <v>1</v>
      </c>
      <c r="J680" s="76" t="str">
        <f t="shared" si="329"/>
        <v>Hypericum</v>
      </c>
      <c r="K680" s="76" t="str">
        <f t="shared" si="329"/>
        <v>revolutum</v>
      </c>
      <c r="L680" s="77">
        <f t="shared" si="329"/>
        <v>6</v>
      </c>
      <c r="M680" s="77">
        <f t="shared" si="329"/>
        <v>1</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Dec</v>
      </c>
      <c r="C681" s="73">
        <f t="shared" si="325"/>
        <v>3</v>
      </c>
      <c r="D681" s="74">
        <f t="shared" si="308"/>
        <v>2</v>
      </c>
      <c r="E681" s="75">
        <f t="shared" si="309"/>
        <v>12</v>
      </c>
      <c r="F681" s="79"/>
      <c r="G681" s="82"/>
      <c r="H681" s="68" t="str">
        <f t="shared" si="326"/>
        <v>Hyprev6_20201203_02_00</v>
      </c>
      <c r="I681" s="69">
        <f t="shared" si="329"/>
        <v>1</v>
      </c>
      <c r="J681" s="76" t="str">
        <f t="shared" si="329"/>
        <v>Hypericum</v>
      </c>
      <c r="K681" s="76" t="str">
        <f t="shared" si="329"/>
        <v>revolutum</v>
      </c>
      <c r="L681" s="77">
        <f t="shared" si="329"/>
        <v>6</v>
      </c>
      <c r="M681" s="77">
        <f t="shared" si="329"/>
        <v>1</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Dec</v>
      </c>
      <c r="C682" s="73">
        <f t="shared" si="325"/>
        <v>3</v>
      </c>
      <c r="D682" s="74">
        <f t="shared" si="308"/>
        <v>2</v>
      </c>
      <c r="E682" s="75">
        <f t="shared" si="309"/>
        <v>13</v>
      </c>
      <c r="F682" s="79"/>
      <c r="G682" s="82"/>
      <c r="H682" s="68" t="str">
        <f t="shared" si="326"/>
        <v>Hyprev6_20201203_02_00</v>
      </c>
      <c r="I682" s="69">
        <f t="shared" si="329"/>
        <v>1</v>
      </c>
      <c r="J682" s="76" t="str">
        <f t="shared" si="329"/>
        <v>Hypericum</v>
      </c>
      <c r="K682" s="76" t="str">
        <f t="shared" si="329"/>
        <v>revolutum</v>
      </c>
      <c r="L682" s="77">
        <f t="shared" si="329"/>
        <v>6</v>
      </c>
      <c r="M682" s="77">
        <f t="shared" si="329"/>
        <v>1</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Dec</v>
      </c>
      <c r="C683" s="73">
        <f t="shared" si="325"/>
        <v>3</v>
      </c>
      <c r="D683" s="74">
        <f t="shared" si="308"/>
        <v>2</v>
      </c>
      <c r="E683" s="75">
        <f t="shared" si="309"/>
        <v>14</v>
      </c>
      <c r="F683" s="79"/>
      <c r="G683" s="82"/>
      <c r="H683" s="68" t="str">
        <f t="shared" si="326"/>
        <v>Hyprev6_20201203_02_00</v>
      </c>
      <c r="I683" s="69">
        <f t="shared" si="329"/>
        <v>1</v>
      </c>
      <c r="J683" s="76" t="str">
        <f t="shared" si="329"/>
        <v>Hypericum</v>
      </c>
      <c r="K683" s="76" t="str">
        <f t="shared" si="329"/>
        <v>revolutum</v>
      </c>
      <c r="L683" s="77">
        <f t="shared" si="329"/>
        <v>6</v>
      </c>
      <c r="M683" s="77">
        <f t="shared" si="329"/>
        <v>1</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Dec</v>
      </c>
      <c r="C684" s="73">
        <f t="shared" si="325"/>
        <v>3</v>
      </c>
      <c r="D684" s="74">
        <f t="shared" si="308"/>
        <v>2</v>
      </c>
      <c r="E684" s="75">
        <f t="shared" si="309"/>
        <v>15</v>
      </c>
      <c r="F684" s="79"/>
      <c r="G684" s="82"/>
      <c r="H684" s="68" t="str">
        <f t="shared" si="326"/>
        <v>Hyprev6_20201203_02_00</v>
      </c>
      <c r="I684" s="69">
        <f t="shared" si="329"/>
        <v>1</v>
      </c>
      <c r="J684" s="76" t="str">
        <f t="shared" si="329"/>
        <v>Hypericum</v>
      </c>
      <c r="K684" s="76" t="str">
        <f t="shared" si="329"/>
        <v>revolutum</v>
      </c>
      <c r="L684" s="77">
        <f t="shared" si="329"/>
        <v>6</v>
      </c>
      <c r="M684" s="77">
        <f t="shared" si="329"/>
        <v>1</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Dec</v>
      </c>
      <c r="C685" s="73">
        <f t="shared" si="325"/>
        <v>3</v>
      </c>
      <c r="D685" s="74">
        <f t="shared" si="308"/>
        <v>2</v>
      </c>
      <c r="E685" s="75">
        <f t="shared" si="309"/>
        <v>16</v>
      </c>
      <c r="F685" s="79"/>
      <c r="G685" s="82"/>
      <c r="H685" s="68" t="str">
        <f t="shared" si="326"/>
        <v>Hyprev6_20201203_02_00</v>
      </c>
      <c r="I685" s="69">
        <f t="shared" si="329"/>
        <v>1</v>
      </c>
      <c r="J685" s="76" t="str">
        <f t="shared" si="329"/>
        <v>Hypericum</v>
      </c>
      <c r="K685" s="76" t="str">
        <f t="shared" si="329"/>
        <v>revolutum</v>
      </c>
      <c r="L685" s="77">
        <f t="shared" si="329"/>
        <v>6</v>
      </c>
      <c r="M685" s="77">
        <f t="shared" si="329"/>
        <v>1</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Dec</v>
      </c>
      <c r="C686" s="73">
        <f t="shared" si="325"/>
        <v>3</v>
      </c>
      <c r="D686" s="74">
        <f t="shared" si="308"/>
        <v>2</v>
      </c>
      <c r="E686" s="75">
        <f t="shared" si="309"/>
        <v>17</v>
      </c>
      <c r="F686" s="79"/>
      <c r="G686" s="82"/>
      <c r="H686" s="68" t="str">
        <f t="shared" si="326"/>
        <v>Hyprev6_20201203_02_00</v>
      </c>
      <c r="I686" s="69">
        <f t="shared" si="329"/>
        <v>1</v>
      </c>
      <c r="J686" s="76" t="str">
        <f t="shared" si="329"/>
        <v>Hypericum</v>
      </c>
      <c r="K686" s="76" t="str">
        <f t="shared" si="329"/>
        <v>revolutum</v>
      </c>
      <c r="L686" s="77">
        <f t="shared" si="329"/>
        <v>6</v>
      </c>
      <c r="M686" s="77">
        <f t="shared" si="329"/>
        <v>1</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Dec</v>
      </c>
      <c r="C687" s="73">
        <f t="shared" si="325"/>
        <v>3</v>
      </c>
      <c r="D687" s="74">
        <f t="shared" si="308"/>
        <v>2</v>
      </c>
      <c r="E687" s="75">
        <f t="shared" si="309"/>
        <v>18</v>
      </c>
      <c r="F687" s="79"/>
      <c r="G687" s="82"/>
      <c r="H687" s="68" t="str">
        <f t="shared" si="326"/>
        <v>Hyprev6_20201203_02_00</v>
      </c>
      <c r="I687" s="69">
        <f t="shared" si="329"/>
        <v>1</v>
      </c>
      <c r="J687" s="76" t="str">
        <f t="shared" si="329"/>
        <v>Hypericum</v>
      </c>
      <c r="K687" s="76" t="str">
        <f t="shared" si="329"/>
        <v>revolutum</v>
      </c>
      <c r="L687" s="77">
        <f t="shared" si="329"/>
        <v>6</v>
      </c>
      <c r="M687" s="77">
        <f t="shared" si="329"/>
        <v>1</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Dec</v>
      </c>
      <c r="C688" s="73">
        <f t="shared" si="325"/>
        <v>3</v>
      </c>
      <c r="D688" s="74">
        <f t="shared" si="308"/>
        <v>2</v>
      </c>
      <c r="E688" s="75">
        <f t="shared" si="309"/>
        <v>19</v>
      </c>
      <c r="F688" s="79"/>
      <c r="G688" s="82"/>
      <c r="H688" s="68" t="str">
        <f t="shared" si="326"/>
        <v>Hyprev6_20201203_02_00</v>
      </c>
      <c r="I688" s="69">
        <f t="shared" si="329"/>
        <v>1</v>
      </c>
      <c r="J688" s="76" t="str">
        <f t="shared" si="329"/>
        <v>Hypericum</v>
      </c>
      <c r="K688" s="76" t="str">
        <f t="shared" si="329"/>
        <v>revolutum</v>
      </c>
      <c r="L688" s="77">
        <f t="shared" si="329"/>
        <v>6</v>
      </c>
      <c r="M688" s="77">
        <f t="shared" si="329"/>
        <v>1</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Dec</v>
      </c>
      <c r="C689" s="73">
        <f t="shared" si="325"/>
        <v>3</v>
      </c>
      <c r="D689" s="74">
        <f t="shared" si="308"/>
        <v>2</v>
      </c>
      <c r="E689" s="75">
        <f t="shared" si="309"/>
        <v>20</v>
      </c>
      <c r="F689" s="79"/>
      <c r="G689" s="82"/>
      <c r="H689" s="68" t="str">
        <f t="shared" si="326"/>
        <v>Hyprev6_20201203_02_00</v>
      </c>
      <c r="I689" s="69">
        <f t="shared" si="329"/>
        <v>1</v>
      </c>
      <c r="J689" s="76" t="str">
        <f t="shared" si="329"/>
        <v>Hypericum</v>
      </c>
      <c r="K689" s="76" t="str">
        <f t="shared" si="329"/>
        <v>revolutum</v>
      </c>
      <c r="L689" s="77">
        <f t="shared" si="329"/>
        <v>6</v>
      </c>
      <c r="M689" s="77">
        <f t="shared" si="329"/>
        <v>1</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Dec</v>
      </c>
      <c r="C690" s="73">
        <f t="shared" si="325"/>
        <v>3</v>
      </c>
      <c r="D690" s="74">
        <f t="shared" si="308"/>
        <v>2</v>
      </c>
      <c r="E690" s="75">
        <f t="shared" si="309"/>
        <v>21</v>
      </c>
      <c r="F690" s="79"/>
      <c r="G690" s="82"/>
      <c r="H690" s="68" t="str">
        <f t="shared" si="326"/>
        <v>Hyprev6_20201203_02_00</v>
      </c>
      <c r="I690" s="69">
        <f t="shared" si="329"/>
        <v>1</v>
      </c>
      <c r="J690" s="76" t="str">
        <f t="shared" si="329"/>
        <v>Hypericum</v>
      </c>
      <c r="K690" s="76" t="str">
        <f t="shared" si="329"/>
        <v>revolutum</v>
      </c>
      <c r="L690" s="77">
        <f t="shared" si="329"/>
        <v>6</v>
      </c>
      <c r="M690" s="77">
        <f t="shared" si="329"/>
        <v>1</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Dec</v>
      </c>
      <c r="C691" s="73">
        <f t="shared" si="325"/>
        <v>3</v>
      </c>
      <c r="D691" s="74">
        <f t="shared" si="308"/>
        <v>2</v>
      </c>
      <c r="E691" s="75">
        <f t="shared" si="309"/>
        <v>22</v>
      </c>
      <c r="F691" s="79"/>
      <c r="G691" s="82"/>
      <c r="H691" s="68" t="str">
        <f t="shared" si="326"/>
        <v>Hyprev6_20201203_02_00</v>
      </c>
      <c r="I691" s="69">
        <f t="shared" si="329"/>
        <v>1</v>
      </c>
      <c r="J691" s="76" t="str">
        <f t="shared" si="329"/>
        <v>Hypericum</v>
      </c>
      <c r="K691" s="76" t="str">
        <f t="shared" si="329"/>
        <v>revolutum</v>
      </c>
      <c r="L691" s="77">
        <f t="shared" si="329"/>
        <v>6</v>
      </c>
      <c r="M691" s="77">
        <f t="shared" si="329"/>
        <v>1</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Dec</v>
      </c>
      <c r="C692" s="73">
        <f t="shared" si="325"/>
        <v>3</v>
      </c>
      <c r="D692" s="74">
        <f t="shared" si="308"/>
        <v>2</v>
      </c>
      <c r="E692" s="75">
        <f t="shared" si="309"/>
        <v>23</v>
      </c>
      <c r="F692" s="79"/>
      <c r="G692" s="82"/>
      <c r="H692" s="68" t="str">
        <f t="shared" si="326"/>
        <v>Hyprev6_20201203_02_00</v>
      </c>
      <c r="I692" s="69">
        <f t="shared" si="329"/>
        <v>1</v>
      </c>
      <c r="J692" s="76" t="str">
        <f t="shared" si="329"/>
        <v>Hypericum</v>
      </c>
      <c r="K692" s="76" t="str">
        <f t="shared" si="329"/>
        <v>revolutum</v>
      </c>
      <c r="L692" s="77">
        <f t="shared" si="329"/>
        <v>6</v>
      </c>
      <c r="M692" s="77">
        <f t="shared" si="329"/>
        <v>1</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Dec</v>
      </c>
      <c r="C693" s="73">
        <f t="shared" si="325"/>
        <v>3</v>
      </c>
      <c r="D693" s="74">
        <f t="shared" si="308"/>
        <v>2</v>
      </c>
      <c r="E693" s="75">
        <f t="shared" si="309"/>
        <v>24</v>
      </c>
      <c r="F693" s="79"/>
      <c r="G693" s="82"/>
      <c r="H693" s="68" t="str">
        <f t="shared" si="326"/>
        <v>Hyprev6_20201203_02_00</v>
      </c>
      <c r="I693" s="69">
        <f t="shared" ref="I693:N708" si="330">I692</f>
        <v>1</v>
      </c>
      <c r="J693" s="76" t="str">
        <f t="shared" si="330"/>
        <v>Hypericum</v>
      </c>
      <c r="K693" s="76" t="str">
        <f t="shared" si="330"/>
        <v>revolutum</v>
      </c>
      <c r="L693" s="77">
        <f t="shared" si="330"/>
        <v>6</v>
      </c>
      <c r="M693" s="77">
        <f t="shared" si="330"/>
        <v>1</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Dec</v>
      </c>
      <c r="C694" s="73">
        <f t="shared" si="325"/>
        <v>3</v>
      </c>
      <c r="D694" s="74">
        <f t="shared" si="308"/>
        <v>2</v>
      </c>
      <c r="E694" s="75">
        <f t="shared" si="309"/>
        <v>25</v>
      </c>
      <c r="F694" s="79"/>
      <c r="G694" s="82"/>
      <c r="H694" s="68" t="str">
        <f t="shared" si="326"/>
        <v>Hyprev6_20201203_02_00</v>
      </c>
      <c r="I694" s="69">
        <f t="shared" si="330"/>
        <v>1</v>
      </c>
      <c r="J694" s="76" t="str">
        <f t="shared" si="330"/>
        <v>Hypericum</v>
      </c>
      <c r="K694" s="76" t="str">
        <f t="shared" si="330"/>
        <v>revolutum</v>
      </c>
      <c r="L694" s="77">
        <f t="shared" si="330"/>
        <v>6</v>
      </c>
      <c r="M694" s="77">
        <f t="shared" si="330"/>
        <v>1</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Dec</v>
      </c>
      <c r="C695" s="73">
        <f t="shared" si="325"/>
        <v>3</v>
      </c>
      <c r="D695" s="74">
        <f t="shared" si="308"/>
        <v>2</v>
      </c>
      <c r="E695" s="75">
        <f t="shared" si="309"/>
        <v>26</v>
      </c>
      <c r="F695" s="79"/>
      <c r="G695" s="82"/>
      <c r="H695" s="68" t="str">
        <f t="shared" si="326"/>
        <v>Hyprev6_20201203_02_00</v>
      </c>
      <c r="I695" s="69">
        <f t="shared" si="330"/>
        <v>1</v>
      </c>
      <c r="J695" s="76" t="str">
        <f t="shared" si="330"/>
        <v>Hypericum</v>
      </c>
      <c r="K695" s="76" t="str">
        <f t="shared" si="330"/>
        <v>revolutum</v>
      </c>
      <c r="L695" s="77">
        <f t="shared" si="330"/>
        <v>6</v>
      </c>
      <c r="M695" s="77">
        <f t="shared" si="330"/>
        <v>1</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Dec</v>
      </c>
      <c r="C696" s="73">
        <f t="shared" si="325"/>
        <v>3</v>
      </c>
      <c r="D696" s="74">
        <f t="shared" si="308"/>
        <v>2</v>
      </c>
      <c r="E696" s="75">
        <f t="shared" si="309"/>
        <v>27</v>
      </c>
      <c r="F696" s="79"/>
      <c r="G696" s="82"/>
      <c r="H696" s="68" t="str">
        <f t="shared" si="326"/>
        <v>Hyprev6_20201203_02_00</v>
      </c>
      <c r="I696" s="69">
        <f t="shared" si="330"/>
        <v>1</v>
      </c>
      <c r="J696" s="76" t="str">
        <f t="shared" si="330"/>
        <v>Hypericum</v>
      </c>
      <c r="K696" s="76" t="str">
        <f t="shared" si="330"/>
        <v>revolutum</v>
      </c>
      <c r="L696" s="77">
        <f t="shared" si="330"/>
        <v>6</v>
      </c>
      <c r="M696" s="77">
        <f t="shared" si="330"/>
        <v>1</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Dec</v>
      </c>
      <c r="C697" s="73">
        <f t="shared" si="325"/>
        <v>3</v>
      </c>
      <c r="D697" s="74">
        <f t="shared" si="308"/>
        <v>2</v>
      </c>
      <c r="E697" s="75">
        <f t="shared" si="309"/>
        <v>28</v>
      </c>
      <c r="F697" s="79"/>
      <c r="G697" s="82"/>
      <c r="H697" s="68" t="str">
        <f t="shared" si="326"/>
        <v>Hyprev6_20201203_02_00</v>
      </c>
      <c r="I697" s="69">
        <f t="shared" si="330"/>
        <v>1</v>
      </c>
      <c r="J697" s="76" t="str">
        <f t="shared" si="330"/>
        <v>Hypericum</v>
      </c>
      <c r="K697" s="76" t="str">
        <f t="shared" si="330"/>
        <v>revolutum</v>
      </c>
      <c r="L697" s="77">
        <f t="shared" si="330"/>
        <v>6</v>
      </c>
      <c r="M697" s="77">
        <f t="shared" si="330"/>
        <v>1</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Dec</v>
      </c>
      <c r="C698" s="73">
        <f t="shared" si="325"/>
        <v>3</v>
      </c>
      <c r="D698" s="74">
        <f t="shared" si="308"/>
        <v>2</v>
      </c>
      <c r="E698" s="75">
        <f t="shared" si="309"/>
        <v>29</v>
      </c>
      <c r="F698" s="79"/>
      <c r="G698" s="82"/>
      <c r="H698" s="68" t="str">
        <f t="shared" si="326"/>
        <v>Hyprev6_20201203_02_00</v>
      </c>
      <c r="I698" s="69">
        <f t="shared" si="330"/>
        <v>1</v>
      </c>
      <c r="J698" s="76" t="str">
        <f t="shared" si="330"/>
        <v>Hypericum</v>
      </c>
      <c r="K698" s="76" t="str">
        <f t="shared" si="330"/>
        <v>revolutum</v>
      </c>
      <c r="L698" s="77">
        <f t="shared" si="330"/>
        <v>6</v>
      </c>
      <c r="M698" s="77">
        <f t="shared" si="330"/>
        <v>1</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Dec</v>
      </c>
      <c r="C699" s="73">
        <f t="shared" si="325"/>
        <v>3</v>
      </c>
      <c r="D699" s="74">
        <f t="shared" si="308"/>
        <v>2</v>
      </c>
      <c r="E699" s="75">
        <f t="shared" si="309"/>
        <v>30</v>
      </c>
      <c r="F699" s="79"/>
      <c r="G699" s="82"/>
      <c r="H699" s="68" t="str">
        <f t="shared" si="326"/>
        <v>Hyprev6_20201203_02_00</v>
      </c>
      <c r="I699" s="69">
        <f t="shared" si="330"/>
        <v>1</v>
      </c>
      <c r="J699" s="76" t="str">
        <f t="shared" si="330"/>
        <v>Hypericum</v>
      </c>
      <c r="K699" s="76" t="str">
        <f t="shared" si="330"/>
        <v>revolutum</v>
      </c>
      <c r="L699" s="77">
        <f t="shared" si="330"/>
        <v>6</v>
      </c>
      <c r="M699" s="77">
        <f t="shared" si="330"/>
        <v>1</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Dec</v>
      </c>
      <c r="C700" s="73">
        <f t="shared" si="325"/>
        <v>3</v>
      </c>
      <c r="D700" s="74">
        <f t="shared" si="308"/>
        <v>2</v>
      </c>
      <c r="E700" s="75">
        <f t="shared" si="309"/>
        <v>31</v>
      </c>
      <c r="F700" s="79"/>
      <c r="G700" s="82"/>
      <c r="H700" s="68" t="str">
        <f t="shared" si="326"/>
        <v>Hyprev6_20201203_02_00</v>
      </c>
      <c r="I700" s="69">
        <f t="shared" si="330"/>
        <v>1</v>
      </c>
      <c r="J700" s="76" t="str">
        <f t="shared" si="330"/>
        <v>Hypericum</v>
      </c>
      <c r="K700" s="76" t="str">
        <f t="shared" si="330"/>
        <v>revolutum</v>
      </c>
      <c r="L700" s="77">
        <f t="shared" si="330"/>
        <v>6</v>
      </c>
      <c r="M700" s="77">
        <f t="shared" si="330"/>
        <v>1</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Dec</v>
      </c>
      <c r="C701" s="73">
        <f t="shared" si="325"/>
        <v>3</v>
      </c>
      <c r="D701" s="74">
        <f t="shared" si="308"/>
        <v>2</v>
      </c>
      <c r="E701" s="75">
        <f t="shared" si="309"/>
        <v>32</v>
      </c>
      <c r="F701" s="79"/>
      <c r="G701" s="82"/>
      <c r="H701" s="68" t="str">
        <f t="shared" si="326"/>
        <v>Hyprev6_20201203_02_00</v>
      </c>
      <c r="I701" s="69">
        <f t="shared" si="330"/>
        <v>1</v>
      </c>
      <c r="J701" s="76" t="str">
        <f t="shared" si="330"/>
        <v>Hypericum</v>
      </c>
      <c r="K701" s="76" t="str">
        <f t="shared" si="330"/>
        <v>revolutum</v>
      </c>
      <c r="L701" s="77">
        <f t="shared" si="330"/>
        <v>6</v>
      </c>
      <c r="M701" s="77">
        <f t="shared" si="330"/>
        <v>1</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Dec</v>
      </c>
      <c r="C702" s="73">
        <f t="shared" si="325"/>
        <v>3</v>
      </c>
      <c r="D702" s="74">
        <f t="shared" si="308"/>
        <v>2</v>
      </c>
      <c r="E702" s="75">
        <f t="shared" si="309"/>
        <v>33</v>
      </c>
      <c r="F702" s="79"/>
      <c r="G702" s="82"/>
      <c r="H702" s="68" t="str">
        <f t="shared" si="326"/>
        <v>Hyprev6_20201203_02_00</v>
      </c>
      <c r="I702" s="69">
        <f t="shared" si="330"/>
        <v>1</v>
      </c>
      <c r="J702" s="76" t="str">
        <f t="shared" si="330"/>
        <v>Hypericum</v>
      </c>
      <c r="K702" s="76" t="str">
        <f t="shared" si="330"/>
        <v>revolutum</v>
      </c>
      <c r="L702" s="77">
        <f t="shared" si="330"/>
        <v>6</v>
      </c>
      <c r="M702" s="77">
        <f t="shared" si="330"/>
        <v>1</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Dec</v>
      </c>
      <c r="C703" s="73">
        <f t="shared" si="325"/>
        <v>3</v>
      </c>
      <c r="D703" s="74">
        <f t="shared" si="308"/>
        <v>2</v>
      </c>
      <c r="E703" s="75">
        <f t="shared" si="309"/>
        <v>34</v>
      </c>
      <c r="F703" s="79"/>
      <c r="G703" s="82"/>
      <c r="H703" s="68" t="str">
        <f t="shared" si="326"/>
        <v>Hyprev6_20201203_02_00</v>
      </c>
      <c r="I703" s="69">
        <f t="shared" si="330"/>
        <v>1</v>
      </c>
      <c r="J703" s="76" t="str">
        <f t="shared" si="330"/>
        <v>Hypericum</v>
      </c>
      <c r="K703" s="76" t="str">
        <f t="shared" si="330"/>
        <v>revolutum</v>
      </c>
      <c r="L703" s="77">
        <f t="shared" si="330"/>
        <v>6</v>
      </c>
      <c r="M703" s="77">
        <f t="shared" si="330"/>
        <v>1</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Dec</v>
      </c>
      <c r="C704" s="73">
        <f t="shared" si="325"/>
        <v>3</v>
      </c>
      <c r="D704" s="74">
        <f t="shared" si="308"/>
        <v>2</v>
      </c>
      <c r="E704" s="75">
        <f t="shared" si="309"/>
        <v>35</v>
      </c>
      <c r="F704" s="79"/>
      <c r="G704" s="82"/>
      <c r="H704" s="68" t="str">
        <f t="shared" si="326"/>
        <v>Hyprev6_20201203_02_00</v>
      </c>
      <c r="I704" s="69">
        <f t="shared" si="330"/>
        <v>1</v>
      </c>
      <c r="J704" s="76" t="str">
        <f t="shared" si="330"/>
        <v>Hypericum</v>
      </c>
      <c r="K704" s="76" t="str">
        <f t="shared" si="330"/>
        <v>revolutum</v>
      </c>
      <c r="L704" s="77">
        <f t="shared" si="330"/>
        <v>6</v>
      </c>
      <c r="M704" s="77">
        <f t="shared" si="330"/>
        <v>1</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Dec</v>
      </c>
      <c r="C705" s="73">
        <f t="shared" si="325"/>
        <v>3</v>
      </c>
      <c r="D705" s="74">
        <f t="shared" si="308"/>
        <v>2</v>
      </c>
      <c r="E705" s="75">
        <f t="shared" si="309"/>
        <v>36</v>
      </c>
      <c r="F705" s="79"/>
      <c r="G705" s="82"/>
      <c r="H705" s="68" t="str">
        <f t="shared" si="326"/>
        <v>Hyprev6_20201203_02_00</v>
      </c>
      <c r="I705" s="69">
        <f t="shared" si="330"/>
        <v>1</v>
      </c>
      <c r="J705" s="76" t="str">
        <f t="shared" si="330"/>
        <v>Hypericum</v>
      </c>
      <c r="K705" s="76" t="str">
        <f t="shared" si="330"/>
        <v>revolutum</v>
      </c>
      <c r="L705" s="77">
        <f t="shared" si="330"/>
        <v>6</v>
      </c>
      <c r="M705" s="77">
        <f t="shared" si="330"/>
        <v>1</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Dec</v>
      </c>
      <c r="C706" s="73">
        <f t="shared" si="325"/>
        <v>3</v>
      </c>
      <c r="D706" s="74">
        <f t="shared" si="308"/>
        <v>2</v>
      </c>
      <c r="E706" s="75">
        <f t="shared" si="309"/>
        <v>37</v>
      </c>
      <c r="F706" s="79"/>
      <c r="G706" s="82"/>
      <c r="H706" s="68" t="str">
        <f t="shared" si="326"/>
        <v>Hyprev6_20201203_02_00</v>
      </c>
      <c r="I706" s="69">
        <f t="shared" si="330"/>
        <v>1</v>
      </c>
      <c r="J706" s="76" t="str">
        <f t="shared" si="330"/>
        <v>Hypericum</v>
      </c>
      <c r="K706" s="76" t="str">
        <f t="shared" si="330"/>
        <v>revolutum</v>
      </c>
      <c r="L706" s="77">
        <f t="shared" si="330"/>
        <v>6</v>
      </c>
      <c r="M706" s="77">
        <f t="shared" si="330"/>
        <v>1</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Dec</v>
      </c>
      <c r="C707" s="73">
        <f t="shared" si="325"/>
        <v>3</v>
      </c>
      <c r="D707" s="74">
        <f t="shared" si="308"/>
        <v>2</v>
      </c>
      <c r="E707" s="75">
        <f t="shared" si="309"/>
        <v>38</v>
      </c>
      <c r="F707" s="79"/>
      <c r="G707" s="82"/>
      <c r="H707" s="68" t="str">
        <f t="shared" si="326"/>
        <v>Hyprev6_20201203_02_00</v>
      </c>
      <c r="I707" s="69">
        <f t="shared" si="330"/>
        <v>1</v>
      </c>
      <c r="J707" s="76" t="str">
        <f t="shared" si="330"/>
        <v>Hypericum</v>
      </c>
      <c r="K707" s="76" t="str">
        <f t="shared" si="330"/>
        <v>revolutum</v>
      </c>
      <c r="L707" s="77">
        <f t="shared" si="330"/>
        <v>6</v>
      </c>
      <c r="M707" s="77">
        <f t="shared" si="330"/>
        <v>1</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Dec</v>
      </c>
      <c r="C708" s="73">
        <f t="shared" si="325"/>
        <v>3</v>
      </c>
      <c r="D708" s="74">
        <f t="shared" ref="D708:D771" si="338">IF(IF(E707=59,D707+1,D707)=24,0,IF(E707=59,D707+1,D707))</f>
        <v>2</v>
      </c>
      <c r="E708" s="75">
        <f t="shared" ref="E708:E771" si="339">IF(E707&lt;59,E707+1,0)</f>
        <v>39</v>
      </c>
      <c r="F708" s="79"/>
      <c r="G708" s="82"/>
      <c r="H708" s="68" t="str">
        <f t="shared" si="326"/>
        <v>Hyprev6_20201203_02_00</v>
      </c>
      <c r="I708" s="69">
        <f t="shared" si="330"/>
        <v>1</v>
      </c>
      <c r="J708" s="76" t="str">
        <f t="shared" si="330"/>
        <v>Hypericum</v>
      </c>
      <c r="K708" s="76" t="str">
        <f t="shared" si="330"/>
        <v>revolutum</v>
      </c>
      <c r="L708" s="77">
        <f t="shared" si="330"/>
        <v>6</v>
      </c>
      <c r="M708" s="77">
        <f t="shared" si="330"/>
        <v>1</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Dec</v>
      </c>
      <c r="C709" s="73">
        <f t="shared" ref="C709:C772" si="355">IF(AND(D709=0, E709=0), IF(TEXT(C708,"dd")=TEXT(EOMONTH(DATE(A708,MONTH(DATEVALUE(B708&amp;"1")),C708),0), "dd"), 1, C708+1), C708)</f>
        <v>3</v>
      </c>
      <c r="D709" s="74">
        <f t="shared" si="338"/>
        <v>2</v>
      </c>
      <c r="E709" s="75">
        <f t="shared" si="339"/>
        <v>40</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Hyprev6_20201203_02_00</v>
      </c>
      <c r="I709" s="69">
        <f t="shared" ref="I709:N724" si="357">I708</f>
        <v>1</v>
      </c>
      <c r="J709" s="76" t="str">
        <f t="shared" si="357"/>
        <v>Hypericum</v>
      </c>
      <c r="K709" s="76" t="str">
        <f t="shared" si="357"/>
        <v>revolutum</v>
      </c>
      <c r="L709" s="77">
        <f t="shared" si="357"/>
        <v>6</v>
      </c>
      <c r="M709" s="77">
        <f t="shared" si="357"/>
        <v>1</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Dec</v>
      </c>
      <c r="C710" s="73">
        <f t="shared" si="355"/>
        <v>3</v>
      </c>
      <c r="D710" s="74">
        <f t="shared" si="338"/>
        <v>2</v>
      </c>
      <c r="E710" s="75">
        <f t="shared" si="339"/>
        <v>41</v>
      </c>
      <c r="F710" s="79"/>
      <c r="G710" s="82"/>
      <c r="H710" s="68" t="str">
        <f t="shared" si="356"/>
        <v>Hyprev6_20201203_02_00</v>
      </c>
      <c r="I710" s="69">
        <f t="shared" si="357"/>
        <v>1</v>
      </c>
      <c r="J710" s="76" t="str">
        <f t="shared" si="357"/>
        <v>Hypericum</v>
      </c>
      <c r="K710" s="76" t="str">
        <f t="shared" si="357"/>
        <v>revolutum</v>
      </c>
      <c r="L710" s="77">
        <f t="shared" si="357"/>
        <v>6</v>
      </c>
      <c r="M710" s="77">
        <f t="shared" si="357"/>
        <v>1</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Dec</v>
      </c>
      <c r="C711" s="73">
        <f t="shared" si="355"/>
        <v>3</v>
      </c>
      <c r="D711" s="74">
        <f t="shared" si="338"/>
        <v>2</v>
      </c>
      <c r="E711" s="75">
        <f t="shared" si="339"/>
        <v>42</v>
      </c>
      <c r="F711" s="79"/>
      <c r="G711" s="82"/>
      <c r="H711" s="68" t="str">
        <f t="shared" si="356"/>
        <v>Hyprev6_20201203_02_00</v>
      </c>
      <c r="I711" s="69">
        <f t="shared" si="357"/>
        <v>1</v>
      </c>
      <c r="J711" s="76" t="str">
        <f t="shared" si="357"/>
        <v>Hypericum</v>
      </c>
      <c r="K711" s="76" t="str">
        <f t="shared" si="357"/>
        <v>revolutum</v>
      </c>
      <c r="L711" s="77">
        <f t="shared" si="357"/>
        <v>6</v>
      </c>
      <c r="M711" s="77">
        <f t="shared" si="357"/>
        <v>1</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Dec</v>
      </c>
      <c r="C712" s="73">
        <f t="shared" si="355"/>
        <v>3</v>
      </c>
      <c r="D712" s="74">
        <f t="shared" si="338"/>
        <v>2</v>
      </c>
      <c r="E712" s="75">
        <f t="shared" si="339"/>
        <v>43</v>
      </c>
      <c r="F712" s="79"/>
      <c r="G712" s="82"/>
      <c r="H712" s="68" t="str">
        <f t="shared" si="356"/>
        <v>Hyprev6_20201203_02_00</v>
      </c>
      <c r="I712" s="69">
        <f t="shared" si="357"/>
        <v>1</v>
      </c>
      <c r="J712" s="76" t="str">
        <f t="shared" si="357"/>
        <v>Hypericum</v>
      </c>
      <c r="K712" s="76" t="str">
        <f t="shared" si="357"/>
        <v>revolutum</v>
      </c>
      <c r="L712" s="77">
        <f t="shared" si="357"/>
        <v>6</v>
      </c>
      <c r="M712" s="77">
        <f t="shared" si="357"/>
        <v>1</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Dec</v>
      </c>
      <c r="C713" s="73">
        <f t="shared" si="355"/>
        <v>3</v>
      </c>
      <c r="D713" s="74">
        <f t="shared" si="338"/>
        <v>2</v>
      </c>
      <c r="E713" s="75">
        <f t="shared" si="339"/>
        <v>44</v>
      </c>
      <c r="F713" s="79"/>
      <c r="G713" s="82"/>
      <c r="H713" s="68" t="str">
        <f t="shared" si="356"/>
        <v>Hyprev6_20201203_02_00</v>
      </c>
      <c r="I713" s="69">
        <f t="shared" si="357"/>
        <v>1</v>
      </c>
      <c r="J713" s="76" t="str">
        <f t="shared" si="357"/>
        <v>Hypericum</v>
      </c>
      <c r="K713" s="76" t="str">
        <f t="shared" si="357"/>
        <v>revolutum</v>
      </c>
      <c r="L713" s="77">
        <f t="shared" si="357"/>
        <v>6</v>
      </c>
      <c r="M713" s="77">
        <f t="shared" si="357"/>
        <v>1</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Dec</v>
      </c>
      <c r="C714" s="73">
        <f t="shared" si="355"/>
        <v>3</v>
      </c>
      <c r="D714" s="74">
        <f t="shared" si="338"/>
        <v>2</v>
      </c>
      <c r="E714" s="75">
        <f t="shared" si="339"/>
        <v>45</v>
      </c>
      <c r="F714" s="79"/>
      <c r="G714" s="82"/>
      <c r="H714" s="68" t="str">
        <f t="shared" si="356"/>
        <v>Hyprev6_20201203_02_00</v>
      </c>
      <c r="I714" s="69">
        <f t="shared" si="357"/>
        <v>1</v>
      </c>
      <c r="J714" s="76" t="str">
        <f t="shared" si="357"/>
        <v>Hypericum</v>
      </c>
      <c r="K714" s="76" t="str">
        <f t="shared" si="357"/>
        <v>revolutum</v>
      </c>
      <c r="L714" s="77">
        <f t="shared" si="357"/>
        <v>6</v>
      </c>
      <c r="M714" s="77">
        <f t="shared" si="357"/>
        <v>1</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Dec</v>
      </c>
      <c r="C715" s="73">
        <f t="shared" si="355"/>
        <v>3</v>
      </c>
      <c r="D715" s="74">
        <f t="shared" si="338"/>
        <v>2</v>
      </c>
      <c r="E715" s="75">
        <f t="shared" si="339"/>
        <v>46</v>
      </c>
      <c r="F715" s="79"/>
      <c r="G715" s="82"/>
      <c r="H715" s="68" t="str">
        <f t="shared" si="356"/>
        <v>Hyprev6_20201203_02_00</v>
      </c>
      <c r="I715" s="69">
        <f t="shared" si="357"/>
        <v>1</v>
      </c>
      <c r="J715" s="76" t="str">
        <f t="shared" si="357"/>
        <v>Hypericum</v>
      </c>
      <c r="K715" s="76" t="str">
        <f t="shared" si="357"/>
        <v>revolutum</v>
      </c>
      <c r="L715" s="77">
        <f t="shared" si="357"/>
        <v>6</v>
      </c>
      <c r="M715" s="77">
        <f t="shared" si="357"/>
        <v>1</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Dec</v>
      </c>
      <c r="C716" s="73">
        <f t="shared" si="355"/>
        <v>3</v>
      </c>
      <c r="D716" s="74">
        <f t="shared" si="338"/>
        <v>2</v>
      </c>
      <c r="E716" s="75">
        <f t="shared" si="339"/>
        <v>47</v>
      </c>
      <c r="F716" s="79"/>
      <c r="G716" s="82"/>
      <c r="H716" s="68" t="str">
        <f t="shared" si="356"/>
        <v>Hyprev6_20201203_02_00</v>
      </c>
      <c r="I716" s="69">
        <f t="shared" si="357"/>
        <v>1</v>
      </c>
      <c r="J716" s="76" t="str">
        <f t="shared" si="357"/>
        <v>Hypericum</v>
      </c>
      <c r="K716" s="76" t="str">
        <f t="shared" si="357"/>
        <v>revolutum</v>
      </c>
      <c r="L716" s="77">
        <f t="shared" si="357"/>
        <v>6</v>
      </c>
      <c r="M716" s="77">
        <f t="shared" si="357"/>
        <v>1</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Dec</v>
      </c>
      <c r="C717" s="73">
        <f t="shared" si="355"/>
        <v>3</v>
      </c>
      <c r="D717" s="74">
        <f t="shared" si="338"/>
        <v>2</v>
      </c>
      <c r="E717" s="75">
        <f t="shared" si="339"/>
        <v>48</v>
      </c>
      <c r="F717" s="79"/>
      <c r="G717" s="82"/>
      <c r="H717" s="68" t="str">
        <f t="shared" si="356"/>
        <v>Hyprev6_20201203_02_00</v>
      </c>
      <c r="I717" s="69">
        <f t="shared" si="357"/>
        <v>1</v>
      </c>
      <c r="J717" s="76" t="str">
        <f t="shared" si="357"/>
        <v>Hypericum</v>
      </c>
      <c r="K717" s="76" t="str">
        <f t="shared" si="357"/>
        <v>revolutum</v>
      </c>
      <c r="L717" s="77">
        <f t="shared" si="357"/>
        <v>6</v>
      </c>
      <c r="M717" s="77">
        <f t="shared" si="357"/>
        <v>1</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Dec</v>
      </c>
      <c r="C718" s="73">
        <f t="shared" si="355"/>
        <v>3</v>
      </c>
      <c r="D718" s="74">
        <f t="shared" si="338"/>
        <v>2</v>
      </c>
      <c r="E718" s="75">
        <f t="shared" si="339"/>
        <v>49</v>
      </c>
      <c r="F718" s="79"/>
      <c r="G718" s="82"/>
      <c r="H718" s="68" t="str">
        <f t="shared" si="356"/>
        <v>Hyprev6_20201203_02_00</v>
      </c>
      <c r="I718" s="69">
        <f t="shared" si="357"/>
        <v>1</v>
      </c>
      <c r="J718" s="76" t="str">
        <f t="shared" si="357"/>
        <v>Hypericum</v>
      </c>
      <c r="K718" s="76" t="str">
        <f t="shared" si="357"/>
        <v>revolutum</v>
      </c>
      <c r="L718" s="77">
        <f t="shared" si="357"/>
        <v>6</v>
      </c>
      <c r="M718" s="77">
        <f t="shared" si="357"/>
        <v>1</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Dec</v>
      </c>
      <c r="C719" s="73">
        <f t="shared" si="355"/>
        <v>3</v>
      </c>
      <c r="D719" s="74">
        <f t="shared" si="338"/>
        <v>2</v>
      </c>
      <c r="E719" s="75">
        <f t="shared" si="339"/>
        <v>50</v>
      </c>
      <c r="F719" s="79"/>
      <c r="G719" s="82"/>
      <c r="H719" s="68" t="str">
        <f t="shared" si="356"/>
        <v>Hyprev6_20201203_02_00</v>
      </c>
      <c r="I719" s="69">
        <f t="shared" si="357"/>
        <v>1</v>
      </c>
      <c r="J719" s="76" t="str">
        <f t="shared" si="357"/>
        <v>Hypericum</v>
      </c>
      <c r="K719" s="76" t="str">
        <f t="shared" si="357"/>
        <v>revolutum</v>
      </c>
      <c r="L719" s="77">
        <f t="shared" si="357"/>
        <v>6</v>
      </c>
      <c r="M719" s="77">
        <f t="shared" si="357"/>
        <v>1</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Dec</v>
      </c>
      <c r="C720" s="73">
        <f t="shared" si="355"/>
        <v>3</v>
      </c>
      <c r="D720" s="74">
        <f t="shared" si="338"/>
        <v>2</v>
      </c>
      <c r="E720" s="75">
        <f t="shared" si="339"/>
        <v>51</v>
      </c>
      <c r="F720" s="79"/>
      <c r="G720" s="82"/>
      <c r="H720" s="68" t="str">
        <f t="shared" si="356"/>
        <v>Hyprev6_20201203_02_00</v>
      </c>
      <c r="I720" s="69">
        <f t="shared" si="357"/>
        <v>1</v>
      </c>
      <c r="J720" s="76" t="str">
        <f t="shared" si="357"/>
        <v>Hypericum</v>
      </c>
      <c r="K720" s="76" t="str">
        <f t="shared" si="357"/>
        <v>revolutum</v>
      </c>
      <c r="L720" s="77">
        <f t="shared" si="357"/>
        <v>6</v>
      </c>
      <c r="M720" s="77">
        <f t="shared" si="357"/>
        <v>1</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Dec</v>
      </c>
      <c r="C721" s="73">
        <f t="shared" si="355"/>
        <v>3</v>
      </c>
      <c r="D721" s="74">
        <f t="shared" si="338"/>
        <v>2</v>
      </c>
      <c r="E721" s="75">
        <f t="shared" si="339"/>
        <v>52</v>
      </c>
      <c r="F721" s="79"/>
      <c r="G721" s="82"/>
      <c r="H721" s="68" t="str">
        <f t="shared" si="356"/>
        <v>Hyprev6_20201203_02_00</v>
      </c>
      <c r="I721" s="69">
        <f t="shared" si="357"/>
        <v>1</v>
      </c>
      <c r="J721" s="76" t="str">
        <f t="shared" si="357"/>
        <v>Hypericum</v>
      </c>
      <c r="K721" s="76" t="str">
        <f t="shared" si="357"/>
        <v>revolutum</v>
      </c>
      <c r="L721" s="77">
        <f t="shared" si="357"/>
        <v>6</v>
      </c>
      <c r="M721" s="77">
        <f t="shared" si="357"/>
        <v>1</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Dec</v>
      </c>
      <c r="C722" s="73">
        <f t="shared" si="355"/>
        <v>3</v>
      </c>
      <c r="D722" s="74">
        <f t="shared" si="338"/>
        <v>2</v>
      </c>
      <c r="E722" s="75">
        <f t="shared" si="339"/>
        <v>53</v>
      </c>
      <c r="F722" s="79"/>
      <c r="G722" s="82"/>
      <c r="H722" s="68" t="str">
        <f t="shared" si="356"/>
        <v>Hyprev6_20201203_02_00</v>
      </c>
      <c r="I722" s="69">
        <f t="shared" si="357"/>
        <v>1</v>
      </c>
      <c r="J722" s="76" t="str">
        <f t="shared" si="357"/>
        <v>Hypericum</v>
      </c>
      <c r="K722" s="76" t="str">
        <f t="shared" si="357"/>
        <v>revolutum</v>
      </c>
      <c r="L722" s="77">
        <f t="shared" si="357"/>
        <v>6</v>
      </c>
      <c r="M722" s="77">
        <f t="shared" si="357"/>
        <v>1</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Dec</v>
      </c>
      <c r="C723" s="73">
        <f t="shared" si="355"/>
        <v>3</v>
      </c>
      <c r="D723" s="74">
        <f t="shared" si="338"/>
        <v>2</v>
      </c>
      <c r="E723" s="75">
        <f t="shared" si="339"/>
        <v>54</v>
      </c>
      <c r="F723" s="79"/>
      <c r="G723" s="82"/>
      <c r="H723" s="68" t="str">
        <f t="shared" si="356"/>
        <v>Hyprev6_20201203_02_00</v>
      </c>
      <c r="I723" s="69">
        <f t="shared" si="357"/>
        <v>1</v>
      </c>
      <c r="J723" s="76" t="str">
        <f t="shared" si="357"/>
        <v>Hypericum</v>
      </c>
      <c r="K723" s="76" t="str">
        <f t="shared" si="357"/>
        <v>revolutum</v>
      </c>
      <c r="L723" s="77">
        <f t="shared" si="357"/>
        <v>6</v>
      </c>
      <c r="M723" s="77">
        <f t="shared" si="357"/>
        <v>1</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Dec</v>
      </c>
      <c r="C724" s="73">
        <f t="shared" si="355"/>
        <v>3</v>
      </c>
      <c r="D724" s="74">
        <f t="shared" si="338"/>
        <v>2</v>
      </c>
      <c r="E724" s="75">
        <f t="shared" si="339"/>
        <v>55</v>
      </c>
      <c r="F724" s="79"/>
      <c r="G724" s="82"/>
      <c r="H724" s="68" t="str">
        <f t="shared" si="356"/>
        <v>Hyprev6_20201203_02_00</v>
      </c>
      <c r="I724" s="69">
        <f t="shared" si="357"/>
        <v>1</v>
      </c>
      <c r="J724" s="76" t="str">
        <f t="shared" si="357"/>
        <v>Hypericum</v>
      </c>
      <c r="K724" s="76" t="str">
        <f t="shared" si="357"/>
        <v>revolutum</v>
      </c>
      <c r="L724" s="77">
        <f t="shared" si="357"/>
        <v>6</v>
      </c>
      <c r="M724" s="77">
        <f t="shared" si="357"/>
        <v>1</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Dec</v>
      </c>
      <c r="C725" s="73">
        <f t="shared" si="355"/>
        <v>3</v>
      </c>
      <c r="D725" s="74">
        <f t="shared" si="338"/>
        <v>2</v>
      </c>
      <c r="E725" s="75">
        <f t="shared" si="339"/>
        <v>56</v>
      </c>
      <c r="F725" s="79"/>
      <c r="G725" s="82"/>
      <c r="H725" s="68" t="str">
        <f t="shared" si="356"/>
        <v>Hyprev6_20201203_02_00</v>
      </c>
      <c r="I725" s="69">
        <f t="shared" ref="I725:N740" si="358">I724</f>
        <v>1</v>
      </c>
      <c r="J725" s="76" t="str">
        <f t="shared" si="358"/>
        <v>Hypericum</v>
      </c>
      <c r="K725" s="76" t="str">
        <f t="shared" si="358"/>
        <v>revolutum</v>
      </c>
      <c r="L725" s="77">
        <f t="shared" si="358"/>
        <v>6</v>
      </c>
      <c r="M725" s="77">
        <f t="shared" si="358"/>
        <v>1</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Dec</v>
      </c>
      <c r="C726" s="73">
        <f t="shared" si="355"/>
        <v>3</v>
      </c>
      <c r="D726" s="74">
        <f t="shared" si="338"/>
        <v>2</v>
      </c>
      <c r="E726" s="75">
        <f t="shared" si="339"/>
        <v>57</v>
      </c>
      <c r="F726" s="79"/>
      <c r="G726" s="82"/>
      <c r="H726" s="68" t="str">
        <f t="shared" si="356"/>
        <v>Hyprev6_20201203_02_00</v>
      </c>
      <c r="I726" s="69">
        <f t="shared" si="358"/>
        <v>1</v>
      </c>
      <c r="J726" s="76" t="str">
        <f t="shared" si="358"/>
        <v>Hypericum</v>
      </c>
      <c r="K726" s="76" t="str">
        <f t="shared" si="358"/>
        <v>revolutum</v>
      </c>
      <c r="L726" s="77">
        <f t="shared" si="358"/>
        <v>6</v>
      </c>
      <c r="M726" s="77">
        <f t="shared" si="358"/>
        <v>1</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Dec</v>
      </c>
      <c r="C727" s="73">
        <f t="shared" si="355"/>
        <v>3</v>
      </c>
      <c r="D727" s="74">
        <f t="shared" si="338"/>
        <v>2</v>
      </c>
      <c r="E727" s="75">
        <f t="shared" si="339"/>
        <v>58</v>
      </c>
      <c r="F727" s="79"/>
      <c r="G727" s="82"/>
      <c r="H727" s="68" t="str">
        <f t="shared" si="356"/>
        <v>Hyprev6_20201203_02_00</v>
      </c>
      <c r="I727" s="69">
        <f t="shared" si="358"/>
        <v>1</v>
      </c>
      <c r="J727" s="76" t="str">
        <f t="shared" si="358"/>
        <v>Hypericum</v>
      </c>
      <c r="K727" s="76" t="str">
        <f t="shared" si="358"/>
        <v>revolutum</v>
      </c>
      <c r="L727" s="77">
        <f t="shared" si="358"/>
        <v>6</v>
      </c>
      <c r="M727" s="77">
        <f t="shared" si="358"/>
        <v>1</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Dec</v>
      </c>
      <c r="C728" s="73">
        <f t="shared" si="355"/>
        <v>3</v>
      </c>
      <c r="D728" s="74">
        <f t="shared" si="338"/>
        <v>2</v>
      </c>
      <c r="E728" s="75">
        <f t="shared" si="339"/>
        <v>59</v>
      </c>
      <c r="F728" s="79"/>
      <c r="G728" s="82"/>
      <c r="H728" s="68" t="str">
        <f t="shared" si="356"/>
        <v>Hyprev6_20201203_02_00</v>
      </c>
      <c r="I728" s="69">
        <f t="shared" si="358"/>
        <v>1</v>
      </c>
      <c r="J728" s="76" t="str">
        <f t="shared" si="358"/>
        <v>Hypericum</v>
      </c>
      <c r="K728" s="76" t="str">
        <f t="shared" si="358"/>
        <v>revolutum</v>
      </c>
      <c r="L728" s="77">
        <f t="shared" si="358"/>
        <v>6</v>
      </c>
      <c r="M728" s="77">
        <f t="shared" si="358"/>
        <v>1</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Dec</v>
      </c>
      <c r="C729" s="73">
        <f t="shared" si="355"/>
        <v>3</v>
      </c>
      <c r="D729" s="74">
        <f t="shared" si="338"/>
        <v>3</v>
      </c>
      <c r="E729" s="75">
        <f t="shared" si="339"/>
        <v>0</v>
      </c>
      <c r="F729" s="79"/>
      <c r="G729" s="82"/>
      <c r="H729" s="68" t="str">
        <f t="shared" si="356"/>
        <v>Hyprev6_20201203_03_00</v>
      </c>
      <c r="I729" s="69">
        <f t="shared" si="358"/>
        <v>1</v>
      </c>
      <c r="J729" s="76" t="str">
        <f t="shared" si="358"/>
        <v>Hypericum</v>
      </c>
      <c r="K729" s="76" t="str">
        <f t="shared" si="358"/>
        <v>revolutum</v>
      </c>
      <c r="L729" s="77">
        <f t="shared" si="358"/>
        <v>6</v>
      </c>
      <c r="M729" s="77">
        <f t="shared" si="358"/>
        <v>1</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Dec</v>
      </c>
      <c r="C730" s="73">
        <f t="shared" si="355"/>
        <v>3</v>
      </c>
      <c r="D730" s="74">
        <f t="shared" si="338"/>
        <v>3</v>
      </c>
      <c r="E730" s="75">
        <f t="shared" si="339"/>
        <v>1</v>
      </c>
      <c r="F730" s="79"/>
      <c r="G730" s="82"/>
      <c r="H730" s="68" t="str">
        <f t="shared" si="356"/>
        <v>Hyprev6_20201203_03_00</v>
      </c>
      <c r="I730" s="69">
        <f t="shared" si="358"/>
        <v>1</v>
      </c>
      <c r="J730" s="76" t="str">
        <f t="shared" si="358"/>
        <v>Hypericum</v>
      </c>
      <c r="K730" s="76" t="str">
        <f t="shared" si="358"/>
        <v>revolutum</v>
      </c>
      <c r="L730" s="77">
        <f t="shared" si="358"/>
        <v>6</v>
      </c>
      <c r="M730" s="77">
        <f t="shared" si="358"/>
        <v>1</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Dec</v>
      </c>
      <c r="C731" s="73">
        <f t="shared" si="355"/>
        <v>3</v>
      </c>
      <c r="D731" s="74">
        <f t="shared" si="338"/>
        <v>3</v>
      </c>
      <c r="E731" s="75">
        <f t="shared" si="339"/>
        <v>2</v>
      </c>
      <c r="F731" s="79"/>
      <c r="G731" s="82"/>
      <c r="H731" s="68" t="str">
        <f t="shared" si="356"/>
        <v>Hyprev6_20201203_03_00</v>
      </c>
      <c r="I731" s="69">
        <f t="shared" si="358"/>
        <v>1</v>
      </c>
      <c r="J731" s="76" t="str">
        <f t="shared" si="358"/>
        <v>Hypericum</v>
      </c>
      <c r="K731" s="76" t="str">
        <f t="shared" si="358"/>
        <v>revolutum</v>
      </c>
      <c r="L731" s="77">
        <f t="shared" si="358"/>
        <v>6</v>
      </c>
      <c r="M731" s="77">
        <f t="shared" si="358"/>
        <v>1</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Dec</v>
      </c>
      <c r="C732" s="73">
        <f t="shared" si="355"/>
        <v>3</v>
      </c>
      <c r="D732" s="74">
        <f t="shared" si="338"/>
        <v>3</v>
      </c>
      <c r="E732" s="75">
        <f t="shared" si="339"/>
        <v>3</v>
      </c>
      <c r="F732" s="79"/>
      <c r="G732" s="82"/>
      <c r="H732" s="68" t="str">
        <f t="shared" si="356"/>
        <v>Hyprev6_20201203_03_00</v>
      </c>
      <c r="I732" s="69">
        <f t="shared" si="358"/>
        <v>1</v>
      </c>
      <c r="J732" s="76" t="str">
        <f t="shared" si="358"/>
        <v>Hypericum</v>
      </c>
      <c r="K732" s="76" t="str">
        <f t="shared" si="358"/>
        <v>revolutum</v>
      </c>
      <c r="L732" s="77">
        <f t="shared" si="358"/>
        <v>6</v>
      </c>
      <c r="M732" s="77">
        <f t="shared" si="358"/>
        <v>1</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Dec</v>
      </c>
      <c r="C733" s="73">
        <f t="shared" si="355"/>
        <v>3</v>
      </c>
      <c r="D733" s="74">
        <f t="shared" si="338"/>
        <v>3</v>
      </c>
      <c r="E733" s="75">
        <f t="shared" si="339"/>
        <v>4</v>
      </c>
      <c r="F733" s="79"/>
      <c r="G733" s="82"/>
      <c r="H733" s="68" t="str">
        <f t="shared" si="356"/>
        <v>Hyprev6_20201203_03_00</v>
      </c>
      <c r="I733" s="69">
        <f t="shared" si="358"/>
        <v>1</v>
      </c>
      <c r="J733" s="76" t="str">
        <f t="shared" si="358"/>
        <v>Hypericum</v>
      </c>
      <c r="K733" s="76" t="str">
        <f t="shared" si="358"/>
        <v>revolutum</v>
      </c>
      <c r="L733" s="77">
        <f t="shared" si="358"/>
        <v>6</v>
      </c>
      <c r="M733" s="77">
        <f t="shared" si="358"/>
        <v>1</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Dec</v>
      </c>
      <c r="C734" s="73">
        <f t="shared" si="355"/>
        <v>3</v>
      </c>
      <c r="D734" s="74">
        <f t="shared" si="338"/>
        <v>3</v>
      </c>
      <c r="E734" s="75">
        <f t="shared" si="339"/>
        <v>5</v>
      </c>
      <c r="F734" s="79"/>
      <c r="G734" s="82"/>
      <c r="H734" s="68" t="str">
        <f t="shared" si="356"/>
        <v>Hyprev6_20201203_03_00</v>
      </c>
      <c r="I734" s="69">
        <f t="shared" si="358"/>
        <v>1</v>
      </c>
      <c r="J734" s="76" t="str">
        <f t="shared" si="358"/>
        <v>Hypericum</v>
      </c>
      <c r="K734" s="76" t="str">
        <f t="shared" si="358"/>
        <v>revolutum</v>
      </c>
      <c r="L734" s="77">
        <f t="shared" si="358"/>
        <v>6</v>
      </c>
      <c r="M734" s="77">
        <f t="shared" si="358"/>
        <v>1</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Dec</v>
      </c>
      <c r="C735" s="73">
        <f t="shared" si="355"/>
        <v>3</v>
      </c>
      <c r="D735" s="74">
        <f t="shared" si="338"/>
        <v>3</v>
      </c>
      <c r="E735" s="75">
        <f t="shared" si="339"/>
        <v>6</v>
      </c>
      <c r="F735" s="79"/>
      <c r="G735" s="82"/>
      <c r="H735" s="68" t="str">
        <f t="shared" si="356"/>
        <v>Hyprev6_20201203_03_00</v>
      </c>
      <c r="I735" s="69">
        <f t="shared" si="358"/>
        <v>1</v>
      </c>
      <c r="J735" s="76" t="str">
        <f t="shared" si="358"/>
        <v>Hypericum</v>
      </c>
      <c r="K735" s="76" t="str">
        <f t="shared" si="358"/>
        <v>revolutum</v>
      </c>
      <c r="L735" s="77">
        <f t="shared" si="358"/>
        <v>6</v>
      </c>
      <c r="M735" s="77">
        <f t="shared" si="358"/>
        <v>1</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Dec</v>
      </c>
      <c r="C736" s="73">
        <f t="shared" si="355"/>
        <v>3</v>
      </c>
      <c r="D736" s="74">
        <f t="shared" si="338"/>
        <v>3</v>
      </c>
      <c r="E736" s="75">
        <f t="shared" si="339"/>
        <v>7</v>
      </c>
      <c r="F736" s="79"/>
      <c r="G736" s="82"/>
      <c r="H736" s="68" t="str">
        <f t="shared" si="356"/>
        <v>Hyprev6_20201203_03_00</v>
      </c>
      <c r="I736" s="69">
        <f t="shared" si="358"/>
        <v>1</v>
      </c>
      <c r="J736" s="76" t="str">
        <f t="shared" si="358"/>
        <v>Hypericum</v>
      </c>
      <c r="K736" s="76" t="str">
        <f t="shared" si="358"/>
        <v>revolutum</v>
      </c>
      <c r="L736" s="77">
        <f t="shared" si="358"/>
        <v>6</v>
      </c>
      <c r="M736" s="77">
        <f t="shared" si="358"/>
        <v>1</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Dec</v>
      </c>
      <c r="C737" s="73">
        <f t="shared" si="355"/>
        <v>3</v>
      </c>
      <c r="D737" s="74">
        <f t="shared" si="338"/>
        <v>3</v>
      </c>
      <c r="E737" s="75">
        <f t="shared" si="339"/>
        <v>8</v>
      </c>
      <c r="F737" s="79"/>
      <c r="G737" s="82"/>
      <c r="H737" s="68" t="str">
        <f t="shared" si="356"/>
        <v>Hyprev6_20201203_03_00</v>
      </c>
      <c r="I737" s="69">
        <f t="shared" si="358"/>
        <v>1</v>
      </c>
      <c r="J737" s="76" t="str">
        <f t="shared" si="358"/>
        <v>Hypericum</v>
      </c>
      <c r="K737" s="76" t="str">
        <f t="shared" si="358"/>
        <v>revolutum</v>
      </c>
      <c r="L737" s="77">
        <f t="shared" si="358"/>
        <v>6</v>
      </c>
      <c r="M737" s="77">
        <f t="shared" si="358"/>
        <v>1</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Dec</v>
      </c>
      <c r="C738" s="73">
        <f t="shared" si="355"/>
        <v>3</v>
      </c>
      <c r="D738" s="74">
        <f t="shared" si="338"/>
        <v>3</v>
      </c>
      <c r="E738" s="75">
        <f t="shared" si="339"/>
        <v>9</v>
      </c>
      <c r="F738" s="79"/>
      <c r="G738" s="82"/>
      <c r="H738" s="68" t="str">
        <f t="shared" si="356"/>
        <v>Hyprev6_20201203_03_00</v>
      </c>
      <c r="I738" s="69">
        <f t="shared" si="358"/>
        <v>1</v>
      </c>
      <c r="J738" s="76" t="str">
        <f t="shared" si="358"/>
        <v>Hypericum</v>
      </c>
      <c r="K738" s="76" t="str">
        <f t="shared" si="358"/>
        <v>revolutum</v>
      </c>
      <c r="L738" s="77">
        <f t="shared" si="358"/>
        <v>6</v>
      </c>
      <c r="M738" s="77">
        <f t="shared" si="358"/>
        <v>1</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Dec</v>
      </c>
      <c r="C739" s="73">
        <f t="shared" si="355"/>
        <v>3</v>
      </c>
      <c r="D739" s="74">
        <f t="shared" si="338"/>
        <v>3</v>
      </c>
      <c r="E739" s="75">
        <f t="shared" si="339"/>
        <v>10</v>
      </c>
      <c r="F739" s="79"/>
      <c r="G739" s="82"/>
      <c r="H739" s="68" t="str">
        <f t="shared" si="356"/>
        <v>Hyprev6_20201203_03_00</v>
      </c>
      <c r="I739" s="69">
        <f t="shared" si="358"/>
        <v>1</v>
      </c>
      <c r="J739" s="76" t="str">
        <f t="shared" si="358"/>
        <v>Hypericum</v>
      </c>
      <c r="K739" s="76" t="str">
        <f t="shared" si="358"/>
        <v>revolutum</v>
      </c>
      <c r="L739" s="77">
        <f t="shared" si="358"/>
        <v>6</v>
      </c>
      <c r="M739" s="77">
        <f t="shared" si="358"/>
        <v>1</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Dec</v>
      </c>
      <c r="C740" s="73">
        <f t="shared" si="355"/>
        <v>3</v>
      </c>
      <c r="D740" s="74">
        <f t="shared" si="338"/>
        <v>3</v>
      </c>
      <c r="E740" s="75">
        <f t="shared" si="339"/>
        <v>11</v>
      </c>
      <c r="F740" s="79"/>
      <c r="G740" s="82"/>
      <c r="H740" s="68" t="str">
        <f t="shared" si="356"/>
        <v>Hyprev6_20201203_03_00</v>
      </c>
      <c r="I740" s="69">
        <f t="shared" si="358"/>
        <v>1</v>
      </c>
      <c r="J740" s="76" t="str">
        <f t="shared" si="358"/>
        <v>Hypericum</v>
      </c>
      <c r="K740" s="76" t="str">
        <f t="shared" si="358"/>
        <v>revolutum</v>
      </c>
      <c r="L740" s="77">
        <f t="shared" si="358"/>
        <v>6</v>
      </c>
      <c r="M740" s="77">
        <f t="shared" si="358"/>
        <v>1</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Dec</v>
      </c>
      <c r="C741" s="73">
        <f t="shared" si="355"/>
        <v>3</v>
      </c>
      <c r="D741" s="74">
        <f t="shared" si="338"/>
        <v>3</v>
      </c>
      <c r="E741" s="75">
        <f t="shared" si="339"/>
        <v>12</v>
      </c>
      <c r="F741" s="79"/>
      <c r="G741" s="82"/>
      <c r="H741" s="68" t="str">
        <f t="shared" si="356"/>
        <v>Hyprev6_20201203_03_00</v>
      </c>
      <c r="I741" s="69">
        <f t="shared" ref="I741:N756" si="359">I740</f>
        <v>1</v>
      </c>
      <c r="J741" s="76" t="str">
        <f t="shared" si="359"/>
        <v>Hypericum</v>
      </c>
      <c r="K741" s="76" t="str">
        <f t="shared" si="359"/>
        <v>revolutum</v>
      </c>
      <c r="L741" s="77">
        <f t="shared" si="359"/>
        <v>6</v>
      </c>
      <c r="M741" s="77">
        <f t="shared" si="359"/>
        <v>1</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Dec</v>
      </c>
      <c r="C742" s="73">
        <f t="shared" si="355"/>
        <v>3</v>
      </c>
      <c r="D742" s="74">
        <f t="shared" si="338"/>
        <v>3</v>
      </c>
      <c r="E742" s="75">
        <f t="shared" si="339"/>
        <v>13</v>
      </c>
      <c r="F742" s="79"/>
      <c r="G742" s="82"/>
      <c r="H742" s="68" t="str">
        <f t="shared" si="356"/>
        <v>Hyprev6_20201203_03_00</v>
      </c>
      <c r="I742" s="69">
        <f t="shared" si="359"/>
        <v>1</v>
      </c>
      <c r="J742" s="76" t="str">
        <f t="shared" si="359"/>
        <v>Hypericum</v>
      </c>
      <c r="K742" s="76" t="str">
        <f t="shared" si="359"/>
        <v>revolutum</v>
      </c>
      <c r="L742" s="77">
        <f t="shared" si="359"/>
        <v>6</v>
      </c>
      <c r="M742" s="77">
        <f t="shared" si="359"/>
        <v>1</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Dec</v>
      </c>
      <c r="C743" s="73">
        <f t="shared" si="355"/>
        <v>3</v>
      </c>
      <c r="D743" s="74">
        <f t="shared" si="338"/>
        <v>3</v>
      </c>
      <c r="E743" s="75">
        <f t="shared" si="339"/>
        <v>14</v>
      </c>
      <c r="F743" s="79"/>
      <c r="G743" s="82"/>
      <c r="H743" s="68" t="str">
        <f t="shared" si="356"/>
        <v>Hyprev6_20201203_03_00</v>
      </c>
      <c r="I743" s="69">
        <f t="shared" si="359"/>
        <v>1</v>
      </c>
      <c r="J743" s="76" t="str">
        <f t="shared" si="359"/>
        <v>Hypericum</v>
      </c>
      <c r="K743" s="76" t="str">
        <f t="shared" si="359"/>
        <v>revolutum</v>
      </c>
      <c r="L743" s="77">
        <f t="shared" si="359"/>
        <v>6</v>
      </c>
      <c r="M743" s="77">
        <f t="shared" si="359"/>
        <v>1</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Dec</v>
      </c>
      <c r="C744" s="73">
        <f t="shared" si="355"/>
        <v>3</v>
      </c>
      <c r="D744" s="74">
        <f t="shared" si="338"/>
        <v>3</v>
      </c>
      <c r="E744" s="75">
        <f t="shared" si="339"/>
        <v>15</v>
      </c>
      <c r="F744" s="79"/>
      <c r="G744" s="82"/>
      <c r="H744" s="68" t="str">
        <f t="shared" si="356"/>
        <v>Hyprev6_20201203_03_00</v>
      </c>
      <c r="I744" s="69">
        <f t="shared" si="359"/>
        <v>1</v>
      </c>
      <c r="J744" s="76" t="str">
        <f t="shared" si="359"/>
        <v>Hypericum</v>
      </c>
      <c r="K744" s="76" t="str">
        <f t="shared" si="359"/>
        <v>revolutum</v>
      </c>
      <c r="L744" s="77">
        <f t="shared" si="359"/>
        <v>6</v>
      </c>
      <c r="M744" s="77">
        <f t="shared" si="359"/>
        <v>1</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Dec</v>
      </c>
      <c r="C745" s="73">
        <f t="shared" si="355"/>
        <v>3</v>
      </c>
      <c r="D745" s="74">
        <f t="shared" si="338"/>
        <v>3</v>
      </c>
      <c r="E745" s="75">
        <f t="shared" si="339"/>
        <v>16</v>
      </c>
      <c r="F745" s="79"/>
      <c r="G745" s="82"/>
      <c r="H745" s="68" t="str">
        <f t="shared" si="356"/>
        <v>Hyprev6_20201203_03_00</v>
      </c>
      <c r="I745" s="69">
        <f t="shared" si="359"/>
        <v>1</v>
      </c>
      <c r="J745" s="76" t="str">
        <f t="shared" si="359"/>
        <v>Hypericum</v>
      </c>
      <c r="K745" s="76" t="str">
        <f t="shared" si="359"/>
        <v>revolutum</v>
      </c>
      <c r="L745" s="77">
        <f t="shared" si="359"/>
        <v>6</v>
      </c>
      <c r="M745" s="77">
        <f t="shared" si="359"/>
        <v>1</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Dec</v>
      </c>
      <c r="C746" s="73">
        <f t="shared" si="355"/>
        <v>3</v>
      </c>
      <c r="D746" s="74">
        <f t="shared" si="338"/>
        <v>3</v>
      </c>
      <c r="E746" s="75">
        <f t="shared" si="339"/>
        <v>17</v>
      </c>
      <c r="F746" s="79"/>
      <c r="G746" s="82"/>
      <c r="H746" s="68" t="str">
        <f t="shared" si="356"/>
        <v>Hyprev6_20201203_03_00</v>
      </c>
      <c r="I746" s="69">
        <f t="shared" si="359"/>
        <v>1</v>
      </c>
      <c r="J746" s="76" t="str">
        <f t="shared" si="359"/>
        <v>Hypericum</v>
      </c>
      <c r="K746" s="76" t="str">
        <f t="shared" si="359"/>
        <v>revolutum</v>
      </c>
      <c r="L746" s="77">
        <f t="shared" si="359"/>
        <v>6</v>
      </c>
      <c r="M746" s="77">
        <f t="shared" si="359"/>
        <v>1</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Dec</v>
      </c>
      <c r="C747" s="73">
        <f t="shared" si="355"/>
        <v>3</v>
      </c>
      <c r="D747" s="74">
        <f t="shared" si="338"/>
        <v>3</v>
      </c>
      <c r="E747" s="75">
        <f t="shared" si="339"/>
        <v>18</v>
      </c>
      <c r="F747" s="79"/>
      <c r="G747" s="82"/>
      <c r="H747" s="68" t="str">
        <f t="shared" si="356"/>
        <v>Hyprev6_20201203_03_00</v>
      </c>
      <c r="I747" s="69">
        <f t="shared" si="359"/>
        <v>1</v>
      </c>
      <c r="J747" s="76" t="str">
        <f t="shared" si="359"/>
        <v>Hypericum</v>
      </c>
      <c r="K747" s="76" t="str">
        <f t="shared" si="359"/>
        <v>revolutum</v>
      </c>
      <c r="L747" s="77">
        <f t="shared" si="359"/>
        <v>6</v>
      </c>
      <c r="M747" s="77">
        <f t="shared" si="359"/>
        <v>1</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Dec</v>
      </c>
      <c r="C748" s="73">
        <f t="shared" si="355"/>
        <v>3</v>
      </c>
      <c r="D748" s="74">
        <f t="shared" si="338"/>
        <v>3</v>
      </c>
      <c r="E748" s="75">
        <f t="shared" si="339"/>
        <v>19</v>
      </c>
      <c r="F748" s="79"/>
      <c r="G748" s="82"/>
      <c r="H748" s="68" t="str">
        <f t="shared" si="356"/>
        <v>Hyprev6_20201203_03_00</v>
      </c>
      <c r="I748" s="69">
        <f t="shared" si="359"/>
        <v>1</v>
      </c>
      <c r="J748" s="76" t="str">
        <f t="shared" si="359"/>
        <v>Hypericum</v>
      </c>
      <c r="K748" s="76" t="str">
        <f t="shared" si="359"/>
        <v>revolutum</v>
      </c>
      <c r="L748" s="77">
        <f t="shared" si="359"/>
        <v>6</v>
      </c>
      <c r="M748" s="77">
        <f t="shared" si="359"/>
        <v>1</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Dec</v>
      </c>
      <c r="C749" s="73">
        <f t="shared" si="355"/>
        <v>3</v>
      </c>
      <c r="D749" s="74">
        <f t="shared" si="338"/>
        <v>3</v>
      </c>
      <c r="E749" s="75">
        <f t="shared" si="339"/>
        <v>20</v>
      </c>
      <c r="F749" s="79"/>
      <c r="G749" s="82"/>
      <c r="H749" s="68" t="str">
        <f t="shared" si="356"/>
        <v>Hyprev6_20201203_03_00</v>
      </c>
      <c r="I749" s="69">
        <f t="shared" si="359"/>
        <v>1</v>
      </c>
      <c r="J749" s="76" t="str">
        <f t="shared" si="359"/>
        <v>Hypericum</v>
      </c>
      <c r="K749" s="76" t="str">
        <f t="shared" si="359"/>
        <v>revolutum</v>
      </c>
      <c r="L749" s="77">
        <f t="shared" si="359"/>
        <v>6</v>
      </c>
      <c r="M749" s="77">
        <f t="shared" si="359"/>
        <v>1</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Dec</v>
      </c>
      <c r="C750" s="73">
        <f t="shared" si="355"/>
        <v>3</v>
      </c>
      <c r="D750" s="74">
        <f t="shared" si="338"/>
        <v>3</v>
      </c>
      <c r="E750" s="75">
        <f t="shared" si="339"/>
        <v>21</v>
      </c>
      <c r="F750" s="79"/>
      <c r="G750" s="82"/>
      <c r="H750" s="68" t="str">
        <f t="shared" si="356"/>
        <v>Hyprev6_20201203_03_00</v>
      </c>
      <c r="I750" s="69">
        <f t="shared" si="359"/>
        <v>1</v>
      </c>
      <c r="J750" s="76" t="str">
        <f t="shared" si="359"/>
        <v>Hypericum</v>
      </c>
      <c r="K750" s="76" t="str">
        <f t="shared" si="359"/>
        <v>revolutum</v>
      </c>
      <c r="L750" s="77">
        <f t="shared" si="359"/>
        <v>6</v>
      </c>
      <c r="M750" s="77">
        <f t="shared" si="359"/>
        <v>1</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Dec</v>
      </c>
      <c r="C751" s="73">
        <f t="shared" si="355"/>
        <v>3</v>
      </c>
      <c r="D751" s="74">
        <f t="shared" si="338"/>
        <v>3</v>
      </c>
      <c r="E751" s="75">
        <f t="shared" si="339"/>
        <v>22</v>
      </c>
      <c r="F751" s="79"/>
      <c r="G751" s="82"/>
      <c r="H751" s="68" t="str">
        <f t="shared" si="356"/>
        <v>Hyprev6_20201203_03_00</v>
      </c>
      <c r="I751" s="69">
        <f t="shared" si="359"/>
        <v>1</v>
      </c>
      <c r="J751" s="76" t="str">
        <f t="shared" si="359"/>
        <v>Hypericum</v>
      </c>
      <c r="K751" s="76" t="str">
        <f t="shared" si="359"/>
        <v>revolutum</v>
      </c>
      <c r="L751" s="77">
        <f t="shared" si="359"/>
        <v>6</v>
      </c>
      <c r="M751" s="77">
        <f t="shared" si="359"/>
        <v>1</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Dec</v>
      </c>
      <c r="C752" s="73">
        <f t="shared" si="355"/>
        <v>3</v>
      </c>
      <c r="D752" s="74">
        <f t="shared" si="338"/>
        <v>3</v>
      </c>
      <c r="E752" s="75">
        <f t="shared" si="339"/>
        <v>23</v>
      </c>
      <c r="F752" s="79"/>
      <c r="G752" s="82"/>
      <c r="H752" s="68" t="str">
        <f t="shared" si="356"/>
        <v>Hyprev6_20201203_03_00</v>
      </c>
      <c r="I752" s="69">
        <f t="shared" si="359"/>
        <v>1</v>
      </c>
      <c r="J752" s="76" t="str">
        <f t="shared" si="359"/>
        <v>Hypericum</v>
      </c>
      <c r="K752" s="76" t="str">
        <f t="shared" si="359"/>
        <v>revolutum</v>
      </c>
      <c r="L752" s="77">
        <f t="shared" si="359"/>
        <v>6</v>
      </c>
      <c r="M752" s="77">
        <f t="shared" si="359"/>
        <v>1</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Dec</v>
      </c>
      <c r="C753" s="73">
        <f t="shared" si="355"/>
        <v>3</v>
      </c>
      <c r="D753" s="74">
        <f t="shared" si="338"/>
        <v>3</v>
      </c>
      <c r="E753" s="75">
        <f t="shared" si="339"/>
        <v>24</v>
      </c>
      <c r="F753" s="79"/>
      <c r="G753" s="82"/>
      <c r="H753" s="68" t="str">
        <f t="shared" si="356"/>
        <v>Hyprev6_20201203_03_00</v>
      </c>
      <c r="I753" s="69">
        <f t="shared" si="359"/>
        <v>1</v>
      </c>
      <c r="J753" s="76" t="str">
        <f t="shared" si="359"/>
        <v>Hypericum</v>
      </c>
      <c r="K753" s="76" t="str">
        <f t="shared" si="359"/>
        <v>revolutum</v>
      </c>
      <c r="L753" s="77">
        <f t="shared" si="359"/>
        <v>6</v>
      </c>
      <c r="M753" s="77">
        <f t="shared" si="359"/>
        <v>1</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Dec</v>
      </c>
      <c r="C754" s="73">
        <f t="shared" si="355"/>
        <v>3</v>
      </c>
      <c r="D754" s="74">
        <f t="shared" si="338"/>
        <v>3</v>
      </c>
      <c r="E754" s="75">
        <f t="shared" si="339"/>
        <v>25</v>
      </c>
      <c r="F754" s="79"/>
      <c r="G754" s="82"/>
      <c r="H754" s="68" t="str">
        <f t="shared" si="356"/>
        <v>Hyprev6_20201203_03_00</v>
      </c>
      <c r="I754" s="69">
        <f t="shared" si="359"/>
        <v>1</v>
      </c>
      <c r="J754" s="76" t="str">
        <f t="shared" si="359"/>
        <v>Hypericum</v>
      </c>
      <c r="K754" s="76" t="str">
        <f t="shared" si="359"/>
        <v>revolutum</v>
      </c>
      <c r="L754" s="77">
        <f t="shared" si="359"/>
        <v>6</v>
      </c>
      <c r="M754" s="77">
        <f t="shared" si="359"/>
        <v>1</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Dec</v>
      </c>
      <c r="C755" s="73">
        <f t="shared" si="355"/>
        <v>3</v>
      </c>
      <c r="D755" s="74">
        <f t="shared" si="338"/>
        <v>3</v>
      </c>
      <c r="E755" s="75">
        <f t="shared" si="339"/>
        <v>26</v>
      </c>
      <c r="F755" s="79"/>
      <c r="G755" s="82"/>
      <c r="H755" s="68" t="str">
        <f t="shared" si="356"/>
        <v>Hyprev6_20201203_03_00</v>
      </c>
      <c r="I755" s="69">
        <f t="shared" si="359"/>
        <v>1</v>
      </c>
      <c r="J755" s="76" t="str">
        <f t="shared" si="359"/>
        <v>Hypericum</v>
      </c>
      <c r="K755" s="76" t="str">
        <f t="shared" si="359"/>
        <v>revolutum</v>
      </c>
      <c r="L755" s="77">
        <f t="shared" si="359"/>
        <v>6</v>
      </c>
      <c r="M755" s="77">
        <f t="shared" si="359"/>
        <v>1</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Dec</v>
      </c>
      <c r="C756" s="73">
        <f t="shared" si="355"/>
        <v>3</v>
      </c>
      <c r="D756" s="74">
        <f t="shared" si="338"/>
        <v>3</v>
      </c>
      <c r="E756" s="75">
        <f t="shared" si="339"/>
        <v>27</v>
      </c>
      <c r="F756" s="79"/>
      <c r="G756" s="82"/>
      <c r="H756" s="68" t="str">
        <f t="shared" si="356"/>
        <v>Hyprev6_20201203_03_00</v>
      </c>
      <c r="I756" s="69">
        <f t="shared" si="359"/>
        <v>1</v>
      </c>
      <c r="J756" s="76" t="str">
        <f t="shared" si="359"/>
        <v>Hypericum</v>
      </c>
      <c r="K756" s="76" t="str">
        <f t="shared" si="359"/>
        <v>revolutum</v>
      </c>
      <c r="L756" s="77">
        <f t="shared" si="359"/>
        <v>6</v>
      </c>
      <c r="M756" s="77">
        <f t="shared" si="359"/>
        <v>1</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Dec</v>
      </c>
      <c r="C757" s="73">
        <f t="shared" si="355"/>
        <v>3</v>
      </c>
      <c r="D757" s="74">
        <f t="shared" si="338"/>
        <v>3</v>
      </c>
      <c r="E757" s="75">
        <f t="shared" si="339"/>
        <v>28</v>
      </c>
      <c r="F757" s="79"/>
      <c r="G757" s="82"/>
      <c r="H757" s="68" t="str">
        <f t="shared" si="356"/>
        <v>Hyprev6_20201203_03_00</v>
      </c>
      <c r="I757" s="69">
        <f t="shared" ref="I757:N772" si="360">I756</f>
        <v>1</v>
      </c>
      <c r="J757" s="76" t="str">
        <f t="shared" si="360"/>
        <v>Hypericum</v>
      </c>
      <c r="K757" s="76" t="str">
        <f t="shared" si="360"/>
        <v>revolutum</v>
      </c>
      <c r="L757" s="77">
        <f t="shared" si="360"/>
        <v>6</v>
      </c>
      <c r="M757" s="77">
        <f t="shared" si="360"/>
        <v>1</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Dec</v>
      </c>
      <c r="C758" s="73">
        <f t="shared" si="355"/>
        <v>3</v>
      </c>
      <c r="D758" s="74">
        <f t="shared" si="338"/>
        <v>3</v>
      </c>
      <c r="E758" s="75">
        <f t="shared" si="339"/>
        <v>29</v>
      </c>
      <c r="F758" s="79"/>
      <c r="G758" s="82"/>
      <c r="H758" s="68" t="str">
        <f t="shared" si="356"/>
        <v>Hyprev6_20201203_03_00</v>
      </c>
      <c r="I758" s="69">
        <f t="shared" si="360"/>
        <v>1</v>
      </c>
      <c r="J758" s="76" t="str">
        <f t="shared" si="360"/>
        <v>Hypericum</v>
      </c>
      <c r="K758" s="76" t="str">
        <f t="shared" si="360"/>
        <v>revolutum</v>
      </c>
      <c r="L758" s="77">
        <f t="shared" si="360"/>
        <v>6</v>
      </c>
      <c r="M758" s="77">
        <f t="shared" si="360"/>
        <v>1</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Dec</v>
      </c>
      <c r="C759" s="73">
        <f t="shared" si="355"/>
        <v>3</v>
      </c>
      <c r="D759" s="74">
        <f t="shared" si="338"/>
        <v>3</v>
      </c>
      <c r="E759" s="75">
        <f t="shared" si="339"/>
        <v>30</v>
      </c>
      <c r="F759" s="79"/>
      <c r="G759" s="82"/>
      <c r="H759" s="68" t="str">
        <f t="shared" si="356"/>
        <v>Hyprev6_20201203_03_00</v>
      </c>
      <c r="I759" s="69">
        <f t="shared" si="360"/>
        <v>1</v>
      </c>
      <c r="J759" s="76" t="str">
        <f t="shared" si="360"/>
        <v>Hypericum</v>
      </c>
      <c r="K759" s="76" t="str">
        <f t="shared" si="360"/>
        <v>revolutum</v>
      </c>
      <c r="L759" s="77">
        <f t="shared" si="360"/>
        <v>6</v>
      </c>
      <c r="M759" s="77">
        <f t="shared" si="360"/>
        <v>1</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Dec</v>
      </c>
      <c r="C760" s="73">
        <f t="shared" si="355"/>
        <v>3</v>
      </c>
      <c r="D760" s="74">
        <f t="shared" si="338"/>
        <v>3</v>
      </c>
      <c r="E760" s="75">
        <f t="shared" si="339"/>
        <v>31</v>
      </c>
      <c r="F760" s="79"/>
      <c r="G760" s="82"/>
      <c r="H760" s="68" t="str">
        <f t="shared" si="356"/>
        <v>Hyprev6_20201203_03_00</v>
      </c>
      <c r="I760" s="69">
        <f t="shared" si="360"/>
        <v>1</v>
      </c>
      <c r="J760" s="76" t="str">
        <f t="shared" si="360"/>
        <v>Hypericum</v>
      </c>
      <c r="K760" s="76" t="str">
        <f t="shared" si="360"/>
        <v>revolutum</v>
      </c>
      <c r="L760" s="77">
        <f t="shared" si="360"/>
        <v>6</v>
      </c>
      <c r="M760" s="77">
        <f t="shared" si="360"/>
        <v>1</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Dec</v>
      </c>
      <c r="C761" s="73">
        <f t="shared" si="355"/>
        <v>3</v>
      </c>
      <c r="D761" s="74">
        <f t="shared" si="338"/>
        <v>3</v>
      </c>
      <c r="E761" s="75">
        <f t="shared" si="339"/>
        <v>32</v>
      </c>
      <c r="F761" s="79"/>
      <c r="G761" s="82"/>
      <c r="H761" s="68" t="str">
        <f t="shared" si="356"/>
        <v>Hyprev6_20201203_03_00</v>
      </c>
      <c r="I761" s="69">
        <f t="shared" si="360"/>
        <v>1</v>
      </c>
      <c r="J761" s="76" t="str">
        <f t="shared" si="360"/>
        <v>Hypericum</v>
      </c>
      <c r="K761" s="76" t="str">
        <f t="shared" si="360"/>
        <v>revolutum</v>
      </c>
      <c r="L761" s="77">
        <f t="shared" si="360"/>
        <v>6</v>
      </c>
      <c r="M761" s="77">
        <f t="shared" si="360"/>
        <v>1</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Dec</v>
      </c>
      <c r="C762" s="73">
        <f t="shared" si="355"/>
        <v>3</v>
      </c>
      <c r="D762" s="74">
        <f t="shared" si="338"/>
        <v>3</v>
      </c>
      <c r="E762" s="75">
        <f t="shared" si="339"/>
        <v>33</v>
      </c>
      <c r="F762" s="79"/>
      <c r="G762" s="82"/>
      <c r="H762" s="68" t="str">
        <f t="shared" si="356"/>
        <v>Hyprev6_20201203_03_00</v>
      </c>
      <c r="I762" s="69">
        <f t="shared" si="360"/>
        <v>1</v>
      </c>
      <c r="J762" s="76" t="str">
        <f t="shared" si="360"/>
        <v>Hypericum</v>
      </c>
      <c r="K762" s="76" t="str">
        <f t="shared" si="360"/>
        <v>revolutum</v>
      </c>
      <c r="L762" s="77">
        <f t="shared" si="360"/>
        <v>6</v>
      </c>
      <c r="M762" s="77">
        <f t="shared" si="360"/>
        <v>1</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Dec</v>
      </c>
      <c r="C763" s="73">
        <f t="shared" si="355"/>
        <v>3</v>
      </c>
      <c r="D763" s="74">
        <f t="shared" si="338"/>
        <v>3</v>
      </c>
      <c r="E763" s="75">
        <f t="shared" si="339"/>
        <v>34</v>
      </c>
      <c r="F763" s="79"/>
      <c r="G763" s="82"/>
      <c r="H763" s="68" t="str">
        <f t="shared" si="356"/>
        <v>Hyprev6_20201203_03_00</v>
      </c>
      <c r="I763" s="69">
        <f t="shared" si="360"/>
        <v>1</v>
      </c>
      <c r="J763" s="76" t="str">
        <f t="shared" si="360"/>
        <v>Hypericum</v>
      </c>
      <c r="K763" s="76" t="str">
        <f t="shared" si="360"/>
        <v>revolutum</v>
      </c>
      <c r="L763" s="77">
        <f t="shared" si="360"/>
        <v>6</v>
      </c>
      <c r="M763" s="77">
        <f t="shared" si="360"/>
        <v>1</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Dec</v>
      </c>
      <c r="C764" s="73">
        <f t="shared" si="355"/>
        <v>3</v>
      </c>
      <c r="D764" s="74">
        <f t="shared" si="338"/>
        <v>3</v>
      </c>
      <c r="E764" s="75">
        <f t="shared" si="339"/>
        <v>35</v>
      </c>
      <c r="F764" s="79"/>
      <c r="G764" s="82"/>
      <c r="H764" s="68" t="str">
        <f t="shared" si="356"/>
        <v>Hyprev6_20201203_03_00</v>
      </c>
      <c r="I764" s="69">
        <f t="shared" si="360"/>
        <v>1</v>
      </c>
      <c r="J764" s="76" t="str">
        <f t="shared" si="360"/>
        <v>Hypericum</v>
      </c>
      <c r="K764" s="76" t="str">
        <f t="shared" si="360"/>
        <v>revolutum</v>
      </c>
      <c r="L764" s="77">
        <f t="shared" si="360"/>
        <v>6</v>
      </c>
      <c r="M764" s="77">
        <f t="shared" si="360"/>
        <v>1</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Dec</v>
      </c>
      <c r="C765" s="73">
        <f t="shared" si="355"/>
        <v>3</v>
      </c>
      <c r="D765" s="74">
        <f t="shared" si="338"/>
        <v>3</v>
      </c>
      <c r="E765" s="75">
        <f t="shared" si="339"/>
        <v>36</v>
      </c>
      <c r="F765" s="79"/>
      <c r="G765" s="82"/>
      <c r="H765" s="68" t="str">
        <f t="shared" si="356"/>
        <v>Hyprev6_20201203_03_00</v>
      </c>
      <c r="I765" s="69">
        <f t="shared" si="360"/>
        <v>1</v>
      </c>
      <c r="J765" s="76" t="str">
        <f t="shared" si="360"/>
        <v>Hypericum</v>
      </c>
      <c r="K765" s="76" t="str">
        <f t="shared" si="360"/>
        <v>revolutum</v>
      </c>
      <c r="L765" s="77">
        <f t="shared" si="360"/>
        <v>6</v>
      </c>
      <c r="M765" s="77">
        <f t="shared" si="360"/>
        <v>1</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Dec</v>
      </c>
      <c r="C766" s="73">
        <f t="shared" si="355"/>
        <v>3</v>
      </c>
      <c r="D766" s="74">
        <f t="shared" si="338"/>
        <v>3</v>
      </c>
      <c r="E766" s="75">
        <f t="shared" si="339"/>
        <v>37</v>
      </c>
      <c r="F766" s="79"/>
      <c r="G766" s="82"/>
      <c r="H766" s="68" t="str">
        <f t="shared" si="356"/>
        <v>Hyprev6_20201203_03_00</v>
      </c>
      <c r="I766" s="69">
        <f t="shared" si="360"/>
        <v>1</v>
      </c>
      <c r="J766" s="76" t="str">
        <f t="shared" si="360"/>
        <v>Hypericum</v>
      </c>
      <c r="K766" s="76" t="str">
        <f t="shared" si="360"/>
        <v>revolutum</v>
      </c>
      <c r="L766" s="77">
        <f t="shared" si="360"/>
        <v>6</v>
      </c>
      <c r="M766" s="77">
        <f t="shared" si="360"/>
        <v>1</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Dec</v>
      </c>
      <c r="C767" s="73">
        <f t="shared" si="355"/>
        <v>3</v>
      </c>
      <c r="D767" s="74">
        <f t="shared" si="338"/>
        <v>3</v>
      </c>
      <c r="E767" s="75">
        <f t="shared" si="339"/>
        <v>38</v>
      </c>
      <c r="F767" s="79"/>
      <c r="G767" s="82"/>
      <c r="H767" s="68" t="str">
        <f t="shared" si="356"/>
        <v>Hyprev6_20201203_03_00</v>
      </c>
      <c r="I767" s="69">
        <f t="shared" si="360"/>
        <v>1</v>
      </c>
      <c r="J767" s="76" t="str">
        <f t="shared" si="360"/>
        <v>Hypericum</v>
      </c>
      <c r="K767" s="76" t="str">
        <f t="shared" si="360"/>
        <v>revolutum</v>
      </c>
      <c r="L767" s="77">
        <f t="shared" si="360"/>
        <v>6</v>
      </c>
      <c r="M767" s="77">
        <f t="shared" si="360"/>
        <v>1</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Dec</v>
      </c>
      <c r="C768" s="73">
        <f t="shared" si="355"/>
        <v>3</v>
      </c>
      <c r="D768" s="74">
        <f t="shared" si="338"/>
        <v>3</v>
      </c>
      <c r="E768" s="75">
        <f t="shared" si="339"/>
        <v>39</v>
      </c>
      <c r="F768" s="79"/>
      <c r="G768" s="82"/>
      <c r="H768" s="68" t="str">
        <f t="shared" si="356"/>
        <v>Hyprev6_20201203_03_00</v>
      </c>
      <c r="I768" s="69">
        <f t="shared" si="360"/>
        <v>1</v>
      </c>
      <c r="J768" s="76" t="str">
        <f t="shared" si="360"/>
        <v>Hypericum</v>
      </c>
      <c r="K768" s="76" t="str">
        <f t="shared" si="360"/>
        <v>revolutum</v>
      </c>
      <c r="L768" s="77">
        <f t="shared" si="360"/>
        <v>6</v>
      </c>
      <c r="M768" s="77">
        <f t="shared" si="360"/>
        <v>1</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Dec</v>
      </c>
      <c r="C769" s="73">
        <f t="shared" si="355"/>
        <v>3</v>
      </c>
      <c r="D769" s="74">
        <f t="shared" si="338"/>
        <v>3</v>
      </c>
      <c r="E769" s="75">
        <f t="shared" si="339"/>
        <v>40</v>
      </c>
      <c r="F769" s="79"/>
      <c r="G769" s="82"/>
      <c r="H769" s="68" t="str">
        <f t="shared" si="356"/>
        <v>Hyprev6_20201203_03_00</v>
      </c>
      <c r="I769" s="69">
        <f t="shared" si="360"/>
        <v>1</v>
      </c>
      <c r="J769" s="76" t="str">
        <f t="shared" si="360"/>
        <v>Hypericum</v>
      </c>
      <c r="K769" s="76" t="str">
        <f t="shared" si="360"/>
        <v>revolutum</v>
      </c>
      <c r="L769" s="77">
        <f t="shared" si="360"/>
        <v>6</v>
      </c>
      <c r="M769" s="77">
        <f t="shared" si="360"/>
        <v>1</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Dec</v>
      </c>
      <c r="C770" s="73">
        <f t="shared" si="355"/>
        <v>3</v>
      </c>
      <c r="D770" s="74">
        <f t="shared" si="338"/>
        <v>3</v>
      </c>
      <c r="E770" s="75">
        <f t="shared" si="339"/>
        <v>41</v>
      </c>
      <c r="F770" s="79"/>
      <c r="G770" s="82"/>
      <c r="H770" s="68" t="str">
        <f t="shared" si="356"/>
        <v>Hyprev6_20201203_03_00</v>
      </c>
      <c r="I770" s="69">
        <f t="shared" si="360"/>
        <v>1</v>
      </c>
      <c r="J770" s="76" t="str">
        <f t="shared" si="360"/>
        <v>Hypericum</v>
      </c>
      <c r="K770" s="76" t="str">
        <f t="shared" si="360"/>
        <v>revolutum</v>
      </c>
      <c r="L770" s="77">
        <f t="shared" si="360"/>
        <v>6</v>
      </c>
      <c r="M770" s="77">
        <f t="shared" si="360"/>
        <v>1</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Dec</v>
      </c>
      <c r="C771" s="73">
        <f t="shared" si="355"/>
        <v>3</v>
      </c>
      <c r="D771" s="74">
        <f t="shared" si="338"/>
        <v>3</v>
      </c>
      <c r="E771" s="75">
        <f t="shared" si="339"/>
        <v>42</v>
      </c>
      <c r="F771" s="79"/>
      <c r="G771" s="82"/>
      <c r="H771" s="68" t="str">
        <f t="shared" si="356"/>
        <v>Hyprev6_20201203_03_00</v>
      </c>
      <c r="I771" s="69">
        <f t="shared" si="360"/>
        <v>1</v>
      </c>
      <c r="J771" s="76" t="str">
        <f t="shared" si="360"/>
        <v>Hypericum</v>
      </c>
      <c r="K771" s="76" t="str">
        <f t="shared" si="360"/>
        <v>revolutum</v>
      </c>
      <c r="L771" s="77">
        <f t="shared" si="360"/>
        <v>6</v>
      </c>
      <c r="M771" s="77">
        <f t="shared" si="360"/>
        <v>1</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Dec</v>
      </c>
      <c r="C772" s="73">
        <f t="shared" si="355"/>
        <v>3</v>
      </c>
      <c r="D772" s="74">
        <f t="shared" ref="D772:D835" si="368">IF(IF(E771=59,D771+1,D771)=24,0,IF(E771=59,D771+1,D771))</f>
        <v>3</v>
      </c>
      <c r="E772" s="75">
        <f t="shared" ref="E772:E835" si="369">IF(E771&lt;59,E771+1,0)</f>
        <v>43</v>
      </c>
      <c r="F772" s="79"/>
      <c r="G772" s="82"/>
      <c r="H772" s="68" t="str">
        <f t="shared" si="356"/>
        <v>Hyprev6_20201203_03_00</v>
      </c>
      <c r="I772" s="69">
        <f t="shared" si="360"/>
        <v>1</v>
      </c>
      <c r="J772" s="76" t="str">
        <f t="shared" si="360"/>
        <v>Hypericum</v>
      </c>
      <c r="K772" s="76" t="str">
        <f t="shared" si="360"/>
        <v>revolutum</v>
      </c>
      <c r="L772" s="77">
        <f t="shared" si="360"/>
        <v>6</v>
      </c>
      <c r="M772" s="77">
        <f t="shared" si="360"/>
        <v>1</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Dec</v>
      </c>
      <c r="C773" s="73">
        <f t="shared" ref="C773:C836" si="385">IF(AND(D773=0, E773=0), IF(TEXT(C772,"dd")=TEXT(EOMONTH(DATE(A772,MONTH(DATEVALUE(B772&amp;"1")),C772),0), "dd"), 1, C772+1), C772)</f>
        <v>3</v>
      </c>
      <c r="D773" s="74">
        <f t="shared" si="368"/>
        <v>3</v>
      </c>
      <c r="E773" s="75">
        <f t="shared" si="369"/>
        <v>44</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Hyprev6_20201203_03_00</v>
      </c>
      <c r="I773" s="69">
        <f t="shared" ref="I773:N788" si="387">I772</f>
        <v>1</v>
      </c>
      <c r="J773" s="76" t="str">
        <f t="shared" si="387"/>
        <v>Hypericum</v>
      </c>
      <c r="K773" s="76" t="str">
        <f t="shared" si="387"/>
        <v>revolutum</v>
      </c>
      <c r="L773" s="77">
        <f t="shared" si="387"/>
        <v>6</v>
      </c>
      <c r="M773" s="77">
        <f t="shared" si="387"/>
        <v>1</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Dec</v>
      </c>
      <c r="C774" s="73">
        <f t="shared" si="385"/>
        <v>3</v>
      </c>
      <c r="D774" s="74">
        <f t="shared" si="368"/>
        <v>3</v>
      </c>
      <c r="E774" s="75">
        <f t="shared" si="369"/>
        <v>45</v>
      </c>
      <c r="F774" s="79"/>
      <c r="G774" s="82"/>
      <c r="H774" s="68" t="str">
        <f t="shared" si="386"/>
        <v>Hyprev6_20201203_03_00</v>
      </c>
      <c r="I774" s="69">
        <f t="shared" si="387"/>
        <v>1</v>
      </c>
      <c r="J774" s="76" t="str">
        <f t="shared" si="387"/>
        <v>Hypericum</v>
      </c>
      <c r="K774" s="76" t="str">
        <f t="shared" si="387"/>
        <v>revolutum</v>
      </c>
      <c r="L774" s="77">
        <f t="shared" si="387"/>
        <v>6</v>
      </c>
      <c r="M774" s="77">
        <f t="shared" si="387"/>
        <v>1</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Dec</v>
      </c>
      <c r="C775" s="73">
        <f t="shared" si="385"/>
        <v>3</v>
      </c>
      <c r="D775" s="74">
        <f t="shared" si="368"/>
        <v>3</v>
      </c>
      <c r="E775" s="75">
        <f t="shared" si="369"/>
        <v>46</v>
      </c>
      <c r="F775" s="79"/>
      <c r="G775" s="82"/>
      <c r="H775" s="68" t="str">
        <f t="shared" si="386"/>
        <v>Hyprev6_20201203_03_00</v>
      </c>
      <c r="I775" s="69">
        <f t="shared" si="387"/>
        <v>1</v>
      </c>
      <c r="J775" s="76" t="str">
        <f t="shared" si="387"/>
        <v>Hypericum</v>
      </c>
      <c r="K775" s="76" t="str">
        <f t="shared" si="387"/>
        <v>revolutum</v>
      </c>
      <c r="L775" s="77">
        <f t="shared" si="387"/>
        <v>6</v>
      </c>
      <c r="M775" s="77">
        <f t="shared" si="387"/>
        <v>1</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Dec</v>
      </c>
      <c r="C776" s="73">
        <f t="shared" si="385"/>
        <v>3</v>
      </c>
      <c r="D776" s="74">
        <f t="shared" si="368"/>
        <v>3</v>
      </c>
      <c r="E776" s="75">
        <f t="shared" si="369"/>
        <v>47</v>
      </c>
      <c r="F776" s="79"/>
      <c r="G776" s="82"/>
      <c r="H776" s="68" t="str">
        <f t="shared" si="386"/>
        <v>Hyprev6_20201203_03_00</v>
      </c>
      <c r="I776" s="69">
        <f t="shared" si="387"/>
        <v>1</v>
      </c>
      <c r="J776" s="76" t="str">
        <f t="shared" si="387"/>
        <v>Hypericum</v>
      </c>
      <c r="K776" s="76" t="str">
        <f t="shared" si="387"/>
        <v>revolutum</v>
      </c>
      <c r="L776" s="77">
        <f t="shared" si="387"/>
        <v>6</v>
      </c>
      <c r="M776" s="77">
        <f t="shared" si="387"/>
        <v>1</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Dec</v>
      </c>
      <c r="C777" s="73">
        <f t="shared" si="385"/>
        <v>3</v>
      </c>
      <c r="D777" s="74">
        <f t="shared" si="368"/>
        <v>3</v>
      </c>
      <c r="E777" s="75">
        <f t="shared" si="369"/>
        <v>48</v>
      </c>
      <c r="F777" s="79"/>
      <c r="G777" s="82"/>
      <c r="H777" s="68" t="str">
        <f t="shared" si="386"/>
        <v>Hyprev6_20201203_03_00</v>
      </c>
      <c r="I777" s="69">
        <f t="shared" si="387"/>
        <v>1</v>
      </c>
      <c r="J777" s="76" t="str">
        <f t="shared" si="387"/>
        <v>Hypericum</v>
      </c>
      <c r="K777" s="76" t="str">
        <f t="shared" si="387"/>
        <v>revolutum</v>
      </c>
      <c r="L777" s="77">
        <f t="shared" si="387"/>
        <v>6</v>
      </c>
      <c r="M777" s="77">
        <f t="shared" si="387"/>
        <v>1</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Dec</v>
      </c>
      <c r="C778" s="73">
        <f t="shared" si="385"/>
        <v>3</v>
      </c>
      <c r="D778" s="74">
        <f t="shared" si="368"/>
        <v>3</v>
      </c>
      <c r="E778" s="75">
        <f t="shared" si="369"/>
        <v>49</v>
      </c>
      <c r="F778" s="79"/>
      <c r="G778" s="82"/>
      <c r="H778" s="68" t="str">
        <f t="shared" si="386"/>
        <v>Hyprev6_20201203_03_00</v>
      </c>
      <c r="I778" s="69">
        <f t="shared" si="387"/>
        <v>1</v>
      </c>
      <c r="J778" s="76" t="str">
        <f t="shared" si="387"/>
        <v>Hypericum</v>
      </c>
      <c r="K778" s="76" t="str">
        <f t="shared" si="387"/>
        <v>revolutum</v>
      </c>
      <c r="L778" s="77">
        <f t="shared" si="387"/>
        <v>6</v>
      </c>
      <c r="M778" s="77">
        <f t="shared" si="387"/>
        <v>1</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Dec</v>
      </c>
      <c r="C779" s="73">
        <f t="shared" si="385"/>
        <v>3</v>
      </c>
      <c r="D779" s="74">
        <f t="shared" si="368"/>
        <v>3</v>
      </c>
      <c r="E779" s="75">
        <f t="shared" si="369"/>
        <v>50</v>
      </c>
      <c r="F779" s="79"/>
      <c r="G779" s="82"/>
      <c r="H779" s="68" t="str">
        <f t="shared" si="386"/>
        <v>Hyprev6_20201203_03_00</v>
      </c>
      <c r="I779" s="69">
        <f t="shared" si="387"/>
        <v>1</v>
      </c>
      <c r="J779" s="76" t="str">
        <f t="shared" si="387"/>
        <v>Hypericum</v>
      </c>
      <c r="K779" s="76" t="str">
        <f t="shared" si="387"/>
        <v>revolutum</v>
      </c>
      <c r="L779" s="77">
        <f t="shared" si="387"/>
        <v>6</v>
      </c>
      <c r="M779" s="77">
        <f t="shared" si="387"/>
        <v>1</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Dec</v>
      </c>
      <c r="C780" s="73">
        <f t="shared" si="385"/>
        <v>3</v>
      </c>
      <c r="D780" s="74">
        <f t="shared" si="368"/>
        <v>3</v>
      </c>
      <c r="E780" s="75">
        <f t="shared" si="369"/>
        <v>51</v>
      </c>
      <c r="F780" s="79"/>
      <c r="G780" s="82"/>
      <c r="H780" s="68" t="str">
        <f t="shared" si="386"/>
        <v>Hyprev6_20201203_03_00</v>
      </c>
      <c r="I780" s="69">
        <f t="shared" si="387"/>
        <v>1</v>
      </c>
      <c r="J780" s="76" t="str">
        <f t="shared" si="387"/>
        <v>Hypericum</v>
      </c>
      <c r="K780" s="76" t="str">
        <f t="shared" si="387"/>
        <v>revolutum</v>
      </c>
      <c r="L780" s="77">
        <f t="shared" si="387"/>
        <v>6</v>
      </c>
      <c r="M780" s="77">
        <f t="shared" si="387"/>
        <v>1</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Dec</v>
      </c>
      <c r="C781" s="73">
        <f t="shared" si="385"/>
        <v>3</v>
      </c>
      <c r="D781" s="74">
        <f t="shared" si="368"/>
        <v>3</v>
      </c>
      <c r="E781" s="75">
        <f t="shared" si="369"/>
        <v>52</v>
      </c>
      <c r="F781" s="79"/>
      <c r="G781" s="82"/>
      <c r="H781" s="68" t="str">
        <f t="shared" si="386"/>
        <v>Hyprev6_20201203_03_00</v>
      </c>
      <c r="I781" s="69">
        <f t="shared" si="387"/>
        <v>1</v>
      </c>
      <c r="J781" s="76" t="str">
        <f t="shared" si="387"/>
        <v>Hypericum</v>
      </c>
      <c r="K781" s="76" t="str">
        <f t="shared" si="387"/>
        <v>revolutum</v>
      </c>
      <c r="L781" s="77">
        <f t="shared" si="387"/>
        <v>6</v>
      </c>
      <c r="M781" s="77">
        <f t="shared" si="387"/>
        <v>1</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Dec</v>
      </c>
      <c r="C782" s="73">
        <f t="shared" si="385"/>
        <v>3</v>
      </c>
      <c r="D782" s="74">
        <f t="shared" si="368"/>
        <v>3</v>
      </c>
      <c r="E782" s="75">
        <f t="shared" si="369"/>
        <v>53</v>
      </c>
      <c r="F782" s="79"/>
      <c r="G782" s="82"/>
      <c r="H782" s="68" t="str">
        <f t="shared" si="386"/>
        <v>Hyprev6_20201203_03_00</v>
      </c>
      <c r="I782" s="69">
        <f t="shared" si="387"/>
        <v>1</v>
      </c>
      <c r="J782" s="76" t="str">
        <f t="shared" si="387"/>
        <v>Hypericum</v>
      </c>
      <c r="K782" s="76" t="str">
        <f t="shared" si="387"/>
        <v>revolutum</v>
      </c>
      <c r="L782" s="77">
        <f t="shared" si="387"/>
        <v>6</v>
      </c>
      <c r="M782" s="77">
        <f t="shared" si="387"/>
        <v>1</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Dec</v>
      </c>
      <c r="C783" s="73">
        <f t="shared" si="385"/>
        <v>3</v>
      </c>
      <c r="D783" s="74">
        <f t="shared" si="368"/>
        <v>3</v>
      </c>
      <c r="E783" s="75">
        <f t="shared" si="369"/>
        <v>54</v>
      </c>
      <c r="F783" s="79"/>
      <c r="G783" s="82"/>
      <c r="H783" s="68" t="str">
        <f t="shared" si="386"/>
        <v>Hyprev6_20201203_03_00</v>
      </c>
      <c r="I783" s="69">
        <f t="shared" si="387"/>
        <v>1</v>
      </c>
      <c r="J783" s="76" t="str">
        <f t="shared" si="387"/>
        <v>Hypericum</v>
      </c>
      <c r="K783" s="76" t="str">
        <f t="shared" si="387"/>
        <v>revolutum</v>
      </c>
      <c r="L783" s="77">
        <f t="shared" si="387"/>
        <v>6</v>
      </c>
      <c r="M783" s="77">
        <f t="shared" si="387"/>
        <v>1</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Dec</v>
      </c>
      <c r="C784" s="73">
        <f t="shared" si="385"/>
        <v>3</v>
      </c>
      <c r="D784" s="74">
        <f t="shared" si="368"/>
        <v>3</v>
      </c>
      <c r="E784" s="75">
        <f t="shared" si="369"/>
        <v>55</v>
      </c>
      <c r="F784" s="79"/>
      <c r="G784" s="82"/>
      <c r="H784" s="68" t="str">
        <f t="shared" si="386"/>
        <v>Hyprev6_20201203_03_00</v>
      </c>
      <c r="I784" s="69">
        <f t="shared" si="387"/>
        <v>1</v>
      </c>
      <c r="J784" s="76" t="str">
        <f t="shared" si="387"/>
        <v>Hypericum</v>
      </c>
      <c r="K784" s="76" t="str">
        <f t="shared" si="387"/>
        <v>revolutum</v>
      </c>
      <c r="L784" s="77">
        <f t="shared" si="387"/>
        <v>6</v>
      </c>
      <c r="M784" s="77">
        <f t="shared" si="387"/>
        <v>1</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Dec</v>
      </c>
      <c r="C785" s="73">
        <f t="shared" si="385"/>
        <v>3</v>
      </c>
      <c r="D785" s="74">
        <f t="shared" si="368"/>
        <v>3</v>
      </c>
      <c r="E785" s="75">
        <f t="shared" si="369"/>
        <v>56</v>
      </c>
      <c r="F785" s="79"/>
      <c r="G785" s="82"/>
      <c r="H785" s="68" t="str">
        <f t="shared" si="386"/>
        <v>Hyprev6_20201203_03_00</v>
      </c>
      <c r="I785" s="69">
        <f t="shared" si="387"/>
        <v>1</v>
      </c>
      <c r="J785" s="76" t="str">
        <f t="shared" si="387"/>
        <v>Hypericum</v>
      </c>
      <c r="K785" s="76" t="str">
        <f t="shared" si="387"/>
        <v>revolutum</v>
      </c>
      <c r="L785" s="77">
        <f t="shared" si="387"/>
        <v>6</v>
      </c>
      <c r="M785" s="77">
        <f t="shared" si="387"/>
        <v>1</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Dec</v>
      </c>
      <c r="C786" s="73">
        <f t="shared" si="385"/>
        <v>3</v>
      </c>
      <c r="D786" s="74">
        <f t="shared" si="368"/>
        <v>3</v>
      </c>
      <c r="E786" s="75">
        <f t="shared" si="369"/>
        <v>57</v>
      </c>
      <c r="F786" s="79"/>
      <c r="G786" s="82"/>
      <c r="H786" s="68" t="str">
        <f t="shared" si="386"/>
        <v>Hyprev6_20201203_03_00</v>
      </c>
      <c r="I786" s="69">
        <f t="shared" si="387"/>
        <v>1</v>
      </c>
      <c r="J786" s="76" t="str">
        <f t="shared" si="387"/>
        <v>Hypericum</v>
      </c>
      <c r="K786" s="76" t="str">
        <f t="shared" si="387"/>
        <v>revolutum</v>
      </c>
      <c r="L786" s="77">
        <f t="shared" si="387"/>
        <v>6</v>
      </c>
      <c r="M786" s="77">
        <f t="shared" si="387"/>
        <v>1</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Dec</v>
      </c>
      <c r="C787" s="73">
        <f t="shared" si="385"/>
        <v>3</v>
      </c>
      <c r="D787" s="74">
        <f t="shared" si="368"/>
        <v>3</v>
      </c>
      <c r="E787" s="75">
        <f t="shared" si="369"/>
        <v>58</v>
      </c>
      <c r="F787" s="79"/>
      <c r="G787" s="82"/>
      <c r="H787" s="68" t="str">
        <f t="shared" si="386"/>
        <v>Hyprev6_20201203_03_00</v>
      </c>
      <c r="I787" s="69">
        <f t="shared" si="387"/>
        <v>1</v>
      </c>
      <c r="J787" s="76" t="str">
        <f t="shared" si="387"/>
        <v>Hypericum</v>
      </c>
      <c r="K787" s="76" t="str">
        <f t="shared" si="387"/>
        <v>revolutum</v>
      </c>
      <c r="L787" s="77">
        <f t="shared" si="387"/>
        <v>6</v>
      </c>
      <c r="M787" s="77">
        <f t="shared" si="387"/>
        <v>1</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Dec</v>
      </c>
      <c r="C788" s="73">
        <f t="shared" si="385"/>
        <v>3</v>
      </c>
      <c r="D788" s="74">
        <f t="shared" si="368"/>
        <v>3</v>
      </c>
      <c r="E788" s="75">
        <f t="shared" si="369"/>
        <v>59</v>
      </c>
      <c r="F788" s="79"/>
      <c r="G788" s="82"/>
      <c r="H788" s="68" t="str">
        <f t="shared" si="386"/>
        <v>Hyprev6_20201203_03_00</v>
      </c>
      <c r="I788" s="69">
        <f t="shared" si="387"/>
        <v>1</v>
      </c>
      <c r="J788" s="76" t="str">
        <f t="shared" si="387"/>
        <v>Hypericum</v>
      </c>
      <c r="K788" s="76" t="str">
        <f t="shared" si="387"/>
        <v>revolutum</v>
      </c>
      <c r="L788" s="77">
        <f t="shared" si="387"/>
        <v>6</v>
      </c>
      <c r="M788" s="77">
        <f t="shared" si="387"/>
        <v>1</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Dec</v>
      </c>
      <c r="C789" s="73">
        <f t="shared" si="385"/>
        <v>3</v>
      </c>
      <c r="D789" s="74">
        <f t="shared" si="368"/>
        <v>4</v>
      </c>
      <c r="E789" s="75">
        <f t="shared" si="369"/>
        <v>0</v>
      </c>
      <c r="F789" s="79"/>
      <c r="G789" s="82"/>
      <c r="H789" s="68" t="str">
        <f t="shared" si="386"/>
        <v>Hyprev6_20201203_04_00</v>
      </c>
      <c r="I789" s="69">
        <f t="shared" ref="I789:N804" si="388">I788</f>
        <v>1</v>
      </c>
      <c r="J789" s="76" t="str">
        <f t="shared" si="388"/>
        <v>Hypericum</v>
      </c>
      <c r="K789" s="76" t="str">
        <f t="shared" si="388"/>
        <v>revolutum</v>
      </c>
      <c r="L789" s="77">
        <f t="shared" si="388"/>
        <v>6</v>
      </c>
      <c r="M789" s="77">
        <f t="shared" si="388"/>
        <v>1</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Dec</v>
      </c>
      <c r="C790" s="73">
        <f t="shared" si="385"/>
        <v>3</v>
      </c>
      <c r="D790" s="74">
        <f t="shared" si="368"/>
        <v>4</v>
      </c>
      <c r="E790" s="75">
        <f t="shared" si="369"/>
        <v>1</v>
      </c>
      <c r="F790" s="79"/>
      <c r="G790" s="82"/>
      <c r="H790" s="68" t="str">
        <f t="shared" si="386"/>
        <v>Hyprev6_20201203_04_00</v>
      </c>
      <c r="I790" s="69">
        <f t="shared" si="388"/>
        <v>1</v>
      </c>
      <c r="J790" s="76" t="str">
        <f t="shared" si="388"/>
        <v>Hypericum</v>
      </c>
      <c r="K790" s="76" t="str">
        <f t="shared" si="388"/>
        <v>revolutum</v>
      </c>
      <c r="L790" s="77">
        <f t="shared" si="388"/>
        <v>6</v>
      </c>
      <c r="M790" s="77">
        <f t="shared" si="388"/>
        <v>1</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Dec</v>
      </c>
      <c r="C791" s="73">
        <f t="shared" si="385"/>
        <v>3</v>
      </c>
      <c r="D791" s="74">
        <f t="shared" si="368"/>
        <v>4</v>
      </c>
      <c r="E791" s="75">
        <f t="shared" si="369"/>
        <v>2</v>
      </c>
      <c r="F791" s="79"/>
      <c r="G791" s="82"/>
      <c r="H791" s="68" t="str">
        <f t="shared" si="386"/>
        <v>Hyprev6_20201203_04_00</v>
      </c>
      <c r="I791" s="69">
        <f t="shared" si="388"/>
        <v>1</v>
      </c>
      <c r="J791" s="76" t="str">
        <f t="shared" si="388"/>
        <v>Hypericum</v>
      </c>
      <c r="K791" s="76" t="str">
        <f t="shared" si="388"/>
        <v>revolutum</v>
      </c>
      <c r="L791" s="77">
        <f t="shared" si="388"/>
        <v>6</v>
      </c>
      <c r="M791" s="77">
        <f t="shared" si="388"/>
        <v>1</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Dec</v>
      </c>
      <c r="C792" s="73">
        <f t="shared" si="385"/>
        <v>3</v>
      </c>
      <c r="D792" s="74">
        <f t="shared" si="368"/>
        <v>4</v>
      </c>
      <c r="E792" s="75">
        <f t="shared" si="369"/>
        <v>3</v>
      </c>
      <c r="F792" s="79"/>
      <c r="G792" s="82"/>
      <c r="H792" s="68" t="str">
        <f t="shared" si="386"/>
        <v>Hyprev6_20201203_04_00</v>
      </c>
      <c r="I792" s="69">
        <f t="shared" si="388"/>
        <v>1</v>
      </c>
      <c r="J792" s="76" t="str">
        <f t="shared" si="388"/>
        <v>Hypericum</v>
      </c>
      <c r="K792" s="76" t="str">
        <f t="shared" si="388"/>
        <v>revolutum</v>
      </c>
      <c r="L792" s="77">
        <f t="shared" si="388"/>
        <v>6</v>
      </c>
      <c r="M792" s="77">
        <f t="shared" si="388"/>
        <v>1</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Dec</v>
      </c>
      <c r="C793" s="73">
        <f t="shared" si="385"/>
        <v>3</v>
      </c>
      <c r="D793" s="74">
        <f t="shared" si="368"/>
        <v>4</v>
      </c>
      <c r="E793" s="75">
        <f t="shared" si="369"/>
        <v>4</v>
      </c>
      <c r="F793" s="79"/>
      <c r="G793" s="82"/>
      <c r="H793" s="68" t="str">
        <f t="shared" si="386"/>
        <v>Hyprev6_20201203_04_00</v>
      </c>
      <c r="I793" s="69">
        <f t="shared" si="388"/>
        <v>1</v>
      </c>
      <c r="J793" s="76" t="str">
        <f t="shared" si="388"/>
        <v>Hypericum</v>
      </c>
      <c r="K793" s="76" t="str">
        <f t="shared" si="388"/>
        <v>revolutum</v>
      </c>
      <c r="L793" s="77">
        <f t="shared" si="388"/>
        <v>6</v>
      </c>
      <c r="M793" s="77">
        <f t="shared" si="388"/>
        <v>1</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Dec</v>
      </c>
      <c r="C794" s="73">
        <f t="shared" si="385"/>
        <v>3</v>
      </c>
      <c r="D794" s="74">
        <f t="shared" si="368"/>
        <v>4</v>
      </c>
      <c r="E794" s="75">
        <f t="shared" si="369"/>
        <v>5</v>
      </c>
      <c r="F794" s="79"/>
      <c r="G794" s="82"/>
      <c r="H794" s="68" t="str">
        <f t="shared" si="386"/>
        <v>Hyprev6_20201203_04_00</v>
      </c>
      <c r="I794" s="69">
        <f t="shared" si="388"/>
        <v>1</v>
      </c>
      <c r="J794" s="76" t="str">
        <f t="shared" si="388"/>
        <v>Hypericum</v>
      </c>
      <c r="K794" s="76" t="str">
        <f t="shared" si="388"/>
        <v>revolutum</v>
      </c>
      <c r="L794" s="77">
        <f t="shared" si="388"/>
        <v>6</v>
      </c>
      <c r="M794" s="77">
        <f t="shared" si="388"/>
        <v>1</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Dec</v>
      </c>
      <c r="C795" s="73">
        <f t="shared" si="385"/>
        <v>3</v>
      </c>
      <c r="D795" s="74">
        <f t="shared" si="368"/>
        <v>4</v>
      </c>
      <c r="E795" s="75">
        <f t="shared" si="369"/>
        <v>6</v>
      </c>
      <c r="F795" s="79"/>
      <c r="G795" s="82"/>
      <c r="H795" s="68" t="str">
        <f t="shared" si="386"/>
        <v>Hyprev6_20201203_04_00</v>
      </c>
      <c r="I795" s="69">
        <f t="shared" si="388"/>
        <v>1</v>
      </c>
      <c r="J795" s="76" t="str">
        <f t="shared" si="388"/>
        <v>Hypericum</v>
      </c>
      <c r="K795" s="76" t="str">
        <f t="shared" si="388"/>
        <v>revolutum</v>
      </c>
      <c r="L795" s="77">
        <f t="shared" si="388"/>
        <v>6</v>
      </c>
      <c r="M795" s="77">
        <f t="shared" si="388"/>
        <v>1</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Dec</v>
      </c>
      <c r="C796" s="73">
        <f t="shared" si="385"/>
        <v>3</v>
      </c>
      <c r="D796" s="74">
        <f t="shared" si="368"/>
        <v>4</v>
      </c>
      <c r="E796" s="75">
        <f t="shared" si="369"/>
        <v>7</v>
      </c>
      <c r="F796" s="79"/>
      <c r="G796" s="82"/>
      <c r="H796" s="68" t="str">
        <f t="shared" si="386"/>
        <v>Hyprev6_20201203_04_00</v>
      </c>
      <c r="I796" s="69">
        <f t="shared" si="388"/>
        <v>1</v>
      </c>
      <c r="J796" s="76" t="str">
        <f t="shared" si="388"/>
        <v>Hypericum</v>
      </c>
      <c r="K796" s="76" t="str">
        <f t="shared" si="388"/>
        <v>revolutum</v>
      </c>
      <c r="L796" s="77">
        <f t="shared" si="388"/>
        <v>6</v>
      </c>
      <c r="M796" s="77">
        <f t="shared" si="388"/>
        <v>1</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Dec</v>
      </c>
      <c r="C797" s="73">
        <f t="shared" si="385"/>
        <v>3</v>
      </c>
      <c r="D797" s="74">
        <f t="shared" si="368"/>
        <v>4</v>
      </c>
      <c r="E797" s="75">
        <f t="shared" si="369"/>
        <v>8</v>
      </c>
      <c r="F797" s="79"/>
      <c r="G797" s="82"/>
      <c r="H797" s="68" t="str">
        <f t="shared" si="386"/>
        <v>Hyprev6_20201203_04_00</v>
      </c>
      <c r="I797" s="69">
        <f t="shared" si="388"/>
        <v>1</v>
      </c>
      <c r="J797" s="76" t="str">
        <f t="shared" si="388"/>
        <v>Hypericum</v>
      </c>
      <c r="K797" s="76" t="str">
        <f t="shared" si="388"/>
        <v>revolutum</v>
      </c>
      <c r="L797" s="77">
        <f t="shared" si="388"/>
        <v>6</v>
      </c>
      <c r="M797" s="77">
        <f t="shared" si="388"/>
        <v>1</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Dec</v>
      </c>
      <c r="C798" s="73">
        <f t="shared" si="385"/>
        <v>3</v>
      </c>
      <c r="D798" s="74">
        <f t="shared" si="368"/>
        <v>4</v>
      </c>
      <c r="E798" s="75">
        <f t="shared" si="369"/>
        <v>9</v>
      </c>
      <c r="F798" s="79"/>
      <c r="G798" s="82"/>
      <c r="H798" s="68" t="str">
        <f t="shared" si="386"/>
        <v>Hyprev6_20201203_04_00</v>
      </c>
      <c r="I798" s="69">
        <f t="shared" si="388"/>
        <v>1</v>
      </c>
      <c r="J798" s="76" t="str">
        <f t="shared" si="388"/>
        <v>Hypericum</v>
      </c>
      <c r="K798" s="76" t="str">
        <f t="shared" si="388"/>
        <v>revolutum</v>
      </c>
      <c r="L798" s="77">
        <f t="shared" si="388"/>
        <v>6</v>
      </c>
      <c r="M798" s="77">
        <f t="shared" si="388"/>
        <v>1</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Dec</v>
      </c>
      <c r="C799" s="73">
        <f t="shared" si="385"/>
        <v>3</v>
      </c>
      <c r="D799" s="74">
        <f t="shared" si="368"/>
        <v>4</v>
      </c>
      <c r="E799" s="75">
        <f t="shared" si="369"/>
        <v>10</v>
      </c>
      <c r="F799" s="79"/>
      <c r="G799" s="82"/>
      <c r="H799" s="68" t="str">
        <f t="shared" si="386"/>
        <v>Hyprev6_20201203_04_00</v>
      </c>
      <c r="I799" s="69">
        <f t="shared" si="388"/>
        <v>1</v>
      </c>
      <c r="J799" s="76" t="str">
        <f t="shared" si="388"/>
        <v>Hypericum</v>
      </c>
      <c r="K799" s="76" t="str">
        <f t="shared" si="388"/>
        <v>revolutum</v>
      </c>
      <c r="L799" s="77">
        <f t="shared" si="388"/>
        <v>6</v>
      </c>
      <c r="M799" s="77">
        <f t="shared" si="388"/>
        <v>1</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Dec</v>
      </c>
      <c r="C800" s="73">
        <f t="shared" si="385"/>
        <v>3</v>
      </c>
      <c r="D800" s="74">
        <f t="shared" si="368"/>
        <v>4</v>
      </c>
      <c r="E800" s="75">
        <f t="shared" si="369"/>
        <v>11</v>
      </c>
      <c r="F800" s="79"/>
      <c r="G800" s="82"/>
      <c r="H800" s="68" t="str">
        <f t="shared" si="386"/>
        <v>Hyprev6_20201203_04_00</v>
      </c>
      <c r="I800" s="69">
        <f t="shared" si="388"/>
        <v>1</v>
      </c>
      <c r="J800" s="76" t="str">
        <f t="shared" si="388"/>
        <v>Hypericum</v>
      </c>
      <c r="K800" s="76" t="str">
        <f t="shared" si="388"/>
        <v>revolutum</v>
      </c>
      <c r="L800" s="77">
        <f t="shared" si="388"/>
        <v>6</v>
      </c>
      <c r="M800" s="77">
        <f t="shared" si="388"/>
        <v>1</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Dec</v>
      </c>
      <c r="C801" s="73">
        <f t="shared" si="385"/>
        <v>3</v>
      </c>
      <c r="D801" s="74">
        <f t="shared" si="368"/>
        <v>4</v>
      </c>
      <c r="E801" s="75">
        <f t="shared" si="369"/>
        <v>12</v>
      </c>
      <c r="F801" s="79"/>
      <c r="G801" s="82"/>
      <c r="H801" s="68" t="str">
        <f t="shared" si="386"/>
        <v>Hyprev6_20201203_04_00</v>
      </c>
      <c r="I801" s="69">
        <f t="shared" si="388"/>
        <v>1</v>
      </c>
      <c r="J801" s="76" t="str">
        <f t="shared" si="388"/>
        <v>Hypericum</v>
      </c>
      <c r="K801" s="76" t="str">
        <f t="shared" si="388"/>
        <v>revolutum</v>
      </c>
      <c r="L801" s="77">
        <f t="shared" si="388"/>
        <v>6</v>
      </c>
      <c r="M801" s="77">
        <f t="shared" si="388"/>
        <v>1</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Dec</v>
      </c>
      <c r="C802" s="73">
        <f t="shared" si="385"/>
        <v>3</v>
      </c>
      <c r="D802" s="74">
        <f t="shared" si="368"/>
        <v>4</v>
      </c>
      <c r="E802" s="75">
        <f t="shared" si="369"/>
        <v>13</v>
      </c>
      <c r="F802" s="79"/>
      <c r="G802" s="82"/>
      <c r="H802" s="68" t="str">
        <f t="shared" si="386"/>
        <v>Hyprev6_20201203_04_00</v>
      </c>
      <c r="I802" s="69">
        <f t="shared" si="388"/>
        <v>1</v>
      </c>
      <c r="J802" s="76" t="str">
        <f t="shared" si="388"/>
        <v>Hypericum</v>
      </c>
      <c r="K802" s="76" t="str">
        <f t="shared" si="388"/>
        <v>revolutum</v>
      </c>
      <c r="L802" s="77">
        <f t="shared" si="388"/>
        <v>6</v>
      </c>
      <c r="M802" s="77">
        <f t="shared" si="388"/>
        <v>1</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Dec</v>
      </c>
      <c r="C803" s="73">
        <f t="shared" si="385"/>
        <v>3</v>
      </c>
      <c r="D803" s="74">
        <f t="shared" si="368"/>
        <v>4</v>
      </c>
      <c r="E803" s="75">
        <f t="shared" si="369"/>
        <v>14</v>
      </c>
      <c r="F803" s="79"/>
      <c r="G803" s="82"/>
      <c r="H803" s="68" t="str">
        <f t="shared" si="386"/>
        <v>Hyprev6_20201203_04_00</v>
      </c>
      <c r="I803" s="69">
        <f t="shared" si="388"/>
        <v>1</v>
      </c>
      <c r="J803" s="76" t="str">
        <f t="shared" si="388"/>
        <v>Hypericum</v>
      </c>
      <c r="K803" s="76" t="str">
        <f t="shared" si="388"/>
        <v>revolutum</v>
      </c>
      <c r="L803" s="77">
        <f t="shared" si="388"/>
        <v>6</v>
      </c>
      <c r="M803" s="77">
        <f t="shared" si="388"/>
        <v>1</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Dec</v>
      </c>
      <c r="C804" s="73">
        <f t="shared" si="385"/>
        <v>3</v>
      </c>
      <c r="D804" s="74">
        <f t="shared" si="368"/>
        <v>4</v>
      </c>
      <c r="E804" s="75">
        <f t="shared" si="369"/>
        <v>15</v>
      </c>
      <c r="F804" s="79"/>
      <c r="G804" s="82"/>
      <c r="H804" s="68" t="str">
        <f t="shared" si="386"/>
        <v>Hyprev6_20201203_04_00</v>
      </c>
      <c r="I804" s="69">
        <f t="shared" si="388"/>
        <v>1</v>
      </c>
      <c r="J804" s="76" t="str">
        <f t="shared" si="388"/>
        <v>Hypericum</v>
      </c>
      <c r="K804" s="76" t="str">
        <f t="shared" si="388"/>
        <v>revolutum</v>
      </c>
      <c r="L804" s="77">
        <f t="shared" si="388"/>
        <v>6</v>
      </c>
      <c r="M804" s="77">
        <f t="shared" si="388"/>
        <v>1</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Dec</v>
      </c>
      <c r="C805" s="73">
        <f t="shared" si="385"/>
        <v>3</v>
      </c>
      <c r="D805" s="74">
        <f t="shared" si="368"/>
        <v>4</v>
      </c>
      <c r="E805" s="75">
        <f t="shared" si="369"/>
        <v>16</v>
      </c>
      <c r="F805" s="79"/>
      <c r="G805" s="82"/>
      <c r="H805" s="68" t="str">
        <f t="shared" si="386"/>
        <v>Hyprev6_20201203_04_00</v>
      </c>
      <c r="I805" s="69">
        <f t="shared" ref="I805:N820" si="389">I804</f>
        <v>1</v>
      </c>
      <c r="J805" s="76" t="str">
        <f t="shared" si="389"/>
        <v>Hypericum</v>
      </c>
      <c r="K805" s="76" t="str">
        <f t="shared" si="389"/>
        <v>revolutum</v>
      </c>
      <c r="L805" s="77">
        <f t="shared" si="389"/>
        <v>6</v>
      </c>
      <c r="M805" s="77">
        <f t="shared" si="389"/>
        <v>1</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Dec</v>
      </c>
      <c r="C806" s="73">
        <f t="shared" si="385"/>
        <v>3</v>
      </c>
      <c r="D806" s="74">
        <f t="shared" si="368"/>
        <v>4</v>
      </c>
      <c r="E806" s="75">
        <f t="shared" si="369"/>
        <v>17</v>
      </c>
      <c r="F806" s="79"/>
      <c r="G806" s="82"/>
      <c r="H806" s="68" t="str">
        <f t="shared" si="386"/>
        <v>Hyprev6_20201203_04_00</v>
      </c>
      <c r="I806" s="69">
        <f t="shared" si="389"/>
        <v>1</v>
      </c>
      <c r="J806" s="76" t="str">
        <f t="shared" si="389"/>
        <v>Hypericum</v>
      </c>
      <c r="K806" s="76" t="str">
        <f t="shared" si="389"/>
        <v>revolutum</v>
      </c>
      <c r="L806" s="77">
        <f t="shared" si="389"/>
        <v>6</v>
      </c>
      <c r="M806" s="77">
        <f t="shared" si="389"/>
        <v>1</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Dec</v>
      </c>
      <c r="C807" s="73">
        <f t="shared" si="385"/>
        <v>3</v>
      </c>
      <c r="D807" s="74">
        <f t="shared" si="368"/>
        <v>4</v>
      </c>
      <c r="E807" s="75">
        <f t="shared" si="369"/>
        <v>18</v>
      </c>
      <c r="F807" s="79"/>
      <c r="G807" s="82"/>
      <c r="H807" s="68" t="str">
        <f t="shared" si="386"/>
        <v>Hyprev6_20201203_04_00</v>
      </c>
      <c r="I807" s="69">
        <f t="shared" si="389"/>
        <v>1</v>
      </c>
      <c r="J807" s="76" t="str">
        <f t="shared" si="389"/>
        <v>Hypericum</v>
      </c>
      <c r="K807" s="76" t="str">
        <f t="shared" si="389"/>
        <v>revolutum</v>
      </c>
      <c r="L807" s="77">
        <f t="shared" si="389"/>
        <v>6</v>
      </c>
      <c r="M807" s="77">
        <f t="shared" si="389"/>
        <v>1</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Dec</v>
      </c>
      <c r="C808" s="73">
        <f t="shared" si="385"/>
        <v>3</v>
      </c>
      <c r="D808" s="74">
        <f t="shared" si="368"/>
        <v>4</v>
      </c>
      <c r="E808" s="75">
        <f t="shared" si="369"/>
        <v>19</v>
      </c>
      <c r="F808" s="79"/>
      <c r="G808" s="82"/>
      <c r="H808" s="68" t="str">
        <f t="shared" si="386"/>
        <v>Hyprev6_20201203_04_00</v>
      </c>
      <c r="I808" s="69">
        <f t="shared" si="389"/>
        <v>1</v>
      </c>
      <c r="J808" s="76" t="str">
        <f t="shared" si="389"/>
        <v>Hypericum</v>
      </c>
      <c r="K808" s="76" t="str">
        <f t="shared" si="389"/>
        <v>revolutum</v>
      </c>
      <c r="L808" s="77">
        <f t="shared" si="389"/>
        <v>6</v>
      </c>
      <c r="M808" s="77">
        <f t="shared" si="389"/>
        <v>1</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Dec</v>
      </c>
      <c r="C809" s="73">
        <f t="shared" si="385"/>
        <v>3</v>
      </c>
      <c r="D809" s="74">
        <f t="shared" si="368"/>
        <v>4</v>
      </c>
      <c r="E809" s="75">
        <f t="shared" si="369"/>
        <v>20</v>
      </c>
      <c r="F809" s="79"/>
      <c r="G809" s="82"/>
      <c r="H809" s="68" t="str">
        <f t="shared" si="386"/>
        <v>Hyprev6_20201203_04_00</v>
      </c>
      <c r="I809" s="69">
        <f t="shared" si="389"/>
        <v>1</v>
      </c>
      <c r="J809" s="76" t="str">
        <f t="shared" si="389"/>
        <v>Hypericum</v>
      </c>
      <c r="K809" s="76" t="str">
        <f t="shared" si="389"/>
        <v>revolutum</v>
      </c>
      <c r="L809" s="77">
        <f t="shared" si="389"/>
        <v>6</v>
      </c>
      <c r="M809" s="77">
        <f t="shared" si="389"/>
        <v>1</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Dec</v>
      </c>
      <c r="C810" s="73">
        <f t="shared" si="385"/>
        <v>3</v>
      </c>
      <c r="D810" s="74">
        <f t="shared" si="368"/>
        <v>4</v>
      </c>
      <c r="E810" s="75">
        <f t="shared" si="369"/>
        <v>21</v>
      </c>
      <c r="F810" s="79"/>
      <c r="G810" s="82"/>
      <c r="H810" s="68" t="str">
        <f t="shared" si="386"/>
        <v>Hyprev6_20201203_04_00</v>
      </c>
      <c r="I810" s="69">
        <f t="shared" si="389"/>
        <v>1</v>
      </c>
      <c r="J810" s="76" t="str">
        <f t="shared" si="389"/>
        <v>Hypericum</v>
      </c>
      <c r="K810" s="76" t="str">
        <f t="shared" si="389"/>
        <v>revolutum</v>
      </c>
      <c r="L810" s="77">
        <f t="shared" si="389"/>
        <v>6</v>
      </c>
      <c r="M810" s="77">
        <f t="shared" si="389"/>
        <v>1</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Dec</v>
      </c>
      <c r="C811" s="73">
        <f t="shared" si="385"/>
        <v>3</v>
      </c>
      <c r="D811" s="74">
        <f t="shared" si="368"/>
        <v>4</v>
      </c>
      <c r="E811" s="75">
        <f t="shared" si="369"/>
        <v>22</v>
      </c>
      <c r="F811" s="79"/>
      <c r="G811" s="82"/>
      <c r="H811" s="68" t="str">
        <f t="shared" si="386"/>
        <v>Hyprev6_20201203_04_00</v>
      </c>
      <c r="I811" s="69">
        <f t="shared" si="389"/>
        <v>1</v>
      </c>
      <c r="J811" s="76" t="str">
        <f t="shared" si="389"/>
        <v>Hypericum</v>
      </c>
      <c r="K811" s="76" t="str">
        <f t="shared" si="389"/>
        <v>revolutum</v>
      </c>
      <c r="L811" s="77">
        <f t="shared" si="389"/>
        <v>6</v>
      </c>
      <c r="M811" s="77">
        <f t="shared" si="389"/>
        <v>1</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Dec</v>
      </c>
      <c r="C812" s="73">
        <f t="shared" si="385"/>
        <v>3</v>
      </c>
      <c r="D812" s="74">
        <f t="shared" si="368"/>
        <v>4</v>
      </c>
      <c r="E812" s="75">
        <f t="shared" si="369"/>
        <v>23</v>
      </c>
      <c r="F812" s="79"/>
      <c r="G812" s="82"/>
      <c r="H812" s="68" t="str">
        <f t="shared" si="386"/>
        <v>Hyprev6_20201203_04_00</v>
      </c>
      <c r="I812" s="69">
        <f t="shared" si="389"/>
        <v>1</v>
      </c>
      <c r="J812" s="76" t="str">
        <f t="shared" si="389"/>
        <v>Hypericum</v>
      </c>
      <c r="K812" s="76" t="str">
        <f t="shared" si="389"/>
        <v>revolutum</v>
      </c>
      <c r="L812" s="77">
        <f t="shared" si="389"/>
        <v>6</v>
      </c>
      <c r="M812" s="77">
        <f t="shared" si="389"/>
        <v>1</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Dec</v>
      </c>
      <c r="C813" s="73">
        <f t="shared" si="385"/>
        <v>3</v>
      </c>
      <c r="D813" s="74">
        <f t="shared" si="368"/>
        <v>4</v>
      </c>
      <c r="E813" s="75">
        <f t="shared" si="369"/>
        <v>24</v>
      </c>
      <c r="F813" s="79"/>
      <c r="G813" s="82"/>
      <c r="H813" s="68" t="str">
        <f t="shared" si="386"/>
        <v>Hyprev6_20201203_04_00</v>
      </c>
      <c r="I813" s="69">
        <f t="shared" si="389"/>
        <v>1</v>
      </c>
      <c r="J813" s="76" t="str">
        <f t="shared" si="389"/>
        <v>Hypericum</v>
      </c>
      <c r="K813" s="76" t="str">
        <f t="shared" si="389"/>
        <v>revolutum</v>
      </c>
      <c r="L813" s="77">
        <f t="shared" si="389"/>
        <v>6</v>
      </c>
      <c r="M813" s="77">
        <f t="shared" si="389"/>
        <v>1</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Dec</v>
      </c>
      <c r="C814" s="73">
        <f t="shared" si="385"/>
        <v>3</v>
      </c>
      <c r="D814" s="74">
        <f t="shared" si="368"/>
        <v>4</v>
      </c>
      <c r="E814" s="75">
        <f t="shared" si="369"/>
        <v>25</v>
      </c>
      <c r="F814" s="79"/>
      <c r="G814" s="82"/>
      <c r="H814" s="68" t="str">
        <f t="shared" si="386"/>
        <v>Hyprev6_20201203_04_00</v>
      </c>
      <c r="I814" s="69">
        <f t="shared" si="389"/>
        <v>1</v>
      </c>
      <c r="J814" s="76" t="str">
        <f t="shared" si="389"/>
        <v>Hypericum</v>
      </c>
      <c r="K814" s="76" t="str">
        <f t="shared" si="389"/>
        <v>revolutum</v>
      </c>
      <c r="L814" s="77">
        <f t="shared" si="389"/>
        <v>6</v>
      </c>
      <c r="M814" s="77">
        <f t="shared" si="389"/>
        <v>1</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Dec</v>
      </c>
      <c r="C815" s="73">
        <f t="shared" si="385"/>
        <v>3</v>
      </c>
      <c r="D815" s="74">
        <f t="shared" si="368"/>
        <v>4</v>
      </c>
      <c r="E815" s="75">
        <f t="shared" si="369"/>
        <v>26</v>
      </c>
      <c r="F815" s="79"/>
      <c r="G815" s="82"/>
      <c r="H815" s="68" t="str">
        <f t="shared" si="386"/>
        <v>Hyprev6_20201203_04_00</v>
      </c>
      <c r="I815" s="69">
        <f t="shared" si="389"/>
        <v>1</v>
      </c>
      <c r="J815" s="76" t="str">
        <f t="shared" si="389"/>
        <v>Hypericum</v>
      </c>
      <c r="K815" s="76" t="str">
        <f t="shared" si="389"/>
        <v>revolutum</v>
      </c>
      <c r="L815" s="77">
        <f t="shared" si="389"/>
        <v>6</v>
      </c>
      <c r="M815" s="77">
        <f t="shared" si="389"/>
        <v>1</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Dec</v>
      </c>
      <c r="C816" s="73">
        <f t="shared" si="385"/>
        <v>3</v>
      </c>
      <c r="D816" s="74">
        <f t="shared" si="368"/>
        <v>4</v>
      </c>
      <c r="E816" s="75">
        <f t="shared" si="369"/>
        <v>27</v>
      </c>
      <c r="F816" s="79"/>
      <c r="G816" s="82"/>
      <c r="H816" s="68" t="str">
        <f t="shared" si="386"/>
        <v>Hyprev6_20201203_04_00</v>
      </c>
      <c r="I816" s="69">
        <f t="shared" si="389"/>
        <v>1</v>
      </c>
      <c r="J816" s="76" t="str">
        <f t="shared" si="389"/>
        <v>Hypericum</v>
      </c>
      <c r="K816" s="76" t="str">
        <f t="shared" si="389"/>
        <v>revolutum</v>
      </c>
      <c r="L816" s="77">
        <f t="shared" si="389"/>
        <v>6</v>
      </c>
      <c r="M816" s="77">
        <f t="shared" si="389"/>
        <v>1</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Dec</v>
      </c>
      <c r="C817" s="73">
        <f t="shared" si="385"/>
        <v>3</v>
      </c>
      <c r="D817" s="74">
        <f t="shared" si="368"/>
        <v>4</v>
      </c>
      <c r="E817" s="75">
        <f t="shared" si="369"/>
        <v>28</v>
      </c>
      <c r="F817" s="79"/>
      <c r="G817" s="82"/>
      <c r="H817" s="68" t="str">
        <f t="shared" si="386"/>
        <v>Hyprev6_20201203_04_00</v>
      </c>
      <c r="I817" s="69">
        <f t="shared" si="389"/>
        <v>1</v>
      </c>
      <c r="J817" s="76" t="str">
        <f t="shared" si="389"/>
        <v>Hypericum</v>
      </c>
      <c r="K817" s="76" t="str">
        <f t="shared" si="389"/>
        <v>revolutum</v>
      </c>
      <c r="L817" s="77">
        <f t="shared" si="389"/>
        <v>6</v>
      </c>
      <c r="M817" s="77">
        <f t="shared" si="389"/>
        <v>1</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Dec</v>
      </c>
      <c r="C818" s="73">
        <f t="shared" si="385"/>
        <v>3</v>
      </c>
      <c r="D818" s="74">
        <f t="shared" si="368"/>
        <v>4</v>
      </c>
      <c r="E818" s="75">
        <f t="shared" si="369"/>
        <v>29</v>
      </c>
      <c r="F818" s="79"/>
      <c r="G818" s="82"/>
      <c r="H818" s="68" t="str">
        <f t="shared" si="386"/>
        <v>Hyprev6_20201203_04_00</v>
      </c>
      <c r="I818" s="69">
        <f t="shared" si="389"/>
        <v>1</v>
      </c>
      <c r="J818" s="76" t="str">
        <f t="shared" si="389"/>
        <v>Hypericum</v>
      </c>
      <c r="K818" s="76" t="str">
        <f t="shared" si="389"/>
        <v>revolutum</v>
      </c>
      <c r="L818" s="77">
        <f t="shared" si="389"/>
        <v>6</v>
      </c>
      <c r="M818" s="77">
        <f t="shared" si="389"/>
        <v>1</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Dec</v>
      </c>
      <c r="C819" s="73">
        <f t="shared" si="385"/>
        <v>3</v>
      </c>
      <c r="D819" s="74">
        <f t="shared" si="368"/>
        <v>4</v>
      </c>
      <c r="E819" s="75">
        <f t="shared" si="369"/>
        <v>30</v>
      </c>
      <c r="F819" s="79"/>
      <c r="G819" s="82"/>
      <c r="H819" s="68" t="str">
        <f t="shared" si="386"/>
        <v>Hyprev6_20201203_04_00</v>
      </c>
      <c r="I819" s="69">
        <f t="shared" si="389"/>
        <v>1</v>
      </c>
      <c r="J819" s="76" t="str">
        <f t="shared" si="389"/>
        <v>Hypericum</v>
      </c>
      <c r="K819" s="76" t="str">
        <f t="shared" si="389"/>
        <v>revolutum</v>
      </c>
      <c r="L819" s="77">
        <f t="shared" si="389"/>
        <v>6</v>
      </c>
      <c r="M819" s="77">
        <f t="shared" si="389"/>
        <v>1</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Dec</v>
      </c>
      <c r="C820" s="73">
        <f t="shared" si="385"/>
        <v>3</v>
      </c>
      <c r="D820" s="74">
        <f t="shared" si="368"/>
        <v>4</v>
      </c>
      <c r="E820" s="75">
        <f t="shared" si="369"/>
        <v>31</v>
      </c>
      <c r="F820" s="79"/>
      <c r="G820" s="82"/>
      <c r="H820" s="68" t="str">
        <f t="shared" si="386"/>
        <v>Hyprev6_20201203_04_00</v>
      </c>
      <c r="I820" s="69">
        <f t="shared" si="389"/>
        <v>1</v>
      </c>
      <c r="J820" s="76" t="str">
        <f t="shared" si="389"/>
        <v>Hypericum</v>
      </c>
      <c r="K820" s="76" t="str">
        <f t="shared" si="389"/>
        <v>revolutum</v>
      </c>
      <c r="L820" s="77">
        <f t="shared" si="389"/>
        <v>6</v>
      </c>
      <c r="M820" s="77">
        <f t="shared" si="389"/>
        <v>1</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Dec</v>
      </c>
      <c r="C821" s="73">
        <f t="shared" si="385"/>
        <v>3</v>
      </c>
      <c r="D821" s="74">
        <f t="shared" si="368"/>
        <v>4</v>
      </c>
      <c r="E821" s="75">
        <f t="shared" si="369"/>
        <v>32</v>
      </c>
      <c r="F821" s="79"/>
      <c r="G821" s="82"/>
      <c r="H821" s="68" t="str">
        <f t="shared" si="386"/>
        <v>Hyprev6_20201203_04_00</v>
      </c>
      <c r="I821" s="69">
        <f t="shared" ref="I821:N836" si="390">I820</f>
        <v>1</v>
      </c>
      <c r="J821" s="76" t="str">
        <f t="shared" si="390"/>
        <v>Hypericum</v>
      </c>
      <c r="K821" s="76" t="str">
        <f t="shared" si="390"/>
        <v>revolutum</v>
      </c>
      <c r="L821" s="77">
        <f t="shared" si="390"/>
        <v>6</v>
      </c>
      <c r="M821" s="77">
        <f t="shared" si="390"/>
        <v>1</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Dec</v>
      </c>
      <c r="C822" s="73">
        <f t="shared" si="385"/>
        <v>3</v>
      </c>
      <c r="D822" s="74">
        <f t="shared" si="368"/>
        <v>4</v>
      </c>
      <c r="E822" s="75">
        <f t="shared" si="369"/>
        <v>33</v>
      </c>
      <c r="F822" s="79"/>
      <c r="G822" s="82"/>
      <c r="H822" s="68" t="str">
        <f t="shared" si="386"/>
        <v>Hyprev6_20201203_04_00</v>
      </c>
      <c r="I822" s="69">
        <f t="shared" si="390"/>
        <v>1</v>
      </c>
      <c r="J822" s="76" t="str">
        <f t="shared" si="390"/>
        <v>Hypericum</v>
      </c>
      <c r="K822" s="76" t="str">
        <f t="shared" si="390"/>
        <v>revolutum</v>
      </c>
      <c r="L822" s="77">
        <f t="shared" si="390"/>
        <v>6</v>
      </c>
      <c r="M822" s="77">
        <f t="shared" si="390"/>
        <v>1</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Dec</v>
      </c>
      <c r="C823" s="73">
        <f t="shared" si="385"/>
        <v>3</v>
      </c>
      <c r="D823" s="74">
        <f t="shared" si="368"/>
        <v>4</v>
      </c>
      <c r="E823" s="75">
        <f t="shared" si="369"/>
        <v>34</v>
      </c>
      <c r="F823" s="79"/>
      <c r="G823" s="82"/>
      <c r="H823" s="68" t="str">
        <f t="shared" si="386"/>
        <v>Hyprev6_20201203_04_00</v>
      </c>
      <c r="I823" s="69">
        <f t="shared" si="390"/>
        <v>1</v>
      </c>
      <c r="J823" s="76" t="str">
        <f t="shared" si="390"/>
        <v>Hypericum</v>
      </c>
      <c r="K823" s="76" t="str">
        <f t="shared" si="390"/>
        <v>revolutum</v>
      </c>
      <c r="L823" s="77">
        <f t="shared" si="390"/>
        <v>6</v>
      </c>
      <c r="M823" s="77">
        <f t="shared" si="390"/>
        <v>1</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Dec</v>
      </c>
      <c r="C824" s="73">
        <f t="shared" si="385"/>
        <v>3</v>
      </c>
      <c r="D824" s="74">
        <f t="shared" si="368"/>
        <v>4</v>
      </c>
      <c r="E824" s="75">
        <f t="shared" si="369"/>
        <v>35</v>
      </c>
      <c r="F824" s="79"/>
      <c r="G824" s="82"/>
      <c r="H824" s="68" t="str">
        <f t="shared" si="386"/>
        <v>Hyprev6_20201203_04_00</v>
      </c>
      <c r="I824" s="69">
        <f t="shared" si="390"/>
        <v>1</v>
      </c>
      <c r="J824" s="76" t="str">
        <f t="shared" si="390"/>
        <v>Hypericum</v>
      </c>
      <c r="K824" s="76" t="str">
        <f t="shared" si="390"/>
        <v>revolutum</v>
      </c>
      <c r="L824" s="77">
        <f t="shared" si="390"/>
        <v>6</v>
      </c>
      <c r="M824" s="77">
        <f t="shared" si="390"/>
        <v>1</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Dec</v>
      </c>
      <c r="C825" s="73">
        <f t="shared" si="385"/>
        <v>3</v>
      </c>
      <c r="D825" s="74">
        <f t="shared" si="368"/>
        <v>4</v>
      </c>
      <c r="E825" s="75">
        <f t="shared" si="369"/>
        <v>36</v>
      </c>
      <c r="F825" s="79"/>
      <c r="G825" s="82"/>
      <c r="H825" s="68" t="str">
        <f t="shared" si="386"/>
        <v>Hyprev6_20201203_04_00</v>
      </c>
      <c r="I825" s="69">
        <f t="shared" si="390"/>
        <v>1</v>
      </c>
      <c r="J825" s="76" t="str">
        <f t="shared" si="390"/>
        <v>Hypericum</v>
      </c>
      <c r="K825" s="76" t="str">
        <f t="shared" si="390"/>
        <v>revolutum</v>
      </c>
      <c r="L825" s="77">
        <f t="shared" si="390"/>
        <v>6</v>
      </c>
      <c r="M825" s="77">
        <f t="shared" si="390"/>
        <v>1</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Dec</v>
      </c>
      <c r="C826" s="73">
        <f t="shared" si="385"/>
        <v>3</v>
      </c>
      <c r="D826" s="74">
        <f t="shared" si="368"/>
        <v>4</v>
      </c>
      <c r="E826" s="75">
        <f t="shared" si="369"/>
        <v>37</v>
      </c>
      <c r="F826" s="79"/>
      <c r="G826" s="82"/>
      <c r="H826" s="68" t="str">
        <f t="shared" si="386"/>
        <v>Hyprev6_20201203_04_00</v>
      </c>
      <c r="I826" s="69">
        <f t="shared" si="390"/>
        <v>1</v>
      </c>
      <c r="J826" s="76" t="str">
        <f t="shared" si="390"/>
        <v>Hypericum</v>
      </c>
      <c r="K826" s="76" t="str">
        <f t="shared" si="390"/>
        <v>revolutum</v>
      </c>
      <c r="L826" s="77">
        <f t="shared" si="390"/>
        <v>6</v>
      </c>
      <c r="M826" s="77">
        <f t="shared" si="390"/>
        <v>1</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Dec</v>
      </c>
      <c r="C827" s="73">
        <f t="shared" si="385"/>
        <v>3</v>
      </c>
      <c r="D827" s="74">
        <f t="shared" si="368"/>
        <v>4</v>
      </c>
      <c r="E827" s="75">
        <f t="shared" si="369"/>
        <v>38</v>
      </c>
      <c r="F827" s="79"/>
      <c r="G827" s="82"/>
      <c r="H827" s="68" t="str">
        <f t="shared" si="386"/>
        <v>Hyprev6_20201203_04_00</v>
      </c>
      <c r="I827" s="69">
        <f t="shared" si="390"/>
        <v>1</v>
      </c>
      <c r="J827" s="76" t="str">
        <f t="shared" si="390"/>
        <v>Hypericum</v>
      </c>
      <c r="K827" s="76" t="str">
        <f t="shared" si="390"/>
        <v>revolutum</v>
      </c>
      <c r="L827" s="77">
        <f t="shared" si="390"/>
        <v>6</v>
      </c>
      <c r="M827" s="77">
        <f t="shared" si="390"/>
        <v>1</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Dec</v>
      </c>
      <c r="C828" s="73">
        <f t="shared" si="385"/>
        <v>3</v>
      </c>
      <c r="D828" s="74">
        <f t="shared" si="368"/>
        <v>4</v>
      </c>
      <c r="E828" s="75">
        <f t="shared" si="369"/>
        <v>39</v>
      </c>
      <c r="F828" s="79"/>
      <c r="G828" s="82"/>
      <c r="H828" s="68" t="str">
        <f t="shared" si="386"/>
        <v>Hyprev6_20201203_04_00</v>
      </c>
      <c r="I828" s="69">
        <f t="shared" si="390"/>
        <v>1</v>
      </c>
      <c r="J828" s="76" t="str">
        <f t="shared" si="390"/>
        <v>Hypericum</v>
      </c>
      <c r="K828" s="76" t="str">
        <f t="shared" si="390"/>
        <v>revolutum</v>
      </c>
      <c r="L828" s="77">
        <f t="shared" si="390"/>
        <v>6</v>
      </c>
      <c r="M828" s="77">
        <f t="shared" si="390"/>
        <v>1</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Dec</v>
      </c>
      <c r="C829" s="73">
        <f t="shared" si="385"/>
        <v>3</v>
      </c>
      <c r="D829" s="74">
        <f t="shared" si="368"/>
        <v>4</v>
      </c>
      <c r="E829" s="75">
        <f t="shared" si="369"/>
        <v>40</v>
      </c>
      <c r="F829" s="79"/>
      <c r="G829" s="82"/>
      <c r="H829" s="68" t="str">
        <f t="shared" si="386"/>
        <v>Hyprev6_20201203_04_00</v>
      </c>
      <c r="I829" s="69">
        <f t="shared" si="390"/>
        <v>1</v>
      </c>
      <c r="J829" s="76" t="str">
        <f t="shared" si="390"/>
        <v>Hypericum</v>
      </c>
      <c r="K829" s="76" t="str">
        <f t="shared" si="390"/>
        <v>revolutum</v>
      </c>
      <c r="L829" s="77">
        <f t="shared" si="390"/>
        <v>6</v>
      </c>
      <c r="M829" s="77">
        <f t="shared" si="390"/>
        <v>1</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Dec</v>
      </c>
      <c r="C830" s="73">
        <f t="shared" si="385"/>
        <v>3</v>
      </c>
      <c r="D830" s="74">
        <f t="shared" si="368"/>
        <v>4</v>
      </c>
      <c r="E830" s="75">
        <f t="shared" si="369"/>
        <v>41</v>
      </c>
      <c r="F830" s="79"/>
      <c r="G830" s="82"/>
      <c r="H830" s="68" t="str">
        <f t="shared" si="386"/>
        <v>Hyprev6_20201203_04_00</v>
      </c>
      <c r="I830" s="69">
        <f t="shared" si="390"/>
        <v>1</v>
      </c>
      <c r="J830" s="76" t="str">
        <f t="shared" si="390"/>
        <v>Hypericum</v>
      </c>
      <c r="K830" s="76" t="str">
        <f t="shared" si="390"/>
        <v>revolutum</v>
      </c>
      <c r="L830" s="77">
        <f t="shared" si="390"/>
        <v>6</v>
      </c>
      <c r="M830" s="77">
        <f t="shared" si="390"/>
        <v>1</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Dec</v>
      </c>
      <c r="C831" s="73">
        <f t="shared" si="385"/>
        <v>3</v>
      </c>
      <c r="D831" s="74">
        <f t="shared" si="368"/>
        <v>4</v>
      </c>
      <c r="E831" s="75">
        <f t="shared" si="369"/>
        <v>42</v>
      </c>
      <c r="F831" s="79"/>
      <c r="G831" s="82"/>
      <c r="H831" s="68" t="str">
        <f t="shared" si="386"/>
        <v>Hyprev6_20201203_04_00</v>
      </c>
      <c r="I831" s="69">
        <f t="shared" si="390"/>
        <v>1</v>
      </c>
      <c r="J831" s="76" t="str">
        <f t="shared" si="390"/>
        <v>Hypericum</v>
      </c>
      <c r="K831" s="76" t="str">
        <f t="shared" si="390"/>
        <v>revolutum</v>
      </c>
      <c r="L831" s="77">
        <f t="shared" si="390"/>
        <v>6</v>
      </c>
      <c r="M831" s="77">
        <f t="shared" si="390"/>
        <v>1</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Dec</v>
      </c>
      <c r="C832" s="73">
        <f t="shared" si="385"/>
        <v>3</v>
      </c>
      <c r="D832" s="74">
        <f t="shared" si="368"/>
        <v>4</v>
      </c>
      <c r="E832" s="75">
        <f t="shared" si="369"/>
        <v>43</v>
      </c>
      <c r="F832" s="79"/>
      <c r="G832" s="82"/>
      <c r="H832" s="68" t="str">
        <f t="shared" si="386"/>
        <v>Hyprev6_20201203_04_00</v>
      </c>
      <c r="I832" s="69">
        <f t="shared" si="390"/>
        <v>1</v>
      </c>
      <c r="J832" s="76" t="str">
        <f t="shared" si="390"/>
        <v>Hypericum</v>
      </c>
      <c r="K832" s="76" t="str">
        <f t="shared" si="390"/>
        <v>revolutum</v>
      </c>
      <c r="L832" s="77">
        <f t="shared" si="390"/>
        <v>6</v>
      </c>
      <c r="M832" s="77">
        <f t="shared" si="390"/>
        <v>1</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Dec</v>
      </c>
      <c r="C833" s="73">
        <f t="shared" si="385"/>
        <v>3</v>
      </c>
      <c r="D833" s="74">
        <f t="shared" si="368"/>
        <v>4</v>
      </c>
      <c r="E833" s="75">
        <f t="shared" si="369"/>
        <v>44</v>
      </c>
      <c r="F833" s="79"/>
      <c r="G833" s="82"/>
      <c r="H833" s="68" t="str">
        <f t="shared" si="386"/>
        <v>Hyprev6_20201203_04_00</v>
      </c>
      <c r="I833" s="69">
        <f t="shared" si="390"/>
        <v>1</v>
      </c>
      <c r="J833" s="76" t="str">
        <f t="shared" si="390"/>
        <v>Hypericum</v>
      </c>
      <c r="K833" s="76" t="str">
        <f t="shared" si="390"/>
        <v>revolutum</v>
      </c>
      <c r="L833" s="77">
        <f t="shared" si="390"/>
        <v>6</v>
      </c>
      <c r="M833" s="77">
        <f t="shared" si="390"/>
        <v>1</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Dec</v>
      </c>
      <c r="C834" s="73">
        <f t="shared" si="385"/>
        <v>3</v>
      </c>
      <c r="D834" s="74">
        <f t="shared" si="368"/>
        <v>4</v>
      </c>
      <c r="E834" s="75">
        <f t="shared" si="369"/>
        <v>45</v>
      </c>
      <c r="F834" s="79"/>
      <c r="G834" s="82"/>
      <c r="H834" s="68" t="str">
        <f t="shared" si="386"/>
        <v>Hyprev6_20201203_04_00</v>
      </c>
      <c r="I834" s="69">
        <f t="shared" si="390"/>
        <v>1</v>
      </c>
      <c r="J834" s="76" t="str">
        <f t="shared" si="390"/>
        <v>Hypericum</v>
      </c>
      <c r="K834" s="76" t="str">
        <f t="shared" si="390"/>
        <v>revolutum</v>
      </c>
      <c r="L834" s="77">
        <f t="shared" si="390"/>
        <v>6</v>
      </c>
      <c r="M834" s="77">
        <f t="shared" si="390"/>
        <v>1</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Dec</v>
      </c>
      <c r="C835" s="73">
        <f t="shared" si="385"/>
        <v>3</v>
      </c>
      <c r="D835" s="74">
        <f t="shared" si="368"/>
        <v>4</v>
      </c>
      <c r="E835" s="75">
        <f t="shared" si="369"/>
        <v>46</v>
      </c>
      <c r="F835" s="79"/>
      <c r="G835" s="82"/>
      <c r="H835" s="68" t="str">
        <f t="shared" si="386"/>
        <v>Hyprev6_20201203_04_00</v>
      </c>
      <c r="I835" s="69">
        <f t="shared" si="390"/>
        <v>1</v>
      </c>
      <c r="J835" s="76" t="str">
        <f t="shared" si="390"/>
        <v>Hypericum</v>
      </c>
      <c r="K835" s="76" t="str">
        <f t="shared" si="390"/>
        <v>revolutum</v>
      </c>
      <c r="L835" s="77">
        <f t="shared" si="390"/>
        <v>6</v>
      </c>
      <c r="M835" s="77">
        <f t="shared" si="390"/>
        <v>1</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Dec</v>
      </c>
      <c r="C836" s="73">
        <f t="shared" si="385"/>
        <v>3</v>
      </c>
      <c r="D836" s="74">
        <f t="shared" ref="D836:D899" si="398">IF(IF(E835=59,D835+1,D835)=24,0,IF(E835=59,D835+1,D835))</f>
        <v>4</v>
      </c>
      <c r="E836" s="75">
        <f t="shared" ref="E836:E899" si="399">IF(E835&lt;59,E835+1,0)</f>
        <v>47</v>
      </c>
      <c r="F836" s="79"/>
      <c r="G836" s="82"/>
      <c r="H836" s="68" t="str">
        <f t="shared" si="386"/>
        <v>Hyprev6_20201203_04_00</v>
      </c>
      <c r="I836" s="69">
        <f t="shared" si="390"/>
        <v>1</v>
      </c>
      <c r="J836" s="76" t="str">
        <f t="shared" si="390"/>
        <v>Hypericum</v>
      </c>
      <c r="K836" s="76" t="str">
        <f t="shared" si="390"/>
        <v>revolutum</v>
      </c>
      <c r="L836" s="77">
        <f t="shared" si="390"/>
        <v>6</v>
      </c>
      <c r="M836" s="77">
        <f t="shared" si="390"/>
        <v>1</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Dec</v>
      </c>
      <c r="C837" s="73">
        <f t="shared" ref="C837:C900" si="415">IF(AND(D837=0, E837=0), IF(TEXT(C836,"dd")=TEXT(EOMONTH(DATE(A836,MONTH(DATEVALUE(B836&amp;"1")),C836),0), "dd"), 1, C836+1), C836)</f>
        <v>3</v>
      </c>
      <c r="D837" s="74">
        <f t="shared" si="398"/>
        <v>4</v>
      </c>
      <c r="E837" s="75">
        <f t="shared" si="399"/>
        <v>48</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Hyprev6_20201203_04_00</v>
      </c>
      <c r="I837" s="69">
        <f t="shared" ref="I837:N852" si="417">I836</f>
        <v>1</v>
      </c>
      <c r="J837" s="76" t="str">
        <f t="shared" si="417"/>
        <v>Hypericum</v>
      </c>
      <c r="K837" s="76" t="str">
        <f t="shared" si="417"/>
        <v>revolutum</v>
      </c>
      <c r="L837" s="77">
        <f t="shared" si="417"/>
        <v>6</v>
      </c>
      <c r="M837" s="77">
        <f t="shared" si="417"/>
        <v>1</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Dec</v>
      </c>
      <c r="C838" s="73">
        <f t="shared" si="415"/>
        <v>3</v>
      </c>
      <c r="D838" s="74">
        <f t="shared" si="398"/>
        <v>4</v>
      </c>
      <c r="E838" s="75">
        <f t="shared" si="399"/>
        <v>49</v>
      </c>
      <c r="F838" s="79"/>
      <c r="G838" s="82"/>
      <c r="H838" s="68" t="str">
        <f t="shared" si="416"/>
        <v>Hyprev6_20201203_04_00</v>
      </c>
      <c r="I838" s="69">
        <f t="shared" si="417"/>
        <v>1</v>
      </c>
      <c r="J838" s="76" t="str">
        <f t="shared" si="417"/>
        <v>Hypericum</v>
      </c>
      <c r="K838" s="76" t="str">
        <f t="shared" si="417"/>
        <v>revolutum</v>
      </c>
      <c r="L838" s="77">
        <f t="shared" si="417"/>
        <v>6</v>
      </c>
      <c r="M838" s="77">
        <f t="shared" si="417"/>
        <v>1</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Dec</v>
      </c>
      <c r="C839" s="73">
        <f t="shared" si="415"/>
        <v>3</v>
      </c>
      <c r="D839" s="74">
        <f t="shared" si="398"/>
        <v>4</v>
      </c>
      <c r="E839" s="75">
        <f t="shared" si="399"/>
        <v>50</v>
      </c>
      <c r="F839" s="79"/>
      <c r="G839" s="82"/>
      <c r="H839" s="68" t="str">
        <f t="shared" si="416"/>
        <v>Hyprev6_20201203_04_00</v>
      </c>
      <c r="I839" s="69">
        <f t="shared" si="417"/>
        <v>1</v>
      </c>
      <c r="J839" s="76" t="str">
        <f t="shared" si="417"/>
        <v>Hypericum</v>
      </c>
      <c r="K839" s="76" t="str">
        <f t="shared" si="417"/>
        <v>revolutum</v>
      </c>
      <c r="L839" s="77">
        <f t="shared" si="417"/>
        <v>6</v>
      </c>
      <c r="M839" s="77">
        <f t="shared" si="417"/>
        <v>1</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Dec</v>
      </c>
      <c r="C840" s="73">
        <f t="shared" si="415"/>
        <v>3</v>
      </c>
      <c r="D840" s="74">
        <f t="shared" si="398"/>
        <v>4</v>
      </c>
      <c r="E840" s="75">
        <f t="shared" si="399"/>
        <v>51</v>
      </c>
      <c r="F840" s="79"/>
      <c r="G840" s="82"/>
      <c r="H840" s="68" t="str">
        <f t="shared" si="416"/>
        <v>Hyprev6_20201203_04_00</v>
      </c>
      <c r="I840" s="69">
        <f t="shared" si="417"/>
        <v>1</v>
      </c>
      <c r="J840" s="76" t="str">
        <f t="shared" si="417"/>
        <v>Hypericum</v>
      </c>
      <c r="K840" s="76" t="str">
        <f t="shared" si="417"/>
        <v>revolutum</v>
      </c>
      <c r="L840" s="77">
        <f t="shared" si="417"/>
        <v>6</v>
      </c>
      <c r="M840" s="77">
        <f t="shared" si="417"/>
        <v>1</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Dec</v>
      </c>
      <c r="C841" s="73">
        <f t="shared" si="415"/>
        <v>3</v>
      </c>
      <c r="D841" s="74">
        <f t="shared" si="398"/>
        <v>4</v>
      </c>
      <c r="E841" s="75">
        <f t="shared" si="399"/>
        <v>52</v>
      </c>
      <c r="F841" s="79"/>
      <c r="G841" s="82"/>
      <c r="H841" s="68" t="str">
        <f t="shared" si="416"/>
        <v>Hyprev6_20201203_04_00</v>
      </c>
      <c r="I841" s="69">
        <f t="shared" si="417"/>
        <v>1</v>
      </c>
      <c r="J841" s="76" t="str">
        <f t="shared" si="417"/>
        <v>Hypericum</v>
      </c>
      <c r="K841" s="76" t="str">
        <f t="shared" si="417"/>
        <v>revolutum</v>
      </c>
      <c r="L841" s="77">
        <f t="shared" si="417"/>
        <v>6</v>
      </c>
      <c r="M841" s="77">
        <f t="shared" si="417"/>
        <v>1</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Dec</v>
      </c>
      <c r="C842" s="73">
        <f t="shared" si="415"/>
        <v>3</v>
      </c>
      <c r="D842" s="74">
        <f t="shared" si="398"/>
        <v>4</v>
      </c>
      <c r="E842" s="75">
        <f t="shared" si="399"/>
        <v>53</v>
      </c>
      <c r="F842" s="79"/>
      <c r="G842" s="82"/>
      <c r="H842" s="68" t="str">
        <f t="shared" si="416"/>
        <v>Hyprev6_20201203_04_00</v>
      </c>
      <c r="I842" s="69">
        <f t="shared" si="417"/>
        <v>1</v>
      </c>
      <c r="J842" s="76" t="str">
        <f t="shared" si="417"/>
        <v>Hypericum</v>
      </c>
      <c r="K842" s="76" t="str">
        <f t="shared" si="417"/>
        <v>revolutum</v>
      </c>
      <c r="L842" s="77">
        <f t="shared" si="417"/>
        <v>6</v>
      </c>
      <c r="M842" s="77">
        <f t="shared" si="417"/>
        <v>1</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Dec</v>
      </c>
      <c r="C843" s="73">
        <f t="shared" si="415"/>
        <v>3</v>
      </c>
      <c r="D843" s="74">
        <f t="shared" si="398"/>
        <v>4</v>
      </c>
      <c r="E843" s="75">
        <f t="shared" si="399"/>
        <v>54</v>
      </c>
      <c r="F843" s="79"/>
      <c r="G843" s="82"/>
      <c r="H843" s="68" t="str">
        <f t="shared" si="416"/>
        <v>Hyprev6_20201203_04_00</v>
      </c>
      <c r="I843" s="69">
        <f t="shared" si="417"/>
        <v>1</v>
      </c>
      <c r="J843" s="76" t="str">
        <f t="shared" si="417"/>
        <v>Hypericum</v>
      </c>
      <c r="K843" s="76" t="str">
        <f t="shared" si="417"/>
        <v>revolutum</v>
      </c>
      <c r="L843" s="77">
        <f t="shared" si="417"/>
        <v>6</v>
      </c>
      <c r="M843" s="77">
        <f t="shared" si="417"/>
        <v>1</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Dec</v>
      </c>
      <c r="C844" s="73">
        <f t="shared" si="415"/>
        <v>3</v>
      </c>
      <c r="D844" s="74">
        <f t="shared" si="398"/>
        <v>4</v>
      </c>
      <c r="E844" s="75">
        <f t="shared" si="399"/>
        <v>55</v>
      </c>
      <c r="F844" s="79"/>
      <c r="G844" s="82"/>
      <c r="H844" s="68" t="str">
        <f t="shared" si="416"/>
        <v>Hyprev6_20201203_04_00</v>
      </c>
      <c r="I844" s="69">
        <f t="shared" si="417"/>
        <v>1</v>
      </c>
      <c r="J844" s="76" t="str">
        <f t="shared" si="417"/>
        <v>Hypericum</v>
      </c>
      <c r="K844" s="76" t="str">
        <f t="shared" si="417"/>
        <v>revolutum</v>
      </c>
      <c r="L844" s="77">
        <f t="shared" si="417"/>
        <v>6</v>
      </c>
      <c r="M844" s="77">
        <f t="shared" si="417"/>
        <v>1</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Dec</v>
      </c>
      <c r="C845" s="73">
        <f t="shared" si="415"/>
        <v>3</v>
      </c>
      <c r="D845" s="74">
        <f t="shared" si="398"/>
        <v>4</v>
      </c>
      <c r="E845" s="75">
        <f t="shared" si="399"/>
        <v>56</v>
      </c>
      <c r="F845" s="79"/>
      <c r="G845" s="82"/>
      <c r="H845" s="68" t="str">
        <f t="shared" si="416"/>
        <v>Hyprev6_20201203_04_00</v>
      </c>
      <c r="I845" s="69">
        <f t="shared" si="417"/>
        <v>1</v>
      </c>
      <c r="J845" s="76" t="str">
        <f t="shared" si="417"/>
        <v>Hypericum</v>
      </c>
      <c r="K845" s="76" t="str">
        <f t="shared" si="417"/>
        <v>revolutum</v>
      </c>
      <c r="L845" s="77">
        <f t="shared" si="417"/>
        <v>6</v>
      </c>
      <c r="M845" s="77">
        <f t="shared" si="417"/>
        <v>1</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Dec</v>
      </c>
      <c r="C846" s="73">
        <f t="shared" si="415"/>
        <v>3</v>
      </c>
      <c r="D846" s="74">
        <f t="shared" si="398"/>
        <v>4</v>
      </c>
      <c r="E846" s="75">
        <f t="shared" si="399"/>
        <v>57</v>
      </c>
      <c r="F846" s="79"/>
      <c r="G846" s="82"/>
      <c r="H846" s="68" t="str">
        <f t="shared" si="416"/>
        <v>Hyprev6_20201203_04_00</v>
      </c>
      <c r="I846" s="69">
        <f t="shared" si="417"/>
        <v>1</v>
      </c>
      <c r="J846" s="76" t="str">
        <f t="shared" si="417"/>
        <v>Hypericum</v>
      </c>
      <c r="K846" s="76" t="str">
        <f t="shared" si="417"/>
        <v>revolutum</v>
      </c>
      <c r="L846" s="77">
        <f t="shared" si="417"/>
        <v>6</v>
      </c>
      <c r="M846" s="77">
        <f t="shared" si="417"/>
        <v>1</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Dec</v>
      </c>
      <c r="C847" s="73">
        <f t="shared" si="415"/>
        <v>3</v>
      </c>
      <c r="D847" s="74">
        <f t="shared" si="398"/>
        <v>4</v>
      </c>
      <c r="E847" s="75">
        <f t="shared" si="399"/>
        <v>58</v>
      </c>
      <c r="F847" s="79"/>
      <c r="G847" s="82"/>
      <c r="H847" s="68" t="str">
        <f t="shared" si="416"/>
        <v>Hyprev6_20201203_04_00</v>
      </c>
      <c r="I847" s="69">
        <f t="shared" si="417"/>
        <v>1</v>
      </c>
      <c r="J847" s="76" t="str">
        <f t="shared" si="417"/>
        <v>Hypericum</v>
      </c>
      <c r="K847" s="76" t="str">
        <f t="shared" si="417"/>
        <v>revolutum</v>
      </c>
      <c r="L847" s="77">
        <f t="shared" si="417"/>
        <v>6</v>
      </c>
      <c r="M847" s="77">
        <f t="shared" si="417"/>
        <v>1</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Dec</v>
      </c>
      <c r="C848" s="73">
        <f t="shared" si="415"/>
        <v>3</v>
      </c>
      <c r="D848" s="74">
        <f t="shared" si="398"/>
        <v>4</v>
      </c>
      <c r="E848" s="75">
        <f t="shared" si="399"/>
        <v>59</v>
      </c>
      <c r="F848" s="79"/>
      <c r="G848" s="82"/>
      <c r="H848" s="68" t="str">
        <f t="shared" si="416"/>
        <v>Hyprev6_20201203_04_00</v>
      </c>
      <c r="I848" s="69">
        <f t="shared" si="417"/>
        <v>1</v>
      </c>
      <c r="J848" s="76" t="str">
        <f t="shared" si="417"/>
        <v>Hypericum</v>
      </c>
      <c r="K848" s="76" t="str">
        <f t="shared" si="417"/>
        <v>revolutum</v>
      </c>
      <c r="L848" s="77">
        <f t="shared" si="417"/>
        <v>6</v>
      </c>
      <c r="M848" s="77">
        <f t="shared" si="417"/>
        <v>1</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Dec</v>
      </c>
      <c r="C849" s="73">
        <f t="shared" si="415"/>
        <v>3</v>
      </c>
      <c r="D849" s="74">
        <f t="shared" si="398"/>
        <v>5</v>
      </c>
      <c r="E849" s="75">
        <f t="shared" si="399"/>
        <v>0</v>
      </c>
      <c r="F849" s="79"/>
      <c r="G849" s="82"/>
      <c r="H849" s="68" t="str">
        <f t="shared" si="416"/>
        <v>Hyprev6_20201203_05_00</v>
      </c>
      <c r="I849" s="69">
        <f t="shared" si="417"/>
        <v>1</v>
      </c>
      <c r="J849" s="76" t="str">
        <f t="shared" si="417"/>
        <v>Hypericum</v>
      </c>
      <c r="K849" s="76" t="str">
        <f t="shared" si="417"/>
        <v>revolutum</v>
      </c>
      <c r="L849" s="77">
        <f t="shared" si="417"/>
        <v>6</v>
      </c>
      <c r="M849" s="77">
        <f t="shared" si="417"/>
        <v>1</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Dec</v>
      </c>
      <c r="C850" s="73">
        <f t="shared" si="415"/>
        <v>3</v>
      </c>
      <c r="D850" s="74">
        <f t="shared" si="398"/>
        <v>5</v>
      </c>
      <c r="E850" s="75">
        <f t="shared" si="399"/>
        <v>1</v>
      </c>
      <c r="F850" s="79"/>
      <c r="G850" s="82"/>
      <c r="H850" s="68" t="str">
        <f t="shared" si="416"/>
        <v>Hyprev6_20201203_05_00</v>
      </c>
      <c r="I850" s="69">
        <f t="shared" si="417"/>
        <v>1</v>
      </c>
      <c r="J850" s="76" t="str">
        <f t="shared" si="417"/>
        <v>Hypericum</v>
      </c>
      <c r="K850" s="76" t="str">
        <f t="shared" si="417"/>
        <v>revolutum</v>
      </c>
      <c r="L850" s="77">
        <f t="shared" si="417"/>
        <v>6</v>
      </c>
      <c r="M850" s="77">
        <f t="shared" si="417"/>
        <v>1</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Dec</v>
      </c>
      <c r="C851" s="73">
        <f t="shared" si="415"/>
        <v>3</v>
      </c>
      <c r="D851" s="74">
        <f t="shared" si="398"/>
        <v>5</v>
      </c>
      <c r="E851" s="75">
        <f t="shared" si="399"/>
        <v>2</v>
      </c>
      <c r="F851" s="79"/>
      <c r="G851" s="82"/>
      <c r="H851" s="68" t="str">
        <f t="shared" si="416"/>
        <v>Hyprev6_20201203_05_00</v>
      </c>
      <c r="I851" s="69">
        <f t="shared" si="417"/>
        <v>1</v>
      </c>
      <c r="J851" s="76" t="str">
        <f t="shared" si="417"/>
        <v>Hypericum</v>
      </c>
      <c r="K851" s="76" t="str">
        <f t="shared" si="417"/>
        <v>revolutum</v>
      </c>
      <c r="L851" s="77">
        <f t="shared" si="417"/>
        <v>6</v>
      </c>
      <c r="M851" s="77">
        <f t="shared" si="417"/>
        <v>1</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Dec</v>
      </c>
      <c r="C852" s="73">
        <f t="shared" si="415"/>
        <v>3</v>
      </c>
      <c r="D852" s="74">
        <f t="shared" si="398"/>
        <v>5</v>
      </c>
      <c r="E852" s="75">
        <f t="shared" si="399"/>
        <v>3</v>
      </c>
      <c r="F852" s="79"/>
      <c r="G852" s="82"/>
      <c r="H852" s="68" t="str">
        <f t="shared" si="416"/>
        <v>Hyprev6_20201203_05_00</v>
      </c>
      <c r="I852" s="69">
        <f t="shared" si="417"/>
        <v>1</v>
      </c>
      <c r="J852" s="76" t="str">
        <f t="shared" si="417"/>
        <v>Hypericum</v>
      </c>
      <c r="K852" s="76" t="str">
        <f t="shared" si="417"/>
        <v>revolutum</v>
      </c>
      <c r="L852" s="77">
        <f t="shared" si="417"/>
        <v>6</v>
      </c>
      <c r="M852" s="77">
        <f t="shared" si="417"/>
        <v>1</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Dec</v>
      </c>
      <c r="C853" s="73">
        <f t="shared" si="415"/>
        <v>3</v>
      </c>
      <c r="D853" s="74">
        <f t="shared" si="398"/>
        <v>5</v>
      </c>
      <c r="E853" s="75">
        <f t="shared" si="399"/>
        <v>4</v>
      </c>
      <c r="F853" s="79"/>
      <c r="G853" s="82"/>
      <c r="H853" s="68" t="str">
        <f t="shared" si="416"/>
        <v>Hyprev6_20201203_05_00</v>
      </c>
      <c r="I853" s="69">
        <f t="shared" ref="I853:N868" si="418">I852</f>
        <v>1</v>
      </c>
      <c r="J853" s="76" t="str">
        <f t="shared" si="418"/>
        <v>Hypericum</v>
      </c>
      <c r="K853" s="76" t="str">
        <f t="shared" si="418"/>
        <v>revolutum</v>
      </c>
      <c r="L853" s="77">
        <f t="shared" si="418"/>
        <v>6</v>
      </c>
      <c r="M853" s="77">
        <f t="shared" si="418"/>
        <v>1</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Dec</v>
      </c>
      <c r="C854" s="73">
        <f t="shared" si="415"/>
        <v>3</v>
      </c>
      <c r="D854" s="74">
        <f t="shared" si="398"/>
        <v>5</v>
      </c>
      <c r="E854" s="75">
        <f t="shared" si="399"/>
        <v>5</v>
      </c>
      <c r="F854" s="79"/>
      <c r="G854" s="82"/>
      <c r="H854" s="68" t="str">
        <f t="shared" si="416"/>
        <v>Hyprev6_20201203_05_00</v>
      </c>
      <c r="I854" s="69">
        <f t="shared" si="418"/>
        <v>1</v>
      </c>
      <c r="J854" s="76" t="str">
        <f t="shared" si="418"/>
        <v>Hypericum</v>
      </c>
      <c r="K854" s="76" t="str">
        <f t="shared" si="418"/>
        <v>revolutum</v>
      </c>
      <c r="L854" s="77">
        <f t="shared" si="418"/>
        <v>6</v>
      </c>
      <c r="M854" s="77">
        <f t="shared" si="418"/>
        <v>1</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Dec</v>
      </c>
      <c r="C855" s="73">
        <f t="shared" si="415"/>
        <v>3</v>
      </c>
      <c r="D855" s="74">
        <f t="shared" si="398"/>
        <v>5</v>
      </c>
      <c r="E855" s="75">
        <f t="shared" si="399"/>
        <v>6</v>
      </c>
      <c r="F855" s="79"/>
      <c r="G855" s="82"/>
      <c r="H855" s="68" t="str">
        <f t="shared" si="416"/>
        <v>Hyprev6_20201203_05_00</v>
      </c>
      <c r="I855" s="69">
        <f t="shared" si="418"/>
        <v>1</v>
      </c>
      <c r="J855" s="76" t="str">
        <f t="shared" si="418"/>
        <v>Hypericum</v>
      </c>
      <c r="K855" s="76" t="str">
        <f t="shared" si="418"/>
        <v>revolutum</v>
      </c>
      <c r="L855" s="77">
        <f t="shared" si="418"/>
        <v>6</v>
      </c>
      <c r="M855" s="77">
        <f t="shared" si="418"/>
        <v>1</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Dec</v>
      </c>
      <c r="C856" s="73">
        <f t="shared" si="415"/>
        <v>3</v>
      </c>
      <c r="D856" s="74">
        <f t="shared" si="398"/>
        <v>5</v>
      </c>
      <c r="E856" s="75">
        <f t="shared" si="399"/>
        <v>7</v>
      </c>
      <c r="F856" s="79"/>
      <c r="G856" s="82"/>
      <c r="H856" s="68" t="str">
        <f t="shared" si="416"/>
        <v>Hyprev6_20201203_05_00</v>
      </c>
      <c r="I856" s="69">
        <f t="shared" si="418"/>
        <v>1</v>
      </c>
      <c r="J856" s="76" t="str">
        <f t="shared" si="418"/>
        <v>Hypericum</v>
      </c>
      <c r="K856" s="76" t="str">
        <f t="shared" si="418"/>
        <v>revolutum</v>
      </c>
      <c r="L856" s="77">
        <f t="shared" si="418"/>
        <v>6</v>
      </c>
      <c r="M856" s="77">
        <f t="shared" si="418"/>
        <v>1</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Dec</v>
      </c>
      <c r="C857" s="73">
        <f t="shared" si="415"/>
        <v>3</v>
      </c>
      <c r="D857" s="74">
        <f t="shared" si="398"/>
        <v>5</v>
      </c>
      <c r="E857" s="75">
        <f t="shared" si="399"/>
        <v>8</v>
      </c>
      <c r="F857" s="79"/>
      <c r="G857" s="82"/>
      <c r="H857" s="68" t="str">
        <f t="shared" si="416"/>
        <v>Hyprev6_20201203_05_00</v>
      </c>
      <c r="I857" s="69">
        <f t="shared" si="418"/>
        <v>1</v>
      </c>
      <c r="J857" s="76" t="str">
        <f t="shared" si="418"/>
        <v>Hypericum</v>
      </c>
      <c r="K857" s="76" t="str">
        <f t="shared" si="418"/>
        <v>revolutum</v>
      </c>
      <c r="L857" s="77">
        <f t="shared" si="418"/>
        <v>6</v>
      </c>
      <c r="M857" s="77">
        <f t="shared" si="418"/>
        <v>1</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Dec</v>
      </c>
      <c r="C858" s="73">
        <f t="shared" si="415"/>
        <v>3</v>
      </c>
      <c r="D858" s="74">
        <f t="shared" si="398"/>
        <v>5</v>
      </c>
      <c r="E858" s="75">
        <f t="shared" si="399"/>
        <v>9</v>
      </c>
      <c r="F858" s="79"/>
      <c r="G858" s="82"/>
      <c r="H858" s="68" t="str">
        <f t="shared" si="416"/>
        <v>Hyprev6_20201203_05_00</v>
      </c>
      <c r="I858" s="69">
        <f t="shared" si="418"/>
        <v>1</v>
      </c>
      <c r="J858" s="76" t="str">
        <f t="shared" si="418"/>
        <v>Hypericum</v>
      </c>
      <c r="K858" s="76" t="str">
        <f t="shared" si="418"/>
        <v>revolutum</v>
      </c>
      <c r="L858" s="77">
        <f t="shared" si="418"/>
        <v>6</v>
      </c>
      <c r="M858" s="77">
        <f t="shared" si="418"/>
        <v>1</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Dec</v>
      </c>
      <c r="C859" s="73">
        <f t="shared" si="415"/>
        <v>3</v>
      </c>
      <c r="D859" s="74">
        <f t="shared" si="398"/>
        <v>5</v>
      </c>
      <c r="E859" s="75">
        <f t="shared" si="399"/>
        <v>10</v>
      </c>
      <c r="F859" s="79"/>
      <c r="G859" s="82"/>
      <c r="H859" s="68" t="str">
        <f t="shared" si="416"/>
        <v>Hyprev6_20201203_05_00</v>
      </c>
      <c r="I859" s="69">
        <f t="shared" si="418"/>
        <v>1</v>
      </c>
      <c r="J859" s="76" t="str">
        <f t="shared" si="418"/>
        <v>Hypericum</v>
      </c>
      <c r="K859" s="76" t="str">
        <f t="shared" si="418"/>
        <v>revolutum</v>
      </c>
      <c r="L859" s="77">
        <f t="shared" si="418"/>
        <v>6</v>
      </c>
      <c r="M859" s="77">
        <f t="shared" si="418"/>
        <v>1</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Dec</v>
      </c>
      <c r="C860" s="73">
        <f t="shared" si="415"/>
        <v>3</v>
      </c>
      <c r="D860" s="74">
        <f t="shared" si="398"/>
        <v>5</v>
      </c>
      <c r="E860" s="75">
        <f t="shared" si="399"/>
        <v>11</v>
      </c>
      <c r="F860" s="79"/>
      <c r="G860" s="82"/>
      <c r="H860" s="68" t="str">
        <f t="shared" si="416"/>
        <v>Hyprev6_20201203_05_00</v>
      </c>
      <c r="I860" s="69">
        <f t="shared" si="418"/>
        <v>1</v>
      </c>
      <c r="J860" s="76" t="str">
        <f t="shared" si="418"/>
        <v>Hypericum</v>
      </c>
      <c r="K860" s="76" t="str">
        <f t="shared" si="418"/>
        <v>revolutum</v>
      </c>
      <c r="L860" s="77">
        <f t="shared" si="418"/>
        <v>6</v>
      </c>
      <c r="M860" s="77">
        <f t="shared" si="418"/>
        <v>1</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Dec</v>
      </c>
      <c r="C861" s="73">
        <f t="shared" si="415"/>
        <v>3</v>
      </c>
      <c r="D861" s="74">
        <f t="shared" si="398"/>
        <v>5</v>
      </c>
      <c r="E861" s="75">
        <f t="shared" si="399"/>
        <v>12</v>
      </c>
      <c r="F861" s="79"/>
      <c r="G861" s="82"/>
      <c r="H861" s="68" t="str">
        <f t="shared" si="416"/>
        <v>Hyprev6_20201203_05_00</v>
      </c>
      <c r="I861" s="69">
        <f t="shared" si="418"/>
        <v>1</v>
      </c>
      <c r="J861" s="76" t="str">
        <f t="shared" si="418"/>
        <v>Hypericum</v>
      </c>
      <c r="K861" s="76" t="str">
        <f t="shared" si="418"/>
        <v>revolutum</v>
      </c>
      <c r="L861" s="77">
        <f t="shared" si="418"/>
        <v>6</v>
      </c>
      <c r="M861" s="77">
        <f t="shared" si="418"/>
        <v>1</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Dec</v>
      </c>
      <c r="C862" s="73">
        <f t="shared" si="415"/>
        <v>3</v>
      </c>
      <c r="D862" s="74">
        <f t="shared" si="398"/>
        <v>5</v>
      </c>
      <c r="E862" s="75">
        <f t="shared" si="399"/>
        <v>13</v>
      </c>
      <c r="F862" s="79"/>
      <c r="G862" s="82"/>
      <c r="H862" s="68" t="str">
        <f t="shared" si="416"/>
        <v>Hyprev6_20201203_05_00</v>
      </c>
      <c r="I862" s="69">
        <f t="shared" si="418"/>
        <v>1</v>
      </c>
      <c r="J862" s="76" t="str">
        <f t="shared" si="418"/>
        <v>Hypericum</v>
      </c>
      <c r="K862" s="76" t="str">
        <f t="shared" si="418"/>
        <v>revolutum</v>
      </c>
      <c r="L862" s="77">
        <f t="shared" si="418"/>
        <v>6</v>
      </c>
      <c r="M862" s="77">
        <f t="shared" si="418"/>
        <v>1</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Dec</v>
      </c>
      <c r="C863" s="73">
        <f t="shared" si="415"/>
        <v>3</v>
      </c>
      <c r="D863" s="74">
        <f t="shared" si="398"/>
        <v>5</v>
      </c>
      <c r="E863" s="75">
        <f t="shared" si="399"/>
        <v>14</v>
      </c>
      <c r="F863" s="79"/>
      <c r="G863" s="82"/>
      <c r="H863" s="68" t="str">
        <f t="shared" si="416"/>
        <v>Hyprev6_20201203_05_00</v>
      </c>
      <c r="I863" s="69">
        <f t="shared" si="418"/>
        <v>1</v>
      </c>
      <c r="J863" s="76" t="str">
        <f t="shared" si="418"/>
        <v>Hypericum</v>
      </c>
      <c r="K863" s="76" t="str">
        <f t="shared" si="418"/>
        <v>revolutum</v>
      </c>
      <c r="L863" s="77">
        <f t="shared" si="418"/>
        <v>6</v>
      </c>
      <c r="M863" s="77">
        <f t="shared" si="418"/>
        <v>1</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Dec</v>
      </c>
      <c r="C864" s="73">
        <f t="shared" si="415"/>
        <v>3</v>
      </c>
      <c r="D864" s="74">
        <f t="shared" si="398"/>
        <v>5</v>
      </c>
      <c r="E864" s="75">
        <f t="shared" si="399"/>
        <v>15</v>
      </c>
      <c r="F864" s="79"/>
      <c r="G864" s="82"/>
      <c r="H864" s="68" t="str">
        <f t="shared" si="416"/>
        <v>Hyprev6_20201203_05_00</v>
      </c>
      <c r="I864" s="69">
        <f t="shared" si="418"/>
        <v>1</v>
      </c>
      <c r="J864" s="76" t="str">
        <f t="shared" si="418"/>
        <v>Hypericum</v>
      </c>
      <c r="K864" s="76" t="str">
        <f t="shared" si="418"/>
        <v>revolutum</v>
      </c>
      <c r="L864" s="77">
        <f t="shared" si="418"/>
        <v>6</v>
      </c>
      <c r="M864" s="77">
        <f t="shared" si="418"/>
        <v>1</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Dec</v>
      </c>
      <c r="C865" s="73">
        <f t="shared" si="415"/>
        <v>3</v>
      </c>
      <c r="D865" s="74">
        <f t="shared" si="398"/>
        <v>5</v>
      </c>
      <c r="E865" s="75">
        <f t="shared" si="399"/>
        <v>16</v>
      </c>
      <c r="F865" s="79"/>
      <c r="G865" s="82"/>
      <c r="H865" s="68" t="str">
        <f t="shared" si="416"/>
        <v>Hyprev6_20201203_05_00</v>
      </c>
      <c r="I865" s="69">
        <f t="shared" si="418"/>
        <v>1</v>
      </c>
      <c r="J865" s="76" t="str">
        <f t="shared" si="418"/>
        <v>Hypericum</v>
      </c>
      <c r="K865" s="76" t="str">
        <f t="shared" si="418"/>
        <v>revolutum</v>
      </c>
      <c r="L865" s="77">
        <f t="shared" si="418"/>
        <v>6</v>
      </c>
      <c r="M865" s="77">
        <f t="shared" si="418"/>
        <v>1</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Dec</v>
      </c>
      <c r="C866" s="73">
        <f t="shared" si="415"/>
        <v>3</v>
      </c>
      <c r="D866" s="74">
        <f t="shared" si="398"/>
        <v>5</v>
      </c>
      <c r="E866" s="75">
        <f t="shared" si="399"/>
        <v>17</v>
      </c>
      <c r="F866" s="79"/>
      <c r="G866" s="82"/>
      <c r="H866" s="68" t="str">
        <f t="shared" si="416"/>
        <v>Hyprev6_20201203_05_00</v>
      </c>
      <c r="I866" s="69">
        <f t="shared" si="418"/>
        <v>1</v>
      </c>
      <c r="J866" s="76" t="str">
        <f t="shared" si="418"/>
        <v>Hypericum</v>
      </c>
      <c r="K866" s="76" t="str">
        <f t="shared" si="418"/>
        <v>revolutum</v>
      </c>
      <c r="L866" s="77">
        <f t="shared" si="418"/>
        <v>6</v>
      </c>
      <c r="M866" s="77">
        <f t="shared" si="418"/>
        <v>1</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Dec</v>
      </c>
      <c r="C867" s="73">
        <f t="shared" si="415"/>
        <v>3</v>
      </c>
      <c r="D867" s="74">
        <f t="shared" si="398"/>
        <v>5</v>
      </c>
      <c r="E867" s="75">
        <f t="shared" si="399"/>
        <v>18</v>
      </c>
      <c r="F867" s="79"/>
      <c r="G867" s="82"/>
      <c r="H867" s="68" t="str">
        <f t="shared" si="416"/>
        <v>Hyprev6_20201203_05_00</v>
      </c>
      <c r="I867" s="69">
        <f t="shared" si="418"/>
        <v>1</v>
      </c>
      <c r="J867" s="76" t="str">
        <f t="shared" si="418"/>
        <v>Hypericum</v>
      </c>
      <c r="K867" s="76" t="str">
        <f t="shared" si="418"/>
        <v>revolutum</v>
      </c>
      <c r="L867" s="77">
        <f t="shared" si="418"/>
        <v>6</v>
      </c>
      <c r="M867" s="77">
        <f t="shared" si="418"/>
        <v>1</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Dec</v>
      </c>
      <c r="C868" s="73">
        <f t="shared" si="415"/>
        <v>3</v>
      </c>
      <c r="D868" s="74">
        <f t="shared" si="398"/>
        <v>5</v>
      </c>
      <c r="E868" s="75">
        <f t="shared" si="399"/>
        <v>19</v>
      </c>
      <c r="F868" s="79"/>
      <c r="G868" s="82"/>
      <c r="H868" s="68" t="str">
        <f t="shared" si="416"/>
        <v>Hyprev6_20201203_05_00</v>
      </c>
      <c r="I868" s="69">
        <f t="shared" si="418"/>
        <v>1</v>
      </c>
      <c r="J868" s="76" t="str">
        <f t="shared" si="418"/>
        <v>Hypericum</v>
      </c>
      <c r="K868" s="76" t="str">
        <f t="shared" si="418"/>
        <v>revolutum</v>
      </c>
      <c r="L868" s="77">
        <f t="shared" si="418"/>
        <v>6</v>
      </c>
      <c r="M868" s="77">
        <f t="shared" si="418"/>
        <v>1</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Dec</v>
      </c>
      <c r="C869" s="73">
        <f t="shared" si="415"/>
        <v>3</v>
      </c>
      <c r="D869" s="74">
        <f t="shared" si="398"/>
        <v>5</v>
      </c>
      <c r="E869" s="75">
        <f t="shared" si="399"/>
        <v>20</v>
      </c>
      <c r="F869" s="79"/>
      <c r="G869" s="82"/>
      <c r="H869" s="68" t="str">
        <f t="shared" si="416"/>
        <v>Hyprev6_20201203_05_00</v>
      </c>
      <c r="I869" s="69">
        <f t="shared" ref="I869:N884" si="419">I868</f>
        <v>1</v>
      </c>
      <c r="J869" s="76" t="str">
        <f t="shared" si="419"/>
        <v>Hypericum</v>
      </c>
      <c r="K869" s="76" t="str">
        <f t="shared" si="419"/>
        <v>revolutum</v>
      </c>
      <c r="L869" s="77">
        <f t="shared" si="419"/>
        <v>6</v>
      </c>
      <c r="M869" s="77">
        <f t="shared" si="419"/>
        <v>1</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Dec</v>
      </c>
      <c r="C870" s="73">
        <f t="shared" si="415"/>
        <v>3</v>
      </c>
      <c r="D870" s="74">
        <f t="shared" si="398"/>
        <v>5</v>
      </c>
      <c r="E870" s="75">
        <f t="shared" si="399"/>
        <v>21</v>
      </c>
      <c r="F870" s="79"/>
      <c r="G870" s="82"/>
      <c r="H870" s="68" t="str">
        <f t="shared" si="416"/>
        <v>Hyprev6_20201203_05_00</v>
      </c>
      <c r="I870" s="69">
        <f t="shared" si="419"/>
        <v>1</v>
      </c>
      <c r="J870" s="76" t="str">
        <f t="shared" si="419"/>
        <v>Hypericum</v>
      </c>
      <c r="K870" s="76" t="str">
        <f t="shared" si="419"/>
        <v>revolutum</v>
      </c>
      <c r="L870" s="77">
        <f t="shared" si="419"/>
        <v>6</v>
      </c>
      <c r="M870" s="77">
        <f t="shared" si="419"/>
        <v>1</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Dec</v>
      </c>
      <c r="C871" s="73">
        <f t="shared" si="415"/>
        <v>3</v>
      </c>
      <c r="D871" s="74">
        <f t="shared" si="398"/>
        <v>5</v>
      </c>
      <c r="E871" s="75">
        <f t="shared" si="399"/>
        <v>22</v>
      </c>
      <c r="F871" s="79"/>
      <c r="G871" s="82"/>
      <c r="H871" s="68" t="str">
        <f t="shared" si="416"/>
        <v>Hyprev6_20201203_05_00</v>
      </c>
      <c r="I871" s="69">
        <f t="shared" si="419"/>
        <v>1</v>
      </c>
      <c r="J871" s="76" t="str">
        <f t="shared" si="419"/>
        <v>Hypericum</v>
      </c>
      <c r="K871" s="76" t="str">
        <f t="shared" si="419"/>
        <v>revolutum</v>
      </c>
      <c r="L871" s="77">
        <f t="shared" si="419"/>
        <v>6</v>
      </c>
      <c r="M871" s="77">
        <f t="shared" si="419"/>
        <v>1</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Dec</v>
      </c>
      <c r="C872" s="73">
        <f t="shared" si="415"/>
        <v>3</v>
      </c>
      <c r="D872" s="74">
        <f t="shared" si="398"/>
        <v>5</v>
      </c>
      <c r="E872" s="75">
        <f t="shared" si="399"/>
        <v>23</v>
      </c>
      <c r="F872" s="79"/>
      <c r="G872" s="82"/>
      <c r="H872" s="68" t="str">
        <f t="shared" si="416"/>
        <v>Hyprev6_20201203_05_00</v>
      </c>
      <c r="I872" s="69">
        <f t="shared" si="419"/>
        <v>1</v>
      </c>
      <c r="J872" s="76" t="str">
        <f t="shared" si="419"/>
        <v>Hypericum</v>
      </c>
      <c r="K872" s="76" t="str">
        <f t="shared" si="419"/>
        <v>revolutum</v>
      </c>
      <c r="L872" s="77">
        <f t="shared" si="419"/>
        <v>6</v>
      </c>
      <c r="M872" s="77">
        <f t="shared" si="419"/>
        <v>1</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Dec</v>
      </c>
      <c r="C873" s="73">
        <f t="shared" si="415"/>
        <v>3</v>
      </c>
      <c r="D873" s="74">
        <f t="shared" si="398"/>
        <v>5</v>
      </c>
      <c r="E873" s="75">
        <f t="shared" si="399"/>
        <v>24</v>
      </c>
      <c r="F873" s="79"/>
      <c r="G873" s="82"/>
      <c r="H873" s="68" t="str">
        <f t="shared" si="416"/>
        <v>Hyprev6_20201203_05_00</v>
      </c>
      <c r="I873" s="69">
        <f t="shared" si="419"/>
        <v>1</v>
      </c>
      <c r="J873" s="76" t="str">
        <f t="shared" si="419"/>
        <v>Hypericum</v>
      </c>
      <c r="K873" s="76" t="str">
        <f t="shared" si="419"/>
        <v>revolutum</v>
      </c>
      <c r="L873" s="77">
        <f t="shared" si="419"/>
        <v>6</v>
      </c>
      <c r="M873" s="77">
        <f t="shared" si="419"/>
        <v>1</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Dec</v>
      </c>
      <c r="C874" s="73">
        <f t="shared" si="415"/>
        <v>3</v>
      </c>
      <c r="D874" s="74">
        <f t="shared" si="398"/>
        <v>5</v>
      </c>
      <c r="E874" s="75">
        <f t="shared" si="399"/>
        <v>25</v>
      </c>
      <c r="F874" s="79"/>
      <c r="G874" s="82"/>
      <c r="H874" s="68" t="str">
        <f t="shared" si="416"/>
        <v>Hyprev6_20201203_05_00</v>
      </c>
      <c r="I874" s="69">
        <f t="shared" si="419"/>
        <v>1</v>
      </c>
      <c r="J874" s="76" t="str">
        <f t="shared" si="419"/>
        <v>Hypericum</v>
      </c>
      <c r="K874" s="76" t="str">
        <f t="shared" si="419"/>
        <v>revolutum</v>
      </c>
      <c r="L874" s="77">
        <f t="shared" si="419"/>
        <v>6</v>
      </c>
      <c r="M874" s="77">
        <f t="shared" si="419"/>
        <v>1</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Dec</v>
      </c>
      <c r="C875" s="73">
        <f t="shared" si="415"/>
        <v>3</v>
      </c>
      <c r="D875" s="74">
        <f t="shared" si="398"/>
        <v>5</v>
      </c>
      <c r="E875" s="75">
        <f t="shared" si="399"/>
        <v>26</v>
      </c>
      <c r="F875" s="79"/>
      <c r="G875" s="82"/>
      <c r="H875" s="68" t="str">
        <f t="shared" si="416"/>
        <v>Hyprev6_20201203_05_00</v>
      </c>
      <c r="I875" s="69">
        <f t="shared" si="419"/>
        <v>1</v>
      </c>
      <c r="J875" s="76" t="str">
        <f t="shared" si="419"/>
        <v>Hypericum</v>
      </c>
      <c r="K875" s="76" t="str">
        <f t="shared" si="419"/>
        <v>revolutum</v>
      </c>
      <c r="L875" s="77">
        <f t="shared" si="419"/>
        <v>6</v>
      </c>
      <c r="M875" s="77">
        <f t="shared" si="419"/>
        <v>1</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Dec</v>
      </c>
      <c r="C876" s="73">
        <f t="shared" si="415"/>
        <v>3</v>
      </c>
      <c r="D876" s="74">
        <f t="shared" si="398"/>
        <v>5</v>
      </c>
      <c r="E876" s="75">
        <f t="shared" si="399"/>
        <v>27</v>
      </c>
      <c r="F876" s="79"/>
      <c r="G876" s="82"/>
      <c r="H876" s="68" t="str">
        <f t="shared" si="416"/>
        <v>Hyprev6_20201203_05_00</v>
      </c>
      <c r="I876" s="69">
        <f t="shared" si="419"/>
        <v>1</v>
      </c>
      <c r="J876" s="76" t="str">
        <f t="shared" si="419"/>
        <v>Hypericum</v>
      </c>
      <c r="K876" s="76" t="str">
        <f t="shared" si="419"/>
        <v>revolutum</v>
      </c>
      <c r="L876" s="77">
        <f t="shared" si="419"/>
        <v>6</v>
      </c>
      <c r="M876" s="77">
        <f t="shared" si="419"/>
        <v>1</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Dec</v>
      </c>
      <c r="C877" s="73">
        <f t="shared" si="415"/>
        <v>3</v>
      </c>
      <c r="D877" s="74">
        <f t="shared" si="398"/>
        <v>5</v>
      </c>
      <c r="E877" s="75">
        <f t="shared" si="399"/>
        <v>28</v>
      </c>
      <c r="F877" s="79"/>
      <c r="G877" s="82"/>
      <c r="H877" s="68" t="str">
        <f t="shared" si="416"/>
        <v>Hyprev6_20201203_05_00</v>
      </c>
      <c r="I877" s="69">
        <f t="shared" si="419"/>
        <v>1</v>
      </c>
      <c r="J877" s="76" t="str">
        <f t="shared" si="419"/>
        <v>Hypericum</v>
      </c>
      <c r="K877" s="76" t="str">
        <f t="shared" si="419"/>
        <v>revolutum</v>
      </c>
      <c r="L877" s="77">
        <f t="shared" si="419"/>
        <v>6</v>
      </c>
      <c r="M877" s="77">
        <f t="shared" si="419"/>
        <v>1</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Dec</v>
      </c>
      <c r="C878" s="73">
        <f t="shared" si="415"/>
        <v>3</v>
      </c>
      <c r="D878" s="74">
        <f t="shared" si="398"/>
        <v>5</v>
      </c>
      <c r="E878" s="75">
        <f t="shared" si="399"/>
        <v>29</v>
      </c>
      <c r="F878" s="79"/>
      <c r="G878" s="82"/>
      <c r="H878" s="68" t="str">
        <f t="shared" si="416"/>
        <v>Hyprev6_20201203_05_00</v>
      </c>
      <c r="I878" s="69">
        <f t="shared" si="419"/>
        <v>1</v>
      </c>
      <c r="J878" s="76" t="str">
        <f t="shared" si="419"/>
        <v>Hypericum</v>
      </c>
      <c r="K878" s="76" t="str">
        <f t="shared" si="419"/>
        <v>revolutum</v>
      </c>
      <c r="L878" s="77">
        <f t="shared" si="419"/>
        <v>6</v>
      </c>
      <c r="M878" s="77">
        <f t="shared" si="419"/>
        <v>1</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Dec</v>
      </c>
      <c r="C879" s="73">
        <f t="shared" si="415"/>
        <v>3</v>
      </c>
      <c r="D879" s="74">
        <f t="shared" si="398"/>
        <v>5</v>
      </c>
      <c r="E879" s="75">
        <f t="shared" si="399"/>
        <v>30</v>
      </c>
      <c r="F879" s="79"/>
      <c r="G879" s="82"/>
      <c r="H879" s="68" t="str">
        <f t="shared" si="416"/>
        <v>Hyprev6_20201203_05_00</v>
      </c>
      <c r="I879" s="69">
        <f t="shared" si="419"/>
        <v>1</v>
      </c>
      <c r="J879" s="76" t="str">
        <f t="shared" si="419"/>
        <v>Hypericum</v>
      </c>
      <c r="K879" s="76" t="str">
        <f t="shared" si="419"/>
        <v>revolutum</v>
      </c>
      <c r="L879" s="77">
        <f t="shared" si="419"/>
        <v>6</v>
      </c>
      <c r="M879" s="77">
        <f t="shared" si="419"/>
        <v>1</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Dec</v>
      </c>
      <c r="C880" s="73">
        <f t="shared" si="415"/>
        <v>3</v>
      </c>
      <c r="D880" s="74">
        <f t="shared" si="398"/>
        <v>5</v>
      </c>
      <c r="E880" s="75">
        <f t="shared" si="399"/>
        <v>31</v>
      </c>
      <c r="F880" s="79"/>
      <c r="G880" s="82"/>
      <c r="H880" s="68" t="str">
        <f t="shared" si="416"/>
        <v>Hyprev6_20201203_05_00</v>
      </c>
      <c r="I880" s="69">
        <f t="shared" si="419"/>
        <v>1</v>
      </c>
      <c r="J880" s="76" t="str">
        <f t="shared" si="419"/>
        <v>Hypericum</v>
      </c>
      <c r="K880" s="76" t="str">
        <f t="shared" si="419"/>
        <v>revolutum</v>
      </c>
      <c r="L880" s="77">
        <f t="shared" si="419"/>
        <v>6</v>
      </c>
      <c r="M880" s="77">
        <f t="shared" si="419"/>
        <v>1</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Dec</v>
      </c>
      <c r="C881" s="73">
        <f t="shared" si="415"/>
        <v>3</v>
      </c>
      <c r="D881" s="74">
        <f t="shared" si="398"/>
        <v>5</v>
      </c>
      <c r="E881" s="75">
        <f t="shared" si="399"/>
        <v>32</v>
      </c>
      <c r="F881" s="79"/>
      <c r="G881" s="82"/>
      <c r="H881" s="68" t="str">
        <f t="shared" si="416"/>
        <v>Hyprev6_20201203_05_00</v>
      </c>
      <c r="I881" s="69">
        <f t="shared" si="419"/>
        <v>1</v>
      </c>
      <c r="J881" s="76" t="str">
        <f t="shared" si="419"/>
        <v>Hypericum</v>
      </c>
      <c r="K881" s="76" t="str">
        <f t="shared" si="419"/>
        <v>revolutum</v>
      </c>
      <c r="L881" s="77">
        <f t="shared" si="419"/>
        <v>6</v>
      </c>
      <c r="M881" s="77">
        <f t="shared" si="419"/>
        <v>1</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Dec</v>
      </c>
      <c r="C882" s="73">
        <f t="shared" si="415"/>
        <v>3</v>
      </c>
      <c r="D882" s="74">
        <f t="shared" si="398"/>
        <v>5</v>
      </c>
      <c r="E882" s="75">
        <f t="shared" si="399"/>
        <v>33</v>
      </c>
      <c r="F882" s="79"/>
      <c r="G882" s="82"/>
      <c r="H882" s="68" t="str">
        <f t="shared" si="416"/>
        <v>Hyprev6_20201203_05_00</v>
      </c>
      <c r="I882" s="69">
        <f t="shared" si="419"/>
        <v>1</v>
      </c>
      <c r="J882" s="76" t="str">
        <f t="shared" si="419"/>
        <v>Hypericum</v>
      </c>
      <c r="K882" s="76" t="str">
        <f t="shared" si="419"/>
        <v>revolutum</v>
      </c>
      <c r="L882" s="77">
        <f t="shared" si="419"/>
        <v>6</v>
      </c>
      <c r="M882" s="77">
        <f t="shared" si="419"/>
        <v>1</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Dec</v>
      </c>
      <c r="C883" s="73">
        <f t="shared" si="415"/>
        <v>3</v>
      </c>
      <c r="D883" s="74">
        <f t="shared" si="398"/>
        <v>5</v>
      </c>
      <c r="E883" s="75">
        <f t="shared" si="399"/>
        <v>34</v>
      </c>
      <c r="F883" s="79"/>
      <c r="G883" s="82"/>
      <c r="H883" s="68" t="str">
        <f t="shared" si="416"/>
        <v>Hyprev6_20201203_05_00</v>
      </c>
      <c r="I883" s="69">
        <f t="shared" si="419"/>
        <v>1</v>
      </c>
      <c r="J883" s="76" t="str">
        <f t="shared" si="419"/>
        <v>Hypericum</v>
      </c>
      <c r="K883" s="76" t="str">
        <f t="shared" si="419"/>
        <v>revolutum</v>
      </c>
      <c r="L883" s="77">
        <f t="shared" si="419"/>
        <v>6</v>
      </c>
      <c r="M883" s="77">
        <f t="shared" si="419"/>
        <v>1</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Dec</v>
      </c>
      <c r="C884" s="73">
        <f t="shared" si="415"/>
        <v>3</v>
      </c>
      <c r="D884" s="74">
        <f t="shared" si="398"/>
        <v>5</v>
      </c>
      <c r="E884" s="75">
        <f t="shared" si="399"/>
        <v>35</v>
      </c>
      <c r="F884" s="79"/>
      <c r="G884" s="82"/>
      <c r="H884" s="68" t="str">
        <f t="shared" si="416"/>
        <v>Hyprev6_20201203_05_00</v>
      </c>
      <c r="I884" s="69">
        <f t="shared" si="419"/>
        <v>1</v>
      </c>
      <c r="J884" s="76" t="str">
        <f t="shared" si="419"/>
        <v>Hypericum</v>
      </c>
      <c r="K884" s="76" t="str">
        <f t="shared" si="419"/>
        <v>revolutum</v>
      </c>
      <c r="L884" s="77">
        <f t="shared" si="419"/>
        <v>6</v>
      </c>
      <c r="M884" s="77">
        <f t="shared" si="419"/>
        <v>1</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Dec</v>
      </c>
      <c r="C885" s="73">
        <f t="shared" si="415"/>
        <v>3</v>
      </c>
      <c r="D885" s="74">
        <f t="shared" si="398"/>
        <v>5</v>
      </c>
      <c r="E885" s="75">
        <f t="shared" si="399"/>
        <v>36</v>
      </c>
      <c r="F885" s="79"/>
      <c r="G885" s="82"/>
      <c r="H885" s="68" t="str">
        <f t="shared" si="416"/>
        <v>Hyprev6_20201203_05_00</v>
      </c>
      <c r="I885" s="69">
        <f t="shared" ref="I885:N900" si="420">I884</f>
        <v>1</v>
      </c>
      <c r="J885" s="76" t="str">
        <f t="shared" si="420"/>
        <v>Hypericum</v>
      </c>
      <c r="K885" s="76" t="str">
        <f t="shared" si="420"/>
        <v>revolutum</v>
      </c>
      <c r="L885" s="77">
        <f t="shared" si="420"/>
        <v>6</v>
      </c>
      <c r="M885" s="77">
        <f t="shared" si="420"/>
        <v>1</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Dec</v>
      </c>
      <c r="C886" s="73">
        <f t="shared" si="415"/>
        <v>3</v>
      </c>
      <c r="D886" s="74">
        <f t="shared" si="398"/>
        <v>5</v>
      </c>
      <c r="E886" s="75">
        <f t="shared" si="399"/>
        <v>37</v>
      </c>
      <c r="F886" s="79"/>
      <c r="G886" s="82"/>
      <c r="H886" s="68" t="str">
        <f t="shared" si="416"/>
        <v>Hyprev6_20201203_05_00</v>
      </c>
      <c r="I886" s="69">
        <f t="shared" si="420"/>
        <v>1</v>
      </c>
      <c r="J886" s="76" t="str">
        <f t="shared" si="420"/>
        <v>Hypericum</v>
      </c>
      <c r="K886" s="76" t="str">
        <f t="shared" si="420"/>
        <v>revolutum</v>
      </c>
      <c r="L886" s="77">
        <f t="shared" si="420"/>
        <v>6</v>
      </c>
      <c r="M886" s="77">
        <f t="shared" si="420"/>
        <v>1</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Dec</v>
      </c>
      <c r="C887" s="73">
        <f t="shared" si="415"/>
        <v>3</v>
      </c>
      <c r="D887" s="74">
        <f t="shared" si="398"/>
        <v>5</v>
      </c>
      <c r="E887" s="75">
        <f t="shared" si="399"/>
        <v>38</v>
      </c>
      <c r="F887" s="79"/>
      <c r="G887" s="82"/>
      <c r="H887" s="68" t="str">
        <f t="shared" si="416"/>
        <v>Hyprev6_20201203_05_00</v>
      </c>
      <c r="I887" s="69">
        <f t="shared" si="420"/>
        <v>1</v>
      </c>
      <c r="J887" s="76" t="str">
        <f t="shared" si="420"/>
        <v>Hypericum</v>
      </c>
      <c r="K887" s="76" t="str">
        <f t="shared" si="420"/>
        <v>revolutum</v>
      </c>
      <c r="L887" s="77">
        <f t="shared" si="420"/>
        <v>6</v>
      </c>
      <c r="M887" s="77">
        <f t="shared" si="420"/>
        <v>1</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Dec</v>
      </c>
      <c r="C888" s="73">
        <f t="shared" si="415"/>
        <v>3</v>
      </c>
      <c r="D888" s="74">
        <f t="shared" si="398"/>
        <v>5</v>
      </c>
      <c r="E888" s="75">
        <f t="shared" si="399"/>
        <v>39</v>
      </c>
      <c r="F888" s="79"/>
      <c r="G888" s="82"/>
      <c r="H888" s="68" t="str">
        <f t="shared" si="416"/>
        <v>Hyprev6_20201203_05_00</v>
      </c>
      <c r="I888" s="69">
        <f t="shared" si="420"/>
        <v>1</v>
      </c>
      <c r="J888" s="76" t="str">
        <f t="shared" si="420"/>
        <v>Hypericum</v>
      </c>
      <c r="K888" s="76" t="str">
        <f t="shared" si="420"/>
        <v>revolutum</v>
      </c>
      <c r="L888" s="77">
        <f t="shared" si="420"/>
        <v>6</v>
      </c>
      <c r="M888" s="77">
        <f t="shared" si="420"/>
        <v>1</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Dec</v>
      </c>
      <c r="C889" s="73">
        <f t="shared" si="415"/>
        <v>3</v>
      </c>
      <c r="D889" s="74">
        <f t="shared" si="398"/>
        <v>5</v>
      </c>
      <c r="E889" s="75">
        <f t="shared" si="399"/>
        <v>40</v>
      </c>
      <c r="F889" s="79"/>
      <c r="G889" s="82"/>
      <c r="H889" s="68" t="str">
        <f t="shared" si="416"/>
        <v>Hyprev6_20201203_05_00</v>
      </c>
      <c r="I889" s="69">
        <f t="shared" si="420"/>
        <v>1</v>
      </c>
      <c r="J889" s="76" t="str">
        <f t="shared" si="420"/>
        <v>Hypericum</v>
      </c>
      <c r="K889" s="76" t="str">
        <f t="shared" si="420"/>
        <v>revolutum</v>
      </c>
      <c r="L889" s="77">
        <f t="shared" si="420"/>
        <v>6</v>
      </c>
      <c r="M889" s="77">
        <f t="shared" si="420"/>
        <v>1</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Dec</v>
      </c>
      <c r="C890" s="73">
        <f t="shared" si="415"/>
        <v>3</v>
      </c>
      <c r="D890" s="74">
        <f t="shared" si="398"/>
        <v>5</v>
      </c>
      <c r="E890" s="75">
        <f t="shared" si="399"/>
        <v>41</v>
      </c>
      <c r="F890" s="79"/>
      <c r="G890" s="82"/>
      <c r="H890" s="68" t="str">
        <f t="shared" si="416"/>
        <v>Hyprev6_20201203_05_00</v>
      </c>
      <c r="I890" s="69">
        <f t="shared" si="420"/>
        <v>1</v>
      </c>
      <c r="J890" s="76" t="str">
        <f t="shared" si="420"/>
        <v>Hypericum</v>
      </c>
      <c r="K890" s="76" t="str">
        <f t="shared" si="420"/>
        <v>revolutum</v>
      </c>
      <c r="L890" s="77">
        <f t="shared" si="420"/>
        <v>6</v>
      </c>
      <c r="M890" s="77">
        <f t="shared" si="420"/>
        <v>1</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Dec</v>
      </c>
      <c r="C891" s="73">
        <f t="shared" si="415"/>
        <v>3</v>
      </c>
      <c r="D891" s="74">
        <f t="shared" si="398"/>
        <v>5</v>
      </c>
      <c r="E891" s="75">
        <f t="shared" si="399"/>
        <v>42</v>
      </c>
      <c r="F891" s="79"/>
      <c r="G891" s="82"/>
      <c r="H891" s="68" t="str">
        <f t="shared" si="416"/>
        <v>Hyprev6_20201203_05_00</v>
      </c>
      <c r="I891" s="69">
        <f t="shared" si="420"/>
        <v>1</v>
      </c>
      <c r="J891" s="76" t="str">
        <f t="shared" si="420"/>
        <v>Hypericum</v>
      </c>
      <c r="K891" s="76" t="str">
        <f t="shared" si="420"/>
        <v>revolutum</v>
      </c>
      <c r="L891" s="77">
        <f t="shared" si="420"/>
        <v>6</v>
      </c>
      <c r="M891" s="77">
        <f t="shared" si="420"/>
        <v>1</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Dec</v>
      </c>
      <c r="C892" s="73">
        <f t="shared" si="415"/>
        <v>3</v>
      </c>
      <c r="D892" s="74">
        <f t="shared" si="398"/>
        <v>5</v>
      </c>
      <c r="E892" s="75">
        <f t="shared" si="399"/>
        <v>43</v>
      </c>
      <c r="F892" s="79"/>
      <c r="G892" s="82"/>
      <c r="H892" s="68" t="str">
        <f t="shared" si="416"/>
        <v>Hyprev6_20201203_05_00</v>
      </c>
      <c r="I892" s="69">
        <f t="shared" si="420"/>
        <v>1</v>
      </c>
      <c r="J892" s="76" t="str">
        <f t="shared" si="420"/>
        <v>Hypericum</v>
      </c>
      <c r="K892" s="76" t="str">
        <f t="shared" si="420"/>
        <v>revolutum</v>
      </c>
      <c r="L892" s="77">
        <f t="shared" si="420"/>
        <v>6</v>
      </c>
      <c r="M892" s="77">
        <f t="shared" si="420"/>
        <v>1</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Dec</v>
      </c>
      <c r="C893" s="73">
        <f t="shared" si="415"/>
        <v>3</v>
      </c>
      <c r="D893" s="74">
        <f t="shared" si="398"/>
        <v>5</v>
      </c>
      <c r="E893" s="75">
        <f t="shared" si="399"/>
        <v>44</v>
      </c>
      <c r="F893" s="79"/>
      <c r="G893" s="82"/>
      <c r="H893" s="68" t="str">
        <f t="shared" si="416"/>
        <v>Hyprev6_20201203_05_00</v>
      </c>
      <c r="I893" s="69">
        <f t="shared" si="420"/>
        <v>1</v>
      </c>
      <c r="J893" s="76" t="str">
        <f t="shared" si="420"/>
        <v>Hypericum</v>
      </c>
      <c r="K893" s="76" t="str">
        <f t="shared" si="420"/>
        <v>revolutum</v>
      </c>
      <c r="L893" s="77">
        <f t="shared" si="420"/>
        <v>6</v>
      </c>
      <c r="M893" s="77">
        <f t="shared" si="420"/>
        <v>1</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Dec</v>
      </c>
      <c r="C894" s="73">
        <f t="shared" si="415"/>
        <v>3</v>
      </c>
      <c r="D894" s="74">
        <f t="shared" si="398"/>
        <v>5</v>
      </c>
      <c r="E894" s="75">
        <f t="shared" si="399"/>
        <v>45</v>
      </c>
      <c r="F894" s="79"/>
      <c r="G894" s="82"/>
      <c r="H894" s="68" t="str">
        <f t="shared" si="416"/>
        <v>Hyprev6_20201203_05_00</v>
      </c>
      <c r="I894" s="69">
        <f t="shared" si="420"/>
        <v>1</v>
      </c>
      <c r="J894" s="76" t="str">
        <f t="shared" si="420"/>
        <v>Hypericum</v>
      </c>
      <c r="K894" s="76" t="str">
        <f t="shared" si="420"/>
        <v>revolutum</v>
      </c>
      <c r="L894" s="77">
        <f t="shared" si="420"/>
        <v>6</v>
      </c>
      <c r="M894" s="77">
        <f t="shared" si="420"/>
        <v>1</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Dec</v>
      </c>
      <c r="C895" s="73">
        <f t="shared" si="415"/>
        <v>3</v>
      </c>
      <c r="D895" s="74">
        <f t="shared" si="398"/>
        <v>5</v>
      </c>
      <c r="E895" s="75">
        <f t="shared" si="399"/>
        <v>46</v>
      </c>
      <c r="F895" s="79"/>
      <c r="G895" s="82"/>
      <c r="H895" s="68" t="str">
        <f t="shared" si="416"/>
        <v>Hyprev6_20201203_05_00</v>
      </c>
      <c r="I895" s="69">
        <f t="shared" si="420"/>
        <v>1</v>
      </c>
      <c r="J895" s="76" t="str">
        <f t="shared" si="420"/>
        <v>Hypericum</v>
      </c>
      <c r="K895" s="76" t="str">
        <f t="shared" si="420"/>
        <v>revolutum</v>
      </c>
      <c r="L895" s="77">
        <f t="shared" si="420"/>
        <v>6</v>
      </c>
      <c r="M895" s="77">
        <f t="shared" si="420"/>
        <v>1</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Dec</v>
      </c>
      <c r="C896" s="73">
        <f t="shared" si="415"/>
        <v>3</v>
      </c>
      <c r="D896" s="74">
        <f t="shared" si="398"/>
        <v>5</v>
      </c>
      <c r="E896" s="75">
        <f t="shared" si="399"/>
        <v>47</v>
      </c>
      <c r="F896" s="79"/>
      <c r="G896" s="82"/>
      <c r="H896" s="68" t="str">
        <f t="shared" si="416"/>
        <v>Hyprev6_20201203_05_00</v>
      </c>
      <c r="I896" s="69">
        <f t="shared" si="420"/>
        <v>1</v>
      </c>
      <c r="J896" s="76" t="str">
        <f t="shared" si="420"/>
        <v>Hypericum</v>
      </c>
      <c r="K896" s="76" t="str">
        <f t="shared" si="420"/>
        <v>revolutum</v>
      </c>
      <c r="L896" s="77">
        <f t="shared" si="420"/>
        <v>6</v>
      </c>
      <c r="M896" s="77">
        <f t="shared" si="420"/>
        <v>1</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Dec</v>
      </c>
      <c r="C897" s="73">
        <f t="shared" si="415"/>
        <v>3</v>
      </c>
      <c r="D897" s="74">
        <f t="shared" si="398"/>
        <v>5</v>
      </c>
      <c r="E897" s="75">
        <f t="shared" si="399"/>
        <v>48</v>
      </c>
      <c r="F897" s="79"/>
      <c r="G897" s="82"/>
      <c r="H897" s="68" t="str">
        <f t="shared" si="416"/>
        <v>Hyprev6_20201203_05_00</v>
      </c>
      <c r="I897" s="69">
        <f t="shared" si="420"/>
        <v>1</v>
      </c>
      <c r="J897" s="76" t="str">
        <f t="shared" si="420"/>
        <v>Hypericum</v>
      </c>
      <c r="K897" s="76" t="str">
        <f t="shared" si="420"/>
        <v>revolutum</v>
      </c>
      <c r="L897" s="77">
        <f t="shared" si="420"/>
        <v>6</v>
      </c>
      <c r="M897" s="77">
        <f t="shared" si="420"/>
        <v>1</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Dec</v>
      </c>
      <c r="C898" s="73">
        <f t="shared" si="415"/>
        <v>3</v>
      </c>
      <c r="D898" s="74">
        <f t="shared" si="398"/>
        <v>5</v>
      </c>
      <c r="E898" s="75">
        <f t="shared" si="399"/>
        <v>49</v>
      </c>
      <c r="F898" s="79"/>
      <c r="G898" s="82"/>
      <c r="H898" s="68" t="str">
        <f t="shared" si="416"/>
        <v>Hyprev6_20201203_05_00</v>
      </c>
      <c r="I898" s="69">
        <f t="shared" si="420"/>
        <v>1</v>
      </c>
      <c r="J898" s="76" t="str">
        <f t="shared" si="420"/>
        <v>Hypericum</v>
      </c>
      <c r="K898" s="76" t="str">
        <f t="shared" si="420"/>
        <v>revolutum</v>
      </c>
      <c r="L898" s="77">
        <f t="shared" si="420"/>
        <v>6</v>
      </c>
      <c r="M898" s="77">
        <f t="shared" si="420"/>
        <v>1</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Dec</v>
      </c>
      <c r="C899" s="73">
        <f t="shared" si="415"/>
        <v>3</v>
      </c>
      <c r="D899" s="74">
        <f t="shared" si="398"/>
        <v>5</v>
      </c>
      <c r="E899" s="75">
        <f t="shared" si="399"/>
        <v>50</v>
      </c>
      <c r="F899" s="79"/>
      <c r="G899" s="82"/>
      <c r="H899" s="68" t="str">
        <f t="shared" si="416"/>
        <v>Hyprev6_20201203_05_00</v>
      </c>
      <c r="I899" s="69">
        <f t="shared" si="420"/>
        <v>1</v>
      </c>
      <c r="J899" s="76" t="str">
        <f t="shared" si="420"/>
        <v>Hypericum</v>
      </c>
      <c r="K899" s="76" t="str">
        <f t="shared" si="420"/>
        <v>revolutum</v>
      </c>
      <c r="L899" s="77">
        <f t="shared" si="420"/>
        <v>6</v>
      </c>
      <c r="M899" s="77">
        <f t="shared" si="420"/>
        <v>1</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Dec</v>
      </c>
      <c r="C900" s="73">
        <f t="shared" si="415"/>
        <v>3</v>
      </c>
      <c r="D900" s="74">
        <f t="shared" ref="D900:D963" si="428">IF(IF(E899=59,D899+1,D899)=24,0,IF(E899=59,D899+1,D899))</f>
        <v>5</v>
      </c>
      <c r="E900" s="75">
        <f t="shared" ref="E900:E963" si="429">IF(E899&lt;59,E899+1,0)</f>
        <v>51</v>
      </c>
      <c r="F900" s="79"/>
      <c r="G900" s="82"/>
      <c r="H900" s="68" t="str">
        <f t="shared" si="416"/>
        <v>Hyprev6_20201203_05_00</v>
      </c>
      <c r="I900" s="69">
        <f t="shared" si="420"/>
        <v>1</v>
      </c>
      <c r="J900" s="76" t="str">
        <f t="shared" si="420"/>
        <v>Hypericum</v>
      </c>
      <c r="K900" s="76" t="str">
        <f t="shared" si="420"/>
        <v>revolutum</v>
      </c>
      <c r="L900" s="77">
        <f t="shared" si="420"/>
        <v>6</v>
      </c>
      <c r="M900" s="77">
        <f t="shared" si="420"/>
        <v>1</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Dec</v>
      </c>
      <c r="C901" s="73">
        <f t="shared" ref="C901:C964" si="445">IF(AND(D901=0, E901=0), IF(TEXT(C900,"dd")=TEXT(EOMONTH(DATE(A900,MONTH(DATEVALUE(B900&amp;"1")),C900),0), "dd"), 1, C900+1), C900)</f>
        <v>3</v>
      </c>
      <c r="D901" s="74">
        <f t="shared" si="428"/>
        <v>5</v>
      </c>
      <c r="E901" s="75">
        <f t="shared" si="429"/>
        <v>52</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Hyprev6_20201203_05_00</v>
      </c>
      <c r="I901" s="69">
        <f t="shared" ref="I901:N916" si="447">I900</f>
        <v>1</v>
      </c>
      <c r="J901" s="76" t="str">
        <f t="shared" si="447"/>
        <v>Hypericum</v>
      </c>
      <c r="K901" s="76" t="str">
        <f t="shared" si="447"/>
        <v>revolutum</v>
      </c>
      <c r="L901" s="77">
        <f t="shared" si="447"/>
        <v>6</v>
      </c>
      <c r="M901" s="77">
        <f t="shared" si="447"/>
        <v>1</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Dec</v>
      </c>
      <c r="C902" s="73">
        <f t="shared" si="445"/>
        <v>3</v>
      </c>
      <c r="D902" s="74">
        <f t="shared" si="428"/>
        <v>5</v>
      </c>
      <c r="E902" s="75">
        <f t="shared" si="429"/>
        <v>53</v>
      </c>
      <c r="F902" s="79"/>
      <c r="G902" s="82"/>
      <c r="H902" s="68" t="str">
        <f t="shared" si="446"/>
        <v>Hyprev6_20201203_05_00</v>
      </c>
      <c r="I902" s="69">
        <f t="shared" si="447"/>
        <v>1</v>
      </c>
      <c r="J902" s="76" t="str">
        <f t="shared" si="447"/>
        <v>Hypericum</v>
      </c>
      <c r="K902" s="76" t="str">
        <f t="shared" si="447"/>
        <v>revolutum</v>
      </c>
      <c r="L902" s="77">
        <f t="shared" si="447"/>
        <v>6</v>
      </c>
      <c r="M902" s="77">
        <f t="shared" si="447"/>
        <v>1</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Dec</v>
      </c>
      <c r="C903" s="73">
        <f t="shared" si="445"/>
        <v>3</v>
      </c>
      <c r="D903" s="74">
        <f t="shared" si="428"/>
        <v>5</v>
      </c>
      <c r="E903" s="75">
        <f t="shared" si="429"/>
        <v>54</v>
      </c>
      <c r="F903" s="79"/>
      <c r="G903" s="82"/>
      <c r="H903" s="68" t="str">
        <f t="shared" si="446"/>
        <v>Hyprev6_20201203_05_00</v>
      </c>
      <c r="I903" s="69">
        <f t="shared" si="447"/>
        <v>1</v>
      </c>
      <c r="J903" s="76" t="str">
        <f t="shared" si="447"/>
        <v>Hypericum</v>
      </c>
      <c r="K903" s="76" t="str">
        <f t="shared" si="447"/>
        <v>revolutum</v>
      </c>
      <c r="L903" s="77">
        <f t="shared" si="447"/>
        <v>6</v>
      </c>
      <c r="M903" s="77">
        <f t="shared" si="447"/>
        <v>1</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Dec</v>
      </c>
      <c r="C904" s="73">
        <f t="shared" si="445"/>
        <v>3</v>
      </c>
      <c r="D904" s="74">
        <f t="shared" si="428"/>
        <v>5</v>
      </c>
      <c r="E904" s="75">
        <f t="shared" si="429"/>
        <v>55</v>
      </c>
      <c r="F904" s="79"/>
      <c r="G904" s="82"/>
      <c r="H904" s="68" t="str">
        <f t="shared" si="446"/>
        <v>Hyprev6_20201203_05_00</v>
      </c>
      <c r="I904" s="69">
        <f t="shared" si="447"/>
        <v>1</v>
      </c>
      <c r="J904" s="76" t="str">
        <f t="shared" si="447"/>
        <v>Hypericum</v>
      </c>
      <c r="K904" s="76" t="str">
        <f t="shared" si="447"/>
        <v>revolutum</v>
      </c>
      <c r="L904" s="77">
        <f t="shared" si="447"/>
        <v>6</v>
      </c>
      <c r="M904" s="77">
        <f t="shared" si="447"/>
        <v>1</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Dec</v>
      </c>
      <c r="C905" s="73">
        <f t="shared" si="445"/>
        <v>3</v>
      </c>
      <c r="D905" s="74">
        <f t="shared" si="428"/>
        <v>5</v>
      </c>
      <c r="E905" s="75">
        <f t="shared" si="429"/>
        <v>56</v>
      </c>
      <c r="F905" s="79"/>
      <c r="G905" s="82"/>
      <c r="H905" s="68" t="str">
        <f t="shared" si="446"/>
        <v>Hyprev6_20201203_05_00</v>
      </c>
      <c r="I905" s="69">
        <f t="shared" si="447"/>
        <v>1</v>
      </c>
      <c r="J905" s="76" t="str">
        <f t="shared" si="447"/>
        <v>Hypericum</v>
      </c>
      <c r="K905" s="76" t="str">
        <f t="shared" si="447"/>
        <v>revolutum</v>
      </c>
      <c r="L905" s="77">
        <f t="shared" si="447"/>
        <v>6</v>
      </c>
      <c r="M905" s="77">
        <f t="shared" si="447"/>
        <v>1</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Dec</v>
      </c>
      <c r="C906" s="73">
        <f t="shared" si="445"/>
        <v>3</v>
      </c>
      <c r="D906" s="74">
        <f t="shared" si="428"/>
        <v>5</v>
      </c>
      <c r="E906" s="75">
        <f t="shared" si="429"/>
        <v>57</v>
      </c>
      <c r="F906" s="79"/>
      <c r="G906" s="82"/>
      <c r="H906" s="68" t="str">
        <f t="shared" si="446"/>
        <v>Hyprev6_20201203_05_00</v>
      </c>
      <c r="I906" s="69">
        <f t="shared" si="447"/>
        <v>1</v>
      </c>
      <c r="J906" s="76" t="str">
        <f t="shared" si="447"/>
        <v>Hypericum</v>
      </c>
      <c r="K906" s="76" t="str">
        <f t="shared" si="447"/>
        <v>revolutum</v>
      </c>
      <c r="L906" s="77">
        <f t="shared" si="447"/>
        <v>6</v>
      </c>
      <c r="M906" s="77">
        <f t="shared" si="447"/>
        <v>1</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Dec</v>
      </c>
      <c r="C907" s="73">
        <f t="shared" si="445"/>
        <v>3</v>
      </c>
      <c r="D907" s="74">
        <f t="shared" si="428"/>
        <v>5</v>
      </c>
      <c r="E907" s="75">
        <f t="shared" si="429"/>
        <v>58</v>
      </c>
      <c r="F907" s="79"/>
      <c r="G907" s="82"/>
      <c r="H907" s="68" t="str">
        <f t="shared" si="446"/>
        <v>Hyprev6_20201203_05_00</v>
      </c>
      <c r="I907" s="69">
        <f t="shared" si="447"/>
        <v>1</v>
      </c>
      <c r="J907" s="76" t="str">
        <f t="shared" si="447"/>
        <v>Hypericum</v>
      </c>
      <c r="K907" s="76" t="str">
        <f t="shared" si="447"/>
        <v>revolutum</v>
      </c>
      <c r="L907" s="77">
        <f t="shared" si="447"/>
        <v>6</v>
      </c>
      <c r="M907" s="77">
        <f t="shared" si="447"/>
        <v>1</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Dec</v>
      </c>
      <c r="C908" s="73">
        <f t="shared" si="445"/>
        <v>3</v>
      </c>
      <c r="D908" s="74">
        <f t="shared" si="428"/>
        <v>5</v>
      </c>
      <c r="E908" s="75">
        <f t="shared" si="429"/>
        <v>59</v>
      </c>
      <c r="F908" s="79"/>
      <c r="G908" s="82"/>
      <c r="H908" s="68" t="str">
        <f t="shared" si="446"/>
        <v>Hyprev6_20201203_05_00</v>
      </c>
      <c r="I908" s="69">
        <f t="shared" si="447"/>
        <v>1</v>
      </c>
      <c r="J908" s="76" t="str">
        <f t="shared" si="447"/>
        <v>Hypericum</v>
      </c>
      <c r="K908" s="76" t="str">
        <f t="shared" si="447"/>
        <v>revolutum</v>
      </c>
      <c r="L908" s="77">
        <f t="shared" si="447"/>
        <v>6</v>
      </c>
      <c r="M908" s="77">
        <f t="shared" si="447"/>
        <v>1</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Dec</v>
      </c>
      <c r="C909" s="73">
        <f t="shared" si="445"/>
        <v>3</v>
      </c>
      <c r="D909" s="74">
        <f t="shared" si="428"/>
        <v>6</v>
      </c>
      <c r="E909" s="75">
        <f t="shared" si="429"/>
        <v>0</v>
      </c>
      <c r="F909" s="79"/>
      <c r="G909" s="82"/>
      <c r="H909" s="68" t="str">
        <f t="shared" si="446"/>
        <v>Hyprev6_20201203_06_00</v>
      </c>
      <c r="I909" s="69">
        <f t="shared" si="447"/>
        <v>1</v>
      </c>
      <c r="J909" s="76" t="str">
        <f t="shared" si="447"/>
        <v>Hypericum</v>
      </c>
      <c r="K909" s="76" t="str">
        <f t="shared" si="447"/>
        <v>revolutum</v>
      </c>
      <c r="L909" s="77">
        <f t="shared" si="447"/>
        <v>6</v>
      </c>
      <c r="M909" s="77">
        <f t="shared" si="447"/>
        <v>1</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Dec</v>
      </c>
      <c r="C910" s="73">
        <f t="shared" si="445"/>
        <v>3</v>
      </c>
      <c r="D910" s="74">
        <f t="shared" si="428"/>
        <v>6</v>
      </c>
      <c r="E910" s="75">
        <f t="shared" si="429"/>
        <v>1</v>
      </c>
      <c r="F910" s="79"/>
      <c r="G910" s="82"/>
      <c r="H910" s="68" t="str">
        <f t="shared" si="446"/>
        <v>Hyprev6_20201203_06_00</v>
      </c>
      <c r="I910" s="69">
        <f t="shared" si="447"/>
        <v>1</v>
      </c>
      <c r="J910" s="76" t="str">
        <f t="shared" si="447"/>
        <v>Hypericum</v>
      </c>
      <c r="K910" s="76" t="str">
        <f t="shared" si="447"/>
        <v>revolutum</v>
      </c>
      <c r="L910" s="77">
        <f t="shared" si="447"/>
        <v>6</v>
      </c>
      <c r="M910" s="77">
        <f t="shared" si="447"/>
        <v>1</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Dec</v>
      </c>
      <c r="C911" s="73">
        <f t="shared" si="445"/>
        <v>3</v>
      </c>
      <c r="D911" s="74">
        <f t="shared" si="428"/>
        <v>6</v>
      </c>
      <c r="E911" s="75">
        <f t="shared" si="429"/>
        <v>2</v>
      </c>
      <c r="F911" s="79"/>
      <c r="G911" s="82"/>
      <c r="H911" s="68" t="str">
        <f t="shared" si="446"/>
        <v>Hyprev6_20201203_06_00</v>
      </c>
      <c r="I911" s="69">
        <f t="shared" si="447"/>
        <v>1</v>
      </c>
      <c r="J911" s="76" t="str">
        <f t="shared" si="447"/>
        <v>Hypericum</v>
      </c>
      <c r="K911" s="76" t="str">
        <f t="shared" si="447"/>
        <v>revolutum</v>
      </c>
      <c r="L911" s="77">
        <f t="shared" si="447"/>
        <v>6</v>
      </c>
      <c r="M911" s="77">
        <f t="shared" si="447"/>
        <v>1</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Dec</v>
      </c>
      <c r="C912" s="73">
        <f t="shared" si="445"/>
        <v>3</v>
      </c>
      <c r="D912" s="74">
        <f t="shared" si="428"/>
        <v>6</v>
      </c>
      <c r="E912" s="75">
        <f t="shared" si="429"/>
        <v>3</v>
      </c>
      <c r="F912" s="79"/>
      <c r="G912" s="82"/>
      <c r="H912" s="68" t="str">
        <f t="shared" si="446"/>
        <v>Hyprev6_20201203_06_00</v>
      </c>
      <c r="I912" s="69">
        <f t="shared" si="447"/>
        <v>1</v>
      </c>
      <c r="J912" s="76" t="str">
        <f t="shared" si="447"/>
        <v>Hypericum</v>
      </c>
      <c r="K912" s="76" t="str">
        <f t="shared" si="447"/>
        <v>revolutum</v>
      </c>
      <c r="L912" s="77">
        <f t="shared" si="447"/>
        <v>6</v>
      </c>
      <c r="M912" s="77">
        <f t="shared" si="447"/>
        <v>1</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Dec</v>
      </c>
      <c r="C913" s="73">
        <f t="shared" si="445"/>
        <v>3</v>
      </c>
      <c r="D913" s="74">
        <f t="shared" si="428"/>
        <v>6</v>
      </c>
      <c r="E913" s="75">
        <f t="shared" si="429"/>
        <v>4</v>
      </c>
      <c r="F913" s="79"/>
      <c r="G913" s="82"/>
      <c r="H913" s="68" t="str">
        <f t="shared" si="446"/>
        <v>Hyprev6_20201203_06_00</v>
      </c>
      <c r="I913" s="69">
        <f t="shared" si="447"/>
        <v>1</v>
      </c>
      <c r="J913" s="76" t="str">
        <f t="shared" si="447"/>
        <v>Hypericum</v>
      </c>
      <c r="K913" s="76" t="str">
        <f t="shared" si="447"/>
        <v>revolutum</v>
      </c>
      <c r="L913" s="77">
        <f t="shared" si="447"/>
        <v>6</v>
      </c>
      <c r="M913" s="77">
        <f t="shared" si="447"/>
        <v>1</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Dec</v>
      </c>
      <c r="C914" s="73">
        <f t="shared" si="445"/>
        <v>3</v>
      </c>
      <c r="D914" s="74">
        <f t="shared" si="428"/>
        <v>6</v>
      </c>
      <c r="E914" s="75">
        <f t="shared" si="429"/>
        <v>5</v>
      </c>
      <c r="F914" s="79"/>
      <c r="G914" s="82"/>
      <c r="H914" s="68" t="str">
        <f t="shared" si="446"/>
        <v>Hyprev6_20201203_06_00</v>
      </c>
      <c r="I914" s="69">
        <f t="shared" si="447"/>
        <v>1</v>
      </c>
      <c r="J914" s="76" t="str">
        <f t="shared" si="447"/>
        <v>Hypericum</v>
      </c>
      <c r="K914" s="76" t="str">
        <f t="shared" si="447"/>
        <v>revolutum</v>
      </c>
      <c r="L914" s="77">
        <f t="shared" si="447"/>
        <v>6</v>
      </c>
      <c r="M914" s="77">
        <f t="shared" si="447"/>
        <v>1</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Dec</v>
      </c>
      <c r="C915" s="73">
        <f t="shared" si="445"/>
        <v>3</v>
      </c>
      <c r="D915" s="74">
        <f t="shared" si="428"/>
        <v>6</v>
      </c>
      <c r="E915" s="75">
        <f t="shared" si="429"/>
        <v>6</v>
      </c>
      <c r="F915" s="79"/>
      <c r="G915" s="82"/>
      <c r="H915" s="68" t="str">
        <f t="shared" si="446"/>
        <v>Hyprev6_20201203_06_00</v>
      </c>
      <c r="I915" s="69">
        <f t="shared" si="447"/>
        <v>1</v>
      </c>
      <c r="J915" s="76" t="str">
        <f t="shared" si="447"/>
        <v>Hypericum</v>
      </c>
      <c r="K915" s="76" t="str">
        <f t="shared" si="447"/>
        <v>revolutum</v>
      </c>
      <c r="L915" s="77">
        <f t="shared" si="447"/>
        <v>6</v>
      </c>
      <c r="M915" s="77">
        <f t="shared" si="447"/>
        <v>1</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Dec</v>
      </c>
      <c r="C916" s="73">
        <f t="shared" si="445"/>
        <v>3</v>
      </c>
      <c r="D916" s="74">
        <f t="shared" si="428"/>
        <v>6</v>
      </c>
      <c r="E916" s="75">
        <f t="shared" si="429"/>
        <v>7</v>
      </c>
      <c r="F916" s="79"/>
      <c r="G916" s="82"/>
      <c r="H916" s="68" t="str">
        <f t="shared" si="446"/>
        <v>Hyprev6_20201203_06_00</v>
      </c>
      <c r="I916" s="69">
        <f t="shared" si="447"/>
        <v>1</v>
      </c>
      <c r="J916" s="76" t="str">
        <f t="shared" si="447"/>
        <v>Hypericum</v>
      </c>
      <c r="K916" s="76" t="str">
        <f t="shared" si="447"/>
        <v>revolutum</v>
      </c>
      <c r="L916" s="77">
        <f t="shared" si="447"/>
        <v>6</v>
      </c>
      <c r="M916" s="77">
        <f t="shared" si="447"/>
        <v>1</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Dec</v>
      </c>
      <c r="C917" s="73">
        <f t="shared" si="445"/>
        <v>3</v>
      </c>
      <c r="D917" s="74">
        <f t="shared" si="428"/>
        <v>6</v>
      </c>
      <c r="E917" s="75">
        <f t="shared" si="429"/>
        <v>8</v>
      </c>
      <c r="F917" s="79"/>
      <c r="G917" s="82"/>
      <c r="H917" s="68" t="str">
        <f t="shared" si="446"/>
        <v>Hyprev6_20201203_06_00</v>
      </c>
      <c r="I917" s="69">
        <f t="shared" ref="I917:N932" si="448">I916</f>
        <v>1</v>
      </c>
      <c r="J917" s="76" t="str">
        <f t="shared" si="448"/>
        <v>Hypericum</v>
      </c>
      <c r="K917" s="76" t="str">
        <f t="shared" si="448"/>
        <v>revolutum</v>
      </c>
      <c r="L917" s="77">
        <f t="shared" si="448"/>
        <v>6</v>
      </c>
      <c r="M917" s="77">
        <f t="shared" si="448"/>
        <v>1</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Dec</v>
      </c>
      <c r="C918" s="73">
        <f t="shared" si="445"/>
        <v>3</v>
      </c>
      <c r="D918" s="74">
        <f t="shared" si="428"/>
        <v>6</v>
      </c>
      <c r="E918" s="75">
        <f t="shared" si="429"/>
        <v>9</v>
      </c>
      <c r="F918" s="79"/>
      <c r="G918" s="82"/>
      <c r="H918" s="68" t="str">
        <f t="shared" si="446"/>
        <v>Hyprev6_20201203_06_00</v>
      </c>
      <c r="I918" s="69">
        <f t="shared" si="448"/>
        <v>1</v>
      </c>
      <c r="J918" s="76" t="str">
        <f t="shared" si="448"/>
        <v>Hypericum</v>
      </c>
      <c r="K918" s="76" t="str">
        <f t="shared" si="448"/>
        <v>revolutum</v>
      </c>
      <c r="L918" s="77">
        <f t="shared" si="448"/>
        <v>6</v>
      </c>
      <c r="M918" s="77">
        <f t="shared" si="448"/>
        <v>1</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Dec</v>
      </c>
      <c r="C919" s="73">
        <f t="shared" si="445"/>
        <v>3</v>
      </c>
      <c r="D919" s="74">
        <f t="shared" si="428"/>
        <v>6</v>
      </c>
      <c r="E919" s="75">
        <f t="shared" si="429"/>
        <v>10</v>
      </c>
      <c r="F919" s="79"/>
      <c r="G919" s="82"/>
      <c r="H919" s="68" t="str">
        <f t="shared" si="446"/>
        <v>Hyprev6_20201203_06_00</v>
      </c>
      <c r="I919" s="69">
        <f t="shared" si="448"/>
        <v>1</v>
      </c>
      <c r="J919" s="76" t="str">
        <f t="shared" si="448"/>
        <v>Hypericum</v>
      </c>
      <c r="K919" s="76" t="str">
        <f t="shared" si="448"/>
        <v>revolutum</v>
      </c>
      <c r="L919" s="77">
        <f t="shared" si="448"/>
        <v>6</v>
      </c>
      <c r="M919" s="77">
        <f t="shared" si="448"/>
        <v>1</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Dec</v>
      </c>
      <c r="C920" s="73">
        <f t="shared" si="445"/>
        <v>3</v>
      </c>
      <c r="D920" s="74">
        <f t="shared" si="428"/>
        <v>6</v>
      </c>
      <c r="E920" s="75">
        <f t="shared" si="429"/>
        <v>11</v>
      </c>
      <c r="F920" s="79"/>
      <c r="G920" s="82"/>
      <c r="H920" s="68" t="str">
        <f t="shared" si="446"/>
        <v>Hyprev6_20201203_06_00</v>
      </c>
      <c r="I920" s="69">
        <f t="shared" si="448"/>
        <v>1</v>
      </c>
      <c r="J920" s="76" t="str">
        <f t="shared" si="448"/>
        <v>Hypericum</v>
      </c>
      <c r="K920" s="76" t="str">
        <f t="shared" si="448"/>
        <v>revolutum</v>
      </c>
      <c r="L920" s="77">
        <f t="shared" si="448"/>
        <v>6</v>
      </c>
      <c r="M920" s="77">
        <f t="shared" si="448"/>
        <v>1</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Dec</v>
      </c>
      <c r="C921" s="73">
        <f t="shared" si="445"/>
        <v>3</v>
      </c>
      <c r="D921" s="74">
        <f t="shared" si="428"/>
        <v>6</v>
      </c>
      <c r="E921" s="75">
        <f t="shared" si="429"/>
        <v>12</v>
      </c>
      <c r="F921" s="79"/>
      <c r="G921" s="82"/>
      <c r="H921" s="68" t="str">
        <f t="shared" si="446"/>
        <v>Hyprev6_20201203_06_00</v>
      </c>
      <c r="I921" s="69">
        <f t="shared" si="448"/>
        <v>1</v>
      </c>
      <c r="J921" s="76" t="str">
        <f t="shared" si="448"/>
        <v>Hypericum</v>
      </c>
      <c r="K921" s="76" t="str">
        <f t="shared" si="448"/>
        <v>revolutum</v>
      </c>
      <c r="L921" s="77">
        <f t="shared" si="448"/>
        <v>6</v>
      </c>
      <c r="M921" s="77">
        <f t="shared" si="448"/>
        <v>1</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Dec</v>
      </c>
      <c r="C922" s="73">
        <f t="shared" si="445"/>
        <v>3</v>
      </c>
      <c r="D922" s="74">
        <f t="shared" si="428"/>
        <v>6</v>
      </c>
      <c r="E922" s="75">
        <f t="shared" si="429"/>
        <v>13</v>
      </c>
      <c r="F922" s="79"/>
      <c r="G922" s="82"/>
      <c r="H922" s="68" t="str">
        <f t="shared" si="446"/>
        <v>Hyprev6_20201203_06_00</v>
      </c>
      <c r="I922" s="69">
        <f t="shared" si="448"/>
        <v>1</v>
      </c>
      <c r="J922" s="76" t="str">
        <f t="shared" si="448"/>
        <v>Hypericum</v>
      </c>
      <c r="K922" s="76" t="str">
        <f t="shared" si="448"/>
        <v>revolutum</v>
      </c>
      <c r="L922" s="77">
        <f t="shared" si="448"/>
        <v>6</v>
      </c>
      <c r="M922" s="77">
        <f t="shared" si="448"/>
        <v>1</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Dec</v>
      </c>
      <c r="C923" s="73">
        <f t="shared" si="445"/>
        <v>3</v>
      </c>
      <c r="D923" s="74">
        <f t="shared" si="428"/>
        <v>6</v>
      </c>
      <c r="E923" s="75">
        <f t="shared" si="429"/>
        <v>14</v>
      </c>
      <c r="F923" s="79"/>
      <c r="G923" s="82"/>
      <c r="H923" s="68" t="str">
        <f t="shared" si="446"/>
        <v>Hyprev6_20201203_06_00</v>
      </c>
      <c r="I923" s="69">
        <f t="shared" si="448"/>
        <v>1</v>
      </c>
      <c r="J923" s="76" t="str">
        <f t="shared" si="448"/>
        <v>Hypericum</v>
      </c>
      <c r="K923" s="76" t="str">
        <f t="shared" si="448"/>
        <v>revolutum</v>
      </c>
      <c r="L923" s="77">
        <f t="shared" si="448"/>
        <v>6</v>
      </c>
      <c r="M923" s="77">
        <f t="shared" si="448"/>
        <v>1</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Dec</v>
      </c>
      <c r="C924" s="73">
        <f t="shared" si="445"/>
        <v>3</v>
      </c>
      <c r="D924" s="74">
        <f t="shared" si="428"/>
        <v>6</v>
      </c>
      <c r="E924" s="75">
        <f t="shared" si="429"/>
        <v>15</v>
      </c>
      <c r="F924" s="79"/>
      <c r="G924" s="82"/>
      <c r="H924" s="68" t="str">
        <f t="shared" si="446"/>
        <v>Hyprev6_20201203_06_00</v>
      </c>
      <c r="I924" s="69">
        <f t="shared" si="448"/>
        <v>1</v>
      </c>
      <c r="J924" s="76" t="str">
        <f t="shared" si="448"/>
        <v>Hypericum</v>
      </c>
      <c r="K924" s="76" t="str">
        <f t="shared" si="448"/>
        <v>revolutum</v>
      </c>
      <c r="L924" s="77">
        <f t="shared" si="448"/>
        <v>6</v>
      </c>
      <c r="M924" s="77">
        <f t="shared" si="448"/>
        <v>1</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Dec</v>
      </c>
      <c r="C925" s="73">
        <f t="shared" si="445"/>
        <v>3</v>
      </c>
      <c r="D925" s="74">
        <f t="shared" si="428"/>
        <v>6</v>
      </c>
      <c r="E925" s="75">
        <f t="shared" si="429"/>
        <v>16</v>
      </c>
      <c r="F925" s="79"/>
      <c r="G925" s="82"/>
      <c r="H925" s="68" t="str">
        <f t="shared" si="446"/>
        <v>Hyprev6_20201203_06_00</v>
      </c>
      <c r="I925" s="69">
        <f t="shared" si="448"/>
        <v>1</v>
      </c>
      <c r="J925" s="76" t="str">
        <f t="shared" si="448"/>
        <v>Hypericum</v>
      </c>
      <c r="K925" s="76" t="str">
        <f t="shared" si="448"/>
        <v>revolutum</v>
      </c>
      <c r="L925" s="77">
        <f t="shared" si="448"/>
        <v>6</v>
      </c>
      <c r="M925" s="77">
        <f t="shared" si="448"/>
        <v>1</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Dec</v>
      </c>
      <c r="C926" s="73">
        <f t="shared" si="445"/>
        <v>3</v>
      </c>
      <c r="D926" s="74">
        <f t="shared" si="428"/>
        <v>6</v>
      </c>
      <c r="E926" s="75">
        <f t="shared" si="429"/>
        <v>17</v>
      </c>
      <c r="F926" s="79"/>
      <c r="G926" s="82"/>
      <c r="H926" s="68" t="str">
        <f t="shared" si="446"/>
        <v>Hyprev6_20201203_06_00</v>
      </c>
      <c r="I926" s="69">
        <f t="shared" si="448"/>
        <v>1</v>
      </c>
      <c r="J926" s="76" t="str">
        <f t="shared" si="448"/>
        <v>Hypericum</v>
      </c>
      <c r="K926" s="76" t="str">
        <f t="shared" si="448"/>
        <v>revolutum</v>
      </c>
      <c r="L926" s="77">
        <f t="shared" si="448"/>
        <v>6</v>
      </c>
      <c r="M926" s="77">
        <f t="shared" si="448"/>
        <v>1</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Dec</v>
      </c>
      <c r="C927" s="73">
        <f t="shared" si="445"/>
        <v>3</v>
      </c>
      <c r="D927" s="74">
        <f t="shared" si="428"/>
        <v>6</v>
      </c>
      <c r="E927" s="75">
        <f t="shared" si="429"/>
        <v>18</v>
      </c>
      <c r="F927" s="79"/>
      <c r="G927" s="82"/>
      <c r="H927" s="68" t="str">
        <f t="shared" si="446"/>
        <v>Hyprev6_20201203_06_00</v>
      </c>
      <c r="I927" s="69">
        <f t="shared" si="448"/>
        <v>1</v>
      </c>
      <c r="J927" s="76" t="str">
        <f t="shared" si="448"/>
        <v>Hypericum</v>
      </c>
      <c r="K927" s="76" t="str">
        <f t="shared" si="448"/>
        <v>revolutum</v>
      </c>
      <c r="L927" s="77">
        <f t="shared" si="448"/>
        <v>6</v>
      </c>
      <c r="M927" s="77">
        <f t="shared" si="448"/>
        <v>1</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Dec</v>
      </c>
      <c r="C928" s="73">
        <f t="shared" si="445"/>
        <v>3</v>
      </c>
      <c r="D928" s="74">
        <f t="shared" si="428"/>
        <v>6</v>
      </c>
      <c r="E928" s="75">
        <f t="shared" si="429"/>
        <v>19</v>
      </c>
      <c r="F928" s="79"/>
      <c r="G928" s="82"/>
      <c r="H928" s="68" t="str">
        <f t="shared" si="446"/>
        <v>Hyprev6_20201203_06_00</v>
      </c>
      <c r="I928" s="69">
        <f t="shared" si="448"/>
        <v>1</v>
      </c>
      <c r="J928" s="76" t="str">
        <f t="shared" si="448"/>
        <v>Hypericum</v>
      </c>
      <c r="K928" s="76" t="str">
        <f t="shared" si="448"/>
        <v>revolutum</v>
      </c>
      <c r="L928" s="77">
        <f t="shared" si="448"/>
        <v>6</v>
      </c>
      <c r="M928" s="77">
        <f t="shared" si="448"/>
        <v>1</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Dec</v>
      </c>
      <c r="C929" s="73">
        <f t="shared" si="445"/>
        <v>3</v>
      </c>
      <c r="D929" s="74">
        <f t="shared" si="428"/>
        <v>6</v>
      </c>
      <c r="E929" s="75">
        <f t="shared" si="429"/>
        <v>20</v>
      </c>
      <c r="F929" s="79"/>
      <c r="G929" s="82"/>
      <c r="H929" s="68" t="str">
        <f t="shared" si="446"/>
        <v>Hyprev6_20201203_06_00</v>
      </c>
      <c r="I929" s="69">
        <f t="shared" si="448"/>
        <v>1</v>
      </c>
      <c r="J929" s="76" t="str">
        <f t="shared" si="448"/>
        <v>Hypericum</v>
      </c>
      <c r="K929" s="76" t="str">
        <f t="shared" si="448"/>
        <v>revolutum</v>
      </c>
      <c r="L929" s="77">
        <f t="shared" si="448"/>
        <v>6</v>
      </c>
      <c r="M929" s="77">
        <f t="shared" si="448"/>
        <v>1</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Dec</v>
      </c>
      <c r="C930" s="73">
        <f t="shared" si="445"/>
        <v>3</v>
      </c>
      <c r="D930" s="74">
        <f t="shared" si="428"/>
        <v>6</v>
      </c>
      <c r="E930" s="75">
        <f t="shared" si="429"/>
        <v>21</v>
      </c>
      <c r="F930" s="79"/>
      <c r="G930" s="82"/>
      <c r="H930" s="68" t="str">
        <f t="shared" si="446"/>
        <v>Hyprev6_20201203_06_00</v>
      </c>
      <c r="I930" s="69">
        <f t="shared" si="448"/>
        <v>1</v>
      </c>
      <c r="J930" s="76" t="str">
        <f t="shared" si="448"/>
        <v>Hypericum</v>
      </c>
      <c r="K930" s="76" t="str">
        <f t="shared" si="448"/>
        <v>revolutum</v>
      </c>
      <c r="L930" s="77">
        <f t="shared" si="448"/>
        <v>6</v>
      </c>
      <c r="M930" s="77">
        <f t="shared" si="448"/>
        <v>1</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Dec</v>
      </c>
      <c r="C931" s="73">
        <f t="shared" si="445"/>
        <v>3</v>
      </c>
      <c r="D931" s="74">
        <f t="shared" si="428"/>
        <v>6</v>
      </c>
      <c r="E931" s="75">
        <f t="shared" si="429"/>
        <v>22</v>
      </c>
      <c r="F931" s="79"/>
      <c r="G931" s="82"/>
      <c r="H931" s="68" t="str">
        <f t="shared" si="446"/>
        <v>Hyprev6_20201203_06_00</v>
      </c>
      <c r="I931" s="69">
        <f t="shared" si="448"/>
        <v>1</v>
      </c>
      <c r="J931" s="76" t="str">
        <f t="shared" si="448"/>
        <v>Hypericum</v>
      </c>
      <c r="K931" s="76" t="str">
        <f t="shared" si="448"/>
        <v>revolutum</v>
      </c>
      <c r="L931" s="77">
        <f t="shared" si="448"/>
        <v>6</v>
      </c>
      <c r="M931" s="77">
        <f t="shared" si="448"/>
        <v>1</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Dec</v>
      </c>
      <c r="C932" s="73">
        <f t="shared" si="445"/>
        <v>3</v>
      </c>
      <c r="D932" s="74">
        <f t="shared" si="428"/>
        <v>6</v>
      </c>
      <c r="E932" s="75">
        <f t="shared" si="429"/>
        <v>23</v>
      </c>
      <c r="F932" s="79"/>
      <c r="G932" s="82"/>
      <c r="H932" s="68" t="str">
        <f t="shared" si="446"/>
        <v>Hyprev6_20201203_06_00</v>
      </c>
      <c r="I932" s="69">
        <f t="shared" si="448"/>
        <v>1</v>
      </c>
      <c r="J932" s="76" t="str">
        <f t="shared" si="448"/>
        <v>Hypericum</v>
      </c>
      <c r="K932" s="76" t="str">
        <f t="shared" si="448"/>
        <v>revolutum</v>
      </c>
      <c r="L932" s="77">
        <f t="shared" si="448"/>
        <v>6</v>
      </c>
      <c r="M932" s="77">
        <f t="shared" si="448"/>
        <v>1</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Dec</v>
      </c>
      <c r="C933" s="73">
        <f t="shared" si="445"/>
        <v>3</v>
      </c>
      <c r="D933" s="74">
        <f t="shared" si="428"/>
        <v>6</v>
      </c>
      <c r="E933" s="75">
        <f t="shared" si="429"/>
        <v>24</v>
      </c>
      <c r="F933" s="79"/>
      <c r="G933" s="82"/>
      <c r="H933" s="68" t="str">
        <f t="shared" si="446"/>
        <v>Hyprev6_20201203_06_00</v>
      </c>
      <c r="I933" s="69">
        <f t="shared" ref="I933:N948" si="449">I932</f>
        <v>1</v>
      </c>
      <c r="J933" s="76" t="str">
        <f t="shared" si="449"/>
        <v>Hypericum</v>
      </c>
      <c r="K933" s="76" t="str">
        <f t="shared" si="449"/>
        <v>revolutum</v>
      </c>
      <c r="L933" s="77">
        <f t="shared" si="449"/>
        <v>6</v>
      </c>
      <c r="M933" s="77">
        <f t="shared" si="449"/>
        <v>1</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Dec</v>
      </c>
      <c r="C934" s="73">
        <f t="shared" si="445"/>
        <v>3</v>
      </c>
      <c r="D934" s="74">
        <f t="shared" si="428"/>
        <v>6</v>
      </c>
      <c r="E934" s="75">
        <f t="shared" si="429"/>
        <v>25</v>
      </c>
      <c r="F934" s="79"/>
      <c r="G934" s="82"/>
      <c r="H934" s="68" t="str">
        <f t="shared" si="446"/>
        <v>Hyprev6_20201203_06_00</v>
      </c>
      <c r="I934" s="69">
        <f t="shared" si="449"/>
        <v>1</v>
      </c>
      <c r="J934" s="76" t="str">
        <f t="shared" si="449"/>
        <v>Hypericum</v>
      </c>
      <c r="K934" s="76" t="str">
        <f t="shared" si="449"/>
        <v>revolutum</v>
      </c>
      <c r="L934" s="77">
        <f t="shared" si="449"/>
        <v>6</v>
      </c>
      <c r="M934" s="77">
        <f t="shared" si="449"/>
        <v>1</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Dec</v>
      </c>
      <c r="C935" s="73">
        <f t="shared" si="445"/>
        <v>3</v>
      </c>
      <c r="D935" s="74">
        <f t="shared" si="428"/>
        <v>6</v>
      </c>
      <c r="E935" s="75">
        <f t="shared" si="429"/>
        <v>26</v>
      </c>
      <c r="F935" s="79"/>
      <c r="G935" s="82"/>
      <c r="H935" s="68" t="str">
        <f t="shared" si="446"/>
        <v>Hyprev6_20201203_06_00</v>
      </c>
      <c r="I935" s="69">
        <f t="shared" si="449"/>
        <v>1</v>
      </c>
      <c r="J935" s="76" t="str">
        <f t="shared" si="449"/>
        <v>Hypericum</v>
      </c>
      <c r="K935" s="76" t="str">
        <f t="shared" si="449"/>
        <v>revolutum</v>
      </c>
      <c r="L935" s="77">
        <f t="shared" si="449"/>
        <v>6</v>
      </c>
      <c r="M935" s="77">
        <f t="shared" si="449"/>
        <v>1</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Dec</v>
      </c>
      <c r="C936" s="73">
        <f t="shared" si="445"/>
        <v>3</v>
      </c>
      <c r="D936" s="74">
        <f t="shared" si="428"/>
        <v>6</v>
      </c>
      <c r="E936" s="75">
        <f t="shared" si="429"/>
        <v>27</v>
      </c>
      <c r="F936" s="79"/>
      <c r="G936" s="82"/>
      <c r="H936" s="68" t="str">
        <f t="shared" si="446"/>
        <v>Hyprev6_20201203_06_00</v>
      </c>
      <c r="I936" s="69">
        <f t="shared" si="449"/>
        <v>1</v>
      </c>
      <c r="J936" s="76" t="str">
        <f t="shared" si="449"/>
        <v>Hypericum</v>
      </c>
      <c r="K936" s="76" t="str">
        <f t="shared" si="449"/>
        <v>revolutum</v>
      </c>
      <c r="L936" s="77">
        <f t="shared" si="449"/>
        <v>6</v>
      </c>
      <c r="M936" s="77">
        <f t="shared" si="449"/>
        <v>1</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Dec</v>
      </c>
      <c r="C937" s="73">
        <f t="shared" si="445"/>
        <v>3</v>
      </c>
      <c r="D937" s="74">
        <f t="shared" si="428"/>
        <v>6</v>
      </c>
      <c r="E937" s="75">
        <f t="shared" si="429"/>
        <v>28</v>
      </c>
      <c r="F937" s="79"/>
      <c r="G937" s="82"/>
      <c r="H937" s="68" t="str">
        <f t="shared" si="446"/>
        <v>Hyprev6_20201203_06_00</v>
      </c>
      <c r="I937" s="69">
        <f t="shared" si="449"/>
        <v>1</v>
      </c>
      <c r="J937" s="76" t="str">
        <f t="shared" si="449"/>
        <v>Hypericum</v>
      </c>
      <c r="K937" s="76" t="str">
        <f t="shared" si="449"/>
        <v>revolutum</v>
      </c>
      <c r="L937" s="77">
        <f t="shared" si="449"/>
        <v>6</v>
      </c>
      <c r="M937" s="77">
        <f t="shared" si="449"/>
        <v>1</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Dec</v>
      </c>
      <c r="C938" s="73">
        <f t="shared" si="445"/>
        <v>3</v>
      </c>
      <c r="D938" s="74">
        <f t="shared" si="428"/>
        <v>6</v>
      </c>
      <c r="E938" s="75">
        <f t="shared" si="429"/>
        <v>29</v>
      </c>
      <c r="F938" s="79"/>
      <c r="G938" s="82"/>
      <c r="H938" s="68" t="str">
        <f t="shared" si="446"/>
        <v>Hyprev6_20201203_06_00</v>
      </c>
      <c r="I938" s="69">
        <f t="shared" si="449"/>
        <v>1</v>
      </c>
      <c r="J938" s="76" t="str">
        <f t="shared" si="449"/>
        <v>Hypericum</v>
      </c>
      <c r="K938" s="76" t="str">
        <f t="shared" si="449"/>
        <v>revolutum</v>
      </c>
      <c r="L938" s="77">
        <f t="shared" si="449"/>
        <v>6</v>
      </c>
      <c r="M938" s="77">
        <f t="shared" si="449"/>
        <v>1</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Dec</v>
      </c>
      <c r="C939" s="73">
        <f t="shared" si="445"/>
        <v>3</v>
      </c>
      <c r="D939" s="74">
        <f t="shared" si="428"/>
        <v>6</v>
      </c>
      <c r="E939" s="75">
        <f t="shared" si="429"/>
        <v>30</v>
      </c>
      <c r="F939" s="79"/>
      <c r="G939" s="82"/>
      <c r="H939" s="68" t="str">
        <f t="shared" si="446"/>
        <v>Hyprev6_20201203_06_00</v>
      </c>
      <c r="I939" s="69">
        <f t="shared" si="449"/>
        <v>1</v>
      </c>
      <c r="J939" s="76" t="str">
        <f t="shared" si="449"/>
        <v>Hypericum</v>
      </c>
      <c r="K939" s="76" t="str">
        <f t="shared" si="449"/>
        <v>revolutum</v>
      </c>
      <c r="L939" s="77">
        <f t="shared" si="449"/>
        <v>6</v>
      </c>
      <c r="M939" s="77">
        <f t="shared" si="449"/>
        <v>1</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Dec</v>
      </c>
      <c r="C940" s="73">
        <f t="shared" si="445"/>
        <v>3</v>
      </c>
      <c r="D940" s="74">
        <f t="shared" si="428"/>
        <v>6</v>
      </c>
      <c r="E940" s="75">
        <f t="shared" si="429"/>
        <v>31</v>
      </c>
      <c r="F940" s="79"/>
      <c r="G940" s="82"/>
      <c r="H940" s="68" t="str">
        <f t="shared" si="446"/>
        <v>Hyprev6_20201203_06_00</v>
      </c>
      <c r="I940" s="69">
        <f t="shared" si="449"/>
        <v>1</v>
      </c>
      <c r="J940" s="76" t="str">
        <f t="shared" si="449"/>
        <v>Hypericum</v>
      </c>
      <c r="K940" s="76" t="str">
        <f t="shared" si="449"/>
        <v>revolutum</v>
      </c>
      <c r="L940" s="77">
        <f t="shared" si="449"/>
        <v>6</v>
      </c>
      <c r="M940" s="77">
        <f t="shared" si="449"/>
        <v>1</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Dec</v>
      </c>
      <c r="C941" s="73">
        <f t="shared" si="445"/>
        <v>3</v>
      </c>
      <c r="D941" s="74">
        <f t="shared" si="428"/>
        <v>6</v>
      </c>
      <c r="E941" s="75">
        <f t="shared" si="429"/>
        <v>32</v>
      </c>
      <c r="F941" s="79"/>
      <c r="G941" s="82"/>
      <c r="H941" s="68" t="str">
        <f t="shared" si="446"/>
        <v>Hyprev6_20201203_06_00</v>
      </c>
      <c r="I941" s="69">
        <f t="shared" si="449"/>
        <v>1</v>
      </c>
      <c r="J941" s="76" t="str">
        <f t="shared" si="449"/>
        <v>Hypericum</v>
      </c>
      <c r="K941" s="76" t="str">
        <f t="shared" si="449"/>
        <v>revolutum</v>
      </c>
      <c r="L941" s="77">
        <f t="shared" si="449"/>
        <v>6</v>
      </c>
      <c r="M941" s="77">
        <f t="shared" si="449"/>
        <v>1</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Dec</v>
      </c>
      <c r="C942" s="73">
        <f t="shared" si="445"/>
        <v>3</v>
      </c>
      <c r="D942" s="74">
        <f t="shared" si="428"/>
        <v>6</v>
      </c>
      <c r="E942" s="75">
        <f t="shared" si="429"/>
        <v>33</v>
      </c>
      <c r="F942" s="79"/>
      <c r="G942" s="82"/>
      <c r="H942" s="68" t="str">
        <f t="shared" si="446"/>
        <v>Hyprev6_20201203_06_00</v>
      </c>
      <c r="I942" s="69">
        <f t="shared" si="449"/>
        <v>1</v>
      </c>
      <c r="J942" s="76" t="str">
        <f t="shared" si="449"/>
        <v>Hypericum</v>
      </c>
      <c r="K942" s="76" t="str">
        <f t="shared" si="449"/>
        <v>revolutum</v>
      </c>
      <c r="L942" s="77">
        <f t="shared" si="449"/>
        <v>6</v>
      </c>
      <c r="M942" s="77">
        <f t="shared" si="449"/>
        <v>1</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Dec</v>
      </c>
      <c r="C943" s="73">
        <f t="shared" si="445"/>
        <v>3</v>
      </c>
      <c r="D943" s="74">
        <f t="shared" si="428"/>
        <v>6</v>
      </c>
      <c r="E943" s="75">
        <f t="shared" si="429"/>
        <v>34</v>
      </c>
      <c r="F943" s="79"/>
      <c r="G943" s="82"/>
      <c r="H943" s="68" t="str">
        <f t="shared" si="446"/>
        <v>Hyprev6_20201203_06_00</v>
      </c>
      <c r="I943" s="69">
        <f t="shared" si="449"/>
        <v>1</v>
      </c>
      <c r="J943" s="76" t="str">
        <f t="shared" si="449"/>
        <v>Hypericum</v>
      </c>
      <c r="K943" s="76" t="str">
        <f t="shared" si="449"/>
        <v>revolutum</v>
      </c>
      <c r="L943" s="77">
        <f t="shared" si="449"/>
        <v>6</v>
      </c>
      <c r="M943" s="77">
        <f t="shared" si="449"/>
        <v>1</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Dec</v>
      </c>
      <c r="C944" s="73">
        <f t="shared" si="445"/>
        <v>3</v>
      </c>
      <c r="D944" s="74">
        <f t="shared" si="428"/>
        <v>6</v>
      </c>
      <c r="E944" s="75">
        <f t="shared" si="429"/>
        <v>35</v>
      </c>
      <c r="F944" s="79"/>
      <c r="G944" s="82"/>
      <c r="H944" s="68" t="str">
        <f t="shared" si="446"/>
        <v>Hyprev6_20201203_06_00</v>
      </c>
      <c r="I944" s="69">
        <f t="shared" si="449"/>
        <v>1</v>
      </c>
      <c r="J944" s="76" t="str">
        <f t="shared" si="449"/>
        <v>Hypericum</v>
      </c>
      <c r="K944" s="76" t="str">
        <f t="shared" si="449"/>
        <v>revolutum</v>
      </c>
      <c r="L944" s="77">
        <f t="shared" si="449"/>
        <v>6</v>
      </c>
      <c r="M944" s="77">
        <f t="shared" si="449"/>
        <v>1</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Dec</v>
      </c>
      <c r="C945" s="73">
        <f t="shared" si="445"/>
        <v>3</v>
      </c>
      <c r="D945" s="74">
        <f t="shared" si="428"/>
        <v>6</v>
      </c>
      <c r="E945" s="75">
        <f t="shared" si="429"/>
        <v>36</v>
      </c>
      <c r="F945" s="79"/>
      <c r="G945" s="82"/>
      <c r="H945" s="68" t="str">
        <f t="shared" si="446"/>
        <v>Hyprev6_20201203_06_00</v>
      </c>
      <c r="I945" s="69">
        <f t="shared" si="449"/>
        <v>1</v>
      </c>
      <c r="J945" s="76" t="str">
        <f t="shared" si="449"/>
        <v>Hypericum</v>
      </c>
      <c r="K945" s="76" t="str">
        <f t="shared" si="449"/>
        <v>revolutum</v>
      </c>
      <c r="L945" s="77">
        <f t="shared" si="449"/>
        <v>6</v>
      </c>
      <c r="M945" s="77">
        <f t="shared" si="449"/>
        <v>1</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Dec</v>
      </c>
      <c r="C946" s="73">
        <f t="shared" si="445"/>
        <v>3</v>
      </c>
      <c r="D946" s="74">
        <f t="shared" si="428"/>
        <v>6</v>
      </c>
      <c r="E946" s="75">
        <f t="shared" si="429"/>
        <v>37</v>
      </c>
      <c r="F946" s="79"/>
      <c r="G946" s="82"/>
      <c r="H946" s="68" t="str">
        <f t="shared" si="446"/>
        <v>Hyprev6_20201203_06_00</v>
      </c>
      <c r="I946" s="69">
        <f t="shared" si="449"/>
        <v>1</v>
      </c>
      <c r="J946" s="76" t="str">
        <f t="shared" si="449"/>
        <v>Hypericum</v>
      </c>
      <c r="K946" s="76" t="str">
        <f t="shared" si="449"/>
        <v>revolutum</v>
      </c>
      <c r="L946" s="77">
        <f t="shared" si="449"/>
        <v>6</v>
      </c>
      <c r="M946" s="77">
        <f t="shared" si="449"/>
        <v>1</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Dec</v>
      </c>
      <c r="C947" s="73">
        <f t="shared" si="445"/>
        <v>3</v>
      </c>
      <c r="D947" s="74">
        <f t="shared" si="428"/>
        <v>6</v>
      </c>
      <c r="E947" s="75">
        <f t="shared" si="429"/>
        <v>38</v>
      </c>
      <c r="F947" s="79"/>
      <c r="G947" s="82"/>
      <c r="H947" s="68" t="str">
        <f t="shared" si="446"/>
        <v>Hyprev6_20201203_06_00</v>
      </c>
      <c r="I947" s="69">
        <f t="shared" si="449"/>
        <v>1</v>
      </c>
      <c r="J947" s="76" t="str">
        <f t="shared" si="449"/>
        <v>Hypericum</v>
      </c>
      <c r="K947" s="76" t="str">
        <f t="shared" si="449"/>
        <v>revolutum</v>
      </c>
      <c r="L947" s="77">
        <f t="shared" si="449"/>
        <v>6</v>
      </c>
      <c r="M947" s="77">
        <f t="shared" si="449"/>
        <v>1</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Dec</v>
      </c>
      <c r="C948" s="73">
        <f t="shared" si="445"/>
        <v>3</v>
      </c>
      <c r="D948" s="74">
        <f t="shared" si="428"/>
        <v>6</v>
      </c>
      <c r="E948" s="75">
        <f t="shared" si="429"/>
        <v>39</v>
      </c>
      <c r="F948" s="79"/>
      <c r="G948" s="82"/>
      <c r="H948" s="68" t="str">
        <f t="shared" si="446"/>
        <v>Hyprev6_20201203_06_00</v>
      </c>
      <c r="I948" s="69">
        <f t="shared" si="449"/>
        <v>1</v>
      </c>
      <c r="J948" s="76" t="str">
        <f t="shared" si="449"/>
        <v>Hypericum</v>
      </c>
      <c r="K948" s="76" t="str">
        <f t="shared" si="449"/>
        <v>revolutum</v>
      </c>
      <c r="L948" s="77">
        <f t="shared" si="449"/>
        <v>6</v>
      </c>
      <c r="M948" s="77">
        <f t="shared" si="449"/>
        <v>1</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Dec</v>
      </c>
      <c r="C949" s="73">
        <f t="shared" si="445"/>
        <v>3</v>
      </c>
      <c r="D949" s="74">
        <f t="shared" si="428"/>
        <v>6</v>
      </c>
      <c r="E949" s="75">
        <f t="shared" si="429"/>
        <v>40</v>
      </c>
      <c r="F949" s="79"/>
      <c r="G949" s="82"/>
      <c r="H949" s="68" t="str">
        <f t="shared" si="446"/>
        <v>Hyprev6_20201203_06_00</v>
      </c>
      <c r="I949" s="69">
        <f t="shared" ref="I949:N964" si="450">I948</f>
        <v>1</v>
      </c>
      <c r="J949" s="76" t="str">
        <f t="shared" si="450"/>
        <v>Hypericum</v>
      </c>
      <c r="K949" s="76" t="str">
        <f t="shared" si="450"/>
        <v>revolutum</v>
      </c>
      <c r="L949" s="77">
        <f t="shared" si="450"/>
        <v>6</v>
      </c>
      <c r="M949" s="77">
        <f t="shared" si="450"/>
        <v>1</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Dec</v>
      </c>
      <c r="C950" s="73">
        <f t="shared" si="445"/>
        <v>3</v>
      </c>
      <c r="D950" s="74">
        <f t="shared" si="428"/>
        <v>6</v>
      </c>
      <c r="E950" s="75">
        <f t="shared" si="429"/>
        <v>41</v>
      </c>
      <c r="F950" s="79"/>
      <c r="G950" s="82"/>
      <c r="H950" s="68" t="str">
        <f t="shared" si="446"/>
        <v>Hyprev6_20201203_06_00</v>
      </c>
      <c r="I950" s="69">
        <f t="shared" si="450"/>
        <v>1</v>
      </c>
      <c r="J950" s="76" t="str">
        <f t="shared" si="450"/>
        <v>Hypericum</v>
      </c>
      <c r="K950" s="76" t="str">
        <f t="shared" si="450"/>
        <v>revolutum</v>
      </c>
      <c r="L950" s="77">
        <f t="shared" si="450"/>
        <v>6</v>
      </c>
      <c r="M950" s="77">
        <f t="shared" si="450"/>
        <v>1</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Dec</v>
      </c>
      <c r="C951" s="73">
        <f t="shared" si="445"/>
        <v>3</v>
      </c>
      <c r="D951" s="74">
        <f t="shared" si="428"/>
        <v>6</v>
      </c>
      <c r="E951" s="75">
        <f t="shared" si="429"/>
        <v>42</v>
      </c>
      <c r="F951" s="79"/>
      <c r="G951" s="82"/>
      <c r="H951" s="68" t="str">
        <f t="shared" si="446"/>
        <v>Hyprev6_20201203_06_00</v>
      </c>
      <c r="I951" s="69">
        <f t="shared" si="450"/>
        <v>1</v>
      </c>
      <c r="J951" s="76" t="str">
        <f t="shared" si="450"/>
        <v>Hypericum</v>
      </c>
      <c r="K951" s="76" t="str">
        <f t="shared" si="450"/>
        <v>revolutum</v>
      </c>
      <c r="L951" s="77">
        <f t="shared" si="450"/>
        <v>6</v>
      </c>
      <c r="M951" s="77">
        <f t="shared" si="450"/>
        <v>1</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Dec</v>
      </c>
      <c r="C952" s="73">
        <f t="shared" si="445"/>
        <v>3</v>
      </c>
      <c r="D952" s="74">
        <f t="shared" si="428"/>
        <v>6</v>
      </c>
      <c r="E952" s="75">
        <f t="shared" si="429"/>
        <v>43</v>
      </c>
      <c r="F952" s="79"/>
      <c r="G952" s="82"/>
      <c r="H952" s="68" t="str">
        <f t="shared" si="446"/>
        <v>Hyprev6_20201203_06_00</v>
      </c>
      <c r="I952" s="69">
        <f t="shared" si="450"/>
        <v>1</v>
      </c>
      <c r="J952" s="76" t="str">
        <f t="shared" si="450"/>
        <v>Hypericum</v>
      </c>
      <c r="K952" s="76" t="str">
        <f t="shared" si="450"/>
        <v>revolutum</v>
      </c>
      <c r="L952" s="77">
        <f t="shared" si="450"/>
        <v>6</v>
      </c>
      <c r="M952" s="77">
        <f t="shared" si="450"/>
        <v>1</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Dec</v>
      </c>
      <c r="C953" s="73">
        <f t="shared" si="445"/>
        <v>3</v>
      </c>
      <c r="D953" s="74">
        <f t="shared" si="428"/>
        <v>6</v>
      </c>
      <c r="E953" s="75">
        <f t="shared" si="429"/>
        <v>44</v>
      </c>
      <c r="F953" s="79"/>
      <c r="G953" s="82"/>
      <c r="H953" s="68" t="str">
        <f t="shared" si="446"/>
        <v>Hyprev6_20201203_06_00</v>
      </c>
      <c r="I953" s="69">
        <f t="shared" si="450"/>
        <v>1</v>
      </c>
      <c r="J953" s="76" t="str">
        <f t="shared" si="450"/>
        <v>Hypericum</v>
      </c>
      <c r="K953" s="76" t="str">
        <f t="shared" si="450"/>
        <v>revolutum</v>
      </c>
      <c r="L953" s="77">
        <f t="shared" si="450"/>
        <v>6</v>
      </c>
      <c r="M953" s="77">
        <f t="shared" si="450"/>
        <v>1</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Dec</v>
      </c>
      <c r="C954" s="73">
        <f t="shared" si="445"/>
        <v>3</v>
      </c>
      <c r="D954" s="74">
        <f t="shared" si="428"/>
        <v>6</v>
      </c>
      <c r="E954" s="75">
        <f t="shared" si="429"/>
        <v>45</v>
      </c>
      <c r="F954" s="79"/>
      <c r="G954" s="82"/>
      <c r="H954" s="68" t="str">
        <f t="shared" si="446"/>
        <v>Hyprev6_20201203_06_00</v>
      </c>
      <c r="I954" s="69">
        <f t="shared" si="450"/>
        <v>1</v>
      </c>
      <c r="J954" s="76" t="str">
        <f t="shared" si="450"/>
        <v>Hypericum</v>
      </c>
      <c r="K954" s="76" t="str">
        <f t="shared" si="450"/>
        <v>revolutum</v>
      </c>
      <c r="L954" s="77">
        <f t="shared" si="450"/>
        <v>6</v>
      </c>
      <c r="M954" s="77">
        <f t="shared" si="450"/>
        <v>1</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Dec</v>
      </c>
      <c r="C955" s="73">
        <f t="shared" si="445"/>
        <v>3</v>
      </c>
      <c r="D955" s="74">
        <f t="shared" si="428"/>
        <v>6</v>
      </c>
      <c r="E955" s="75">
        <f t="shared" si="429"/>
        <v>46</v>
      </c>
      <c r="F955" s="79"/>
      <c r="G955" s="82"/>
      <c r="H955" s="68" t="str">
        <f t="shared" si="446"/>
        <v>Hyprev6_20201203_06_00</v>
      </c>
      <c r="I955" s="69">
        <f t="shared" si="450"/>
        <v>1</v>
      </c>
      <c r="J955" s="76" t="str">
        <f t="shared" si="450"/>
        <v>Hypericum</v>
      </c>
      <c r="K955" s="76" t="str">
        <f t="shared" si="450"/>
        <v>revolutum</v>
      </c>
      <c r="L955" s="77">
        <f t="shared" si="450"/>
        <v>6</v>
      </c>
      <c r="M955" s="77">
        <f t="shared" si="450"/>
        <v>1</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Dec</v>
      </c>
      <c r="C956" s="73">
        <f t="shared" si="445"/>
        <v>3</v>
      </c>
      <c r="D956" s="74">
        <f t="shared" si="428"/>
        <v>6</v>
      </c>
      <c r="E956" s="75">
        <f t="shared" si="429"/>
        <v>47</v>
      </c>
      <c r="F956" s="79"/>
      <c r="G956" s="82"/>
      <c r="H956" s="68" t="str">
        <f t="shared" si="446"/>
        <v>Hyprev6_20201203_06_00</v>
      </c>
      <c r="I956" s="69">
        <f t="shared" si="450"/>
        <v>1</v>
      </c>
      <c r="J956" s="76" t="str">
        <f t="shared" si="450"/>
        <v>Hypericum</v>
      </c>
      <c r="K956" s="76" t="str">
        <f t="shared" si="450"/>
        <v>revolutum</v>
      </c>
      <c r="L956" s="77">
        <f t="shared" si="450"/>
        <v>6</v>
      </c>
      <c r="M956" s="77">
        <f t="shared" si="450"/>
        <v>1</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Dec</v>
      </c>
      <c r="C957" s="73">
        <f t="shared" si="445"/>
        <v>3</v>
      </c>
      <c r="D957" s="74">
        <f t="shared" si="428"/>
        <v>6</v>
      </c>
      <c r="E957" s="75">
        <f t="shared" si="429"/>
        <v>48</v>
      </c>
      <c r="F957" s="79"/>
      <c r="G957" s="82"/>
      <c r="H957" s="68" t="str">
        <f t="shared" si="446"/>
        <v>Hyprev6_20201203_06_00</v>
      </c>
      <c r="I957" s="69">
        <f t="shared" si="450"/>
        <v>1</v>
      </c>
      <c r="J957" s="76" t="str">
        <f t="shared" si="450"/>
        <v>Hypericum</v>
      </c>
      <c r="K957" s="76" t="str">
        <f t="shared" si="450"/>
        <v>revolutum</v>
      </c>
      <c r="L957" s="77">
        <f t="shared" si="450"/>
        <v>6</v>
      </c>
      <c r="M957" s="77">
        <f t="shared" si="450"/>
        <v>1</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Dec</v>
      </c>
      <c r="C958" s="73">
        <f t="shared" si="445"/>
        <v>3</v>
      </c>
      <c r="D958" s="74">
        <f t="shared" si="428"/>
        <v>6</v>
      </c>
      <c r="E958" s="75">
        <f t="shared" si="429"/>
        <v>49</v>
      </c>
      <c r="F958" s="79"/>
      <c r="G958" s="82"/>
      <c r="H958" s="68" t="str">
        <f t="shared" si="446"/>
        <v>Hyprev6_20201203_06_00</v>
      </c>
      <c r="I958" s="69">
        <f t="shared" si="450"/>
        <v>1</v>
      </c>
      <c r="J958" s="76" t="str">
        <f t="shared" si="450"/>
        <v>Hypericum</v>
      </c>
      <c r="K958" s="76" t="str">
        <f t="shared" si="450"/>
        <v>revolutum</v>
      </c>
      <c r="L958" s="77">
        <f t="shared" si="450"/>
        <v>6</v>
      </c>
      <c r="M958" s="77">
        <f t="shared" si="450"/>
        <v>1</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Dec</v>
      </c>
      <c r="C959" s="73">
        <f t="shared" si="445"/>
        <v>3</v>
      </c>
      <c r="D959" s="74">
        <f t="shared" si="428"/>
        <v>6</v>
      </c>
      <c r="E959" s="75">
        <f t="shared" si="429"/>
        <v>50</v>
      </c>
      <c r="F959" s="79"/>
      <c r="G959" s="82"/>
      <c r="H959" s="68" t="str">
        <f t="shared" si="446"/>
        <v>Hyprev6_20201203_06_00</v>
      </c>
      <c r="I959" s="69">
        <f t="shared" si="450"/>
        <v>1</v>
      </c>
      <c r="J959" s="76" t="str">
        <f t="shared" si="450"/>
        <v>Hypericum</v>
      </c>
      <c r="K959" s="76" t="str">
        <f t="shared" si="450"/>
        <v>revolutum</v>
      </c>
      <c r="L959" s="77">
        <f t="shared" si="450"/>
        <v>6</v>
      </c>
      <c r="M959" s="77">
        <f t="shared" si="450"/>
        <v>1</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Dec</v>
      </c>
      <c r="C960" s="73">
        <f t="shared" si="445"/>
        <v>3</v>
      </c>
      <c r="D960" s="74">
        <f t="shared" si="428"/>
        <v>6</v>
      </c>
      <c r="E960" s="75">
        <f t="shared" si="429"/>
        <v>51</v>
      </c>
      <c r="F960" s="79"/>
      <c r="G960" s="82"/>
      <c r="H960" s="68" t="str">
        <f t="shared" si="446"/>
        <v>Hyprev6_20201203_06_00</v>
      </c>
      <c r="I960" s="69">
        <f t="shared" si="450"/>
        <v>1</v>
      </c>
      <c r="J960" s="76" t="str">
        <f t="shared" si="450"/>
        <v>Hypericum</v>
      </c>
      <c r="K960" s="76" t="str">
        <f t="shared" si="450"/>
        <v>revolutum</v>
      </c>
      <c r="L960" s="77">
        <f t="shared" si="450"/>
        <v>6</v>
      </c>
      <c r="M960" s="77">
        <f t="shared" si="450"/>
        <v>1</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Dec</v>
      </c>
      <c r="C961" s="73">
        <f t="shared" si="445"/>
        <v>3</v>
      </c>
      <c r="D961" s="74">
        <f t="shared" si="428"/>
        <v>6</v>
      </c>
      <c r="E961" s="75">
        <f t="shared" si="429"/>
        <v>52</v>
      </c>
      <c r="F961" s="79"/>
      <c r="G961" s="82"/>
      <c r="H961" s="68" t="str">
        <f t="shared" si="446"/>
        <v>Hyprev6_20201203_06_00</v>
      </c>
      <c r="I961" s="69">
        <f t="shared" si="450"/>
        <v>1</v>
      </c>
      <c r="J961" s="76" t="str">
        <f t="shared" si="450"/>
        <v>Hypericum</v>
      </c>
      <c r="K961" s="76" t="str">
        <f t="shared" si="450"/>
        <v>revolutum</v>
      </c>
      <c r="L961" s="77">
        <f t="shared" si="450"/>
        <v>6</v>
      </c>
      <c r="M961" s="77">
        <f t="shared" si="450"/>
        <v>1</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Dec</v>
      </c>
      <c r="C962" s="73">
        <f t="shared" si="445"/>
        <v>3</v>
      </c>
      <c r="D962" s="74">
        <f t="shared" si="428"/>
        <v>6</v>
      </c>
      <c r="E962" s="75">
        <f t="shared" si="429"/>
        <v>53</v>
      </c>
      <c r="F962" s="79"/>
      <c r="G962" s="82"/>
      <c r="H962" s="68" t="str">
        <f t="shared" si="446"/>
        <v>Hyprev6_20201203_06_00</v>
      </c>
      <c r="I962" s="69">
        <f t="shared" si="450"/>
        <v>1</v>
      </c>
      <c r="J962" s="76" t="str">
        <f t="shared" si="450"/>
        <v>Hypericum</v>
      </c>
      <c r="K962" s="76" t="str">
        <f t="shared" si="450"/>
        <v>revolutum</v>
      </c>
      <c r="L962" s="77">
        <f t="shared" si="450"/>
        <v>6</v>
      </c>
      <c r="M962" s="77">
        <f t="shared" si="450"/>
        <v>1</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Dec</v>
      </c>
      <c r="C963" s="73">
        <f t="shared" si="445"/>
        <v>3</v>
      </c>
      <c r="D963" s="74">
        <f t="shared" si="428"/>
        <v>6</v>
      </c>
      <c r="E963" s="75">
        <f t="shared" si="429"/>
        <v>54</v>
      </c>
      <c r="F963" s="79"/>
      <c r="G963" s="82"/>
      <c r="H963" s="68" t="str">
        <f t="shared" si="446"/>
        <v>Hyprev6_20201203_06_00</v>
      </c>
      <c r="I963" s="69">
        <f t="shared" si="450"/>
        <v>1</v>
      </c>
      <c r="J963" s="76" t="str">
        <f t="shared" si="450"/>
        <v>Hypericum</v>
      </c>
      <c r="K963" s="76" t="str">
        <f t="shared" si="450"/>
        <v>revolutum</v>
      </c>
      <c r="L963" s="77">
        <f t="shared" si="450"/>
        <v>6</v>
      </c>
      <c r="M963" s="77">
        <f t="shared" si="450"/>
        <v>1</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Dec</v>
      </c>
      <c r="C964" s="73">
        <f t="shared" si="445"/>
        <v>3</v>
      </c>
      <c r="D964" s="74">
        <f t="shared" ref="D964:D1027" si="458">IF(IF(E963=59,D963+1,D963)=24,0,IF(E963=59,D963+1,D963))</f>
        <v>6</v>
      </c>
      <c r="E964" s="75">
        <f t="shared" ref="E964:E1027" si="459">IF(E963&lt;59,E963+1,0)</f>
        <v>55</v>
      </c>
      <c r="F964" s="79"/>
      <c r="G964" s="82"/>
      <c r="H964" s="68" t="str">
        <f t="shared" si="446"/>
        <v>Hyprev6_20201203_06_00</v>
      </c>
      <c r="I964" s="69">
        <f t="shared" si="450"/>
        <v>1</v>
      </c>
      <c r="J964" s="76" t="str">
        <f t="shared" si="450"/>
        <v>Hypericum</v>
      </c>
      <c r="K964" s="76" t="str">
        <f t="shared" si="450"/>
        <v>revolutum</v>
      </c>
      <c r="L964" s="77">
        <f t="shared" si="450"/>
        <v>6</v>
      </c>
      <c r="M964" s="77">
        <f t="shared" si="450"/>
        <v>1</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Dec</v>
      </c>
      <c r="C965" s="73">
        <f t="shared" ref="C965:C1028" si="475">IF(AND(D965=0, E965=0), IF(TEXT(C964,"dd")=TEXT(EOMONTH(DATE(A964,MONTH(DATEVALUE(B964&amp;"1")),C964),0), "dd"), 1, C964+1), C964)</f>
        <v>3</v>
      </c>
      <c r="D965" s="74">
        <f t="shared" si="458"/>
        <v>6</v>
      </c>
      <c r="E965" s="75">
        <f t="shared" si="459"/>
        <v>56</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Hyprev6_20201203_06_00</v>
      </c>
      <c r="I965" s="69">
        <f t="shared" ref="I965:N980" si="477">I964</f>
        <v>1</v>
      </c>
      <c r="J965" s="76" t="str">
        <f t="shared" si="477"/>
        <v>Hypericum</v>
      </c>
      <c r="K965" s="76" t="str">
        <f t="shared" si="477"/>
        <v>revolutum</v>
      </c>
      <c r="L965" s="77">
        <f t="shared" si="477"/>
        <v>6</v>
      </c>
      <c r="M965" s="77">
        <f t="shared" si="477"/>
        <v>1</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Dec</v>
      </c>
      <c r="C966" s="73">
        <f t="shared" si="475"/>
        <v>3</v>
      </c>
      <c r="D966" s="74">
        <f t="shared" si="458"/>
        <v>6</v>
      </c>
      <c r="E966" s="75">
        <f t="shared" si="459"/>
        <v>57</v>
      </c>
      <c r="F966" s="79"/>
      <c r="G966" s="82"/>
      <c r="H966" s="68" t="str">
        <f t="shared" si="476"/>
        <v>Hyprev6_20201203_06_00</v>
      </c>
      <c r="I966" s="69">
        <f t="shared" si="477"/>
        <v>1</v>
      </c>
      <c r="J966" s="76" t="str">
        <f t="shared" si="477"/>
        <v>Hypericum</v>
      </c>
      <c r="K966" s="76" t="str">
        <f t="shared" si="477"/>
        <v>revolutum</v>
      </c>
      <c r="L966" s="77">
        <f t="shared" si="477"/>
        <v>6</v>
      </c>
      <c r="M966" s="77">
        <f t="shared" si="477"/>
        <v>1</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Dec</v>
      </c>
      <c r="C967" s="73">
        <f t="shared" si="475"/>
        <v>3</v>
      </c>
      <c r="D967" s="74">
        <f t="shared" si="458"/>
        <v>6</v>
      </c>
      <c r="E967" s="75">
        <f t="shared" si="459"/>
        <v>58</v>
      </c>
      <c r="F967" s="79"/>
      <c r="G967" s="82"/>
      <c r="H967" s="68" t="str">
        <f t="shared" si="476"/>
        <v>Hyprev6_20201203_06_00</v>
      </c>
      <c r="I967" s="69">
        <f t="shared" si="477"/>
        <v>1</v>
      </c>
      <c r="J967" s="76" t="str">
        <f t="shared" si="477"/>
        <v>Hypericum</v>
      </c>
      <c r="K967" s="76" t="str">
        <f t="shared" si="477"/>
        <v>revolutum</v>
      </c>
      <c r="L967" s="77">
        <f t="shared" si="477"/>
        <v>6</v>
      </c>
      <c r="M967" s="77">
        <f t="shared" si="477"/>
        <v>1</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Dec</v>
      </c>
      <c r="C968" s="73">
        <f t="shared" si="475"/>
        <v>3</v>
      </c>
      <c r="D968" s="74">
        <f t="shared" si="458"/>
        <v>6</v>
      </c>
      <c r="E968" s="75">
        <f t="shared" si="459"/>
        <v>59</v>
      </c>
      <c r="F968" s="79"/>
      <c r="G968" s="82"/>
      <c r="H968" s="68" t="str">
        <f t="shared" si="476"/>
        <v>Hyprev6_20201203_06_00</v>
      </c>
      <c r="I968" s="69">
        <f t="shared" si="477"/>
        <v>1</v>
      </c>
      <c r="J968" s="76" t="str">
        <f t="shared" si="477"/>
        <v>Hypericum</v>
      </c>
      <c r="K968" s="76" t="str">
        <f t="shared" si="477"/>
        <v>revolutum</v>
      </c>
      <c r="L968" s="77">
        <f t="shared" si="477"/>
        <v>6</v>
      </c>
      <c r="M968" s="77">
        <f t="shared" si="477"/>
        <v>1</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Dec</v>
      </c>
      <c r="C969" s="73">
        <f t="shared" si="475"/>
        <v>3</v>
      </c>
      <c r="D969" s="74">
        <f t="shared" si="458"/>
        <v>7</v>
      </c>
      <c r="E969" s="75">
        <f t="shared" si="459"/>
        <v>0</v>
      </c>
      <c r="F969" s="79"/>
      <c r="G969" s="82"/>
      <c r="H969" s="68" t="str">
        <f t="shared" si="476"/>
        <v>Hyprev6_20201203_07_00</v>
      </c>
      <c r="I969" s="69">
        <f t="shared" si="477"/>
        <v>1</v>
      </c>
      <c r="J969" s="76" t="str">
        <f t="shared" si="477"/>
        <v>Hypericum</v>
      </c>
      <c r="K969" s="76" t="str">
        <f t="shared" si="477"/>
        <v>revolutum</v>
      </c>
      <c r="L969" s="77">
        <f t="shared" si="477"/>
        <v>6</v>
      </c>
      <c r="M969" s="77">
        <f t="shared" si="477"/>
        <v>1</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Dec</v>
      </c>
      <c r="C970" s="73">
        <f t="shared" si="475"/>
        <v>3</v>
      </c>
      <c r="D970" s="74">
        <f t="shared" si="458"/>
        <v>7</v>
      </c>
      <c r="E970" s="75">
        <f t="shared" si="459"/>
        <v>1</v>
      </c>
      <c r="F970" s="79"/>
      <c r="G970" s="82"/>
      <c r="H970" s="68" t="str">
        <f t="shared" si="476"/>
        <v>Hyprev6_20201203_07_00</v>
      </c>
      <c r="I970" s="69">
        <f t="shared" si="477"/>
        <v>1</v>
      </c>
      <c r="J970" s="76" t="str">
        <f t="shared" si="477"/>
        <v>Hypericum</v>
      </c>
      <c r="K970" s="76" t="str">
        <f t="shared" si="477"/>
        <v>revolutum</v>
      </c>
      <c r="L970" s="77">
        <f t="shared" si="477"/>
        <v>6</v>
      </c>
      <c r="M970" s="77">
        <f t="shared" si="477"/>
        <v>1</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Dec</v>
      </c>
      <c r="C971" s="73">
        <f t="shared" si="475"/>
        <v>3</v>
      </c>
      <c r="D971" s="74">
        <f t="shared" si="458"/>
        <v>7</v>
      </c>
      <c r="E971" s="75">
        <f t="shared" si="459"/>
        <v>2</v>
      </c>
      <c r="F971" s="79"/>
      <c r="G971" s="82"/>
      <c r="H971" s="68" t="str">
        <f t="shared" si="476"/>
        <v>Hyprev6_20201203_07_00</v>
      </c>
      <c r="I971" s="69">
        <f t="shared" si="477"/>
        <v>1</v>
      </c>
      <c r="J971" s="76" t="str">
        <f t="shared" si="477"/>
        <v>Hypericum</v>
      </c>
      <c r="K971" s="76" t="str">
        <f t="shared" si="477"/>
        <v>revolutum</v>
      </c>
      <c r="L971" s="77">
        <f t="shared" si="477"/>
        <v>6</v>
      </c>
      <c r="M971" s="77">
        <f t="shared" si="477"/>
        <v>1</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Dec</v>
      </c>
      <c r="C972" s="73">
        <f t="shared" si="475"/>
        <v>3</v>
      </c>
      <c r="D972" s="74">
        <f t="shared" si="458"/>
        <v>7</v>
      </c>
      <c r="E972" s="75">
        <f t="shared" si="459"/>
        <v>3</v>
      </c>
      <c r="F972" s="79"/>
      <c r="G972" s="82"/>
      <c r="H972" s="68" t="str">
        <f t="shared" si="476"/>
        <v>Hyprev6_20201203_07_00</v>
      </c>
      <c r="I972" s="69">
        <f t="shared" si="477"/>
        <v>1</v>
      </c>
      <c r="J972" s="76" t="str">
        <f t="shared" si="477"/>
        <v>Hypericum</v>
      </c>
      <c r="K972" s="76" t="str">
        <f t="shared" si="477"/>
        <v>revolutum</v>
      </c>
      <c r="L972" s="77">
        <f t="shared" si="477"/>
        <v>6</v>
      </c>
      <c r="M972" s="77">
        <f t="shared" si="477"/>
        <v>1</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Dec</v>
      </c>
      <c r="C973" s="73">
        <f t="shared" si="475"/>
        <v>3</v>
      </c>
      <c r="D973" s="74">
        <f t="shared" si="458"/>
        <v>7</v>
      </c>
      <c r="E973" s="75">
        <f t="shared" si="459"/>
        <v>4</v>
      </c>
      <c r="F973" s="79"/>
      <c r="G973" s="82"/>
      <c r="H973" s="68" t="str">
        <f t="shared" si="476"/>
        <v>Hyprev6_20201203_07_00</v>
      </c>
      <c r="I973" s="69">
        <f t="shared" si="477"/>
        <v>1</v>
      </c>
      <c r="J973" s="76" t="str">
        <f t="shared" si="477"/>
        <v>Hypericum</v>
      </c>
      <c r="K973" s="76" t="str">
        <f t="shared" si="477"/>
        <v>revolutum</v>
      </c>
      <c r="L973" s="77">
        <f t="shared" si="477"/>
        <v>6</v>
      </c>
      <c r="M973" s="77">
        <f t="shared" si="477"/>
        <v>1</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Dec</v>
      </c>
      <c r="C974" s="73">
        <f t="shared" si="475"/>
        <v>3</v>
      </c>
      <c r="D974" s="74">
        <f t="shared" si="458"/>
        <v>7</v>
      </c>
      <c r="E974" s="75">
        <f t="shared" si="459"/>
        <v>5</v>
      </c>
      <c r="F974" s="79"/>
      <c r="G974" s="82"/>
      <c r="H974" s="68" t="str">
        <f t="shared" si="476"/>
        <v>Hyprev6_20201203_07_00</v>
      </c>
      <c r="I974" s="69">
        <f t="shared" si="477"/>
        <v>1</v>
      </c>
      <c r="J974" s="76" t="str">
        <f t="shared" si="477"/>
        <v>Hypericum</v>
      </c>
      <c r="K974" s="76" t="str">
        <f t="shared" si="477"/>
        <v>revolutum</v>
      </c>
      <c r="L974" s="77">
        <f t="shared" si="477"/>
        <v>6</v>
      </c>
      <c r="M974" s="77">
        <f t="shared" si="477"/>
        <v>1</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Dec</v>
      </c>
      <c r="C975" s="73">
        <f t="shared" si="475"/>
        <v>3</v>
      </c>
      <c r="D975" s="74">
        <f t="shared" si="458"/>
        <v>7</v>
      </c>
      <c r="E975" s="75">
        <f t="shared" si="459"/>
        <v>6</v>
      </c>
      <c r="F975" s="79"/>
      <c r="G975" s="82"/>
      <c r="H975" s="68" t="str">
        <f t="shared" si="476"/>
        <v>Hyprev6_20201203_07_00</v>
      </c>
      <c r="I975" s="69">
        <f t="shared" si="477"/>
        <v>1</v>
      </c>
      <c r="J975" s="76" t="str">
        <f t="shared" si="477"/>
        <v>Hypericum</v>
      </c>
      <c r="K975" s="76" t="str">
        <f t="shared" si="477"/>
        <v>revolutum</v>
      </c>
      <c r="L975" s="77">
        <f t="shared" si="477"/>
        <v>6</v>
      </c>
      <c r="M975" s="77">
        <f t="shared" si="477"/>
        <v>1</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Dec</v>
      </c>
      <c r="C976" s="73">
        <f t="shared" si="475"/>
        <v>3</v>
      </c>
      <c r="D976" s="74">
        <f t="shared" si="458"/>
        <v>7</v>
      </c>
      <c r="E976" s="75">
        <f t="shared" si="459"/>
        <v>7</v>
      </c>
      <c r="F976" s="79"/>
      <c r="G976" s="82"/>
      <c r="H976" s="68" t="str">
        <f t="shared" si="476"/>
        <v>Hyprev6_20201203_07_00</v>
      </c>
      <c r="I976" s="69">
        <f t="shared" si="477"/>
        <v>1</v>
      </c>
      <c r="J976" s="76" t="str">
        <f t="shared" si="477"/>
        <v>Hypericum</v>
      </c>
      <c r="K976" s="76" t="str">
        <f t="shared" si="477"/>
        <v>revolutum</v>
      </c>
      <c r="L976" s="77">
        <f t="shared" si="477"/>
        <v>6</v>
      </c>
      <c r="M976" s="77">
        <f t="shared" si="477"/>
        <v>1</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Dec</v>
      </c>
      <c r="C977" s="73">
        <f t="shared" si="475"/>
        <v>3</v>
      </c>
      <c r="D977" s="74">
        <f t="shared" si="458"/>
        <v>7</v>
      </c>
      <c r="E977" s="75">
        <f t="shared" si="459"/>
        <v>8</v>
      </c>
      <c r="F977" s="79"/>
      <c r="G977" s="82"/>
      <c r="H977" s="68" t="str">
        <f t="shared" si="476"/>
        <v>Hyprev6_20201203_07_00</v>
      </c>
      <c r="I977" s="69">
        <f t="shared" si="477"/>
        <v>1</v>
      </c>
      <c r="J977" s="76" t="str">
        <f t="shared" si="477"/>
        <v>Hypericum</v>
      </c>
      <c r="K977" s="76" t="str">
        <f t="shared" si="477"/>
        <v>revolutum</v>
      </c>
      <c r="L977" s="77">
        <f t="shared" si="477"/>
        <v>6</v>
      </c>
      <c r="M977" s="77">
        <f t="shared" si="477"/>
        <v>1</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Dec</v>
      </c>
      <c r="C978" s="73">
        <f t="shared" si="475"/>
        <v>3</v>
      </c>
      <c r="D978" s="74">
        <f t="shared" si="458"/>
        <v>7</v>
      </c>
      <c r="E978" s="75">
        <f t="shared" si="459"/>
        <v>9</v>
      </c>
      <c r="F978" s="79"/>
      <c r="G978" s="82"/>
      <c r="H978" s="68" t="str">
        <f t="shared" si="476"/>
        <v>Hyprev6_20201203_07_00</v>
      </c>
      <c r="I978" s="69">
        <f t="shared" si="477"/>
        <v>1</v>
      </c>
      <c r="J978" s="76" t="str">
        <f t="shared" si="477"/>
        <v>Hypericum</v>
      </c>
      <c r="K978" s="76" t="str">
        <f t="shared" si="477"/>
        <v>revolutum</v>
      </c>
      <c r="L978" s="77">
        <f t="shared" si="477"/>
        <v>6</v>
      </c>
      <c r="M978" s="77">
        <f t="shared" si="477"/>
        <v>1</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Dec</v>
      </c>
      <c r="C979" s="73">
        <f t="shared" si="475"/>
        <v>3</v>
      </c>
      <c r="D979" s="74">
        <f t="shared" si="458"/>
        <v>7</v>
      </c>
      <c r="E979" s="75">
        <f t="shared" si="459"/>
        <v>10</v>
      </c>
      <c r="F979" s="79"/>
      <c r="G979" s="82"/>
      <c r="H979" s="68" t="str">
        <f t="shared" si="476"/>
        <v>Hyprev6_20201203_07_00</v>
      </c>
      <c r="I979" s="69">
        <f t="shared" si="477"/>
        <v>1</v>
      </c>
      <c r="J979" s="76" t="str">
        <f t="shared" si="477"/>
        <v>Hypericum</v>
      </c>
      <c r="K979" s="76" t="str">
        <f t="shared" si="477"/>
        <v>revolutum</v>
      </c>
      <c r="L979" s="77">
        <f t="shared" si="477"/>
        <v>6</v>
      </c>
      <c r="M979" s="77">
        <f t="shared" si="477"/>
        <v>1</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Dec</v>
      </c>
      <c r="C980" s="73">
        <f t="shared" si="475"/>
        <v>3</v>
      </c>
      <c r="D980" s="74">
        <f t="shared" si="458"/>
        <v>7</v>
      </c>
      <c r="E980" s="75">
        <f t="shared" si="459"/>
        <v>11</v>
      </c>
      <c r="F980" s="79"/>
      <c r="G980" s="82"/>
      <c r="H980" s="68" t="str">
        <f t="shared" si="476"/>
        <v>Hyprev6_20201203_07_00</v>
      </c>
      <c r="I980" s="69">
        <f t="shared" si="477"/>
        <v>1</v>
      </c>
      <c r="J980" s="76" t="str">
        <f t="shared" si="477"/>
        <v>Hypericum</v>
      </c>
      <c r="K980" s="76" t="str">
        <f t="shared" si="477"/>
        <v>revolutum</v>
      </c>
      <c r="L980" s="77">
        <f t="shared" si="477"/>
        <v>6</v>
      </c>
      <c r="M980" s="77">
        <f t="shared" si="477"/>
        <v>1</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Dec</v>
      </c>
      <c r="C981" s="73">
        <f t="shared" si="475"/>
        <v>3</v>
      </c>
      <c r="D981" s="74">
        <f t="shared" si="458"/>
        <v>7</v>
      </c>
      <c r="E981" s="75">
        <f t="shared" si="459"/>
        <v>12</v>
      </c>
      <c r="F981" s="79"/>
      <c r="G981" s="82"/>
      <c r="H981" s="68" t="str">
        <f t="shared" si="476"/>
        <v>Hyprev6_20201203_07_00</v>
      </c>
      <c r="I981" s="69">
        <f t="shared" ref="I981:N996" si="478">I980</f>
        <v>1</v>
      </c>
      <c r="J981" s="76" t="str">
        <f t="shared" si="478"/>
        <v>Hypericum</v>
      </c>
      <c r="K981" s="76" t="str">
        <f t="shared" si="478"/>
        <v>revolutum</v>
      </c>
      <c r="L981" s="77">
        <f t="shared" si="478"/>
        <v>6</v>
      </c>
      <c r="M981" s="77">
        <f t="shared" si="478"/>
        <v>1</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Dec</v>
      </c>
      <c r="C982" s="73">
        <f t="shared" si="475"/>
        <v>3</v>
      </c>
      <c r="D982" s="74">
        <f t="shared" si="458"/>
        <v>7</v>
      </c>
      <c r="E982" s="75">
        <f t="shared" si="459"/>
        <v>13</v>
      </c>
      <c r="F982" s="79"/>
      <c r="G982" s="82"/>
      <c r="H982" s="68" t="str">
        <f t="shared" si="476"/>
        <v>Hyprev6_20201203_07_00</v>
      </c>
      <c r="I982" s="69">
        <f t="shared" si="478"/>
        <v>1</v>
      </c>
      <c r="J982" s="76" t="str">
        <f t="shared" si="478"/>
        <v>Hypericum</v>
      </c>
      <c r="K982" s="76" t="str">
        <f t="shared" si="478"/>
        <v>revolutum</v>
      </c>
      <c r="L982" s="77">
        <f t="shared" si="478"/>
        <v>6</v>
      </c>
      <c r="M982" s="77">
        <f t="shared" si="478"/>
        <v>1</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Dec</v>
      </c>
      <c r="C983" s="73">
        <f t="shared" si="475"/>
        <v>3</v>
      </c>
      <c r="D983" s="74">
        <f t="shared" si="458"/>
        <v>7</v>
      </c>
      <c r="E983" s="75">
        <f t="shared" si="459"/>
        <v>14</v>
      </c>
      <c r="F983" s="79"/>
      <c r="G983" s="82"/>
      <c r="H983" s="68" t="str">
        <f t="shared" si="476"/>
        <v>Hyprev6_20201203_07_00</v>
      </c>
      <c r="I983" s="69">
        <f t="shared" si="478"/>
        <v>1</v>
      </c>
      <c r="J983" s="76" t="str">
        <f t="shared" si="478"/>
        <v>Hypericum</v>
      </c>
      <c r="K983" s="76" t="str">
        <f t="shared" si="478"/>
        <v>revolutum</v>
      </c>
      <c r="L983" s="77">
        <f t="shared" si="478"/>
        <v>6</v>
      </c>
      <c r="M983" s="77">
        <f t="shared" si="478"/>
        <v>1</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Dec</v>
      </c>
      <c r="C984" s="73">
        <f t="shared" si="475"/>
        <v>3</v>
      </c>
      <c r="D984" s="74">
        <f t="shared" si="458"/>
        <v>7</v>
      </c>
      <c r="E984" s="75">
        <f t="shared" si="459"/>
        <v>15</v>
      </c>
      <c r="F984" s="79"/>
      <c r="G984" s="82"/>
      <c r="H984" s="68" t="str">
        <f t="shared" si="476"/>
        <v>Hyprev6_20201203_07_00</v>
      </c>
      <c r="I984" s="69">
        <f t="shared" si="478"/>
        <v>1</v>
      </c>
      <c r="J984" s="76" t="str">
        <f t="shared" si="478"/>
        <v>Hypericum</v>
      </c>
      <c r="K984" s="76" t="str">
        <f t="shared" si="478"/>
        <v>revolutum</v>
      </c>
      <c r="L984" s="77">
        <f t="shared" si="478"/>
        <v>6</v>
      </c>
      <c r="M984" s="77">
        <f t="shared" si="478"/>
        <v>1</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Dec</v>
      </c>
      <c r="C985" s="73">
        <f t="shared" si="475"/>
        <v>3</v>
      </c>
      <c r="D985" s="74">
        <f t="shared" si="458"/>
        <v>7</v>
      </c>
      <c r="E985" s="75">
        <f t="shared" si="459"/>
        <v>16</v>
      </c>
      <c r="F985" s="79"/>
      <c r="G985" s="82"/>
      <c r="H985" s="68" t="str">
        <f t="shared" si="476"/>
        <v>Hyprev6_20201203_07_00</v>
      </c>
      <c r="I985" s="69">
        <f t="shared" si="478"/>
        <v>1</v>
      </c>
      <c r="J985" s="76" t="str">
        <f t="shared" si="478"/>
        <v>Hypericum</v>
      </c>
      <c r="K985" s="76" t="str">
        <f t="shared" si="478"/>
        <v>revolutum</v>
      </c>
      <c r="L985" s="77">
        <f t="shared" si="478"/>
        <v>6</v>
      </c>
      <c r="M985" s="77">
        <f t="shared" si="478"/>
        <v>1</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Dec</v>
      </c>
      <c r="C986" s="73">
        <f t="shared" si="475"/>
        <v>3</v>
      </c>
      <c r="D986" s="74">
        <f t="shared" si="458"/>
        <v>7</v>
      </c>
      <c r="E986" s="75">
        <f t="shared" si="459"/>
        <v>17</v>
      </c>
      <c r="F986" s="79"/>
      <c r="G986" s="82"/>
      <c r="H986" s="68" t="str">
        <f t="shared" si="476"/>
        <v>Hyprev6_20201203_07_00</v>
      </c>
      <c r="I986" s="69">
        <f t="shared" si="478"/>
        <v>1</v>
      </c>
      <c r="J986" s="76" t="str">
        <f t="shared" si="478"/>
        <v>Hypericum</v>
      </c>
      <c r="K986" s="76" t="str">
        <f t="shared" si="478"/>
        <v>revolutum</v>
      </c>
      <c r="L986" s="77">
        <f t="shared" si="478"/>
        <v>6</v>
      </c>
      <c r="M986" s="77">
        <f t="shared" si="478"/>
        <v>1</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Dec</v>
      </c>
      <c r="C987" s="73">
        <f t="shared" si="475"/>
        <v>3</v>
      </c>
      <c r="D987" s="74">
        <f t="shared" si="458"/>
        <v>7</v>
      </c>
      <c r="E987" s="75">
        <f t="shared" si="459"/>
        <v>18</v>
      </c>
      <c r="F987" s="79"/>
      <c r="G987" s="82"/>
      <c r="H987" s="68" t="str">
        <f t="shared" si="476"/>
        <v>Hyprev6_20201203_07_00</v>
      </c>
      <c r="I987" s="69">
        <f t="shared" si="478"/>
        <v>1</v>
      </c>
      <c r="J987" s="76" t="str">
        <f t="shared" si="478"/>
        <v>Hypericum</v>
      </c>
      <c r="K987" s="76" t="str">
        <f t="shared" si="478"/>
        <v>revolutum</v>
      </c>
      <c r="L987" s="77">
        <f t="shared" si="478"/>
        <v>6</v>
      </c>
      <c r="M987" s="77">
        <f t="shared" si="478"/>
        <v>1</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Dec</v>
      </c>
      <c r="C988" s="73">
        <f t="shared" si="475"/>
        <v>3</v>
      </c>
      <c r="D988" s="74">
        <f t="shared" si="458"/>
        <v>7</v>
      </c>
      <c r="E988" s="75">
        <f t="shared" si="459"/>
        <v>19</v>
      </c>
      <c r="F988" s="79"/>
      <c r="G988" s="82"/>
      <c r="H988" s="68" t="str">
        <f t="shared" si="476"/>
        <v>Hyprev6_20201203_07_00</v>
      </c>
      <c r="I988" s="69">
        <f t="shared" si="478"/>
        <v>1</v>
      </c>
      <c r="J988" s="76" t="str">
        <f t="shared" si="478"/>
        <v>Hypericum</v>
      </c>
      <c r="K988" s="76" t="str">
        <f t="shared" si="478"/>
        <v>revolutum</v>
      </c>
      <c r="L988" s="77">
        <f t="shared" si="478"/>
        <v>6</v>
      </c>
      <c r="M988" s="77">
        <f t="shared" si="478"/>
        <v>1</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Dec</v>
      </c>
      <c r="C989" s="73">
        <f t="shared" si="475"/>
        <v>3</v>
      </c>
      <c r="D989" s="74">
        <f t="shared" si="458"/>
        <v>7</v>
      </c>
      <c r="E989" s="75">
        <f t="shared" si="459"/>
        <v>20</v>
      </c>
      <c r="F989" s="79"/>
      <c r="G989" s="82"/>
      <c r="H989" s="68" t="str">
        <f t="shared" si="476"/>
        <v>Hyprev6_20201203_07_00</v>
      </c>
      <c r="I989" s="69">
        <f t="shared" si="478"/>
        <v>1</v>
      </c>
      <c r="J989" s="76" t="str">
        <f t="shared" si="478"/>
        <v>Hypericum</v>
      </c>
      <c r="K989" s="76" t="str">
        <f t="shared" si="478"/>
        <v>revolutum</v>
      </c>
      <c r="L989" s="77">
        <f t="shared" si="478"/>
        <v>6</v>
      </c>
      <c r="M989" s="77">
        <f t="shared" si="478"/>
        <v>1</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Dec</v>
      </c>
      <c r="C990" s="73">
        <f t="shared" si="475"/>
        <v>3</v>
      </c>
      <c r="D990" s="74">
        <f t="shared" si="458"/>
        <v>7</v>
      </c>
      <c r="E990" s="75">
        <f t="shared" si="459"/>
        <v>21</v>
      </c>
      <c r="F990" s="79"/>
      <c r="G990" s="82"/>
      <c r="H990" s="68" t="str">
        <f t="shared" si="476"/>
        <v>Hyprev6_20201203_07_00</v>
      </c>
      <c r="I990" s="69">
        <f t="shared" si="478"/>
        <v>1</v>
      </c>
      <c r="J990" s="76" t="str">
        <f t="shared" si="478"/>
        <v>Hypericum</v>
      </c>
      <c r="K990" s="76" t="str">
        <f t="shared" si="478"/>
        <v>revolutum</v>
      </c>
      <c r="L990" s="77">
        <f t="shared" si="478"/>
        <v>6</v>
      </c>
      <c r="M990" s="77">
        <f t="shared" si="478"/>
        <v>1</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Dec</v>
      </c>
      <c r="C991" s="73">
        <f t="shared" si="475"/>
        <v>3</v>
      </c>
      <c r="D991" s="74">
        <f t="shared" si="458"/>
        <v>7</v>
      </c>
      <c r="E991" s="75">
        <f t="shared" si="459"/>
        <v>22</v>
      </c>
      <c r="F991" s="79"/>
      <c r="G991" s="82"/>
      <c r="H991" s="68" t="str">
        <f t="shared" si="476"/>
        <v>Hyprev6_20201203_07_00</v>
      </c>
      <c r="I991" s="69">
        <f t="shared" si="478"/>
        <v>1</v>
      </c>
      <c r="J991" s="76" t="str">
        <f t="shared" si="478"/>
        <v>Hypericum</v>
      </c>
      <c r="K991" s="76" t="str">
        <f t="shared" si="478"/>
        <v>revolutum</v>
      </c>
      <c r="L991" s="77">
        <f t="shared" si="478"/>
        <v>6</v>
      </c>
      <c r="M991" s="77">
        <f t="shared" si="478"/>
        <v>1</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Dec</v>
      </c>
      <c r="C992" s="73">
        <f t="shared" si="475"/>
        <v>3</v>
      </c>
      <c r="D992" s="74">
        <f t="shared" si="458"/>
        <v>7</v>
      </c>
      <c r="E992" s="75">
        <f t="shared" si="459"/>
        <v>23</v>
      </c>
      <c r="F992" s="79"/>
      <c r="G992" s="82"/>
      <c r="H992" s="68" t="str">
        <f t="shared" si="476"/>
        <v>Hyprev6_20201203_07_00</v>
      </c>
      <c r="I992" s="69">
        <f t="shared" si="478"/>
        <v>1</v>
      </c>
      <c r="J992" s="76" t="str">
        <f t="shared" si="478"/>
        <v>Hypericum</v>
      </c>
      <c r="K992" s="76" t="str">
        <f t="shared" si="478"/>
        <v>revolutum</v>
      </c>
      <c r="L992" s="77">
        <f t="shared" si="478"/>
        <v>6</v>
      </c>
      <c r="M992" s="77">
        <f t="shared" si="478"/>
        <v>1</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Dec</v>
      </c>
      <c r="C993" s="73">
        <f t="shared" si="475"/>
        <v>3</v>
      </c>
      <c r="D993" s="74">
        <f t="shared" si="458"/>
        <v>7</v>
      </c>
      <c r="E993" s="75">
        <f t="shared" si="459"/>
        <v>24</v>
      </c>
      <c r="F993" s="79"/>
      <c r="G993" s="82"/>
      <c r="H993" s="68" t="str">
        <f t="shared" si="476"/>
        <v>Hyprev6_20201203_07_00</v>
      </c>
      <c r="I993" s="69">
        <f t="shared" si="478"/>
        <v>1</v>
      </c>
      <c r="J993" s="76" t="str">
        <f t="shared" si="478"/>
        <v>Hypericum</v>
      </c>
      <c r="K993" s="76" t="str">
        <f t="shared" si="478"/>
        <v>revolutum</v>
      </c>
      <c r="L993" s="77">
        <f t="shared" si="478"/>
        <v>6</v>
      </c>
      <c r="M993" s="77">
        <f t="shared" si="478"/>
        <v>1</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Dec</v>
      </c>
      <c r="C994" s="73">
        <f t="shared" si="475"/>
        <v>3</v>
      </c>
      <c r="D994" s="74">
        <f t="shared" si="458"/>
        <v>7</v>
      </c>
      <c r="E994" s="75">
        <f t="shared" si="459"/>
        <v>25</v>
      </c>
      <c r="F994" s="79"/>
      <c r="G994" s="82"/>
      <c r="H994" s="68" t="str">
        <f t="shared" si="476"/>
        <v>Hyprev6_20201203_07_00</v>
      </c>
      <c r="I994" s="69">
        <f t="shared" si="478"/>
        <v>1</v>
      </c>
      <c r="J994" s="76" t="str">
        <f t="shared" si="478"/>
        <v>Hypericum</v>
      </c>
      <c r="K994" s="76" t="str">
        <f t="shared" si="478"/>
        <v>revolutum</v>
      </c>
      <c r="L994" s="77">
        <f t="shared" si="478"/>
        <v>6</v>
      </c>
      <c r="M994" s="77">
        <f t="shared" si="478"/>
        <v>1</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Dec</v>
      </c>
      <c r="C995" s="73">
        <f t="shared" si="475"/>
        <v>3</v>
      </c>
      <c r="D995" s="74">
        <f t="shared" si="458"/>
        <v>7</v>
      </c>
      <c r="E995" s="75">
        <f t="shared" si="459"/>
        <v>26</v>
      </c>
      <c r="F995" s="79"/>
      <c r="G995" s="82"/>
      <c r="H995" s="68" t="str">
        <f t="shared" si="476"/>
        <v>Hyprev6_20201203_07_00</v>
      </c>
      <c r="I995" s="69">
        <f t="shared" si="478"/>
        <v>1</v>
      </c>
      <c r="J995" s="76" t="str">
        <f t="shared" si="478"/>
        <v>Hypericum</v>
      </c>
      <c r="K995" s="76" t="str">
        <f t="shared" si="478"/>
        <v>revolutum</v>
      </c>
      <c r="L995" s="77">
        <f t="shared" si="478"/>
        <v>6</v>
      </c>
      <c r="M995" s="77">
        <f t="shared" si="478"/>
        <v>1</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Dec</v>
      </c>
      <c r="C996" s="73">
        <f t="shared" si="475"/>
        <v>3</v>
      </c>
      <c r="D996" s="74">
        <f t="shared" si="458"/>
        <v>7</v>
      </c>
      <c r="E996" s="75">
        <f t="shared" si="459"/>
        <v>27</v>
      </c>
      <c r="F996" s="79"/>
      <c r="G996" s="82"/>
      <c r="H996" s="68" t="str">
        <f t="shared" si="476"/>
        <v>Hyprev6_20201203_07_00</v>
      </c>
      <c r="I996" s="69">
        <f t="shared" si="478"/>
        <v>1</v>
      </c>
      <c r="J996" s="76" t="str">
        <f t="shared" si="478"/>
        <v>Hypericum</v>
      </c>
      <c r="K996" s="76" t="str">
        <f t="shared" si="478"/>
        <v>revolutum</v>
      </c>
      <c r="L996" s="77">
        <f t="shared" si="478"/>
        <v>6</v>
      </c>
      <c r="M996" s="77">
        <f t="shared" si="478"/>
        <v>1</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Dec</v>
      </c>
      <c r="C997" s="73">
        <f t="shared" si="475"/>
        <v>3</v>
      </c>
      <c r="D997" s="74">
        <f t="shared" si="458"/>
        <v>7</v>
      </c>
      <c r="E997" s="75">
        <f t="shared" si="459"/>
        <v>28</v>
      </c>
      <c r="F997" s="79"/>
      <c r="G997" s="82"/>
      <c r="H997" s="68" t="str">
        <f t="shared" si="476"/>
        <v>Hyprev6_20201203_07_00</v>
      </c>
      <c r="I997" s="69">
        <f t="shared" ref="I997:N1012" si="479">I996</f>
        <v>1</v>
      </c>
      <c r="J997" s="76" t="str">
        <f t="shared" si="479"/>
        <v>Hypericum</v>
      </c>
      <c r="K997" s="76" t="str">
        <f t="shared" si="479"/>
        <v>revolutum</v>
      </c>
      <c r="L997" s="77">
        <f t="shared" si="479"/>
        <v>6</v>
      </c>
      <c r="M997" s="77">
        <f t="shared" si="479"/>
        <v>1</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Dec</v>
      </c>
      <c r="C998" s="73">
        <f t="shared" si="475"/>
        <v>3</v>
      </c>
      <c r="D998" s="74">
        <f t="shared" si="458"/>
        <v>7</v>
      </c>
      <c r="E998" s="75">
        <f t="shared" si="459"/>
        <v>29</v>
      </c>
      <c r="F998" s="79"/>
      <c r="G998" s="82"/>
      <c r="H998" s="68" t="str">
        <f t="shared" si="476"/>
        <v>Hyprev6_20201203_07_00</v>
      </c>
      <c r="I998" s="69">
        <f t="shared" si="479"/>
        <v>1</v>
      </c>
      <c r="J998" s="76" t="str">
        <f t="shared" si="479"/>
        <v>Hypericum</v>
      </c>
      <c r="K998" s="76" t="str">
        <f t="shared" si="479"/>
        <v>revolutum</v>
      </c>
      <c r="L998" s="77">
        <f t="shared" si="479"/>
        <v>6</v>
      </c>
      <c r="M998" s="77">
        <f t="shared" si="479"/>
        <v>1</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Dec</v>
      </c>
      <c r="C999" s="73">
        <f t="shared" si="475"/>
        <v>3</v>
      </c>
      <c r="D999" s="74">
        <f t="shared" si="458"/>
        <v>7</v>
      </c>
      <c r="E999" s="75">
        <f t="shared" si="459"/>
        <v>30</v>
      </c>
      <c r="F999" s="79"/>
      <c r="G999" s="82"/>
      <c r="H999" s="68" t="str">
        <f t="shared" si="476"/>
        <v>Hyprev6_20201203_07_00</v>
      </c>
      <c r="I999" s="69">
        <f t="shared" si="479"/>
        <v>1</v>
      </c>
      <c r="J999" s="76" t="str">
        <f t="shared" si="479"/>
        <v>Hypericum</v>
      </c>
      <c r="K999" s="76" t="str">
        <f t="shared" si="479"/>
        <v>revolutum</v>
      </c>
      <c r="L999" s="77">
        <f t="shared" si="479"/>
        <v>6</v>
      </c>
      <c r="M999" s="77">
        <f t="shared" si="479"/>
        <v>1</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Dec</v>
      </c>
      <c r="C1000" s="73">
        <f t="shared" si="475"/>
        <v>3</v>
      </c>
      <c r="D1000" s="74">
        <f t="shared" si="458"/>
        <v>7</v>
      </c>
      <c r="E1000" s="75">
        <f t="shared" si="459"/>
        <v>31</v>
      </c>
      <c r="F1000" s="79"/>
      <c r="G1000" s="82"/>
      <c r="H1000" s="68" t="str">
        <f t="shared" si="476"/>
        <v>Hyprev6_20201203_07_00</v>
      </c>
      <c r="I1000" s="69">
        <f t="shared" si="479"/>
        <v>1</v>
      </c>
      <c r="J1000" s="76" t="str">
        <f t="shared" si="479"/>
        <v>Hypericum</v>
      </c>
      <c r="K1000" s="76" t="str">
        <f t="shared" si="479"/>
        <v>revolutum</v>
      </c>
      <c r="L1000" s="77">
        <f t="shared" si="479"/>
        <v>6</v>
      </c>
      <c r="M1000" s="77">
        <f t="shared" si="479"/>
        <v>1</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Dec</v>
      </c>
      <c r="C1001" s="73">
        <f t="shared" si="475"/>
        <v>3</v>
      </c>
      <c r="D1001" s="74">
        <f t="shared" si="458"/>
        <v>7</v>
      </c>
      <c r="E1001" s="75">
        <f t="shared" si="459"/>
        <v>32</v>
      </c>
      <c r="F1001" s="79"/>
      <c r="G1001" s="82"/>
      <c r="H1001" s="68" t="str">
        <f t="shared" si="476"/>
        <v>Hyprev6_20201203_07_00</v>
      </c>
      <c r="I1001" s="69">
        <f t="shared" si="479"/>
        <v>1</v>
      </c>
      <c r="J1001" s="76" t="str">
        <f t="shared" si="479"/>
        <v>Hypericum</v>
      </c>
      <c r="K1001" s="76" t="str">
        <f t="shared" si="479"/>
        <v>revolutum</v>
      </c>
      <c r="L1001" s="77">
        <f t="shared" si="479"/>
        <v>6</v>
      </c>
      <c r="M1001" s="77">
        <f t="shared" si="479"/>
        <v>1</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Dec</v>
      </c>
      <c r="C1002" s="73">
        <f t="shared" si="475"/>
        <v>3</v>
      </c>
      <c r="D1002" s="74">
        <f t="shared" si="458"/>
        <v>7</v>
      </c>
      <c r="E1002" s="75">
        <f t="shared" si="459"/>
        <v>33</v>
      </c>
      <c r="F1002" s="79"/>
      <c r="G1002" s="82"/>
      <c r="H1002" s="68" t="str">
        <f t="shared" si="476"/>
        <v>Hyprev6_20201203_07_00</v>
      </c>
      <c r="I1002" s="69">
        <f t="shared" si="479"/>
        <v>1</v>
      </c>
      <c r="J1002" s="76" t="str">
        <f t="shared" si="479"/>
        <v>Hypericum</v>
      </c>
      <c r="K1002" s="76" t="str">
        <f t="shared" si="479"/>
        <v>revolutum</v>
      </c>
      <c r="L1002" s="77">
        <f t="shared" si="479"/>
        <v>6</v>
      </c>
      <c r="M1002" s="77">
        <f t="shared" si="479"/>
        <v>1</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Dec</v>
      </c>
      <c r="C1003" s="73">
        <f t="shared" si="475"/>
        <v>3</v>
      </c>
      <c r="D1003" s="74">
        <f t="shared" si="458"/>
        <v>7</v>
      </c>
      <c r="E1003" s="75">
        <f t="shared" si="459"/>
        <v>34</v>
      </c>
      <c r="F1003" s="79"/>
      <c r="G1003" s="82"/>
      <c r="H1003" s="68" t="str">
        <f t="shared" si="476"/>
        <v>Hyprev6_20201203_07_00</v>
      </c>
      <c r="I1003" s="69">
        <f t="shared" si="479"/>
        <v>1</v>
      </c>
      <c r="J1003" s="76" t="str">
        <f t="shared" si="479"/>
        <v>Hypericum</v>
      </c>
      <c r="K1003" s="76" t="str">
        <f t="shared" si="479"/>
        <v>revolutum</v>
      </c>
      <c r="L1003" s="77">
        <f t="shared" si="479"/>
        <v>6</v>
      </c>
      <c r="M1003" s="77">
        <f t="shared" si="479"/>
        <v>1</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Dec</v>
      </c>
      <c r="C1004" s="73">
        <f t="shared" si="475"/>
        <v>3</v>
      </c>
      <c r="D1004" s="74">
        <f t="shared" si="458"/>
        <v>7</v>
      </c>
      <c r="E1004" s="75">
        <f t="shared" si="459"/>
        <v>35</v>
      </c>
      <c r="F1004" s="79"/>
      <c r="G1004" s="82"/>
      <c r="H1004" s="68" t="str">
        <f t="shared" si="476"/>
        <v>Hyprev6_20201203_07_00</v>
      </c>
      <c r="I1004" s="69">
        <f t="shared" si="479"/>
        <v>1</v>
      </c>
      <c r="J1004" s="76" t="str">
        <f t="shared" si="479"/>
        <v>Hypericum</v>
      </c>
      <c r="K1004" s="76" t="str">
        <f t="shared" si="479"/>
        <v>revolutum</v>
      </c>
      <c r="L1004" s="77">
        <f t="shared" si="479"/>
        <v>6</v>
      </c>
      <c r="M1004" s="77">
        <f t="shared" si="479"/>
        <v>1</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Dec</v>
      </c>
      <c r="C1005" s="73">
        <f t="shared" si="475"/>
        <v>3</v>
      </c>
      <c r="D1005" s="74">
        <f t="shared" si="458"/>
        <v>7</v>
      </c>
      <c r="E1005" s="75">
        <f t="shared" si="459"/>
        <v>36</v>
      </c>
      <c r="F1005" s="79"/>
      <c r="G1005" s="82"/>
      <c r="H1005" s="68" t="str">
        <f t="shared" si="476"/>
        <v>Hyprev6_20201203_07_00</v>
      </c>
      <c r="I1005" s="69">
        <f t="shared" si="479"/>
        <v>1</v>
      </c>
      <c r="J1005" s="76" t="str">
        <f t="shared" si="479"/>
        <v>Hypericum</v>
      </c>
      <c r="K1005" s="76" t="str">
        <f t="shared" si="479"/>
        <v>revolutum</v>
      </c>
      <c r="L1005" s="77">
        <f t="shared" si="479"/>
        <v>6</v>
      </c>
      <c r="M1005" s="77">
        <f t="shared" si="479"/>
        <v>1</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Dec</v>
      </c>
      <c r="C1006" s="73">
        <f t="shared" si="475"/>
        <v>3</v>
      </c>
      <c r="D1006" s="74">
        <f t="shared" si="458"/>
        <v>7</v>
      </c>
      <c r="E1006" s="75">
        <f t="shared" si="459"/>
        <v>37</v>
      </c>
      <c r="F1006" s="79"/>
      <c r="G1006" s="82"/>
      <c r="H1006" s="68" t="str">
        <f t="shared" si="476"/>
        <v>Hyprev6_20201203_07_00</v>
      </c>
      <c r="I1006" s="69">
        <f t="shared" si="479"/>
        <v>1</v>
      </c>
      <c r="J1006" s="76" t="str">
        <f t="shared" si="479"/>
        <v>Hypericum</v>
      </c>
      <c r="K1006" s="76" t="str">
        <f t="shared" si="479"/>
        <v>revolutum</v>
      </c>
      <c r="L1006" s="77">
        <f t="shared" si="479"/>
        <v>6</v>
      </c>
      <c r="M1006" s="77">
        <f t="shared" si="479"/>
        <v>1</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Dec</v>
      </c>
      <c r="C1007" s="73">
        <f t="shared" si="475"/>
        <v>3</v>
      </c>
      <c r="D1007" s="74">
        <f t="shared" si="458"/>
        <v>7</v>
      </c>
      <c r="E1007" s="75">
        <f t="shared" si="459"/>
        <v>38</v>
      </c>
      <c r="F1007" s="79"/>
      <c r="G1007" s="82"/>
      <c r="H1007" s="68" t="str">
        <f t="shared" si="476"/>
        <v>Hyprev6_20201203_07_00</v>
      </c>
      <c r="I1007" s="69">
        <f t="shared" si="479"/>
        <v>1</v>
      </c>
      <c r="J1007" s="76" t="str">
        <f t="shared" si="479"/>
        <v>Hypericum</v>
      </c>
      <c r="K1007" s="76" t="str">
        <f t="shared" si="479"/>
        <v>revolutum</v>
      </c>
      <c r="L1007" s="77">
        <f t="shared" si="479"/>
        <v>6</v>
      </c>
      <c r="M1007" s="77">
        <f t="shared" si="479"/>
        <v>1</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Dec</v>
      </c>
      <c r="C1008" s="73">
        <f t="shared" si="475"/>
        <v>3</v>
      </c>
      <c r="D1008" s="74">
        <f t="shared" si="458"/>
        <v>7</v>
      </c>
      <c r="E1008" s="75">
        <f t="shared" si="459"/>
        <v>39</v>
      </c>
      <c r="F1008" s="79"/>
      <c r="G1008" s="82"/>
      <c r="H1008" s="68" t="str">
        <f t="shared" si="476"/>
        <v>Hyprev6_20201203_07_00</v>
      </c>
      <c r="I1008" s="69">
        <f t="shared" si="479"/>
        <v>1</v>
      </c>
      <c r="J1008" s="76" t="str">
        <f t="shared" si="479"/>
        <v>Hypericum</v>
      </c>
      <c r="K1008" s="76" t="str">
        <f t="shared" si="479"/>
        <v>revolutum</v>
      </c>
      <c r="L1008" s="77">
        <f t="shared" si="479"/>
        <v>6</v>
      </c>
      <c r="M1008" s="77">
        <f t="shared" si="479"/>
        <v>1</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Dec</v>
      </c>
      <c r="C1009" s="73">
        <f t="shared" si="475"/>
        <v>3</v>
      </c>
      <c r="D1009" s="74">
        <f t="shared" si="458"/>
        <v>7</v>
      </c>
      <c r="E1009" s="75">
        <f t="shared" si="459"/>
        <v>40</v>
      </c>
      <c r="F1009" s="79"/>
      <c r="G1009" s="82"/>
      <c r="H1009" s="68" t="str">
        <f t="shared" si="476"/>
        <v>Hyprev6_20201203_07_00</v>
      </c>
      <c r="I1009" s="69">
        <f t="shared" si="479"/>
        <v>1</v>
      </c>
      <c r="J1009" s="76" t="str">
        <f t="shared" si="479"/>
        <v>Hypericum</v>
      </c>
      <c r="K1009" s="76" t="str">
        <f t="shared" si="479"/>
        <v>revolutum</v>
      </c>
      <c r="L1009" s="77">
        <f t="shared" si="479"/>
        <v>6</v>
      </c>
      <c r="M1009" s="77">
        <f t="shared" si="479"/>
        <v>1</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Dec</v>
      </c>
      <c r="C1010" s="73">
        <f t="shared" si="475"/>
        <v>3</v>
      </c>
      <c r="D1010" s="74">
        <f t="shared" si="458"/>
        <v>7</v>
      </c>
      <c r="E1010" s="75">
        <f t="shared" si="459"/>
        <v>41</v>
      </c>
      <c r="F1010" s="79"/>
      <c r="G1010" s="82"/>
      <c r="H1010" s="68" t="str">
        <f t="shared" si="476"/>
        <v>Hyprev6_20201203_07_00</v>
      </c>
      <c r="I1010" s="69">
        <f t="shared" si="479"/>
        <v>1</v>
      </c>
      <c r="J1010" s="76" t="str">
        <f t="shared" si="479"/>
        <v>Hypericum</v>
      </c>
      <c r="K1010" s="76" t="str">
        <f t="shared" si="479"/>
        <v>revolutum</v>
      </c>
      <c r="L1010" s="77">
        <f t="shared" si="479"/>
        <v>6</v>
      </c>
      <c r="M1010" s="77">
        <f t="shared" si="479"/>
        <v>1</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Dec</v>
      </c>
      <c r="C1011" s="73">
        <f t="shared" si="475"/>
        <v>3</v>
      </c>
      <c r="D1011" s="74">
        <f t="shared" si="458"/>
        <v>7</v>
      </c>
      <c r="E1011" s="75">
        <f t="shared" si="459"/>
        <v>42</v>
      </c>
      <c r="F1011" s="79"/>
      <c r="G1011" s="82"/>
      <c r="H1011" s="68" t="str">
        <f t="shared" si="476"/>
        <v>Hyprev6_20201203_07_00</v>
      </c>
      <c r="I1011" s="69">
        <f t="shared" si="479"/>
        <v>1</v>
      </c>
      <c r="J1011" s="76" t="str">
        <f t="shared" si="479"/>
        <v>Hypericum</v>
      </c>
      <c r="K1011" s="76" t="str">
        <f t="shared" si="479"/>
        <v>revolutum</v>
      </c>
      <c r="L1011" s="77">
        <f t="shared" si="479"/>
        <v>6</v>
      </c>
      <c r="M1011" s="77">
        <f t="shared" si="479"/>
        <v>1</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Dec</v>
      </c>
      <c r="C1012" s="73">
        <f t="shared" si="475"/>
        <v>3</v>
      </c>
      <c r="D1012" s="74">
        <f t="shared" si="458"/>
        <v>7</v>
      </c>
      <c r="E1012" s="75">
        <f t="shared" si="459"/>
        <v>43</v>
      </c>
      <c r="F1012" s="79"/>
      <c r="G1012" s="82"/>
      <c r="H1012" s="68" t="str">
        <f t="shared" si="476"/>
        <v>Hyprev6_20201203_07_00</v>
      </c>
      <c r="I1012" s="69">
        <f t="shared" si="479"/>
        <v>1</v>
      </c>
      <c r="J1012" s="76" t="str">
        <f t="shared" si="479"/>
        <v>Hypericum</v>
      </c>
      <c r="K1012" s="76" t="str">
        <f t="shared" si="479"/>
        <v>revolutum</v>
      </c>
      <c r="L1012" s="77">
        <f t="shared" si="479"/>
        <v>6</v>
      </c>
      <c r="M1012" s="77">
        <f t="shared" si="479"/>
        <v>1</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Dec</v>
      </c>
      <c r="C1013" s="73">
        <f t="shared" si="475"/>
        <v>3</v>
      </c>
      <c r="D1013" s="74">
        <f t="shared" si="458"/>
        <v>7</v>
      </c>
      <c r="E1013" s="75">
        <f t="shared" si="459"/>
        <v>44</v>
      </c>
      <c r="F1013" s="79">
        <v>48</v>
      </c>
      <c r="G1013" s="82"/>
      <c r="H1013" s="68" t="str">
        <f t="shared" si="476"/>
        <v>Hyprev6_20201203_07_00</v>
      </c>
      <c r="I1013" s="69">
        <f t="shared" ref="I1013:N1028" si="480">I1012</f>
        <v>1</v>
      </c>
      <c r="J1013" s="76" t="str">
        <f t="shared" si="480"/>
        <v>Hypericum</v>
      </c>
      <c r="K1013" s="76" t="str">
        <f t="shared" si="480"/>
        <v>revolutum</v>
      </c>
      <c r="L1013" s="77">
        <f t="shared" si="480"/>
        <v>6</v>
      </c>
      <c r="M1013" s="77">
        <f t="shared" si="480"/>
        <v>1</v>
      </c>
      <c r="N1013" s="71">
        <f t="shared" si="480"/>
        <v>0</v>
      </c>
      <c r="O1013" s="44"/>
      <c r="P1013" s="45">
        <f t="shared" si="460"/>
        <v>1</v>
      </c>
      <c r="Q1013" s="46" t="str">
        <f t="shared" si="461"/>
        <v>07:44:48</v>
      </c>
      <c r="R1013" s="47" t="str">
        <f t="shared" si="462"/>
        <v>44:48</v>
      </c>
      <c r="S1013" s="48">
        <f t="shared" si="451"/>
        <v>532</v>
      </c>
      <c r="T1013" s="47" t="str">
        <f t="shared" si="463"/>
        <v>07</v>
      </c>
      <c r="U1013" s="49">
        <v>53</v>
      </c>
      <c r="V1013" s="50">
        <v>40</v>
      </c>
      <c r="W1013" s="51" t="str">
        <f t="shared" si="464"/>
        <v>53:40</v>
      </c>
      <c r="X1013" s="52" t="s">
        <v>59</v>
      </c>
      <c r="Y1013" s="52" t="s">
        <v>62</v>
      </c>
      <c r="Z1013" s="52"/>
      <c r="AA1013" s="47" t="s">
        <v>60</v>
      </c>
      <c r="AB1013" s="47" t="str">
        <f t="shared" si="465"/>
        <v>NA</v>
      </c>
      <c r="AC1013" s="53">
        <f t="shared" si="466"/>
        <v>0</v>
      </c>
      <c r="AD1013" s="54">
        <f t="shared" si="467"/>
        <v>1</v>
      </c>
      <c r="AE1013" s="54"/>
      <c r="AF1013" s="54"/>
      <c r="AG1013" s="55">
        <v>1</v>
      </c>
      <c r="AH1013" s="56">
        <f t="shared" si="469"/>
        <v>532</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f t="shared" si="452"/>
        <v>0</v>
      </c>
      <c r="AX1013" s="61" t="str">
        <f t="shared" si="453"/>
        <v/>
      </c>
      <c r="AY1013" s="60">
        <f t="shared" si="454"/>
        <v>0</v>
      </c>
      <c r="AZ1013" s="61" t="str">
        <f t="shared" si="455"/>
        <v/>
      </c>
    </row>
    <row r="1014" spans="1:52" s="3" customFormat="1" hidden="1" x14ac:dyDescent="0.35">
      <c r="A1014" s="72">
        <f t="shared" si="456"/>
        <v>2020</v>
      </c>
      <c r="B1014" s="72" t="str">
        <f t="shared" si="457"/>
        <v>Dec</v>
      </c>
      <c r="C1014" s="73">
        <f t="shared" si="475"/>
        <v>3</v>
      </c>
      <c r="D1014" s="74">
        <f t="shared" si="458"/>
        <v>7</v>
      </c>
      <c r="E1014" s="75">
        <f t="shared" si="459"/>
        <v>45</v>
      </c>
      <c r="F1014" s="79"/>
      <c r="G1014" s="82"/>
      <c r="H1014" s="68" t="str">
        <f t="shared" si="476"/>
        <v>Hyprev6_20201203_07_00</v>
      </c>
      <c r="I1014" s="69">
        <f t="shared" si="480"/>
        <v>1</v>
      </c>
      <c r="J1014" s="76" t="str">
        <f t="shared" si="480"/>
        <v>Hypericum</v>
      </c>
      <c r="K1014" s="76" t="str">
        <f t="shared" si="480"/>
        <v>revolutum</v>
      </c>
      <c r="L1014" s="77">
        <f t="shared" si="480"/>
        <v>6</v>
      </c>
      <c r="M1014" s="77">
        <f t="shared" si="480"/>
        <v>1</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Dec</v>
      </c>
      <c r="C1015" s="73">
        <f t="shared" si="475"/>
        <v>3</v>
      </c>
      <c r="D1015" s="74">
        <f t="shared" si="458"/>
        <v>7</v>
      </c>
      <c r="E1015" s="75">
        <f t="shared" si="459"/>
        <v>46</v>
      </c>
      <c r="F1015" s="79"/>
      <c r="G1015" s="82"/>
      <c r="H1015" s="68" t="str">
        <f t="shared" si="476"/>
        <v>Hyprev6_20201203_07_00</v>
      </c>
      <c r="I1015" s="69">
        <f t="shared" si="480"/>
        <v>1</v>
      </c>
      <c r="J1015" s="76" t="str">
        <f t="shared" si="480"/>
        <v>Hypericum</v>
      </c>
      <c r="K1015" s="76" t="str">
        <f t="shared" si="480"/>
        <v>revolutum</v>
      </c>
      <c r="L1015" s="77">
        <f t="shared" si="480"/>
        <v>6</v>
      </c>
      <c r="M1015" s="77">
        <f t="shared" si="480"/>
        <v>1</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Dec</v>
      </c>
      <c r="C1016" s="73">
        <f t="shared" si="475"/>
        <v>3</v>
      </c>
      <c r="D1016" s="74">
        <f t="shared" si="458"/>
        <v>7</v>
      </c>
      <c r="E1016" s="75">
        <f t="shared" si="459"/>
        <v>47</v>
      </c>
      <c r="F1016" s="79"/>
      <c r="G1016" s="82"/>
      <c r="H1016" s="68" t="str">
        <f t="shared" si="476"/>
        <v>Hyprev6_20201203_07_00</v>
      </c>
      <c r="I1016" s="69">
        <f t="shared" si="480"/>
        <v>1</v>
      </c>
      <c r="J1016" s="76" t="str">
        <f t="shared" si="480"/>
        <v>Hypericum</v>
      </c>
      <c r="K1016" s="76" t="str">
        <f t="shared" si="480"/>
        <v>revolutum</v>
      </c>
      <c r="L1016" s="77">
        <f t="shared" si="480"/>
        <v>6</v>
      </c>
      <c r="M1016" s="77">
        <f t="shared" si="480"/>
        <v>1</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Dec</v>
      </c>
      <c r="C1017" s="73">
        <f t="shared" si="475"/>
        <v>3</v>
      </c>
      <c r="D1017" s="74">
        <f t="shared" si="458"/>
        <v>7</v>
      </c>
      <c r="E1017" s="75">
        <f t="shared" si="459"/>
        <v>48</v>
      </c>
      <c r="F1017" s="79"/>
      <c r="G1017" s="82"/>
      <c r="H1017" s="68" t="str">
        <f t="shared" si="476"/>
        <v>Hyprev6_20201203_07_00</v>
      </c>
      <c r="I1017" s="69">
        <f t="shared" si="480"/>
        <v>1</v>
      </c>
      <c r="J1017" s="76" t="str">
        <f t="shared" si="480"/>
        <v>Hypericum</v>
      </c>
      <c r="K1017" s="76" t="str">
        <f t="shared" si="480"/>
        <v>revolutum</v>
      </c>
      <c r="L1017" s="77">
        <f t="shared" si="480"/>
        <v>6</v>
      </c>
      <c r="M1017" s="77">
        <f t="shared" si="480"/>
        <v>1</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Dec</v>
      </c>
      <c r="C1018" s="73">
        <f t="shared" si="475"/>
        <v>3</v>
      </c>
      <c r="D1018" s="74">
        <f t="shared" si="458"/>
        <v>7</v>
      </c>
      <c r="E1018" s="75">
        <f t="shared" si="459"/>
        <v>49</v>
      </c>
      <c r="F1018" s="79"/>
      <c r="G1018" s="82"/>
      <c r="H1018" s="68" t="str">
        <f t="shared" si="476"/>
        <v>Hyprev6_20201203_07_00</v>
      </c>
      <c r="I1018" s="69">
        <f t="shared" si="480"/>
        <v>1</v>
      </c>
      <c r="J1018" s="76" t="str">
        <f t="shared" si="480"/>
        <v>Hypericum</v>
      </c>
      <c r="K1018" s="76" t="str">
        <f t="shared" si="480"/>
        <v>revolutum</v>
      </c>
      <c r="L1018" s="77">
        <f t="shared" si="480"/>
        <v>6</v>
      </c>
      <c r="M1018" s="77">
        <f t="shared" si="480"/>
        <v>1</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Dec</v>
      </c>
      <c r="C1019" s="73">
        <f t="shared" si="475"/>
        <v>3</v>
      </c>
      <c r="D1019" s="74">
        <f t="shared" si="458"/>
        <v>7</v>
      </c>
      <c r="E1019" s="75">
        <f t="shared" si="459"/>
        <v>50</v>
      </c>
      <c r="F1019" s="79"/>
      <c r="G1019" s="82"/>
      <c r="H1019" s="68" t="str">
        <f t="shared" si="476"/>
        <v>Hyprev6_20201203_07_00</v>
      </c>
      <c r="I1019" s="69">
        <f t="shared" si="480"/>
        <v>1</v>
      </c>
      <c r="J1019" s="76" t="str">
        <f t="shared" si="480"/>
        <v>Hypericum</v>
      </c>
      <c r="K1019" s="76" t="str">
        <f t="shared" si="480"/>
        <v>revolutum</v>
      </c>
      <c r="L1019" s="77">
        <f t="shared" si="480"/>
        <v>6</v>
      </c>
      <c r="M1019" s="77">
        <f t="shared" si="480"/>
        <v>1</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Dec</v>
      </c>
      <c r="C1020" s="73">
        <f t="shared" si="475"/>
        <v>3</v>
      </c>
      <c r="D1020" s="74">
        <f t="shared" si="458"/>
        <v>7</v>
      </c>
      <c r="E1020" s="75">
        <f t="shared" si="459"/>
        <v>51</v>
      </c>
      <c r="F1020" s="79"/>
      <c r="G1020" s="82"/>
      <c r="H1020" s="68" t="str">
        <f t="shared" si="476"/>
        <v>Hyprev6_20201203_07_00</v>
      </c>
      <c r="I1020" s="69">
        <f t="shared" si="480"/>
        <v>1</v>
      </c>
      <c r="J1020" s="76" t="str">
        <f t="shared" si="480"/>
        <v>Hypericum</v>
      </c>
      <c r="K1020" s="76" t="str">
        <f t="shared" si="480"/>
        <v>revolutum</v>
      </c>
      <c r="L1020" s="77">
        <f t="shared" si="480"/>
        <v>6</v>
      </c>
      <c r="M1020" s="77">
        <f t="shared" si="480"/>
        <v>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Dec</v>
      </c>
      <c r="C1021" s="73">
        <f t="shared" si="475"/>
        <v>3</v>
      </c>
      <c r="D1021" s="74">
        <f t="shared" si="458"/>
        <v>7</v>
      </c>
      <c r="E1021" s="75">
        <f t="shared" si="459"/>
        <v>52</v>
      </c>
      <c r="F1021" s="79"/>
      <c r="G1021" s="82"/>
      <c r="H1021" s="68" t="str">
        <f t="shared" si="476"/>
        <v>Hyprev6_20201203_07_00</v>
      </c>
      <c r="I1021" s="69">
        <f t="shared" si="480"/>
        <v>1</v>
      </c>
      <c r="J1021" s="76" t="str">
        <f t="shared" si="480"/>
        <v>Hypericum</v>
      </c>
      <c r="K1021" s="76" t="str">
        <f t="shared" si="480"/>
        <v>revolutum</v>
      </c>
      <c r="L1021" s="77">
        <f t="shared" si="480"/>
        <v>6</v>
      </c>
      <c r="M1021" s="77">
        <f t="shared" si="480"/>
        <v>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Dec</v>
      </c>
      <c r="C1022" s="73">
        <f t="shared" si="475"/>
        <v>3</v>
      </c>
      <c r="D1022" s="74">
        <f t="shared" si="458"/>
        <v>7</v>
      </c>
      <c r="E1022" s="75">
        <f t="shared" si="459"/>
        <v>53</v>
      </c>
      <c r="F1022" s="79"/>
      <c r="G1022" s="82"/>
      <c r="H1022" s="68" t="str">
        <f t="shared" si="476"/>
        <v>Hyprev6_20201203_07_00</v>
      </c>
      <c r="I1022" s="69">
        <f t="shared" si="480"/>
        <v>1</v>
      </c>
      <c r="J1022" s="76" t="str">
        <f t="shared" si="480"/>
        <v>Hypericum</v>
      </c>
      <c r="K1022" s="76" t="str">
        <f t="shared" si="480"/>
        <v>revolutum</v>
      </c>
      <c r="L1022" s="77">
        <f t="shared" si="480"/>
        <v>6</v>
      </c>
      <c r="M1022" s="77">
        <f t="shared" si="480"/>
        <v>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Dec</v>
      </c>
      <c r="C1023" s="73">
        <f t="shared" si="475"/>
        <v>3</v>
      </c>
      <c r="D1023" s="74">
        <f t="shared" si="458"/>
        <v>7</v>
      </c>
      <c r="E1023" s="75">
        <f t="shared" si="459"/>
        <v>54</v>
      </c>
      <c r="F1023" s="79"/>
      <c r="G1023" s="82"/>
      <c r="H1023" s="68" t="str">
        <f t="shared" si="476"/>
        <v>Hyprev6_20201203_07_00</v>
      </c>
      <c r="I1023" s="69">
        <f t="shared" si="480"/>
        <v>1</v>
      </c>
      <c r="J1023" s="76" t="str">
        <f t="shared" si="480"/>
        <v>Hypericum</v>
      </c>
      <c r="K1023" s="76" t="str">
        <f t="shared" si="480"/>
        <v>revolutum</v>
      </c>
      <c r="L1023" s="77">
        <f t="shared" si="480"/>
        <v>6</v>
      </c>
      <c r="M1023" s="77">
        <f t="shared" si="480"/>
        <v>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Dec</v>
      </c>
      <c r="C1024" s="73">
        <f t="shared" si="475"/>
        <v>3</v>
      </c>
      <c r="D1024" s="74">
        <f t="shared" si="458"/>
        <v>7</v>
      </c>
      <c r="E1024" s="75">
        <f t="shared" si="459"/>
        <v>55</v>
      </c>
      <c r="F1024" s="79"/>
      <c r="G1024" s="82"/>
      <c r="H1024" s="68" t="str">
        <f t="shared" si="476"/>
        <v>Hyprev6_20201203_07_00</v>
      </c>
      <c r="I1024" s="69">
        <f t="shared" si="480"/>
        <v>1</v>
      </c>
      <c r="J1024" s="76" t="str">
        <f t="shared" si="480"/>
        <v>Hypericum</v>
      </c>
      <c r="K1024" s="76" t="str">
        <f t="shared" si="480"/>
        <v>revolutum</v>
      </c>
      <c r="L1024" s="77">
        <f t="shared" si="480"/>
        <v>6</v>
      </c>
      <c r="M1024" s="77">
        <f t="shared" si="480"/>
        <v>1</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Dec</v>
      </c>
      <c r="C1025" s="73">
        <f t="shared" si="475"/>
        <v>3</v>
      </c>
      <c r="D1025" s="74">
        <f t="shared" si="458"/>
        <v>7</v>
      </c>
      <c r="E1025" s="75">
        <f t="shared" si="459"/>
        <v>56</v>
      </c>
      <c r="F1025" s="79"/>
      <c r="G1025" s="82"/>
      <c r="H1025" s="68" t="str">
        <f t="shared" si="476"/>
        <v>Hyprev6_20201203_07_00</v>
      </c>
      <c r="I1025" s="69">
        <f t="shared" si="480"/>
        <v>1</v>
      </c>
      <c r="J1025" s="76" t="str">
        <f t="shared" si="480"/>
        <v>Hypericum</v>
      </c>
      <c r="K1025" s="76" t="str">
        <f t="shared" si="480"/>
        <v>revolutum</v>
      </c>
      <c r="L1025" s="77">
        <f t="shared" si="480"/>
        <v>6</v>
      </c>
      <c r="M1025" s="77">
        <f t="shared" si="480"/>
        <v>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Dec</v>
      </c>
      <c r="C1026" s="73">
        <f t="shared" si="475"/>
        <v>3</v>
      </c>
      <c r="D1026" s="74">
        <f t="shared" si="458"/>
        <v>7</v>
      </c>
      <c r="E1026" s="75">
        <f t="shared" si="459"/>
        <v>57</v>
      </c>
      <c r="F1026" s="79"/>
      <c r="G1026" s="82"/>
      <c r="H1026" s="68" t="str">
        <f t="shared" si="476"/>
        <v>Hyprev6_20201203_07_00</v>
      </c>
      <c r="I1026" s="69">
        <f t="shared" si="480"/>
        <v>1</v>
      </c>
      <c r="J1026" s="76" t="str">
        <f t="shared" si="480"/>
        <v>Hypericum</v>
      </c>
      <c r="K1026" s="76" t="str">
        <f t="shared" si="480"/>
        <v>revolutum</v>
      </c>
      <c r="L1026" s="77">
        <f t="shared" si="480"/>
        <v>6</v>
      </c>
      <c r="M1026" s="77">
        <f t="shared" si="480"/>
        <v>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Dec</v>
      </c>
      <c r="C1027" s="73">
        <f t="shared" si="475"/>
        <v>3</v>
      </c>
      <c r="D1027" s="74">
        <f t="shared" si="458"/>
        <v>7</v>
      </c>
      <c r="E1027" s="75">
        <f t="shared" si="459"/>
        <v>58</v>
      </c>
      <c r="F1027" s="79"/>
      <c r="G1027" s="82"/>
      <c r="H1027" s="68" t="str">
        <f t="shared" si="476"/>
        <v>Hyprev6_20201203_07_00</v>
      </c>
      <c r="I1027" s="69">
        <f t="shared" si="480"/>
        <v>1</v>
      </c>
      <c r="J1027" s="76" t="str">
        <f t="shared" si="480"/>
        <v>Hypericum</v>
      </c>
      <c r="K1027" s="76" t="str">
        <f t="shared" si="480"/>
        <v>revolutum</v>
      </c>
      <c r="L1027" s="77">
        <f t="shared" si="480"/>
        <v>6</v>
      </c>
      <c r="M1027" s="77">
        <f t="shared" si="480"/>
        <v>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Dec</v>
      </c>
      <c r="C1028" s="73">
        <f t="shared" si="475"/>
        <v>3</v>
      </c>
      <c r="D1028" s="74">
        <f t="shared" ref="D1028:D1091" si="488">IF(IF(E1027=59,D1027+1,D1027)=24,0,IF(E1027=59,D1027+1,D1027))</f>
        <v>7</v>
      </c>
      <c r="E1028" s="75">
        <f t="shared" ref="E1028:E1091" si="489">IF(E1027&lt;59,E1027+1,0)</f>
        <v>59</v>
      </c>
      <c r="F1028" s="79"/>
      <c r="G1028" s="82"/>
      <c r="H1028" s="68" t="str">
        <f t="shared" si="476"/>
        <v>Hyprev6_20201203_07_00</v>
      </c>
      <c r="I1028" s="69">
        <f t="shared" si="480"/>
        <v>1</v>
      </c>
      <c r="J1028" s="76" t="str">
        <f t="shared" si="480"/>
        <v>Hypericum</v>
      </c>
      <c r="K1028" s="76" t="str">
        <f t="shared" si="480"/>
        <v>revolutum</v>
      </c>
      <c r="L1028" s="77">
        <f t="shared" si="480"/>
        <v>6</v>
      </c>
      <c r="M1028" s="77">
        <f t="shared" si="480"/>
        <v>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Dec</v>
      </c>
      <c r="C1029" s="73">
        <f t="shared" ref="C1029:C1092" si="505">IF(AND(D1029=0, E1029=0), IF(TEXT(C1028,"dd")=TEXT(EOMONTH(DATE(A1028,MONTH(DATEVALUE(B1028&amp;"1")),C1028),0), "dd"), 1, C1028+1), C1028)</f>
        <v>3</v>
      </c>
      <c r="D1029" s="74">
        <f t="shared" si="488"/>
        <v>8</v>
      </c>
      <c r="E1029" s="75">
        <f t="shared" si="489"/>
        <v>0</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Hyprev6_20201203_08_00</v>
      </c>
      <c r="I1029" s="69">
        <f t="shared" ref="I1029:N1044" si="507">I1028</f>
        <v>1</v>
      </c>
      <c r="J1029" s="76" t="str">
        <f t="shared" si="507"/>
        <v>Hypericum</v>
      </c>
      <c r="K1029" s="76" t="str">
        <f t="shared" si="507"/>
        <v>revolutum</v>
      </c>
      <c r="L1029" s="77">
        <f t="shared" si="507"/>
        <v>6</v>
      </c>
      <c r="M1029" s="77">
        <f t="shared" si="507"/>
        <v>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Dec</v>
      </c>
      <c r="C1030" s="73">
        <f t="shared" si="505"/>
        <v>3</v>
      </c>
      <c r="D1030" s="74">
        <f t="shared" si="488"/>
        <v>8</v>
      </c>
      <c r="E1030" s="75">
        <f t="shared" si="489"/>
        <v>1</v>
      </c>
      <c r="F1030" s="79"/>
      <c r="G1030" s="82"/>
      <c r="H1030" s="68" t="str">
        <f t="shared" si="506"/>
        <v>Hyprev6_20201203_08_00</v>
      </c>
      <c r="I1030" s="69">
        <f t="shared" si="507"/>
        <v>1</v>
      </c>
      <c r="J1030" s="76" t="str">
        <f t="shared" si="507"/>
        <v>Hypericum</v>
      </c>
      <c r="K1030" s="76" t="str">
        <f t="shared" si="507"/>
        <v>revolutum</v>
      </c>
      <c r="L1030" s="77">
        <f t="shared" si="507"/>
        <v>6</v>
      </c>
      <c r="M1030" s="77">
        <f t="shared" si="507"/>
        <v>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Dec</v>
      </c>
      <c r="C1031" s="73">
        <f t="shared" si="505"/>
        <v>3</v>
      </c>
      <c r="D1031" s="74">
        <f t="shared" si="488"/>
        <v>8</v>
      </c>
      <c r="E1031" s="75">
        <f t="shared" si="489"/>
        <v>2</v>
      </c>
      <c r="F1031" s="79"/>
      <c r="G1031" s="82"/>
      <c r="H1031" s="68" t="str">
        <f t="shared" si="506"/>
        <v>Hyprev6_20201203_08_00</v>
      </c>
      <c r="I1031" s="69">
        <f t="shared" si="507"/>
        <v>1</v>
      </c>
      <c r="J1031" s="76" t="str">
        <f t="shared" si="507"/>
        <v>Hypericum</v>
      </c>
      <c r="K1031" s="76" t="str">
        <f t="shared" si="507"/>
        <v>revolutum</v>
      </c>
      <c r="L1031" s="77">
        <f t="shared" si="507"/>
        <v>6</v>
      </c>
      <c r="M1031" s="77">
        <f t="shared" si="507"/>
        <v>1</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Dec</v>
      </c>
      <c r="C1032" s="73">
        <f t="shared" si="505"/>
        <v>3</v>
      </c>
      <c r="D1032" s="74">
        <f t="shared" si="488"/>
        <v>8</v>
      </c>
      <c r="E1032" s="75">
        <f t="shared" si="489"/>
        <v>3</v>
      </c>
      <c r="F1032" s="79"/>
      <c r="G1032" s="82"/>
      <c r="H1032" s="68" t="str">
        <f t="shared" si="506"/>
        <v>Hyprev6_20201203_08_00</v>
      </c>
      <c r="I1032" s="69">
        <f t="shared" si="507"/>
        <v>1</v>
      </c>
      <c r="J1032" s="76" t="str">
        <f t="shared" si="507"/>
        <v>Hypericum</v>
      </c>
      <c r="K1032" s="76" t="str">
        <f t="shared" si="507"/>
        <v>revolutum</v>
      </c>
      <c r="L1032" s="77">
        <f t="shared" si="507"/>
        <v>6</v>
      </c>
      <c r="M1032" s="77">
        <f t="shared" si="507"/>
        <v>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Dec</v>
      </c>
      <c r="C1033" s="73">
        <f t="shared" si="505"/>
        <v>3</v>
      </c>
      <c r="D1033" s="74">
        <f t="shared" si="488"/>
        <v>8</v>
      </c>
      <c r="E1033" s="75">
        <f t="shared" si="489"/>
        <v>4</v>
      </c>
      <c r="F1033" s="79"/>
      <c r="G1033" s="82"/>
      <c r="H1033" s="68" t="str">
        <f t="shared" si="506"/>
        <v>Hyprev6_20201203_08_00</v>
      </c>
      <c r="I1033" s="69">
        <f t="shared" si="507"/>
        <v>1</v>
      </c>
      <c r="J1033" s="76" t="str">
        <f t="shared" si="507"/>
        <v>Hypericum</v>
      </c>
      <c r="K1033" s="76" t="str">
        <f t="shared" si="507"/>
        <v>revolutum</v>
      </c>
      <c r="L1033" s="77">
        <f t="shared" si="507"/>
        <v>6</v>
      </c>
      <c r="M1033" s="77">
        <f t="shared" si="507"/>
        <v>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Dec</v>
      </c>
      <c r="C1034" s="73">
        <f t="shared" si="505"/>
        <v>3</v>
      </c>
      <c r="D1034" s="74">
        <f t="shared" si="488"/>
        <v>8</v>
      </c>
      <c r="E1034" s="75">
        <f t="shared" si="489"/>
        <v>5</v>
      </c>
      <c r="F1034" s="79"/>
      <c r="G1034" s="82"/>
      <c r="H1034" s="68" t="str">
        <f t="shared" si="506"/>
        <v>Hyprev6_20201203_08_00</v>
      </c>
      <c r="I1034" s="69">
        <f t="shared" si="507"/>
        <v>1</v>
      </c>
      <c r="J1034" s="76" t="str">
        <f t="shared" si="507"/>
        <v>Hypericum</v>
      </c>
      <c r="K1034" s="76" t="str">
        <f t="shared" si="507"/>
        <v>revolutum</v>
      </c>
      <c r="L1034" s="77">
        <f t="shared" si="507"/>
        <v>6</v>
      </c>
      <c r="M1034" s="77">
        <f t="shared" si="507"/>
        <v>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Dec</v>
      </c>
      <c r="C1035" s="73">
        <f t="shared" si="505"/>
        <v>3</v>
      </c>
      <c r="D1035" s="74">
        <f t="shared" si="488"/>
        <v>8</v>
      </c>
      <c r="E1035" s="75">
        <f t="shared" si="489"/>
        <v>6</v>
      </c>
      <c r="F1035" s="79"/>
      <c r="G1035" s="82"/>
      <c r="H1035" s="68" t="str">
        <f t="shared" si="506"/>
        <v>Hyprev6_20201203_08_00</v>
      </c>
      <c r="I1035" s="69">
        <f t="shared" si="507"/>
        <v>1</v>
      </c>
      <c r="J1035" s="76" t="str">
        <f t="shared" si="507"/>
        <v>Hypericum</v>
      </c>
      <c r="K1035" s="76" t="str">
        <f t="shared" si="507"/>
        <v>revolutum</v>
      </c>
      <c r="L1035" s="77">
        <f t="shared" si="507"/>
        <v>6</v>
      </c>
      <c r="M1035" s="77">
        <f t="shared" si="507"/>
        <v>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Dec</v>
      </c>
      <c r="C1036" s="73">
        <f t="shared" si="505"/>
        <v>3</v>
      </c>
      <c r="D1036" s="74">
        <f t="shared" si="488"/>
        <v>8</v>
      </c>
      <c r="E1036" s="75">
        <f t="shared" si="489"/>
        <v>7</v>
      </c>
      <c r="F1036" s="79"/>
      <c r="G1036" s="82"/>
      <c r="H1036" s="68" t="str">
        <f t="shared" si="506"/>
        <v>Hyprev6_20201203_08_00</v>
      </c>
      <c r="I1036" s="69">
        <f t="shared" si="507"/>
        <v>1</v>
      </c>
      <c r="J1036" s="76" t="str">
        <f t="shared" si="507"/>
        <v>Hypericum</v>
      </c>
      <c r="K1036" s="76" t="str">
        <f t="shared" si="507"/>
        <v>revolutum</v>
      </c>
      <c r="L1036" s="77">
        <f t="shared" si="507"/>
        <v>6</v>
      </c>
      <c r="M1036" s="77">
        <f t="shared" si="507"/>
        <v>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Dec</v>
      </c>
      <c r="C1037" s="73">
        <f t="shared" si="505"/>
        <v>3</v>
      </c>
      <c r="D1037" s="74">
        <f t="shared" si="488"/>
        <v>8</v>
      </c>
      <c r="E1037" s="75">
        <f t="shared" si="489"/>
        <v>8</v>
      </c>
      <c r="F1037" s="79"/>
      <c r="G1037" s="82"/>
      <c r="H1037" s="68" t="str">
        <f t="shared" si="506"/>
        <v>Hyprev6_20201203_08_00</v>
      </c>
      <c r="I1037" s="69">
        <f t="shared" si="507"/>
        <v>1</v>
      </c>
      <c r="J1037" s="76" t="str">
        <f t="shared" si="507"/>
        <v>Hypericum</v>
      </c>
      <c r="K1037" s="76" t="str">
        <f t="shared" si="507"/>
        <v>revolutum</v>
      </c>
      <c r="L1037" s="77">
        <f t="shared" si="507"/>
        <v>6</v>
      </c>
      <c r="M1037" s="77">
        <f t="shared" si="507"/>
        <v>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Dec</v>
      </c>
      <c r="C1038" s="73">
        <f t="shared" si="505"/>
        <v>3</v>
      </c>
      <c r="D1038" s="74">
        <f t="shared" si="488"/>
        <v>8</v>
      </c>
      <c r="E1038" s="75">
        <f t="shared" si="489"/>
        <v>9</v>
      </c>
      <c r="F1038" s="79"/>
      <c r="G1038" s="82"/>
      <c r="H1038" s="68" t="str">
        <f t="shared" si="506"/>
        <v>Hyprev6_20201203_08_00</v>
      </c>
      <c r="I1038" s="69">
        <f t="shared" si="507"/>
        <v>1</v>
      </c>
      <c r="J1038" s="76" t="str">
        <f t="shared" si="507"/>
        <v>Hypericum</v>
      </c>
      <c r="K1038" s="76" t="str">
        <f t="shared" si="507"/>
        <v>revolutum</v>
      </c>
      <c r="L1038" s="77">
        <f t="shared" si="507"/>
        <v>6</v>
      </c>
      <c r="M1038" s="77">
        <f t="shared" si="507"/>
        <v>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Dec</v>
      </c>
      <c r="C1039" s="73">
        <f t="shared" si="505"/>
        <v>3</v>
      </c>
      <c r="D1039" s="74">
        <f t="shared" si="488"/>
        <v>8</v>
      </c>
      <c r="E1039" s="75">
        <f t="shared" si="489"/>
        <v>10</v>
      </c>
      <c r="F1039" s="79"/>
      <c r="G1039" s="82"/>
      <c r="H1039" s="68" t="str">
        <f t="shared" si="506"/>
        <v>Hyprev6_20201203_08_00</v>
      </c>
      <c r="I1039" s="69">
        <f t="shared" si="507"/>
        <v>1</v>
      </c>
      <c r="J1039" s="76" t="str">
        <f t="shared" si="507"/>
        <v>Hypericum</v>
      </c>
      <c r="K1039" s="76" t="str">
        <f t="shared" si="507"/>
        <v>revolutum</v>
      </c>
      <c r="L1039" s="77">
        <f t="shared" si="507"/>
        <v>6</v>
      </c>
      <c r="M1039" s="77">
        <f t="shared" si="507"/>
        <v>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Dec</v>
      </c>
      <c r="C1040" s="73">
        <f t="shared" si="505"/>
        <v>3</v>
      </c>
      <c r="D1040" s="74">
        <f t="shared" si="488"/>
        <v>8</v>
      </c>
      <c r="E1040" s="75">
        <f t="shared" si="489"/>
        <v>11</v>
      </c>
      <c r="F1040" s="79"/>
      <c r="G1040" s="82"/>
      <c r="H1040" s="68" t="str">
        <f t="shared" si="506"/>
        <v>Hyprev6_20201203_08_00</v>
      </c>
      <c r="I1040" s="69">
        <f t="shared" si="507"/>
        <v>1</v>
      </c>
      <c r="J1040" s="76" t="str">
        <f t="shared" si="507"/>
        <v>Hypericum</v>
      </c>
      <c r="K1040" s="76" t="str">
        <f t="shared" si="507"/>
        <v>revolutum</v>
      </c>
      <c r="L1040" s="77">
        <f t="shared" si="507"/>
        <v>6</v>
      </c>
      <c r="M1040" s="77">
        <f t="shared" si="507"/>
        <v>1</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Dec</v>
      </c>
      <c r="C1041" s="73">
        <f t="shared" si="505"/>
        <v>3</v>
      </c>
      <c r="D1041" s="74">
        <f t="shared" si="488"/>
        <v>8</v>
      </c>
      <c r="E1041" s="75">
        <f t="shared" si="489"/>
        <v>12</v>
      </c>
      <c r="F1041" s="79"/>
      <c r="G1041" s="82"/>
      <c r="H1041" s="68" t="str">
        <f t="shared" si="506"/>
        <v>Hyprev6_20201203_08_00</v>
      </c>
      <c r="I1041" s="69">
        <f t="shared" si="507"/>
        <v>1</v>
      </c>
      <c r="J1041" s="76" t="str">
        <f t="shared" si="507"/>
        <v>Hypericum</v>
      </c>
      <c r="K1041" s="76" t="str">
        <f t="shared" si="507"/>
        <v>revolutum</v>
      </c>
      <c r="L1041" s="77">
        <f t="shared" si="507"/>
        <v>6</v>
      </c>
      <c r="M1041" s="77">
        <f t="shared" si="507"/>
        <v>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Dec</v>
      </c>
      <c r="C1042" s="73">
        <f t="shared" si="505"/>
        <v>3</v>
      </c>
      <c r="D1042" s="74">
        <f t="shared" si="488"/>
        <v>8</v>
      </c>
      <c r="E1042" s="75">
        <f t="shared" si="489"/>
        <v>13</v>
      </c>
      <c r="F1042" s="79"/>
      <c r="G1042" s="82"/>
      <c r="H1042" s="68" t="str">
        <f t="shared" si="506"/>
        <v>Hyprev6_20201203_08_00</v>
      </c>
      <c r="I1042" s="69">
        <f t="shared" si="507"/>
        <v>1</v>
      </c>
      <c r="J1042" s="76" t="str">
        <f t="shared" si="507"/>
        <v>Hypericum</v>
      </c>
      <c r="K1042" s="76" t="str">
        <f t="shared" si="507"/>
        <v>revolutum</v>
      </c>
      <c r="L1042" s="77">
        <f t="shared" si="507"/>
        <v>6</v>
      </c>
      <c r="M1042" s="77">
        <f t="shared" si="507"/>
        <v>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Dec</v>
      </c>
      <c r="C1043" s="73">
        <f t="shared" si="505"/>
        <v>3</v>
      </c>
      <c r="D1043" s="74">
        <f t="shared" si="488"/>
        <v>8</v>
      </c>
      <c r="E1043" s="75">
        <f t="shared" si="489"/>
        <v>14</v>
      </c>
      <c r="F1043" s="79"/>
      <c r="G1043" s="82"/>
      <c r="H1043" s="68" t="str">
        <f t="shared" si="506"/>
        <v>Hyprev6_20201203_08_00</v>
      </c>
      <c r="I1043" s="69">
        <f t="shared" si="507"/>
        <v>1</v>
      </c>
      <c r="J1043" s="76" t="str">
        <f t="shared" si="507"/>
        <v>Hypericum</v>
      </c>
      <c r="K1043" s="76" t="str">
        <f t="shared" si="507"/>
        <v>revolutum</v>
      </c>
      <c r="L1043" s="77">
        <f t="shared" si="507"/>
        <v>6</v>
      </c>
      <c r="M1043" s="77">
        <f t="shared" si="507"/>
        <v>1</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Dec</v>
      </c>
      <c r="C1044" s="73">
        <f t="shared" si="505"/>
        <v>3</v>
      </c>
      <c r="D1044" s="74">
        <f t="shared" si="488"/>
        <v>8</v>
      </c>
      <c r="E1044" s="75">
        <f t="shared" si="489"/>
        <v>15</v>
      </c>
      <c r="F1044" s="79"/>
      <c r="G1044" s="82"/>
      <c r="H1044" s="68" t="str">
        <f t="shared" si="506"/>
        <v>Hyprev6_20201203_08_00</v>
      </c>
      <c r="I1044" s="69">
        <f t="shared" si="507"/>
        <v>1</v>
      </c>
      <c r="J1044" s="76" t="str">
        <f t="shared" si="507"/>
        <v>Hypericum</v>
      </c>
      <c r="K1044" s="76" t="str">
        <f t="shared" si="507"/>
        <v>revolutum</v>
      </c>
      <c r="L1044" s="77">
        <f t="shared" si="507"/>
        <v>6</v>
      </c>
      <c r="M1044" s="77">
        <f t="shared" si="507"/>
        <v>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Dec</v>
      </c>
      <c r="C1045" s="73">
        <f t="shared" si="505"/>
        <v>3</v>
      </c>
      <c r="D1045" s="74">
        <f t="shared" si="488"/>
        <v>8</v>
      </c>
      <c r="E1045" s="75">
        <f t="shared" si="489"/>
        <v>16</v>
      </c>
      <c r="F1045" s="79"/>
      <c r="G1045" s="82"/>
      <c r="H1045" s="68" t="str">
        <f t="shared" si="506"/>
        <v>Hyprev6_20201203_08_00</v>
      </c>
      <c r="I1045" s="69">
        <f t="shared" ref="I1045:N1060" si="508">I1044</f>
        <v>1</v>
      </c>
      <c r="J1045" s="76" t="str">
        <f t="shared" si="508"/>
        <v>Hypericum</v>
      </c>
      <c r="K1045" s="76" t="str">
        <f t="shared" si="508"/>
        <v>revolutum</v>
      </c>
      <c r="L1045" s="77">
        <f t="shared" si="508"/>
        <v>6</v>
      </c>
      <c r="M1045" s="77">
        <f t="shared" si="508"/>
        <v>1</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Dec</v>
      </c>
      <c r="C1046" s="73">
        <f t="shared" si="505"/>
        <v>3</v>
      </c>
      <c r="D1046" s="74">
        <f t="shared" si="488"/>
        <v>8</v>
      </c>
      <c r="E1046" s="75">
        <f t="shared" si="489"/>
        <v>17</v>
      </c>
      <c r="F1046" s="79"/>
      <c r="G1046" s="82"/>
      <c r="H1046" s="68" t="str">
        <f t="shared" si="506"/>
        <v>Hyprev6_20201203_08_00</v>
      </c>
      <c r="I1046" s="69">
        <f t="shared" si="508"/>
        <v>1</v>
      </c>
      <c r="J1046" s="76" t="str">
        <f t="shared" si="508"/>
        <v>Hypericum</v>
      </c>
      <c r="K1046" s="76" t="str">
        <f t="shared" si="508"/>
        <v>revolutum</v>
      </c>
      <c r="L1046" s="77">
        <f t="shared" si="508"/>
        <v>6</v>
      </c>
      <c r="M1046" s="77">
        <f t="shared" si="508"/>
        <v>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Dec</v>
      </c>
      <c r="C1047" s="73">
        <f t="shared" si="505"/>
        <v>3</v>
      </c>
      <c r="D1047" s="74">
        <f t="shared" si="488"/>
        <v>8</v>
      </c>
      <c r="E1047" s="75">
        <f t="shared" si="489"/>
        <v>18</v>
      </c>
      <c r="F1047" s="79"/>
      <c r="G1047" s="82"/>
      <c r="H1047" s="68" t="str">
        <f t="shared" si="506"/>
        <v>Hyprev6_20201203_08_00</v>
      </c>
      <c r="I1047" s="69">
        <f t="shared" si="508"/>
        <v>1</v>
      </c>
      <c r="J1047" s="76" t="str">
        <f t="shared" si="508"/>
        <v>Hypericum</v>
      </c>
      <c r="K1047" s="76" t="str">
        <f t="shared" si="508"/>
        <v>revolutum</v>
      </c>
      <c r="L1047" s="77">
        <f t="shared" si="508"/>
        <v>6</v>
      </c>
      <c r="M1047" s="77">
        <f t="shared" si="508"/>
        <v>1</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Dec</v>
      </c>
      <c r="C1048" s="73">
        <f t="shared" si="505"/>
        <v>3</v>
      </c>
      <c r="D1048" s="74">
        <f t="shared" si="488"/>
        <v>8</v>
      </c>
      <c r="E1048" s="75">
        <f t="shared" si="489"/>
        <v>19</v>
      </c>
      <c r="F1048" s="79"/>
      <c r="G1048" s="82"/>
      <c r="H1048" s="68" t="str">
        <f t="shared" si="506"/>
        <v>Hyprev6_20201203_08_00</v>
      </c>
      <c r="I1048" s="69">
        <f t="shared" si="508"/>
        <v>1</v>
      </c>
      <c r="J1048" s="76" t="str">
        <f t="shared" si="508"/>
        <v>Hypericum</v>
      </c>
      <c r="K1048" s="76" t="str">
        <f t="shared" si="508"/>
        <v>revolutum</v>
      </c>
      <c r="L1048" s="77">
        <f t="shared" si="508"/>
        <v>6</v>
      </c>
      <c r="M1048" s="77">
        <f t="shared" si="508"/>
        <v>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Dec</v>
      </c>
      <c r="C1049" s="73">
        <f t="shared" si="505"/>
        <v>3</v>
      </c>
      <c r="D1049" s="74">
        <f t="shared" si="488"/>
        <v>8</v>
      </c>
      <c r="E1049" s="75">
        <f t="shared" si="489"/>
        <v>20</v>
      </c>
      <c r="F1049" s="79"/>
      <c r="G1049" s="82"/>
      <c r="H1049" s="68" t="str">
        <f t="shared" si="506"/>
        <v>Hyprev6_20201203_08_00</v>
      </c>
      <c r="I1049" s="69">
        <f t="shared" si="508"/>
        <v>1</v>
      </c>
      <c r="J1049" s="76" t="str">
        <f t="shared" si="508"/>
        <v>Hypericum</v>
      </c>
      <c r="K1049" s="76" t="str">
        <f t="shared" si="508"/>
        <v>revolutum</v>
      </c>
      <c r="L1049" s="77">
        <f t="shared" si="508"/>
        <v>6</v>
      </c>
      <c r="M1049" s="77">
        <f t="shared" si="508"/>
        <v>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Dec</v>
      </c>
      <c r="C1050" s="73">
        <f t="shared" si="505"/>
        <v>3</v>
      </c>
      <c r="D1050" s="74">
        <f t="shared" si="488"/>
        <v>8</v>
      </c>
      <c r="E1050" s="75">
        <f t="shared" si="489"/>
        <v>21</v>
      </c>
      <c r="F1050" s="79"/>
      <c r="G1050" s="82"/>
      <c r="H1050" s="68" t="str">
        <f t="shared" si="506"/>
        <v>Hyprev6_20201203_08_00</v>
      </c>
      <c r="I1050" s="69">
        <f t="shared" si="508"/>
        <v>1</v>
      </c>
      <c r="J1050" s="76" t="str">
        <f t="shared" si="508"/>
        <v>Hypericum</v>
      </c>
      <c r="K1050" s="76" t="str">
        <f t="shared" si="508"/>
        <v>revolutum</v>
      </c>
      <c r="L1050" s="77">
        <f t="shared" si="508"/>
        <v>6</v>
      </c>
      <c r="M1050" s="77">
        <f t="shared" si="508"/>
        <v>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Dec</v>
      </c>
      <c r="C1051" s="73">
        <f t="shared" si="505"/>
        <v>3</v>
      </c>
      <c r="D1051" s="74">
        <f t="shared" si="488"/>
        <v>8</v>
      </c>
      <c r="E1051" s="75">
        <f t="shared" si="489"/>
        <v>22</v>
      </c>
      <c r="F1051" s="79"/>
      <c r="G1051" s="82"/>
      <c r="H1051" s="68" t="str">
        <f t="shared" si="506"/>
        <v>Hyprev6_20201203_08_00</v>
      </c>
      <c r="I1051" s="69">
        <f t="shared" si="508"/>
        <v>1</v>
      </c>
      <c r="J1051" s="76" t="str">
        <f t="shared" si="508"/>
        <v>Hypericum</v>
      </c>
      <c r="K1051" s="76" t="str">
        <f t="shared" si="508"/>
        <v>revolutum</v>
      </c>
      <c r="L1051" s="77">
        <f t="shared" si="508"/>
        <v>6</v>
      </c>
      <c r="M1051" s="77">
        <f t="shared" si="508"/>
        <v>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Dec</v>
      </c>
      <c r="C1052" s="73">
        <f t="shared" si="505"/>
        <v>3</v>
      </c>
      <c r="D1052" s="74">
        <f t="shared" si="488"/>
        <v>8</v>
      </c>
      <c r="E1052" s="75">
        <f t="shared" si="489"/>
        <v>23</v>
      </c>
      <c r="F1052" s="79"/>
      <c r="G1052" s="82"/>
      <c r="H1052" s="68" t="str">
        <f t="shared" si="506"/>
        <v>Hyprev6_20201203_08_00</v>
      </c>
      <c r="I1052" s="69">
        <f t="shared" si="508"/>
        <v>1</v>
      </c>
      <c r="J1052" s="76" t="str">
        <f t="shared" si="508"/>
        <v>Hypericum</v>
      </c>
      <c r="K1052" s="76" t="str">
        <f t="shared" si="508"/>
        <v>revolutum</v>
      </c>
      <c r="L1052" s="77">
        <f t="shared" si="508"/>
        <v>6</v>
      </c>
      <c r="M1052" s="77">
        <f t="shared" si="508"/>
        <v>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Dec</v>
      </c>
      <c r="C1053" s="73">
        <f t="shared" si="505"/>
        <v>3</v>
      </c>
      <c r="D1053" s="74">
        <f t="shared" si="488"/>
        <v>8</v>
      </c>
      <c r="E1053" s="75">
        <f t="shared" si="489"/>
        <v>24</v>
      </c>
      <c r="F1053" s="79"/>
      <c r="G1053" s="82"/>
      <c r="H1053" s="68" t="str">
        <f t="shared" si="506"/>
        <v>Hyprev6_20201203_08_00</v>
      </c>
      <c r="I1053" s="69">
        <f t="shared" si="508"/>
        <v>1</v>
      </c>
      <c r="J1053" s="76" t="str">
        <f t="shared" si="508"/>
        <v>Hypericum</v>
      </c>
      <c r="K1053" s="76" t="str">
        <f t="shared" si="508"/>
        <v>revolutum</v>
      </c>
      <c r="L1053" s="77">
        <f t="shared" si="508"/>
        <v>6</v>
      </c>
      <c r="M1053" s="77">
        <f t="shared" si="508"/>
        <v>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Dec</v>
      </c>
      <c r="C1054" s="73">
        <f t="shared" si="505"/>
        <v>3</v>
      </c>
      <c r="D1054" s="74">
        <f t="shared" si="488"/>
        <v>8</v>
      </c>
      <c r="E1054" s="75">
        <f t="shared" si="489"/>
        <v>25</v>
      </c>
      <c r="F1054" s="79"/>
      <c r="G1054" s="82"/>
      <c r="H1054" s="68" t="str">
        <f t="shared" si="506"/>
        <v>Hyprev6_20201203_08_00</v>
      </c>
      <c r="I1054" s="69">
        <f t="shared" si="508"/>
        <v>1</v>
      </c>
      <c r="J1054" s="76" t="str">
        <f t="shared" si="508"/>
        <v>Hypericum</v>
      </c>
      <c r="K1054" s="76" t="str">
        <f t="shared" si="508"/>
        <v>revolutum</v>
      </c>
      <c r="L1054" s="77">
        <f t="shared" si="508"/>
        <v>6</v>
      </c>
      <c r="M1054" s="77">
        <f t="shared" si="508"/>
        <v>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Dec</v>
      </c>
      <c r="C1055" s="73">
        <f t="shared" si="505"/>
        <v>3</v>
      </c>
      <c r="D1055" s="74">
        <f t="shared" si="488"/>
        <v>8</v>
      </c>
      <c r="E1055" s="75">
        <f t="shared" si="489"/>
        <v>26</v>
      </c>
      <c r="F1055" s="79"/>
      <c r="G1055" s="82"/>
      <c r="H1055" s="68" t="str">
        <f t="shared" si="506"/>
        <v>Hyprev6_20201203_08_00</v>
      </c>
      <c r="I1055" s="69">
        <f t="shared" si="508"/>
        <v>1</v>
      </c>
      <c r="J1055" s="76" t="str">
        <f t="shared" si="508"/>
        <v>Hypericum</v>
      </c>
      <c r="K1055" s="76" t="str">
        <f t="shared" si="508"/>
        <v>revolutum</v>
      </c>
      <c r="L1055" s="77">
        <f t="shared" si="508"/>
        <v>6</v>
      </c>
      <c r="M1055" s="77">
        <f t="shared" si="508"/>
        <v>1</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Dec</v>
      </c>
      <c r="C1056" s="73">
        <f t="shared" si="505"/>
        <v>3</v>
      </c>
      <c r="D1056" s="74">
        <f t="shared" si="488"/>
        <v>8</v>
      </c>
      <c r="E1056" s="75">
        <f t="shared" si="489"/>
        <v>27</v>
      </c>
      <c r="F1056" s="79"/>
      <c r="G1056" s="82"/>
      <c r="H1056" s="68" t="str">
        <f t="shared" si="506"/>
        <v>Hyprev6_20201203_08_00</v>
      </c>
      <c r="I1056" s="69">
        <f t="shared" si="508"/>
        <v>1</v>
      </c>
      <c r="J1056" s="76" t="str">
        <f t="shared" si="508"/>
        <v>Hypericum</v>
      </c>
      <c r="K1056" s="76" t="str">
        <f t="shared" si="508"/>
        <v>revolutum</v>
      </c>
      <c r="L1056" s="77">
        <f t="shared" si="508"/>
        <v>6</v>
      </c>
      <c r="M1056" s="77">
        <f t="shared" si="508"/>
        <v>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Dec</v>
      </c>
      <c r="C1057" s="73">
        <f t="shared" si="505"/>
        <v>3</v>
      </c>
      <c r="D1057" s="74">
        <f t="shared" si="488"/>
        <v>8</v>
      </c>
      <c r="E1057" s="75">
        <f t="shared" si="489"/>
        <v>28</v>
      </c>
      <c r="F1057" s="79"/>
      <c r="G1057" s="82"/>
      <c r="H1057" s="68" t="str">
        <f t="shared" si="506"/>
        <v>Hyprev6_20201203_08_00</v>
      </c>
      <c r="I1057" s="69">
        <f t="shared" si="508"/>
        <v>1</v>
      </c>
      <c r="J1057" s="76" t="str">
        <f t="shared" si="508"/>
        <v>Hypericum</v>
      </c>
      <c r="K1057" s="76" t="str">
        <f t="shared" si="508"/>
        <v>revolutum</v>
      </c>
      <c r="L1057" s="77">
        <f t="shared" si="508"/>
        <v>6</v>
      </c>
      <c r="M1057" s="77">
        <f t="shared" si="508"/>
        <v>1</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Dec</v>
      </c>
      <c r="C1058" s="73">
        <f t="shared" si="505"/>
        <v>3</v>
      </c>
      <c r="D1058" s="74">
        <f t="shared" si="488"/>
        <v>8</v>
      </c>
      <c r="E1058" s="75">
        <f t="shared" si="489"/>
        <v>29</v>
      </c>
      <c r="F1058" s="79"/>
      <c r="G1058" s="82"/>
      <c r="H1058" s="68" t="str">
        <f t="shared" si="506"/>
        <v>Hyprev6_20201203_08_00</v>
      </c>
      <c r="I1058" s="69">
        <f t="shared" si="508"/>
        <v>1</v>
      </c>
      <c r="J1058" s="76" t="str">
        <f t="shared" si="508"/>
        <v>Hypericum</v>
      </c>
      <c r="K1058" s="76" t="str">
        <f t="shared" si="508"/>
        <v>revolutum</v>
      </c>
      <c r="L1058" s="77">
        <f t="shared" si="508"/>
        <v>6</v>
      </c>
      <c r="M1058" s="77">
        <f t="shared" si="508"/>
        <v>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Dec</v>
      </c>
      <c r="C1059" s="73">
        <f t="shared" si="505"/>
        <v>3</v>
      </c>
      <c r="D1059" s="74">
        <f t="shared" si="488"/>
        <v>8</v>
      </c>
      <c r="E1059" s="75">
        <f t="shared" si="489"/>
        <v>30</v>
      </c>
      <c r="F1059" s="79"/>
      <c r="G1059" s="82"/>
      <c r="H1059" s="68" t="str">
        <f t="shared" si="506"/>
        <v>Hyprev6_20201203_08_00</v>
      </c>
      <c r="I1059" s="69">
        <f t="shared" si="508"/>
        <v>1</v>
      </c>
      <c r="J1059" s="76" t="str">
        <f t="shared" si="508"/>
        <v>Hypericum</v>
      </c>
      <c r="K1059" s="76" t="str">
        <f t="shared" si="508"/>
        <v>revolutum</v>
      </c>
      <c r="L1059" s="77">
        <f t="shared" si="508"/>
        <v>6</v>
      </c>
      <c r="M1059" s="77">
        <f t="shared" si="508"/>
        <v>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Dec</v>
      </c>
      <c r="C1060" s="73">
        <f t="shared" si="505"/>
        <v>3</v>
      </c>
      <c r="D1060" s="74">
        <f t="shared" si="488"/>
        <v>8</v>
      </c>
      <c r="E1060" s="75">
        <f t="shared" si="489"/>
        <v>31</v>
      </c>
      <c r="F1060" s="79"/>
      <c r="G1060" s="82"/>
      <c r="H1060" s="68" t="str">
        <f t="shared" si="506"/>
        <v>Hyprev6_20201203_08_00</v>
      </c>
      <c r="I1060" s="69">
        <f t="shared" si="508"/>
        <v>1</v>
      </c>
      <c r="J1060" s="76" t="str">
        <f t="shared" si="508"/>
        <v>Hypericum</v>
      </c>
      <c r="K1060" s="76" t="str">
        <f t="shared" si="508"/>
        <v>revolutum</v>
      </c>
      <c r="L1060" s="77">
        <f t="shared" si="508"/>
        <v>6</v>
      </c>
      <c r="M1060" s="77">
        <f t="shared" si="508"/>
        <v>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Dec</v>
      </c>
      <c r="C1061" s="73">
        <f t="shared" si="505"/>
        <v>3</v>
      </c>
      <c r="D1061" s="74">
        <f t="shared" si="488"/>
        <v>8</v>
      </c>
      <c r="E1061" s="75">
        <f t="shared" si="489"/>
        <v>32</v>
      </c>
      <c r="F1061" s="79"/>
      <c r="G1061" s="82"/>
      <c r="H1061" s="68" t="str">
        <f t="shared" si="506"/>
        <v>Hyprev6_20201203_08_00</v>
      </c>
      <c r="I1061" s="69">
        <f t="shared" ref="I1061:N1076" si="509">I1060</f>
        <v>1</v>
      </c>
      <c r="J1061" s="76" t="str">
        <f t="shared" si="509"/>
        <v>Hypericum</v>
      </c>
      <c r="K1061" s="76" t="str">
        <f t="shared" si="509"/>
        <v>revolutum</v>
      </c>
      <c r="L1061" s="77">
        <f t="shared" si="509"/>
        <v>6</v>
      </c>
      <c r="M1061" s="77">
        <f t="shared" si="509"/>
        <v>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Dec</v>
      </c>
      <c r="C1062" s="73">
        <f t="shared" si="505"/>
        <v>3</v>
      </c>
      <c r="D1062" s="74">
        <f t="shared" si="488"/>
        <v>8</v>
      </c>
      <c r="E1062" s="75">
        <f t="shared" si="489"/>
        <v>33</v>
      </c>
      <c r="F1062" s="79"/>
      <c r="G1062" s="82"/>
      <c r="H1062" s="68" t="str">
        <f t="shared" si="506"/>
        <v>Hyprev6_20201203_08_00</v>
      </c>
      <c r="I1062" s="69">
        <f t="shared" si="509"/>
        <v>1</v>
      </c>
      <c r="J1062" s="76" t="str">
        <f t="shared" si="509"/>
        <v>Hypericum</v>
      </c>
      <c r="K1062" s="76" t="str">
        <f t="shared" si="509"/>
        <v>revolutum</v>
      </c>
      <c r="L1062" s="77">
        <f t="shared" si="509"/>
        <v>6</v>
      </c>
      <c r="M1062" s="77">
        <f t="shared" si="509"/>
        <v>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Dec</v>
      </c>
      <c r="C1063" s="73">
        <f t="shared" si="505"/>
        <v>3</v>
      </c>
      <c r="D1063" s="74">
        <f t="shared" si="488"/>
        <v>8</v>
      </c>
      <c r="E1063" s="75">
        <f t="shared" si="489"/>
        <v>34</v>
      </c>
      <c r="F1063" s="79"/>
      <c r="G1063" s="82"/>
      <c r="H1063" s="68" t="str">
        <f t="shared" si="506"/>
        <v>Hyprev6_20201203_08_00</v>
      </c>
      <c r="I1063" s="69">
        <f t="shared" si="509"/>
        <v>1</v>
      </c>
      <c r="J1063" s="76" t="str">
        <f t="shared" si="509"/>
        <v>Hypericum</v>
      </c>
      <c r="K1063" s="76" t="str">
        <f t="shared" si="509"/>
        <v>revolutum</v>
      </c>
      <c r="L1063" s="77">
        <f t="shared" si="509"/>
        <v>6</v>
      </c>
      <c r="M1063" s="77">
        <f t="shared" si="509"/>
        <v>1</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Dec</v>
      </c>
      <c r="C1064" s="73">
        <f t="shared" si="505"/>
        <v>3</v>
      </c>
      <c r="D1064" s="74">
        <f t="shared" si="488"/>
        <v>8</v>
      </c>
      <c r="E1064" s="75">
        <f t="shared" si="489"/>
        <v>35</v>
      </c>
      <c r="F1064" s="79"/>
      <c r="G1064" s="82"/>
      <c r="H1064" s="68" t="str">
        <f t="shared" si="506"/>
        <v>Hyprev6_20201203_08_00</v>
      </c>
      <c r="I1064" s="69">
        <f t="shared" si="509"/>
        <v>1</v>
      </c>
      <c r="J1064" s="76" t="str">
        <f t="shared" si="509"/>
        <v>Hypericum</v>
      </c>
      <c r="K1064" s="76" t="str">
        <f t="shared" si="509"/>
        <v>revolutum</v>
      </c>
      <c r="L1064" s="77">
        <f t="shared" si="509"/>
        <v>6</v>
      </c>
      <c r="M1064" s="77">
        <f t="shared" si="509"/>
        <v>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Dec</v>
      </c>
      <c r="C1065" s="73">
        <f t="shared" si="505"/>
        <v>3</v>
      </c>
      <c r="D1065" s="74">
        <f t="shared" si="488"/>
        <v>8</v>
      </c>
      <c r="E1065" s="75">
        <f t="shared" si="489"/>
        <v>36</v>
      </c>
      <c r="F1065" s="79"/>
      <c r="G1065" s="82"/>
      <c r="H1065" s="68" t="str">
        <f t="shared" si="506"/>
        <v>Hyprev6_20201203_08_00</v>
      </c>
      <c r="I1065" s="69">
        <f t="shared" si="509"/>
        <v>1</v>
      </c>
      <c r="J1065" s="76" t="str">
        <f t="shared" si="509"/>
        <v>Hypericum</v>
      </c>
      <c r="K1065" s="76" t="str">
        <f t="shared" si="509"/>
        <v>revolutum</v>
      </c>
      <c r="L1065" s="77">
        <f t="shared" si="509"/>
        <v>6</v>
      </c>
      <c r="M1065" s="77">
        <f t="shared" si="509"/>
        <v>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Dec</v>
      </c>
      <c r="C1066" s="73">
        <f t="shared" si="505"/>
        <v>3</v>
      </c>
      <c r="D1066" s="74">
        <f t="shared" si="488"/>
        <v>8</v>
      </c>
      <c r="E1066" s="75">
        <f t="shared" si="489"/>
        <v>37</v>
      </c>
      <c r="F1066" s="79"/>
      <c r="G1066" s="82"/>
      <c r="H1066" s="68" t="str">
        <f t="shared" si="506"/>
        <v>Hyprev6_20201203_08_00</v>
      </c>
      <c r="I1066" s="69">
        <f t="shared" si="509"/>
        <v>1</v>
      </c>
      <c r="J1066" s="76" t="str">
        <f t="shared" si="509"/>
        <v>Hypericum</v>
      </c>
      <c r="K1066" s="76" t="str">
        <f t="shared" si="509"/>
        <v>revolutum</v>
      </c>
      <c r="L1066" s="77">
        <f t="shared" si="509"/>
        <v>6</v>
      </c>
      <c r="M1066" s="77">
        <f t="shared" si="509"/>
        <v>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Dec</v>
      </c>
      <c r="C1067" s="73">
        <f t="shared" si="505"/>
        <v>3</v>
      </c>
      <c r="D1067" s="74">
        <f t="shared" si="488"/>
        <v>8</v>
      </c>
      <c r="E1067" s="75">
        <f t="shared" si="489"/>
        <v>38</v>
      </c>
      <c r="F1067" s="79"/>
      <c r="G1067" s="82"/>
      <c r="H1067" s="68" t="str">
        <f t="shared" si="506"/>
        <v>Hyprev6_20201203_08_00</v>
      </c>
      <c r="I1067" s="69">
        <f t="shared" si="509"/>
        <v>1</v>
      </c>
      <c r="J1067" s="76" t="str">
        <f t="shared" si="509"/>
        <v>Hypericum</v>
      </c>
      <c r="K1067" s="76" t="str">
        <f t="shared" si="509"/>
        <v>revolutum</v>
      </c>
      <c r="L1067" s="77">
        <f t="shared" si="509"/>
        <v>6</v>
      </c>
      <c r="M1067" s="77">
        <f t="shared" si="509"/>
        <v>1</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Dec</v>
      </c>
      <c r="C1068" s="73">
        <f t="shared" si="505"/>
        <v>3</v>
      </c>
      <c r="D1068" s="74">
        <f t="shared" si="488"/>
        <v>8</v>
      </c>
      <c r="E1068" s="75">
        <f t="shared" si="489"/>
        <v>39</v>
      </c>
      <c r="F1068" s="79"/>
      <c r="G1068" s="82"/>
      <c r="H1068" s="68" t="str">
        <f t="shared" si="506"/>
        <v>Hyprev6_20201203_08_00</v>
      </c>
      <c r="I1068" s="69">
        <f t="shared" si="509"/>
        <v>1</v>
      </c>
      <c r="J1068" s="76" t="str">
        <f t="shared" si="509"/>
        <v>Hypericum</v>
      </c>
      <c r="K1068" s="76" t="str">
        <f t="shared" si="509"/>
        <v>revolutum</v>
      </c>
      <c r="L1068" s="77">
        <f t="shared" si="509"/>
        <v>6</v>
      </c>
      <c r="M1068" s="77">
        <f t="shared" si="509"/>
        <v>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Dec</v>
      </c>
      <c r="C1069" s="73">
        <f t="shared" si="505"/>
        <v>3</v>
      </c>
      <c r="D1069" s="74">
        <f t="shared" si="488"/>
        <v>8</v>
      </c>
      <c r="E1069" s="75">
        <f t="shared" si="489"/>
        <v>40</v>
      </c>
      <c r="F1069" s="79"/>
      <c r="G1069" s="82"/>
      <c r="H1069" s="68" t="str">
        <f t="shared" si="506"/>
        <v>Hyprev6_20201203_08_00</v>
      </c>
      <c r="I1069" s="69">
        <f t="shared" si="509"/>
        <v>1</v>
      </c>
      <c r="J1069" s="76" t="str">
        <f t="shared" si="509"/>
        <v>Hypericum</v>
      </c>
      <c r="K1069" s="76" t="str">
        <f t="shared" si="509"/>
        <v>revolutum</v>
      </c>
      <c r="L1069" s="77">
        <f t="shared" si="509"/>
        <v>6</v>
      </c>
      <c r="M1069" s="77">
        <f t="shared" si="509"/>
        <v>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Dec</v>
      </c>
      <c r="C1070" s="73">
        <f t="shared" si="505"/>
        <v>3</v>
      </c>
      <c r="D1070" s="74">
        <f t="shared" si="488"/>
        <v>8</v>
      </c>
      <c r="E1070" s="75">
        <f t="shared" si="489"/>
        <v>41</v>
      </c>
      <c r="F1070" s="79"/>
      <c r="G1070" s="82"/>
      <c r="H1070" s="68" t="str">
        <f t="shared" si="506"/>
        <v>Hyprev6_20201203_08_00</v>
      </c>
      <c r="I1070" s="69">
        <f t="shared" si="509"/>
        <v>1</v>
      </c>
      <c r="J1070" s="76" t="str">
        <f t="shared" si="509"/>
        <v>Hypericum</v>
      </c>
      <c r="K1070" s="76" t="str">
        <f t="shared" si="509"/>
        <v>revolutum</v>
      </c>
      <c r="L1070" s="77">
        <f t="shared" si="509"/>
        <v>6</v>
      </c>
      <c r="M1070" s="77">
        <f t="shared" si="509"/>
        <v>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Dec</v>
      </c>
      <c r="C1071" s="73">
        <f t="shared" si="505"/>
        <v>3</v>
      </c>
      <c r="D1071" s="74">
        <f t="shared" si="488"/>
        <v>8</v>
      </c>
      <c r="E1071" s="75">
        <f t="shared" si="489"/>
        <v>42</v>
      </c>
      <c r="F1071" s="79"/>
      <c r="G1071" s="82"/>
      <c r="H1071" s="68" t="str">
        <f t="shared" si="506"/>
        <v>Hyprev6_20201203_08_00</v>
      </c>
      <c r="I1071" s="69">
        <f t="shared" si="509"/>
        <v>1</v>
      </c>
      <c r="J1071" s="76" t="str">
        <f t="shared" si="509"/>
        <v>Hypericum</v>
      </c>
      <c r="K1071" s="76" t="str">
        <f t="shared" si="509"/>
        <v>revolutum</v>
      </c>
      <c r="L1071" s="77">
        <f t="shared" si="509"/>
        <v>6</v>
      </c>
      <c r="M1071" s="77">
        <f t="shared" si="509"/>
        <v>1</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Dec</v>
      </c>
      <c r="C1072" s="73">
        <f t="shared" si="505"/>
        <v>3</v>
      </c>
      <c r="D1072" s="74">
        <f t="shared" si="488"/>
        <v>8</v>
      </c>
      <c r="E1072" s="75">
        <f t="shared" si="489"/>
        <v>43</v>
      </c>
      <c r="F1072" s="79"/>
      <c r="G1072" s="82"/>
      <c r="H1072" s="68" t="str">
        <f t="shared" si="506"/>
        <v>Hyprev6_20201203_08_00</v>
      </c>
      <c r="I1072" s="69">
        <f t="shared" si="509"/>
        <v>1</v>
      </c>
      <c r="J1072" s="76" t="str">
        <f t="shared" si="509"/>
        <v>Hypericum</v>
      </c>
      <c r="K1072" s="76" t="str">
        <f t="shared" si="509"/>
        <v>revolutum</v>
      </c>
      <c r="L1072" s="77">
        <f t="shared" si="509"/>
        <v>6</v>
      </c>
      <c r="M1072" s="77">
        <f t="shared" si="509"/>
        <v>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Dec</v>
      </c>
      <c r="C1073" s="73">
        <f t="shared" si="505"/>
        <v>3</v>
      </c>
      <c r="D1073" s="74">
        <f t="shared" si="488"/>
        <v>8</v>
      </c>
      <c r="E1073" s="75">
        <f t="shared" si="489"/>
        <v>44</v>
      </c>
      <c r="F1073" s="79"/>
      <c r="G1073" s="82"/>
      <c r="H1073" s="68" t="str">
        <f t="shared" si="506"/>
        <v>Hyprev6_20201203_08_00</v>
      </c>
      <c r="I1073" s="69">
        <f t="shared" si="509"/>
        <v>1</v>
      </c>
      <c r="J1073" s="76" t="str">
        <f t="shared" si="509"/>
        <v>Hypericum</v>
      </c>
      <c r="K1073" s="76" t="str">
        <f t="shared" si="509"/>
        <v>revolutum</v>
      </c>
      <c r="L1073" s="77">
        <f t="shared" si="509"/>
        <v>6</v>
      </c>
      <c r="M1073" s="77">
        <f t="shared" si="509"/>
        <v>1</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Dec</v>
      </c>
      <c r="C1074" s="73">
        <f t="shared" si="505"/>
        <v>3</v>
      </c>
      <c r="D1074" s="74">
        <f t="shared" si="488"/>
        <v>8</v>
      </c>
      <c r="E1074" s="75">
        <f t="shared" si="489"/>
        <v>45</v>
      </c>
      <c r="F1074" s="79"/>
      <c r="G1074" s="82"/>
      <c r="H1074" s="68" t="str">
        <f t="shared" si="506"/>
        <v>Hyprev6_20201203_08_00</v>
      </c>
      <c r="I1074" s="69">
        <f t="shared" si="509"/>
        <v>1</v>
      </c>
      <c r="J1074" s="76" t="str">
        <f t="shared" si="509"/>
        <v>Hypericum</v>
      </c>
      <c r="K1074" s="76" t="str">
        <f t="shared" si="509"/>
        <v>revolutum</v>
      </c>
      <c r="L1074" s="77">
        <f t="shared" si="509"/>
        <v>6</v>
      </c>
      <c r="M1074" s="77">
        <f t="shared" si="509"/>
        <v>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Dec</v>
      </c>
      <c r="C1075" s="73">
        <f t="shared" si="505"/>
        <v>3</v>
      </c>
      <c r="D1075" s="74">
        <f t="shared" si="488"/>
        <v>8</v>
      </c>
      <c r="E1075" s="75">
        <f t="shared" si="489"/>
        <v>46</v>
      </c>
      <c r="F1075" s="79"/>
      <c r="G1075" s="82"/>
      <c r="H1075" s="68" t="str">
        <f t="shared" si="506"/>
        <v>Hyprev6_20201203_08_00</v>
      </c>
      <c r="I1075" s="69">
        <f t="shared" si="509"/>
        <v>1</v>
      </c>
      <c r="J1075" s="76" t="str">
        <f t="shared" si="509"/>
        <v>Hypericum</v>
      </c>
      <c r="K1075" s="76" t="str">
        <f t="shared" si="509"/>
        <v>revolutum</v>
      </c>
      <c r="L1075" s="77">
        <f t="shared" si="509"/>
        <v>6</v>
      </c>
      <c r="M1075" s="77">
        <f t="shared" si="509"/>
        <v>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Dec</v>
      </c>
      <c r="C1076" s="73">
        <f t="shared" si="505"/>
        <v>3</v>
      </c>
      <c r="D1076" s="74">
        <f t="shared" si="488"/>
        <v>8</v>
      </c>
      <c r="E1076" s="75">
        <f t="shared" si="489"/>
        <v>47</v>
      </c>
      <c r="F1076" s="79"/>
      <c r="G1076" s="82"/>
      <c r="H1076" s="68" t="str">
        <f t="shared" si="506"/>
        <v>Hyprev6_20201203_08_00</v>
      </c>
      <c r="I1076" s="69">
        <f t="shared" si="509"/>
        <v>1</v>
      </c>
      <c r="J1076" s="76" t="str">
        <f t="shared" si="509"/>
        <v>Hypericum</v>
      </c>
      <c r="K1076" s="76" t="str">
        <f t="shared" si="509"/>
        <v>revolutum</v>
      </c>
      <c r="L1076" s="77">
        <f t="shared" si="509"/>
        <v>6</v>
      </c>
      <c r="M1076" s="77">
        <f t="shared" si="509"/>
        <v>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Dec</v>
      </c>
      <c r="C1077" s="73">
        <f t="shared" si="505"/>
        <v>3</v>
      </c>
      <c r="D1077" s="74">
        <f t="shared" si="488"/>
        <v>8</v>
      </c>
      <c r="E1077" s="75">
        <f t="shared" si="489"/>
        <v>48</v>
      </c>
      <c r="F1077" s="79"/>
      <c r="G1077" s="82"/>
      <c r="H1077" s="68" t="str">
        <f t="shared" si="506"/>
        <v>Hyprev6_20201203_08_00</v>
      </c>
      <c r="I1077" s="69">
        <f t="shared" ref="I1077:N1092" si="510">I1076</f>
        <v>1</v>
      </c>
      <c r="J1077" s="76" t="str">
        <f t="shared" si="510"/>
        <v>Hypericum</v>
      </c>
      <c r="K1077" s="76" t="str">
        <f t="shared" si="510"/>
        <v>revolutum</v>
      </c>
      <c r="L1077" s="77">
        <f t="shared" si="510"/>
        <v>6</v>
      </c>
      <c r="M1077" s="77">
        <f t="shared" si="510"/>
        <v>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Dec</v>
      </c>
      <c r="C1078" s="73">
        <f t="shared" si="505"/>
        <v>3</v>
      </c>
      <c r="D1078" s="74">
        <f t="shared" si="488"/>
        <v>8</v>
      </c>
      <c r="E1078" s="75">
        <f t="shared" si="489"/>
        <v>49</v>
      </c>
      <c r="F1078" s="79"/>
      <c r="G1078" s="82"/>
      <c r="H1078" s="68" t="str">
        <f t="shared" si="506"/>
        <v>Hyprev6_20201203_08_00</v>
      </c>
      <c r="I1078" s="69">
        <f t="shared" si="510"/>
        <v>1</v>
      </c>
      <c r="J1078" s="76" t="str">
        <f t="shared" si="510"/>
        <v>Hypericum</v>
      </c>
      <c r="K1078" s="76" t="str">
        <f t="shared" si="510"/>
        <v>revolutum</v>
      </c>
      <c r="L1078" s="77">
        <f t="shared" si="510"/>
        <v>6</v>
      </c>
      <c r="M1078" s="77">
        <f t="shared" si="510"/>
        <v>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Dec</v>
      </c>
      <c r="C1079" s="73">
        <f t="shared" si="505"/>
        <v>3</v>
      </c>
      <c r="D1079" s="74">
        <f t="shared" si="488"/>
        <v>8</v>
      </c>
      <c r="E1079" s="75">
        <f t="shared" si="489"/>
        <v>50</v>
      </c>
      <c r="F1079" s="79"/>
      <c r="G1079" s="82"/>
      <c r="H1079" s="68" t="str">
        <f t="shared" si="506"/>
        <v>Hyprev6_20201203_08_00</v>
      </c>
      <c r="I1079" s="69">
        <f t="shared" si="510"/>
        <v>1</v>
      </c>
      <c r="J1079" s="76" t="str">
        <f t="shared" si="510"/>
        <v>Hypericum</v>
      </c>
      <c r="K1079" s="76" t="str">
        <f t="shared" si="510"/>
        <v>revolutum</v>
      </c>
      <c r="L1079" s="77">
        <f t="shared" si="510"/>
        <v>6</v>
      </c>
      <c r="M1079" s="77">
        <f t="shared" si="510"/>
        <v>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Dec</v>
      </c>
      <c r="C1080" s="73">
        <f t="shared" si="505"/>
        <v>3</v>
      </c>
      <c r="D1080" s="74">
        <f t="shared" si="488"/>
        <v>8</v>
      </c>
      <c r="E1080" s="75">
        <f t="shared" si="489"/>
        <v>51</v>
      </c>
      <c r="F1080" s="79"/>
      <c r="G1080" s="82"/>
      <c r="H1080" s="68" t="str">
        <f t="shared" si="506"/>
        <v>Hyprev6_20201203_08_00</v>
      </c>
      <c r="I1080" s="69">
        <f t="shared" si="510"/>
        <v>1</v>
      </c>
      <c r="J1080" s="76" t="str">
        <f t="shared" si="510"/>
        <v>Hypericum</v>
      </c>
      <c r="K1080" s="76" t="str">
        <f t="shared" si="510"/>
        <v>revolutum</v>
      </c>
      <c r="L1080" s="77">
        <f t="shared" si="510"/>
        <v>6</v>
      </c>
      <c r="M1080" s="77">
        <f t="shared" si="510"/>
        <v>1</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Dec</v>
      </c>
      <c r="C1081" s="73">
        <f t="shared" si="505"/>
        <v>3</v>
      </c>
      <c r="D1081" s="74">
        <f t="shared" si="488"/>
        <v>8</v>
      </c>
      <c r="E1081" s="75">
        <f t="shared" si="489"/>
        <v>52</v>
      </c>
      <c r="F1081" s="79"/>
      <c r="G1081" s="82"/>
      <c r="H1081" s="68" t="str">
        <f t="shared" si="506"/>
        <v>Hyprev6_20201203_08_00</v>
      </c>
      <c r="I1081" s="69">
        <f t="shared" si="510"/>
        <v>1</v>
      </c>
      <c r="J1081" s="76" t="str">
        <f t="shared" si="510"/>
        <v>Hypericum</v>
      </c>
      <c r="K1081" s="76" t="str">
        <f t="shared" si="510"/>
        <v>revolutum</v>
      </c>
      <c r="L1081" s="77">
        <f t="shared" si="510"/>
        <v>6</v>
      </c>
      <c r="M1081" s="77">
        <f t="shared" si="510"/>
        <v>1</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Dec</v>
      </c>
      <c r="C1082" s="73">
        <f t="shared" si="505"/>
        <v>3</v>
      </c>
      <c r="D1082" s="74">
        <f t="shared" si="488"/>
        <v>8</v>
      </c>
      <c r="E1082" s="75">
        <f t="shared" si="489"/>
        <v>53</v>
      </c>
      <c r="F1082" s="79"/>
      <c r="G1082" s="82"/>
      <c r="H1082" s="68" t="str">
        <f t="shared" si="506"/>
        <v>Hyprev6_20201203_08_00</v>
      </c>
      <c r="I1082" s="69">
        <f t="shared" si="510"/>
        <v>1</v>
      </c>
      <c r="J1082" s="76" t="str">
        <f t="shared" si="510"/>
        <v>Hypericum</v>
      </c>
      <c r="K1082" s="76" t="str">
        <f t="shared" si="510"/>
        <v>revolutum</v>
      </c>
      <c r="L1082" s="77">
        <f t="shared" si="510"/>
        <v>6</v>
      </c>
      <c r="M1082" s="77">
        <f t="shared" si="510"/>
        <v>1</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Dec</v>
      </c>
      <c r="C1083" s="73">
        <f t="shared" si="505"/>
        <v>3</v>
      </c>
      <c r="D1083" s="74">
        <f t="shared" si="488"/>
        <v>8</v>
      </c>
      <c r="E1083" s="75">
        <f t="shared" si="489"/>
        <v>54</v>
      </c>
      <c r="F1083" s="79"/>
      <c r="G1083" s="82"/>
      <c r="H1083" s="68" t="str">
        <f t="shared" si="506"/>
        <v>Hyprev6_20201203_08_00</v>
      </c>
      <c r="I1083" s="69">
        <f t="shared" si="510"/>
        <v>1</v>
      </c>
      <c r="J1083" s="76" t="str">
        <f t="shared" si="510"/>
        <v>Hypericum</v>
      </c>
      <c r="K1083" s="76" t="str">
        <f t="shared" si="510"/>
        <v>revolutum</v>
      </c>
      <c r="L1083" s="77">
        <f t="shared" si="510"/>
        <v>6</v>
      </c>
      <c r="M1083" s="77">
        <f t="shared" si="510"/>
        <v>1</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Dec</v>
      </c>
      <c r="C1084" s="73">
        <f t="shared" si="505"/>
        <v>3</v>
      </c>
      <c r="D1084" s="74">
        <f t="shared" si="488"/>
        <v>8</v>
      </c>
      <c r="E1084" s="75">
        <f t="shared" si="489"/>
        <v>55</v>
      </c>
      <c r="F1084" s="79"/>
      <c r="G1084" s="82"/>
      <c r="H1084" s="68" t="str">
        <f t="shared" si="506"/>
        <v>Hyprev6_20201203_08_00</v>
      </c>
      <c r="I1084" s="69">
        <f t="shared" si="510"/>
        <v>1</v>
      </c>
      <c r="J1084" s="76" t="str">
        <f t="shared" si="510"/>
        <v>Hypericum</v>
      </c>
      <c r="K1084" s="76" t="str">
        <f t="shared" si="510"/>
        <v>revolutum</v>
      </c>
      <c r="L1084" s="77">
        <f t="shared" si="510"/>
        <v>6</v>
      </c>
      <c r="M1084" s="77">
        <f t="shared" si="510"/>
        <v>1</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Dec</v>
      </c>
      <c r="C1085" s="73">
        <f t="shared" si="505"/>
        <v>3</v>
      </c>
      <c r="D1085" s="74">
        <f t="shared" si="488"/>
        <v>8</v>
      </c>
      <c r="E1085" s="75">
        <f t="shared" si="489"/>
        <v>56</v>
      </c>
      <c r="F1085" s="79"/>
      <c r="G1085" s="82"/>
      <c r="H1085" s="68" t="str">
        <f t="shared" si="506"/>
        <v>Hyprev6_20201203_08_00</v>
      </c>
      <c r="I1085" s="69">
        <f t="shared" si="510"/>
        <v>1</v>
      </c>
      <c r="J1085" s="76" t="str">
        <f t="shared" si="510"/>
        <v>Hypericum</v>
      </c>
      <c r="K1085" s="76" t="str">
        <f t="shared" si="510"/>
        <v>revolutum</v>
      </c>
      <c r="L1085" s="77">
        <f t="shared" si="510"/>
        <v>6</v>
      </c>
      <c r="M1085" s="77">
        <f t="shared" si="510"/>
        <v>1</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Dec</v>
      </c>
      <c r="C1086" s="73">
        <f t="shared" si="505"/>
        <v>3</v>
      </c>
      <c r="D1086" s="74">
        <f t="shared" si="488"/>
        <v>8</v>
      </c>
      <c r="E1086" s="75">
        <f t="shared" si="489"/>
        <v>57</v>
      </c>
      <c r="F1086" s="79"/>
      <c r="G1086" s="82"/>
      <c r="H1086" s="68" t="str">
        <f t="shared" si="506"/>
        <v>Hyprev6_20201203_08_00</v>
      </c>
      <c r="I1086" s="69">
        <f t="shared" si="510"/>
        <v>1</v>
      </c>
      <c r="J1086" s="76" t="str">
        <f t="shared" si="510"/>
        <v>Hypericum</v>
      </c>
      <c r="K1086" s="76" t="str">
        <f t="shared" si="510"/>
        <v>revolutum</v>
      </c>
      <c r="L1086" s="77">
        <f t="shared" si="510"/>
        <v>6</v>
      </c>
      <c r="M1086" s="77">
        <f t="shared" si="510"/>
        <v>1</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Dec</v>
      </c>
      <c r="C1087" s="73">
        <f t="shared" si="505"/>
        <v>3</v>
      </c>
      <c r="D1087" s="74">
        <f t="shared" si="488"/>
        <v>8</v>
      </c>
      <c r="E1087" s="75">
        <f t="shared" si="489"/>
        <v>58</v>
      </c>
      <c r="F1087" s="79"/>
      <c r="G1087" s="82"/>
      <c r="H1087" s="68" t="str">
        <f t="shared" si="506"/>
        <v>Hyprev6_20201203_08_00</v>
      </c>
      <c r="I1087" s="69">
        <f t="shared" si="510"/>
        <v>1</v>
      </c>
      <c r="J1087" s="76" t="str">
        <f t="shared" si="510"/>
        <v>Hypericum</v>
      </c>
      <c r="K1087" s="76" t="str">
        <f t="shared" si="510"/>
        <v>revolutum</v>
      </c>
      <c r="L1087" s="77">
        <f t="shared" si="510"/>
        <v>6</v>
      </c>
      <c r="M1087" s="77">
        <f t="shared" si="510"/>
        <v>1</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Dec</v>
      </c>
      <c r="C1088" s="73">
        <f t="shared" si="505"/>
        <v>3</v>
      </c>
      <c r="D1088" s="74">
        <f t="shared" si="488"/>
        <v>8</v>
      </c>
      <c r="E1088" s="75">
        <f t="shared" si="489"/>
        <v>59</v>
      </c>
      <c r="F1088" s="79"/>
      <c r="G1088" s="82"/>
      <c r="H1088" s="68" t="str">
        <f t="shared" si="506"/>
        <v>Hyprev6_20201203_08_00</v>
      </c>
      <c r="I1088" s="69">
        <f t="shared" si="510"/>
        <v>1</v>
      </c>
      <c r="J1088" s="76" t="str">
        <f t="shared" si="510"/>
        <v>Hypericum</v>
      </c>
      <c r="K1088" s="76" t="str">
        <f t="shared" si="510"/>
        <v>revolutum</v>
      </c>
      <c r="L1088" s="77">
        <f t="shared" si="510"/>
        <v>6</v>
      </c>
      <c r="M1088" s="77">
        <f t="shared" si="510"/>
        <v>1</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Dec</v>
      </c>
      <c r="C1089" s="73">
        <f t="shared" si="505"/>
        <v>3</v>
      </c>
      <c r="D1089" s="74">
        <f t="shared" si="488"/>
        <v>9</v>
      </c>
      <c r="E1089" s="75">
        <f t="shared" si="489"/>
        <v>0</v>
      </c>
      <c r="F1089" s="79"/>
      <c r="G1089" s="82"/>
      <c r="H1089" s="68" t="str">
        <f t="shared" si="506"/>
        <v>Hyprev6_20201203_09_00</v>
      </c>
      <c r="I1089" s="69">
        <f t="shared" si="510"/>
        <v>1</v>
      </c>
      <c r="J1089" s="76" t="str">
        <f t="shared" si="510"/>
        <v>Hypericum</v>
      </c>
      <c r="K1089" s="76" t="str">
        <f t="shared" si="510"/>
        <v>revolutum</v>
      </c>
      <c r="L1089" s="77">
        <f t="shared" si="510"/>
        <v>6</v>
      </c>
      <c r="M1089" s="77">
        <f t="shared" si="510"/>
        <v>1</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Dec</v>
      </c>
      <c r="C1090" s="73">
        <f t="shared" si="505"/>
        <v>3</v>
      </c>
      <c r="D1090" s="74">
        <f t="shared" si="488"/>
        <v>9</v>
      </c>
      <c r="E1090" s="75">
        <f t="shared" si="489"/>
        <v>1</v>
      </c>
      <c r="F1090" s="79"/>
      <c r="G1090" s="82"/>
      <c r="H1090" s="68" t="str">
        <f t="shared" si="506"/>
        <v>Hyprev6_20201203_09_00</v>
      </c>
      <c r="I1090" s="69">
        <f t="shared" si="510"/>
        <v>1</v>
      </c>
      <c r="J1090" s="76" t="str">
        <f t="shared" si="510"/>
        <v>Hypericum</v>
      </c>
      <c r="K1090" s="76" t="str">
        <f t="shared" si="510"/>
        <v>revolutum</v>
      </c>
      <c r="L1090" s="77">
        <f t="shared" si="510"/>
        <v>6</v>
      </c>
      <c r="M1090" s="77">
        <f t="shared" si="510"/>
        <v>1</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Dec</v>
      </c>
      <c r="C1091" s="73">
        <f t="shared" si="505"/>
        <v>3</v>
      </c>
      <c r="D1091" s="74">
        <f t="shared" si="488"/>
        <v>9</v>
      </c>
      <c r="E1091" s="75">
        <f t="shared" si="489"/>
        <v>2</v>
      </c>
      <c r="F1091" s="79"/>
      <c r="G1091" s="82"/>
      <c r="H1091" s="68" t="str">
        <f t="shared" si="506"/>
        <v>Hyprev6_20201203_09_00</v>
      </c>
      <c r="I1091" s="69">
        <f t="shared" si="510"/>
        <v>1</v>
      </c>
      <c r="J1091" s="76" t="str">
        <f t="shared" si="510"/>
        <v>Hypericum</v>
      </c>
      <c r="K1091" s="76" t="str">
        <f t="shared" si="510"/>
        <v>revolutum</v>
      </c>
      <c r="L1091" s="77">
        <f t="shared" si="510"/>
        <v>6</v>
      </c>
      <c r="M1091" s="77">
        <f t="shared" si="510"/>
        <v>1</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Dec</v>
      </c>
      <c r="C1092" s="73">
        <f t="shared" si="505"/>
        <v>3</v>
      </c>
      <c r="D1092" s="74">
        <f t="shared" ref="D1092:D1155" si="518">IF(IF(E1091=59,D1091+1,D1091)=24,0,IF(E1091=59,D1091+1,D1091))</f>
        <v>9</v>
      </c>
      <c r="E1092" s="75">
        <f t="shared" ref="E1092:E1155" si="519">IF(E1091&lt;59,E1091+1,0)</f>
        <v>3</v>
      </c>
      <c r="F1092" s="79"/>
      <c r="G1092" s="82"/>
      <c r="H1092" s="68" t="str">
        <f t="shared" si="506"/>
        <v>Hyprev6_20201203_09_00</v>
      </c>
      <c r="I1092" s="69">
        <f t="shared" si="510"/>
        <v>1</v>
      </c>
      <c r="J1092" s="76" t="str">
        <f t="shared" si="510"/>
        <v>Hypericum</v>
      </c>
      <c r="K1092" s="76" t="str">
        <f t="shared" si="510"/>
        <v>revolutum</v>
      </c>
      <c r="L1092" s="77">
        <f t="shared" si="510"/>
        <v>6</v>
      </c>
      <c r="M1092" s="77">
        <f t="shared" si="510"/>
        <v>1</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Dec</v>
      </c>
      <c r="C1093" s="73">
        <f t="shared" ref="C1093:C1156" si="535">IF(AND(D1093=0, E1093=0), IF(TEXT(C1092,"dd")=TEXT(EOMONTH(DATE(A1092,MONTH(DATEVALUE(B1092&amp;"1")),C1092),0), "dd"), 1, C1092+1), C1092)</f>
        <v>3</v>
      </c>
      <c r="D1093" s="74">
        <f t="shared" si="518"/>
        <v>9</v>
      </c>
      <c r="E1093" s="75">
        <f t="shared" si="519"/>
        <v>4</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Hyprev6_20201203_09_00</v>
      </c>
      <c r="I1093" s="69">
        <f t="shared" ref="I1093:N1108" si="537">I1092</f>
        <v>1</v>
      </c>
      <c r="J1093" s="76" t="str">
        <f t="shared" si="537"/>
        <v>Hypericum</v>
      </c>
      <c r="K1093" s="76" t="str">
        <f t="shared" si="537"/>
        <v>revolutum</v>
      </c>
      <c r="L1093" s="77">
        <f t="shared" si="537"/>
        <v>6</v>
      </c>
      <c r="M1093" s="77">
        <f t="shared" si="537"/>
        <v>1</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Dec</v>
      </c>
      <c r="C1094" s="73">
        <f t="shared" si="535"/>
        <v>3</v>
      </c>
      <c r="D1094" s="74">
        <f t="shared" si="518"/>
        <v>9</v>
      </c>
      <c r="E1094" s="75">
        <f t="shared" si="519"/>
        <v>5</v>
      </c>
      <c r="F1094" s="79"/>
      <c r="G1094" s="82"/>
      <c r="H1094" s="68" t="str">
        <f t="shared" si="536"/>
        <v>Hyprev6_20201203_09_00</v>
      </c>
      <c r="I1094" s="69">
        <f t="shared" si="537"/>
        <v>1</v>
      </c>
      <c r="J1094" s="76" t="str">
        <f t="shared" si="537"/>
        <v>Hypericum</v>
      </c>
      <c r="K1094" s="76" t="str">
        <f t="shared" si="537"/>
        <v>revolutum</v>
      </c>
      <c r="L1094" s="77">
        <f t="shared" si="537"/>
        <v>6</v>
      </c>
      <c r="M1094" s="77">
        <f t="shared" si="537"/>
        <v>1</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Dec</v>
      </c>
      <c r="C1095" s="73">
        <f t="shared" si="535"/>
        <v>3</v>
      </c>
      <c r="D1095" s="74">
        <f t="shared" si="518"/>
        <v>9</v>
      </c>
      <c r="E1095" s="75">
        <f t="shared" si="519"/>
        <v>6</v>
      </c>
      <c r="F1095" s="79"/>
      <c r="G1095" s="82"/>
      <c r="H1095" s="68" t="str">
        <f t="shared" si="536"/>
        <v>Hyprev6_20201203_09_00</v>
      </c>
      <c r="I1095" s="69">
        <f t="shared" si="537"/>
        <v>1</v>
      </c>
      <c r="J1095" s="76" t="str">
        <f t="shared" si="537"/>
        <v>Hypericum</v>
      </c>
      <c r="K1095" s="76" t="str">
        <f t="shared" si="537"/>
        <v>revolutum</v>
      </c>
      <c r="L1095" s="77">
        <f t="shared" si="537"/>
        <v>6</v>
      </c>
      <c r="M1095" s="77">
        <f t="shared" si="537"/>
        <v>1</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Dec</v>
      </c>
      <c r="C1096" s="73">
        <f t="shared" si="535"/>
        <v>3</v>
      </c>
      <c r="D1096" s="74">
        <f t="shared" si="518"/>
        <v>9</v>
      </c>
      <c r="E1096" s="75">
        <f t="shared" si="519"/>
        <v>7</v>
      </c>
      <c r="F1096" s="79"/>
      <c r="G1096" s="82"/>
      <c r="H1096" s="68" t="str">
        <f t="shared" si="536"/>
        <v>Hyprev6_20201203_09_00</v>
      </c>
      <c r="I1096" s="69">
        <f t="shared" si="537"/>
        <v>1</v>
      </c>
      <c r="J1096" s="76" t="str">
        <f t="shared" si="537"/>
        <v>Hypericum</v>
      </c>
      <c r="K1096" s="76" t="str">
        <f t="shared" si="537"/>
        <v>revolutum</v>
      </c>
      <c r="L1096" s="77">
        <f t="shared" si="537"/>
        <v>6</v>
      </c>
      <c r="M1096" s="77">
        <f t="shared" si="537"/>
        <v>1</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Dec</v>
      </c>
      <c r="C1097" s="73">
        <f t="shared" si="535"/>
        <v>3</v>
      </c>
      <c r="D1097" s="74">
        <f t="shared" si="518"/>
        <v>9</v>
      </c>
      <c r="E1097" s="75">
        <f t="shared" si="519"/>
        <v>8</v>
      </c>
      <c r="F1097" s="79"/>
      <c r="G1097" s="82"/>
      <c r="H1097" s="68" t="str">
        <f t="shared" si="536"/>
        <v>Hyprev6_20201203_09_00</v>
      </c>
      <c r="I1097" s="69">
        <f t="shared" si="537"/>
        <v>1</v>
      </c>
      <c r="J1097" s="76" t="str">
        <f t="shared" si="537"/>
        <v>Hypericum</v>
      </c>
      <c r="K1097" s="76" t="str">
        <f t="shared" si="537"/>
        <v>revolutum</v>
      </c>
      <c r="L1097" s="77">
        <f t="shared" si="537"/>
        <v>6</v>
      </c>
      <c r="M1097" s="77">
        <f t="shared" si="537"/>
        <v>1</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Dec</v>
      </c>
      <c r="C1098" s="73">
        <f t="shared" si="535"/>
        <v>3</v>
      </c>
      <c r="D1098" s="74">
        <f t="shared" si="518"/>
        <v>9</v>
      </c>
      <c r="E1098" s="75">
        <f t="shared" si="519"/>
        <v>9</v>
      </c>
      <c r="F1098" s="79"/>
      <c r="G1098" s="82"/>
      <c r="H1098" s="68" t="str">
        <f t="shared" si="536"/>
        <v>Hyprev6_20201203_09_00</v>
      </c>
      <c r="I1098" s="69">
        <f t="shared" si="537"/>
        <v>1</v>
      </c>
      <c r="J1098" s="76" t="str">
        <f t="shared" si="537"/>
        <v>Hypericum</v>
      </c>
      <c r="K1098" s="76" t="str">
        <f t="shared" si="537"/>
        <v>revolutum</v>
      </c>
      <c r="L1098" s="77">
        <f t="shared" si="537"/>
        <v>6</v>
      </c>
      <c r="M1098" s="77">
        <f t="shared" si="537"/>
        <v>1</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Dec</v>
      </c>
      <c r="C1099" s="73">
        <f t="shared" si="535"/>
        <v>3</v>
      </c>
      <c r="D1099" s="74">
        <f t="shared" si="518"/>
        <v>9</v>
      </c>
      <c r="E1099" s="75">
        <f t="shared" si="519"/>
        <v>10</v>
      </c>
      <c r="F1099" s="79"/>
      <c r="G1099" s="82"/>
      <c r="H1099" s="68" t="str">
        <f t="shared" si="536"/>
        <v>Hyprev6_20201203_09_00</v>
      </c>
      <c r="I1099" s="69">
        <f t="shared" si="537"/>
        <v>1</v>
      </c>
      <c r="J1099" s="76" t="str">
        <f t="shared" si="537"/>
        <v>Hypericum</v>
      </c>
      <c r="K1099" s="76" t="str">
        <f t="shared" si="537"/>
        <v>revolutum</v>
      </c>
      <c r="L1099" s="77">
        <f t="shared" si="537"/>
        <v>6</v>
      </c>
      <c r="M1099" s="77">
        <f t="shared" si="537"/>
        <v>1</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Dec</v>
      </c>
      <c r="C1100" s="73">
        <f t="shared" si="535"/>
        <v>3</v>
      </c>
      <c r="D1100" s="74">
        <f t="shared" si="518"/>
        <v>9</v>
      </c>
      <c r="E1100" s="75">
        <f t="shared" si="519"/>
        <v>11</v>
      </c>
      <c r="F1100" s="79"/>
      <c r="G1100" s="82"/>
      <c r="H1100" s="68" t="str">
        <f t="shared" si="536"/>
        <v>Hyprev6_20201203_09_00</v>
      </c>
      <c r="I1100" s="69">
        <f t="shared" si="537"/>
        <v>1</v>
      </c>
      <c r="J1100" s="76" t="str">
        <f t="shared" si="537"/>
        <v>Hypericum</v>
      </c>
      <c r="K1100" s="76" t="str">
        <f t="shared" si="537"/>
        <v>revolutum</v>
      </c>
      <c r="L1100" s="77">
        <f t="shared" si="537"/>
        <v>6</v>
      </c>
      <c r="M1100" s="77">
        <f t="shared" si="537"/>
        <v>1</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Dec</v>
      </c>
      <c r="C1101" s="73">
        <f t="shared" si="535"/>
        <v>3</v>
      </c>
      <c r="D1101" s="74">
        <f t="shared" si="518"/>
        <v>9</v>
      </c>
      <c r="E1101" s="75">
        <f t="shared" si="519"/>
        <v>12</v>
      </c>
      <c r="F1101" s="79"/>
      <c r="G1101" s="82"/>
      <c r="H1101" s="68" t="str">
        <f t="shared" si="536"/>
        <v>Hyprev6_20201203_09_00</v>
      </c>
      <c r="I1101" s="69">
        <f t="shared" si="537"/>
        <v>1</v>
      </c>
      <c r="J1101" s="76" t="str">
        <f t="shared" si="537"/>
        <v>Hypericum</v>
      </c>
      <c r="K1101" s="76" t="str">
        <f t="shared" si="537"/>
        <v>revolutum</v>
      </c>
      <c r="L1101" s="77">
        <f t="shared" si="537"/>
        <v>6</v>
      </c>
      <c r="M1101" s="77">
        <f t="shared" si="537"/>
        <v>1</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Dec</v>
      </c>
      <c r="C1102" s="73">
        <f t="shared" si="535"/>
        <v>3</v>
      </c>
      <c r="D1102" s="74">
        <f t="shared" si="518"/>
        <v>9</v>
      </c>
      <c r="E1102" s="75">
        <f t="shared" si="519"/>
        <v>13</v>
      </c>
      <c r="F1102" s="79"/>
      <c r="G1102" s="82"/>
      <c r="H1102" s="68" t="str">
        <f t="shared" si="536"/>
        <v>Hyprev6_20201203_09_00</v>
      </c>
      <c r="I1102" s="69">
        <f t="shared" si="537"/>
        <v>1</v>
      </c>
      <c r="J1102" s="76" t="str">
        <f t="shared" si="537"/>
        <v>Hypericum</v>
      </c>
      <c r="K1102" s="76" t="str">
        <f t="shared" si="537"/>
        <v>revolutum</v>
      </c>
      <c r="L1102" s="77">
        <f t="shared" si="537"/>
        <v>6</v>
      </c>
      <c r="M1102" s="77">
        <f t="shared" si="537"/>
        <v>1</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Dec</v>
      </c>
      <c r="C1103" s="73">
        <f t="shared" si="535"/>
        <v>3</v>
      </c>
      <c r="D1103" s="74">
        <f t="shared" si="518"/>
        <v>9</v>
      </c>
      <c r="E1103" s="75">
        <f t="shared" si="519"/>
        <v>14</v>
      </c>
      <c r="F1103" s="79"/>
      <c r="G1103" s="82"/>
      <c r="H1103" s="68" t="str">
        <f t="shared" si="536"/>
        <v>Hyprev6_20201203_09_00</v>
      </c>
      <c r="I1103" s="69">
        <f t="shared" si="537"/>
        <v>1</v>
      </c>
      <c r="J1103" s="76" t="str">
        <f t="shared" si="537"/>
        <v>Hypericum</v>
      </c>
      <c r="K1103" s="76" t="str">
        <f t="shared" si="537"/>
        <v>revolutum</v>
      </c>
      <c r="L1103" s="77">
        <f t="shared" si="537"/>
        <v>6</v>
      </c>
      <c r="M1103" s="77">
        <f t="shared" si="537"/>
        <v>1</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Dec</v>
      </c>
      <c r="C1104" s="73">
        <f t="shared" si="535"/>
        <v>3</v>
      </c>
      <c r="D1104" s="74">
        <f t="shared" si="518"/>
        <v>9</v>
      </c>
      <c r="E1104" s="75">
        <f t="shared" si="519"/>
        <v>15</v>
      </c>
      <c r="F1104" s="79"/>
      <c r="G1104" s="82"/>
      <c r="H1104" s="68" t="str">
        <f t="shared" si="536"/>
        <v>Hyprev6_20201203_09_00</v>
      </c>
      <c r="I1104" s="69">
        <f t="shared" si="537"/>
        <v>1</v>
      </c>
      <c r="J1104" s="76" t="str">
        <f t="shared" si="537"/>
        <v>Hypericum</v>
      </c>
      <c r="K1104" s="76" t="str">
        <f t="shared" si="537"/>
        <v>revolutum</v>
      </c>
      <c r="L1104" s="77">
        <f t="shared" si="537"/>
        <v>6</v>
      </c>
      <c r="M1104" s="77">
        <f t="shared" si="537"/>
        <v>1</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Dec</v>
      </c>
      <c r="C1105" s="73">
        <f t="shared" si="535"/>
        <v>3</v>
      </c>
      <c r="D1105" s="74">
        <f t="shared" si="518"/>
        <v>9</v>
      </c>
      <c r="E1105" s="75">
        <f t="shared" si="519"/>
        <v>16</v>
      </c>
      <c r="F1105" s="79"/>
      <c r="G1105" s="82"/>
      <c r="H1105" s="68" t="str">
        <f t="shared" si="536"/>
        <v>Hyprev6_20201203_09_00</v>
      </c>
      <c r="I1105" s="69">
        <f t="shared" si="537"/>
        <v>1</v>
      </c>
      <c r="J1105" s="76" t="str">
        <f t="shared" si="537"/>
        <v>Hypericum</v>
      </c>
      <c r="K1105" s="76" t="str">
        <f t="shared" si="537"/>
        <v>revolutum</v>
      </c>
      <c r="L1105" s="77">
        <f t="shared" si="537"/>
        <v>6</v>
      </c>
      <c r="M1105" s="77">
        <f t="shared" si="537"/>
        <v>1</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Dec</v>
      </c>
      <c r="C1106" s="73">
        <f t="shared" si="535"/>
        <v>3</v>
      </c>
      <c r="D1106" s="74">
        <f t="shared" si="518"/>
        <v>9</v>
      </c>
      <c r="E1106" s="75">
        <f t="shared" si="519"/>
        <v>17</v>
      </c>
      <c r="F1106" s="79"/>
      <c r="G1106" s="82"/>
      <c r="H1106" s="68" t="str">
        <f t="shared" si="536"/>
        <v>Hyprev6_20201203_09_00</v>
      </c>
      <c r="I1106" s="69">
        <f t="shared" si="537"/>
        <v>1</v>
      </c>
      <c r="J1106" s="76" t="str">
        <f t="shared" si="537"/>
        <v>Hypericum</v>
      </c>
      <c r="K1106" s="76" t="str">
        <f t="shared" si="537"/>
        <v>revolutum</v>
      </c>
      <c r="L1106" s="77">
        <f t="shared" si="537"/>
        <v>6</v>
      </c>
      <c r="M1106" s="77">
        <f t="shared" si="537"/>
        <v>1</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Dec</v>
      </c>
      <c r="C1107" s="73">
        <f t="shared" si="535"/>
        <v>3</v>
      </c>
      <c r="D1107" s="74">
        <f t="shared" si="518"/>
        <v>9</v>
      </c>
      <c r="E1107" s="75">
        <f t="shared" si="519"/>
        <v>18</v>
      </c>
      <c r="F1107" s="79"/>
      <c r="G1107" s="82"/>
      <c r="H1107" s="68" t="str">
        <f t="shared" si="536"/>
        <v>Hyprev6_20201203_09_00</v>
      </c>
      <c r="I1107" s="69">
        <f t="shared" si="537"/>
        <v>1</v>
      </c>
      <c r="J1107" s="76" t="str">
        <f t="shared" si="537"/>
        <v>Hypericum</v>
      </c>
      <c r="K1107" s="76" t="str">
        <f t="shared" si="537"/>
        <v>revolutum</v>
      </c>
      <c r="L1107" s="77">
        <f t="shared" si="537"/>
        <v>6</v>
      </c>
      <c r="M1107" s="77">
        <f t="shared" si="537"/>
        <v>1</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Dec</v>
      </c>
      <c r="C1108" s="73">
        <f t="shared" si="535"/>
        <v>3</v>
      </c>
      <c r="D1108" s="74">
        <f t="shared" si="518"/>
        <v>9</v>
      </c>
      <c r="E1108" s="75">
        <f t="shared" si="519"/>
        <v>19</v>
      </c>
      <c r="F1108" s="79"/>
      <c r="G1108" s="82"/>
      <c r="H1108" s="68" t="str">
        <f t="shared" si="536"/>
        <v>Hyprev6_20201203_09_00</v>
      </c>
      <c r="I1108" s="69">
        <f t="shared" si="537"/>
        <v>1</v>
      </c>
      <c r="J1108" s="76" t="str">
        <f t="shared" si="537"/>
        <v>Hypericum</v>
      </c>
      <c r="K1108" s="76" t="str">
        <f t="shared" si="537"/>
        <v>revolutum</v>
      </c>
      <c r="L1108" s="77">
        <f t="shared" si="537"/>
        <v>6</v>
      </c>
      <c r="M1108" s="77">
        <f t="shared" si="537"/>
        <v>1</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Dec</v>
      </c>
      <c r="C1109" s="73">
        <f t="shared" si="535"/>
        <v>3</v>
      </c>
      <c r="D1109" s="74">
        <f t="shared" si="518"/>
        <v>9</v>
      </c>
      <c r="E1109" s="75">
        <f t="shared" si="519"/>
        <v>20</v>
      </c>
      <c r="F1109" s="79"/>
      <c r="G1109" s="82"/>
      <c r="H1109" s="68" t="str">
        <f t="shared" si="536"/>
        <v>Hyprev6_20201203_09_00</v>
      </c>
      <c r="I1109" s="69">
        <f t="shared" ref="I1109:N1124" si="538">I1108</f>
        <v>1</v>
      </c>
      <c r="J1109" s="76" t="str">
        <f t="shared" si="538"/>
        <v>Hypericum</v>
      </c>
      <c r="K1109" s="76" t="str">
        <f t="shared" si="538"/>
        <v>revolutum</v>
      </c>
      <c r="L1109" s="77">
        <f t="shared" si="538"/>
        <v>6</v>
      </c>
      <c r="M1109" s="77">
        <f t="shared" si="538"/>
        <v>1</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Dec</v>
      </c>
      <c r="C1110" s="73">
        <f t="shared" si="535"/>
        <v>3</v>
      </c>
      <c r="D1110" s="74">
        <f t="shared" si="518"/>
        <v>9</v>
      </c>
      <c r="E1110" s="75">
        <f t="shared" si="519"/>
        <v>21</v>
      </c>
      <c r="F1110" s="79"/>
      <c r="G1110" s="82"/>
      <c r="H1110" s="68" t="str">
        <f t="shared" si="536"/>
        <v>Hyprev6_20201203_09_00</v>
      </c>
      <c r="I1110" s="69">
        <f t="shared" si="538"/>
        <v>1</v>
      </c>
      <c r="J1110" s="76" t="str">
        <f t="shared" si="538"/>
        <v>Hypericum</v>
      </c>
      <c r="K1110" s="76" t="str">
        <f t="shared" si="538"/>
        <v>revolutum</v>
      </c>
      <c r="L1110" s="77">
        <f t="shared" si="538"/>
        <v>6</v>
      </c>
      <c r="M1110" s="77">
        <f t="shared" si="538"/>
        <v>1</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Dec</v>
      </c>
      <c r="C1111" s="73">
        <f t="shared" si="535"/>
        <v>3</v>
      </c>
      <c r="D1111" s="74">
        <f t="shared" si="518"/>
        <v>9</v>
      </c>
      <c r="E1111" s="75">
        <f t="shared" si="519"/>
        <v>22</v>
      </c>
      <c r="F1111" s="79"/>
      <c r="G1111" s="82"/>
      <c r="H1111" s="68" t="str">
        <f t="shared" si="536"/>
        <v>Hyprev6_20201203_09_00</v>
      </c>
      <c r="I1111" s="69">
        <f t="shared" si="538"/>
        <v>1</v>
      </c>
      <c r="J1111" s="76" t="str">
        <f t="shared" si="538"/>
        <v>Hypericum</v>
      </c>
      <c r="K1111" s="76" t="str">
        <f t="shared" si="538"/>
        <v>revolutum</v>
      </c>
      <c r="L1111" s="77">
        <f t="shared" si="538"/>
        <v>6</v>
      </c>
      <c r="M1111" s="77">
        <f t="shared" si="538"/>
        <v>1</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Dec</v>
      </c>
      <c r="C1112" s="73">
        <f t="shared" si="535"/>
        <v>3</v>
      </c>
      <c r="D1112" s="74">
        <f t="shared" si="518"/>
        <v>9</v>
      </c>
      <c r="E1112" s="75">
        <f t="shared" si="519"/>
        <v>23</v>
      </c>
      <c r="F1112" s="79"/>
      <c r="G1112" s="82"/>
      <c r="H1112" s="68" t="str">
        <f t="shared" si="536"/>
        <v>Hyprev6_20201203_09_00</v>
      </c>
      <c r="I1112" s="69">
        <f t="shared" si="538"/>
        <v>1</v>
      </c>
      <c r="J1112" s="76" t="str">
        <f t="shared" si="538"/>
        <v>Hypericum</v>
      </c>
      <c r="K1112" s="76" t="str">
        <f t="shared" si="538"/>
        <v>revolutum</v>
      </c>
      <c r="L1112" s="77">
        <f t="shared" si="538"/>
        <v>6</v>
      </c>
      <c r="M1112" s="77">
        <f t="shared" si="538"/>
        <v>1</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Dec</v>
      </c>
      <c r="C1113" s="73">
        <f t="shared" si="535"/>
        <v>3</v>
      </c>
      <c r="D1113" s="74">
        <f t="shared" si="518"/>
        <v>9</v>
      </c>
      <c r="E1113" s="75">
        <f t="shared" si="519"/>
        <v>24</v>
      </c>
      <c r="F1113" s="79"/>
      <c r="G1113" s="82"/>
      <c r="H1113" s="68" t="str">
        <f t="shared" si="536"/>
        <v>Hyprev6_20201203_09_00</v>
      </c>
      <c r="I1113" s="69">
        <f t="shared" si="538"/>
        <v>1</v>
      </c>
      <c r="J1113" s="76" t="str">
        <f t="shared" si="538"/>
        <v>Hypericum</v>
      </c>
      <c r="K1113" s="76" t="str">
        <f t="shared" si="538"/>
        <v>revolutum</v>
      </c>
      <c r="L1113" s="77">
        <f t="shared" si="538"/>
        <v>6</v>
      </c>
      <c r="M1113" s="77">
        <f t="shared" si="538"/>
        <v>1</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Dec</v>
      </c>
      <c r="C1114" s="73">
        <f t="shared" si="535"/>
        <v>3</v>
      </c>
      <c r="D1114" s="74">
        <f t="shared" si="518"/>
        <v>9</v>
      </c>
      <c r="E1114" s="75">
        <f t="shared" si="519"/>
        <v>25</v>
      </c>
      <c r="F1114" s="79"/>
      <c r="G1114" s="82"/>
      <c r="H1114" s="68" t="str">
        <f t="shared" si="536"/>
        <v>Hyprev6_20201203_09_00</v>
      </c>
      <c r="I1114" s="69">
        <f t="shared" si="538"/>
        <v>1</v>
      </c>
      <c r="J1114" s="76" t="str">
        <f t="shared" si="538"/>
        <v>Hypericum</v>
      </c>
      <c r="K1114" s="76" t="str">
        <f t="shared" si="538"/>
        <v>revolutum</v>
      </c>
      <c r="L1114" s="77">
        <f t="shared" si="538"/>
        <v>6</v>
      </c>
      <c r="M1114" s="77">
        <f t="shared" si="538"/>
        <v>1</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Dec</v>
      </c>
      <c r="C1115" s="73">
        <f t="shared" si="535"/>
        <v>3</v>
      </c>
      <c r="D1115" s="74">
        <f t="shared" si="518"/>
        <v>9</v>
      </c>
      <c r="E1115" s="75">
        <f t="shared" si="519"/>
        <v>26</v>
      </c>
      <c r="F1115" s="79"/>
      <c r="G1115" s="82"/>
      <c r="H1115" s="68" t="str">
        <f t="shared" si="536"/>
        <v>Hyprev6_20201203_09_00</v>
      </c>
      <c r="I1115" s="69">
        <f t="shared" si="538"/>
        <v>1</v>
      </c>
      <c r="J1115" s="76" t="str">
        <f t="shared" si="538"/>
        <v>Hypericum</v>
      </c>
      <c r="K1115" s="76" t="str">
        <f t="shared" si="538"/>
        <v>revolutum</v>
      </c>
      <c r="L1115" s="77">
        <f t="shared" si="538"/>
        <v>6</v>
      </c>
      <c r="M1115" s="77">
        <f t="shared" si="538"/>
        <v>1</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Dec</v>
      </c>
      <c r="C1116" s="73">
        <f t="shared" si="535"/>
        <v>3</v>
      </c>
      <c r="D1116" s="74">
        <f t="shared" si="518"/>
        <v>9</v>
      </c>
      <c r="E1116" s="75">
        <f t="shared" si="519"/>
        <v>27</v>
      </c>
      <c r="F1116" s="79"/>
      <c r="G1116" s="82"/>
      <c r="H1116" s="68" t="str">
        <f t="shared" si="536"/>
        <v>Hyprev6_20201203_09_00</v>
      </c>
      <c r="I1116" s="69">
        <f t="shared" si="538"/>
        <v>1</v>
      </c>
      <c r="J1116" s="76" t="str">
        <f t="shared" si="538"/>
        <v>Hypericum</v>
      </c>
      <c r="K1116" s="76" t="str">
        <f t="shared" si="538"/>
        <v>revolutum</v>
      </c>
      <c r="L1116" s="77">
        <f t="shared" si="538"/>
        <v>6</v>
      </c>
      <c r="M1116" s="77">
        <f t="shared" si="538"/>
        <v>1</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Dec</v>
      </c>
      <c r="C1117" s="73">
        <f t="shared" si="535"/>
        <v>3</v>
      </c>
      <c r="D1117" s="74">
        <f t="shared" si="518"/>
        <v>9</v>
      </c>
      <c r="E1117" s="75">
        <f t="shared" si="519"/>
        <v>28</v>
      </c>
      <c r="F1117" s="79"/>
      <c r="G1117" s="82"/>
      <c r="H1117" s="68" t="str">
        <f t="shared" si="536"/>
        <v>Hyprev6_20201203_09_00</v>
      </c>
      <c r="I1117" s="69">
        <f t="shared" si="538"/>
        <v>1</v>
      </c>
      <c r="J1117" s="76" t="str">
        <f t="shared" si="538"/>
        <v>Hypericum</v>
      </c>
      <c r="K1117" s="76" t="str">
        <f t="shared" si="538"/>
        <v>revolutum</v>
      </c>
      <c r="L1117" s="77">
        <f t="shared" si="538"/>
        <v>6</v>
      </c>
      <c r="M1117" s="77">
        <f t="shared" si="538"/>
        <v>1</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Dec</v>
      </c>
      <c r="C1118" s="73">
        <f t="shared" si="535"/>
        <v>3</v>
      </c>
      <c r="D1118" s="74">
        <f t="shared" si="518"/>
        <v>9</v>
      </c>
      <c r="E1118" s="75">
        <f t="shared" si="519"/>
        <v>29</v>
      </c>
      <c r="F1118" s="79"/>
      <c r="G1118" s="82"/>
      <c r="H1118" s="68" t="str">
        <f t="shared" si="536"/>
        <v>Hyprev6_20201203_09_00</v>
      </c>
      <c r="I1118" s="69">
        <f t="shared" si="538"/>
        <v>1</v>
      </c>
      <c r="J1118" s="76" t="str">
        <f t="shared" si="538"/>
        <v>Hypericum</v>
      </c>
      <c r="K1118" s="76" t="str">
        <f t="shared" si="538"/>
        <v>revolutum</v>
      </c>
      <c r="L1118" s="77">
        <f t="shared" si="538"/>
        <v>6</v>
      </c>
      <c r="M1118" s="77">
        <f t="shared" si="538"/>
        <v>1</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Dec</v>
      </c>
      <c r="C1119" s="73">
        <f t="shared" si="535"/>
        <v>3</v>
      </c>
      <c r="D1119" s="74">
        <f t="shared" si="518"/>
        <v>9</v>
      </c>
      <c r="E1119" s="75">
        <f t="shared" si="519"/>
        <v>30</v>
      </c>
      <c r="F1119" s="79"/>
      <c r="G1119" s="82"/>
      <c r="H1119" s="68" t="str">
        <f t="shared" si="536"/>
        <v>Hyprev6_20201203_09_00</v>
      </c>
      <c r="I1119" s="69">
        <f t="shared" si="538"/>
        <v>1</v>
      </c>
      <c r="J1119" s="76" t="str">
        <f t="shared" si="538"/>
        <v>Hypericum</v>
      </c>
      <c r="K1119" s="76" t="str">
        <f t="shared" si="538"/>
        <v>revolutum</v>
      </c>
      <c r="L1119" s="77">
        <f t="shared" si="538"/>
        <v>6</v>
      </c>
      <c r="M1119" s="77">
        <f t="shared" si="538"/>
        <v>1</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Dec</v>
      </c>
      <c r="C1120" s="73">
        <f t="shared" si="535"/>
        <v>3</v>
      </c>
      <c r="D1120" s="74">
        <f t="shared" si="518"/>
        <v>9</v>
      </c>
      <c r="E1120" s="75">
        <f t="shared" si="519"/>
        <v>31</v>
      </c>
      <c r="F1120" s="79"/>
      <c r="G1120" s="82"/>
      <c r="H1120" s="68" t="str">
        <f t="shared" si="536"/>
        <v>Hyprev6_20201203_09_00</v>
      </c>
      <c r="I1120" s="69">
        <f t="shared" si="538"/>
        <v>1</v>
      </c>
      <c r="J1120" s="76" t="str">
        <f t="shared" si="538"/>
        <v>Hypericum</v>
      </c>
      <c r="K1120" s="76" t="str">
        <f t="shared" si="538"/>
        <v>revolutum</v>
      </c>
      <c r="L1120" s="77">
        <f t="shared" si="538"/>
        <v>6</v>
      </c>
      <c r="M1120" s="77">
        <f t="shared" si="538"/>
        <v>1</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Dec</v>
      </c>
      <c r="C1121" s="73">
        <f t="shared" si="535"/>
        <v>3</v>
      </c>
      <c r="D1121" s="74">
        <f t="shared" si="518"/>
        <v>9</v>
      </c>
      <c r="E1121" s="75">
        <f t="shared" si="519"/>
        <v>32</v>
      </c>
      <c r="F1121" s="79"/>
      <c r="G1121" s="82"/>
      <c r="H1121" s="68" t="str">
        <f t="shared" si="536"/>
        <v>Hyprev6_20201203_09_00</v>
      </c>
      <c r="I1121" s="69">
        <f t="shared" si="538"/>
        <v>1</v>
      </c>
      <c r="J1121" s="76" t="str">
        <f t="shared" si="538"/>
        <v>Hypericum</v>
      </c>
      <c r="K1121" s="76" t="str">
        <f t="shared" si="538"/>
        <v>revolutum</v>
      </c>
      <c r="L1121" s="77">
        <f t="shared" si="538"/>
        <v>6</v>
      </c>
      <c r="M1121" s="77">
        <f t="shared" si="538"/>
        <v>1</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Dec</v>
      </c>
      <c r="C1122" s="73">
        <f t="shared" si="535"/>
        <v>3</v>
      </c>
      <c r="D1122" s="74">
        <f t="shared" si="518"/>
        <v>9</v>
      </c>
      <c r="E1122" s="75">
        <f t="shared" si="519"/>
        <v>33</v>
      </c>
      <c r="F1122" s="79"/>
      <c r="G1122" s="82"/>
      <c r="H1122" s="68" t="str">
        <f t="shared" si="536"/>
        <v>Hyprev6_20201203_09_00</v>
      </c>
      <c r="I1122" s="69">
        <f t="shared" si="538"/>
        <v>1</v>
      </c>
      <c r="J1122" s="76" t="str">
        <f t="shared" si="538"/>
        <v>Hypericum</v>
      </c>
      <c r="K1122" s="76" t="str">
        <f t="shared" si="538"/>
        <v>revolutum</v>
      </c>
      <c r="L1122" s="77">
        <f t="shared" si="538"/>
        <v>6</v>
      </c>
      <c r="M1122" s="77">
        <f t="shared" si="538"/>
        <v>1</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Dec</v>
      </c>
      <c r="C1123" s="73">
        <f t="shared" si="535"/>
        <v>3</v>
      </c>
      <c r="D1123" s="74">
        <f t="shared" si="518"/>
        <v>9</v>
      </c>
      <c r="E1123" s="75">
        <f t="shared" si="519"/>
        <v>34</v>
      </c>
      <c r="F1123" s="79"/>
      <c r="G1123" s="82"/>
      <c r="H1123" s="68" t="str">
        <f t="shared" si="536"/>
        <v>Hyprev6_20201203_09_00</v>
      </c>
      <c r="I1123" s="69">
        <f t="shared" si="538"/>
        <v>1</v>
      </c>
      <c r="J1123" s="76" t="str">
        <f t="shared" si="538"/>
        <v>Hypericum</v>
      </c>
      <c r="K1123" s="76" t="str">
        <f t="shared" si="538"/>
        <v>revolutum</v>
      </c>
      <c r="L1123" s="77">
        <f t="shared" si="538"/>
        <v>6</v>
      </c>
      <c r="M1123" s="77">
        <f t="shared" si="538"/>
        <v>1</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Dec</v>
      </c>
      <c r="C1124" s="73">
        <f t="shared" si="535"/>
        <v>3</v>
      </c>
      <c r="D1124" s="74">
        <f t="shared" si="518"/>
        <v>9</v>
      </c>
      <c r="E1124" s="75">
        <f t="shared" si="519"/>
        <v>35</v>
      </c>
      <c r="F1124" s="79"/>
      <c r="G1124" s="82"/>
      <c r="H1124" s="68" t="str">
        <f t="shared" si="536"/>
        <v>Hyprev6_20201203_09_00</v>
      </c>
      <c r="I1124" s="69">
        <f t="shared" si="538"/>
        <v>1</v>
      </c>
      <c r="J1124" s="76" t="str">
        <f t="shared" si="538"/>
        <v>Hypericum</v>
      </c>
      <c r="K1124" s="76" t="str">
        <f t="shared" si="538"/>
        <v>revolutum</v>
      </c>
      <c r="L1124" s="77">
        <f t="shared" si="538"/>
        <v>6</v>
      </c>
      <c r="M1124" s="77">
        <f t="shared" si="538"/>
        <v>1</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Dec</v>
      </c>
      <c r="C1125" s="73">
        <f t="shared" si="535"/>
        <v>3</v>
      </c>
      <c r="D1125" s="74">
        <f t="shared" si="518"/>
        <v>9</v>
      </c>
      <c r="E1125" s="75">
        <f t="shared" si="519"/>
        <v>36</v>
      </c>
      <c r="F1125" s="79"/>
      <c r="G1125" s="82"/>
      <c r="H1125" s="68" t="str">
        <f t="shared" si="536"/>
        <v>Hyprev6_20201203_09_00</v>
      </c>
      <c r="I1125" s="69">
        <f t="shared" ref="I1125:N1140" si="539">I1124</f>
        <v>1</v>
      </c>
      <c r="J1125" s="76" t="str">
        <f t="shared" si="539"/>
        <v>Hypericum</v>
      </c>
      <c r="K1125" s="76" t="str">
        <f t="shared" si="539"/>
        <v>revolutum</v>
      </c>
      <c r="L1125" s="77">
        <f t="shared" si="539"/>
        <v>6</v>
      </c>
      <c r="M1125" s="77">
        <f t="shared" si="539"/>
        <v>1</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Dec</v>
      </c>
      <c r="C1126" s="73">
        <f t="shared" si="535"/>
        <v>3</v>
      </c>
      <c r="D1126" s="74">
        <f t="shared" si="518"/>
        <v>9</v>
      </c>
      <c r="E1126" s="75">
        <f t="shared" si="519"/>
        <v>37</v>
      </c>
      <c r="F1126" s="79"/>
      <c r="G1126" s="82"/>
      <c r="H1126" s="68" t="str">
        <f t="shared" si="536"/>
        <v>Hyprev6_20201203_09_00</v>
      </c>
      <c r="I1126" s="69">
        <f t="shared" si="539"/>
        <v>1</v>
      </c>
      <c r="J1126" s="76" t="str">
        <f t="shared" si="539"/>
        <v>Hypericum</v>
      </c>
      <c r="K1126" s="76" t="str">
        <f t="shared" si="539"/>
        <v>revolutum</v>
      </c>
      <c r="L1126" s="77">
        <f t="shared" si="539"/>
        <v>6</v>
      </c>
      <c r="M1126" s="77">
        <f t="shared" si="539"/>
        <v>1</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Dec</v>
      </c>
      <c r="C1127" s="73">
        <f t="shared" si="535"/>
        <v>3</v>
      </c>
      <c r="D1127" s="74">
        <f t="shared" si="518"/>
        <v>9</v>
      </c>
      <c r="E1127" s="75">
        <f t="shared" si="519"/>
        <v>38</v>
      </c>
      <c r="F1127" s="79"/>
      <c r="G1127" s="82"/>
      <c r="H1127" s="68" t="str">
        <f t="shared" si="536"/>
        <v>Hyprev6_20201203_09_00</v>
      </c>
      <c r="I1127" s="69">
        <f t="shared" si="539"/>
        <v>1</v>
      </c>
      <c r="J1127" s="76" t="str">
        <f t="shared" si="539"/>
        <v>Hypericum</v>
      </c>
      <c r="K1127" s="76" t="str">
        <f t="shared" si="539"/>
        <v>revolutum</v>
      </c>
      <c r="L1127" s="77">
        <f t="shared" si="539"/>
        <v>6</v>
      </c>
      <c r="M1127" s="77">
        <f t="shared" si="539"/>
        <v>1</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Dec</v>
      </c>
      <c r="C1128" s="73">
        <f t="shared" si="535"/>
        <v>3</v>
      </c>
      <c r="D1128" s="74">
        <f t="shared" si="518"/>
        <v>9</v>
      </c>
      <c r="E1128" s="75">
        <f t="shared" si="519"/>
        <v>39</v>
      </c>
      <c r="F1128" s="79"/>
      <c r="G1128" s="82"/>
      <c r="H1128" s="68" t="str">
        <f t="shared" si="536"/>
        <v>Hyprev6_20201203_09_00</v>
      </c>
      <c r="I1128" s="69">
        <f t="shared" si="539"/>
        <v>1</v>
      </c>
      <c r="J1128" s="76" t="str">
        <f t="shared" si="539"/>
        <v>Hypericum</v>
      </c>
      <c r="K1128" s="76" t="str">
        <f t="shared" si="539"/>
        <v>revolutum</v>
      </c>
      <c r="L1128" s="77">
        <f t="shared" si="539"/>
        <v>6</v>
      </c>
      <c r="M1128" s="77">
        <f t="shared" si="539"/>
        <v>1</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Dec</v>
      </c>
      <c r="C1129" s="73">
        <f t="shared" si="535"/>
        <v>3</v>
      </c>
      <c r="D1129" s="74">
        <f t="shared" si="518"/>
        <v>9</v>
      </c>
      <c r="E1129" s="75">
        <f t="shared" si="519"/>
        <v>40</v>
      </c>
      <c r="F1129" s="79"/>
      <c r="G1129" s="82"/>
      <c r="H1129" s="68" t="str">
        <f t="shared" si="536"/>
        <v>Hyprev6_20201203_09_00</v>
      </c>
      <c r="I1129" s="69">
        <f t="shared" si="539"/>
        <v>1</v>
      </c>
      <c r="J1129" s="76" t="str">
        <f t="shared" si="539"/>
        <v>Hypericum</v>
      </c>
      <c r="K1129" s="76" t="str">
        <f t="shared" si="539"/>
        <v>revolutum</v>
      </c>
      <c r="L1129" s="77">
        <f t="shared" si="539"/>
        <v>6</v>
      </c>
      <c r="M1129" s="77">
        <f t="shared" si="539"/>
        <v>1</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Dec</v>
      </c>
      <c r="C1130" s="73">
        <f t="shared" si="535"/>
        <v>3</v>
      </c>
      <c r="D1130" s="74">
        <f t="shared" si="518"/>
        <v>9</v>
      </c>
      <c r="E1130" s="75">
        <f t="shared" si="519"/>
        <v>41</v>
      </c>
      <c r="F1130" s="79"/>
      <c r="G1130" s="82"/>
      <c r="H1130" s="68" t="str">
        <f t="shared" si="536"/>
        <v>Hyprev6_20201203_09_00</v>
      </c>
      <c r="I1130" s="69">
        <f t="shared" si="539"/>
        <v>1</v>
      </c>
      <c r="J1130" s="76" t="str">
        <f t="shared" si="539"/>
        <v>Hypericum</v>
      </c>
      <c r="K1130" s="76" t="str">
        <f t="shared" si="539"/>
        <v>revolutum</v>
      </c>
      <c r="L1130" s="77">
        <f t="shared" si="539"/>
        <v>6</v>
      </c>
      <c r="M1130" s="77">
        <f t="shared" si="539"/>
        <v>1</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Dec</v>
      </c>
      <c r="C1131" s="73">
        <f t="shared" si="535"/>
        <v>3</v>
      </c>
      <c r="D1131" s="74">
        <f t="shared" si="518"/>
        <v>9</v>
      </c>
      <c r="E1131" s="75">
        <f t="shared" si="519"/>
        <v>42</v>
      </c>
      <c r="F1131" s="79"/>
      <c r="G1131" s="82"/>
      <c r="H1131" s="68" t="str">
        <f t="shared" si="536"/>
        <v>Hyprev6_20201203_09_00</v>
      </c>
      <c r="I1131" s="69">
        <f t="shared" si="539"/>
        <v>1</v>
      </c>
      <c r="J1131" s="76" t="str">
        <f t="shared" si="539"/>
        <v>Hypericum</v>
      </c>
      <c r="K1131" s="76" t="str">
        <f t="shared" si="539"/>
        <v>revolutum</v>
      </c>
      <c r="L1131" s="77">
        <f t="shared" si="539"/>
        <v>6</v>
      </c>
      <c r="M1131" s="77">
        <f t="shared" si="539"/>
        <v>1</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Dec</v>
      </c>
      <c r="C1132" s="73">
        <f t="shared" si="535"/>
        <v>3</v>
      </c>
      <c r="D1132" s="74">
        <f t="shared" si="518"/>
        <v>9</v>
      </c>
      <c r="E1132" s="75">
        <f t="shared" si="519"/>
        <v>43</v>
      </c>
      <c r="F1132" s="79"/>
      <c r="G1132" s="82"/>
      <c r="H1132" s="68" t="str">
        <f t="shared" si="536"/>
        <v>Hyprev6_20201203_09_00</v>
      </c>
      <c r="I1132" s="69">
        <f t="shared" si="539"/>
        <v>1</v>
      </c>
      <c r="J1132" s="76" t="str">
        <f t="shared" si="539"/>
        <v>Hypericum</v>
      </c>
      <c r="K1132" s="76" t="str">
        <f t="shared" si="539"/>
        <v>revolutum</v>
      </c>
      <c r="L1132" s="77">
        <f t="shared" si="539"/>
        <v>6</v>
      </c>
      <c r="M1132" s="77">
        <f t="shared" si="539"/>
        <v>1</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Dec</v>
      </c>
      <c r="C1133" s="73">
        <f t="shared" si="535"/>
        <v>3</v>
      </c>
      <c r="D1133" s="74">
        <f t="shared" si="518"/>
        <v>9</v>
      </c>
      <c r="E1133" s="75">
        <f t="shared" si="519"/>
        <v>44</v>
      </c>
      <c r="F1133" s="79"/>
      <c r="G1133" s="82"/>
      <c r="H1133" s="68" t="str">
        <f t="shared" si="536"/>
        <v>Hyprev6_20201203_09_00</v>
      </c>
      <c r="I1133" s="69">
        <f t="shared" si="539"/>
        <v>1</v>
      </c>
      <c r="J1133" s="76" t="str">
        <f t="shared" si="539"/>
        <v>Hypericum</v>
      </c>
      <c r="K1133" s="76" t="str">
        <f t="shared" si="539"/>
        <v>revolutum</v>
      </c>
      <c r="L1133" s="77">
        <f t="shared" si="539"/>
        <v>6</v>
      </c>
      <c r="M1133" s="77">
        <f t="shared" si="539"/>
        <v>1</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Dec</v>
      </c>
      <c r="C1134" s="73">
        <f t="shared" si="535"/>
        <v>3</v>
      </c>
      <c r="D1134" s="74">
        <f t="shared" si="518"/>
        <v>9</v>
      </c>
      <c r="E1134" s="75">
        <f t="shared" si="519"/>
        <v>45</v>
      </c>
      <c r="F1134" s="79"/>
      <c r="G1134" s="82"/>
      <c r="H1134" s="68" t="str">
        <f t="shared" si="536"/>
        <v>Hyprev6_20201203_09_00</v>
      </c>
      <c r="I1134" s="69">
        <f t="shared" si="539"/>
        <v>1</v>
      </c>
      <c r="J1134" s="76" t="str">
        <f t="shared" si="539"/>
        <v>Hypericum</v>
      </c>
      <c r="K1134" s="76" t="str">
        <f t="shared" si="539"/>
        <v>revolutum</v>
      </c>
      <c r="L1134" s="77">
        <f t="shared" si="539"/>
        <v>6</v>
      </c>
      <c r="M1134" s="77">
        <f t="shared" si="539"/>
        <v>1</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Dec</v>
      </c>
      <c r="C1135" s="73">
        <f t="shared" si="535"/>
        <v>3</v>
      </c>
      <c r="D1135" s="74">
        <f t="shared" si="518"/>
        <v>9</v>
      </c>
      <c r="E1135" s="75">
        <f t="shared" si="519"/>
        <v>46</v>
      </c>
      <c r="F1135" s="79"/>
      <c r="G1135" s="82"/>
      <c r="H1135" s="68" t="str">
        <f t="shared" si="536"/>
        <v>Hyprev6_20201203_09_00</v>
      </c>
      <c r="I1135" s="69">
        <f t="shared" si="539"/>
        <v>1</v>
      </c>
      <c r="J1135" s="76" t="str">
        <f t="shared" si="539"/>
        <v>Hypericum</v>
      </c>
      <c r="K1135" s="76" t="str">
        <f t="shared" si="539"/>
        <v>revolutum</v>
      </c>
      <c r="L1135" s="77">
        <f t="shared" si="539"/>
        <v>6</v>
      </c>
      <c r="M1135" s="77">
        <f t="shared" si="539"/>
        <v>1</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Dec</v>
      </c>
      <c r="C1136" s="73">
        <f t="shared" si="535"/>
        <v>3</v>
      </c>
      <c r="D1136" s="74">
        <f t="shared" si="518"/>
        <v>9</v>
      </c>
      <c r="E1136" s="75">
        <f t="shared" si="519"/>
        <v>47</v>
      </c>
      <c r="F1136" s="79"/>
      <c r="G1136" s="82"/>
      <c r="H1136" s="68" t="str">
        <f t="shared" si="536"/>
        <v>Hyprev6_20201203_09_00</v>
      </c>
      <c r="I1136" s="69">
        <f t="shared" si="539"/>
        <v>1</v>
      </c>
      <c r="J1136" s="76" t="str">
        <f t="shared" si="539"/>
        <v>Hypericum</v>
      </c>
      <c r="K1136" s="76" t="str">
        <f t="shared" si="539"/>
        <v>revolutum</v>
      </c>
      <c r="L1136" s="77">
        <f t="shared" si="539"/>
        <v>6</v>
      </c>
      <c r="M1136" s="77">
        <f t="shared" si="539"/>
        <v>1</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Dec</v>
      </c>
      <c r="C1137" s="73">
        <f t="shared" si="535"/>
        <v>3</v>
      </c>
      <c r="D1137" s="74">
        <f t="shared" si="518"/>
        <v>9</v>
      </c>
      <c r="E1137" s="75">
        <f t="shared" si="519"/>
        <v>48</v>
      </c>
      <c r="F1137" s="79"/>
      <c r="G1137" s="82"/>
      <c r="H1137" s="68" t="str">
        <f t="shared" si="536"/>
        <v>Hyprev6_20201203_09_00</v>
      </c>
      <c r="I1137" s="69">
        <f t="shared" si="539"/>
        <v>1</v>
      </c>
      <c r="J1137" s="76" t="str">
        <f t="shared" si="539"/>
        <v>Hypericum</v>
      </c>
      <c r="K1137" s="76" t="str">
        <f t="shared" si="539"/>
        <v>revolutum</v>
      </c>
      <c r="L1137" s="77">
        <f t="shared" si="539"/>
        <v>6</v>
      </c>
      <c r="M1137" s="77">
        <f t="shared" si="539"/>
        <v>1</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Dec</v>
      </c>
      <c r="C1138" s="73">
        <f t="shared" si="535"/>
        <v>3</v>
      </c>
      <c r="D1138" s="74">
        <f t="shared" si="518"/>
        <v>9</v>
      </c>
      <c r="E1138" s="75">
        <f t="shared" si="519"/>
        <v>49</v>
      </c>
      <c r="F1138" s="79"/>
      <c r="G1138" s="82"/>
      <c r="H1138" s="68" t="str">
        <f t="shared" si="536"/>
        <v>Hyprev6_20201203_09_00</v>
      </c>
      <c r="I1138" s="69">
        <f t="shared" si="539"/>
        <v>1</v>
      </c>
      <c r="J1138" s="76" t="str">
        <f t="shared" si="539"/>
        <v>Hypericum</v>
      </c>
      <c r="K1138" s="76" t="str">
        <f t="shared" si="539"/>
        <v>revolutum</v>
      </c>
      <c r="L1138" s="77">
        <f t="shared" si="539"/>
        <v>6</v>
      </c>
      <c r="M1138" s="77">
        <f t="shared" si="539"/>
        <v>1</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Dec</v>
      </c>
      <c r="C1139" s="73">
        <f t="shared" si="535"/>
        <v>3</v>
      </c>
      <c r="D1139" s="74">
        <f t="shared" si="518"/>
        <v>9</v>
      </c>
      <c r="E1139" s="75">
        <f t="shared" si="519"/>
        <v>50</v>
      </c>
      <c r="F1139" s="79"/>
      <c r="G1139" s="82"/>
      <c r="H1139" s="68" t="str">
        <f t="shared" si="536"/>
        <v>Hyprev6_20201203_09_00</v>
      </c>
      <c r="I1139" s="69">
        <f t="shared" si="539"/>
        <v>1</v>
      </c>
      <c r="J1139" s="76" t="str">
        <f t="shared" si="539"/>
        <v>Hypericum</v>
      </c>
      <c r="K1139" s="76" t="str">
        <f t="shared" si="539"/>
        <v>revolutum</v>
      </c>
      <c r="L1139" s="77">
        <f t="shared" si="539"/>
        <v>6</v>
      </c>
      <c r="M1139" s="77">
        <f t="shared" si="539"/>
        <v>1</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Dec</v>
      </c>
      <c r="C1140" s="73">
        <f t="shared" si="535"/>
        <v>3</v>
      </c>
      <c r="D1140" s="74">
        <f t="shared" si="518"/>
        <v>9</v>
      </c>
      <c r="E1140" s="75">
        <f t="shared" si="519"/>
        <v>51</v>
      </c>
      <c r="F1140" s="79"/>
      <c r="G1140" s="82"/>
      <c r="H1140" s="68" t="str">
        <f t="shared" si="536"/>
        <v>Hyprev6_20201203_09_00</v>
      </c>
      <c r="I1140" s="69">
        <f t="shared" si="539"/>
        <v>1</v>
      </c>
      <c r="J1140" s="76" t="str">
        <f t="shared" si="539"/>
        <v>Hypericum</v>
      </c>
      <c r="K1140" s="76" t="str">
        <f t="shared" si="539"/>
        <v>revolutum</v>
      </c>
      <c r="L1140" s="77">
        <f t="shared" si="539"/>
        <v>6</v>
      </c>
      <c r="M1140" s="77">
        <f t="shared" si="539"/>
        <v>1</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Dec</v>
      </c>
      <c r="C1141" s="73">
        <f t="shared" si="535"/>
        <v>3</v>
      </c>
      <c r="D1141" s="74">
        <f t="shared" si="518"/>
        <v>9</v>
      </c>
      <c r="E1141" s="75">
        <f t="shared" si="519"/>
        <v>52</v>
      </c>
      <c r="F1141" s="79"/>
      <c r="G1141" s="82"/>
      <c r="H1141" s="68" t="str">
        <f t="shared" si="536"/>
        <v>Hyprev6_20201203_09_00</v>
      </c>
      <c r="I1141" s="69">
        <f t="shared" ref="I1141:N1156" si="540">I1140</f>
        <v>1</v>
      </c>
      <c r="J1141" s="76" t="str">
        <f t="shared" si="540"/>
        <v>Hypericum</v>
      </c>
      <c r="K1141" s="76" t="str">
        <f t="shared" si="540"/>
        <v>revolutum</v>
      </c>
      <c r="L1141" s="77">
        <f t="shared" si="540"/>
        <v>6</v>
      </c>
      <c r="M1141" s="77">
        <f t="shared" si="540"/>
        <v>1</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Dec</v>
      </c>
      <c r="C1142" s="73">
        <f t="shared" si="535"/>
        <v>3</v>
      </c>
      <c r="D1142" s="74">
        <f t="shared" si="518"/>
        <v>9</v>
      </c>
      <c r="E1142" s="75">
        <f t="shared" si="519"/>
        <v>53</v>
      </c>
      <c r="F1142" s="79"/>
      <c r="G1142" s="82"/>
      <c r="H1142" s="68" t="str">
        <f t="shared" si="536"/>
        <v>Hyprev6_20201203_09_00</v>
      </c>
      <c r="I1142" s="69">
        <f t="shared" si="540"/>
        <v>1</v>
      </c>
      <c r="J1142" s="76" t="str">
        <f t="shared" si="540"/>
        <v>Hypericum</v>
      </c>
      <c r="K1142" s="76" t="str">
        <f t="shared" si="540"/>
        <v>revolutum</v>
      </c>
      <c r="L1142" s="77">
        <f t="shared" si="540"/>
        <v>6</v>
      </c>
      <c r="M1142" s="77">
        <f t="shared" si="540"/>
        <v>1</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Dec</v>
      </c>
      <c r="C1143" s="73">
        <f t="shared" si="535"/>
        <v>3</v>
      </c>
      <c r="D1143" s="74">
        <f t="shared" si="518"/>
        <v>9</v>
      </c>
      <c r="E1143" s="75">
        <f t="shared" si="519"/>
        <v>54</v>
      </c>
      <c r="F1143" s="79"/>
      <c r="G1143" s="82"/>
      <c r="H1143" s="68" t="str">
        <f t="shared" si="536"/>
        <v>Hyprev6_20201203_09_00</v>
      </c>
      <c r="I1143" s="69">
        <f t="shared" si="540"/>
        <v>1</v>
      </c>
      <c r="J1143" s="76" t="str">
        <f t="shared" si="540"/>
        <v>Hypericum</v>
      </c>
      <c r="K1143" s="76" t="str">
        <f t="shared" si="540"/>
        <v>revolutum</v>
      </c>
      <c r="L1143" s="77">
        <f t="shared" si="540"/>
        <v>6</v>
      </c>
      <c r="M1143" s="77">
        <f t="shared" si="540"/>
        <v>1</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Dec</v>
      </c>
      <c r="C1144" s="73">
        <f t="shared" si="535"/>
        <v>3</v>
      </c>
      <c r="D1144" s="74">
        <f t="shared" si="518"/>
        <v>9</v>
      </c>
      <c r="E1144" s="75">
        <f t="shared" si="519"/>
        <v>55</v>
      </c>
      <c r="F1144" s="79"/>
      <c r="G1144" s="82"/>
      <c r="H1144" s="68" t="str">
        <f t="shared" si="536"/>
        <v>Hyprev6_20201203_09_00</v>
      </c>
      <c r="I1144" s="69">
        <f t="shared" si="540"/>
        <v>1</v>
      </c>
      <c r="J1144" s="76" t="str">
        <f t="shared" si="540"/>
        <v>Hypericum</v>
      </c>
      <c r="K1144" s="76" t="str">
        <f t="shared" si="540"/>
        <v>revolutum</v>
      </c>
      <c r="L1144" s="77">
        <f t="shared" si="540"/>
        <v>6</v>
      </c>
      <c r="M1144" s="77">
        <f t="shared" si="540"/>
        <v>1</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Dec</v>
      </c>
      <c r="C1145" s="73">
        <f t="shared" si="535"/>
        <v>3</v>
      </c>
      <c r="D1145" s="74">
        <f t="shared" si="518"/>
        <v>9</v>
      </c>
      <c r="E1145" s="75">
        <f t="shared" si="519"/>
        <v>56</v>
      </c>
      <c r="F1145" s="79"/>
      <c r="G1145" s="82"/>
      <c r="H1145" s="68" t="str">
        <f t="shared" si="536"/>
        <v>Hyprev6_20201203_09_00</v>
      </c>
      <c r="I1145" s="69">
        <f t="shared" si="540"/>
        <v>1</v>
      </c>
      <c r="J1145" s="76" t="str">
        <f t="shared" si="540"/>
        <v>Hypericum</v>
      </c>
      <c r="K1145" s="76" t="str">
        <f t="shared" si="540"/>
        <v>revolutum</v>
      </c>
      <c r="L1145" s="77">
        <f t="shared" si="540"/>
        <v>6</v>
      </c>
      <c r="M1145" s="77">
        <f t="shared" si="540"/>
        <v>1</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Dec</v>
      </c>
      <c r="C1146" s="73">
        <f t="shared" si="535"/>
        <v>3</v>
      </c>
      <c r="D1146" s="74">
        <f t="shared" si="518"/>
        <v>9</v>
      </c>
      <c r="E1146" s="75">
        <f t="shared" si="519"/>
        <v>57</v>
      </c>
      <c r="F1146" s="79"/>
      <c r="G1146" s="82"/>
      <c r="H1146" s="68" t="str">
        <f t="shared" si="536"/>
        <v>Hyprev6_20201203_09_00</v>
      </c>
      <c r="I1146" s="69">
        <f t="shared" si="540"/>
        <v>1</v>
      </c>
      <c r="J1146" s="76" t="str">
        <f t="shared" si="540"/>
        <v>Hypericum</v>
      </c>
      <c r="K1146" s="76" t="str">
        <f t="shared" si="540"/>
        <v>revolutum</v>
      </c>
      <c r="L1146" s="77">
        <f t="shared" si="540"/>
        <v>6</v>
      </c>
      <c r="M1146" s="77">
        <f t="shared" si="540"/>
        <v>1</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Dec</v>
      </c>
      <c r="C1147" s="73">
        <f t="shared" si="535"/>
        <v>3</v>
      </c>
      <c r="D1147" s="74">
        <f t="shared" si="518"/>
        <v>9</v>
      </c>
      <c r="E1147" s="75">
        <f t="shared" si="519"/>
        <v>58</v>
      </c>
      <c r="F1147" s="79"/>
      <c r="G1147" s="82"/>
      <c r="H1147" s="68" t="str">
        <f t="shared" si="536"/>
        <v>Hyprev6_20201203_09_00</v>
      </c>
      <c r="I1147" s="69">
        <f t="shared" si="540"/>
        <v>1</v>
      </c>
      <c r="J1147" s="76" t="str">
        <f t="shared" si="540"/>
        <v>Hypericum</v>
      </c>
      <c r="K1147" s="76" t="str">
        <f t="shared" si="540"/>
        <v>revolutum</v>
      </c>
      <c r="L1147" s="77">
        <f t="shared" si="540"/>
        <v>6</v>
      </c>
      <c r="M1147" s="77">
        <f t="shared" si="540"/>
        <v>1</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Dec</v>
      </c>
      <c r="C1148" s="73">
        <f t="shared" si="535"/>
        <v>3</v>
      </c>
      <c r="D1148" s="74">
        <f t="shared" si="518"/>
        <v>9</v>
      </c>
      <c r="E1148" s="75">
        <f t="shared" si="519"/>
        <v>59</v>
      </c>
      <c r="F1148" s="79"/>
      <c r="G1148" s="82"/>
      <c r="H1148" s="68" t="str">
        <f t="shared" si="536"/>
        <v>Hyprev6_20201203_09_00</v>
      </c>
      <c r="I1148" s="69">
        <f t="shared" si="540"/>
        <v>1</v>
      </c>
      <c r="J1148" s="76" t="str">
        <f t="shared" si="540"/>
        <v>Hypericum</v>
      </c>
      <c r="K1148" s="76" t="str">
        <f t="shared" si="540"/>
        <v>revolutum</v>
      </c>
      <c r="L1148" s="77">
        <f t="shared" si="540"/>
        <v>6</v>
      </c>
      <c r="M1148" s="77">
        <f t="shared" si="540"/>
        <v>1</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Dec</v>
      </c>
      <c r="C1149" s="73">
        <f t="shared" si="535"/>
        <v>3</v>
      </c>
      <c r="D1149" s="74">
        <f t="shared" si="518"/>
        <v>10</v>
      </c>
      <c r="E1149" s="75">
        <f t="shared" si="519"/>
        <v>0</v>
      </c>
      <c r="F1149" s="79"/>
      <c r="G1149" s="82"/>
      <c r="H1149" s="68" t="str">
        <f t="shared" si="536"/>
        <v>Hyprev6_20201203_10_00</v>
      </c>
      <c r="I1149" s="69">
        <f t="shared" si="540"/>
        <v>1</v>
      </c>
      <c r="J1149" s="76" t="str">
        <f t="shared" si="540"/>
        <v>Hypericum</v>
      </c>
      <c r="K1149" s="76" t="str">
        <f t="shared" si="540"/>
        <v>revolutum</v>
      </c>
      <c r="L1149" s="77">
        <f t="shared" si="540"/>
        <v>6</v>
      </c>
      <c r="M1149" s="77">
        <f t="shared" si="540"/>
        <v>1</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Dec</v>
      </c>
      <c r="C1150" s="73">
        <f t="shared" si="535"/>
        <v>3</v>
      </c>
      <c r="D1150" s="74">
        <f t="shared" si="518"/>
        <v>10</v>
      </c>
      <c r="E1150" s="75">
        <f t="shared" si="519"/>
        <v>1</v>
      </c>
      <c r="F1150" s="79"/>
      <c r="G1150" s="82"/>
      <c r="H1150" s="68" t="str">
        <f t="shared" si="536"/>
        <v>Hyprev6_20201203_10_00</v>
      </c>
      <c r="I1150" s="69">
        <f t="shared" si="540"/>
        <v>1</v>
      </c>
      <c r="J1150" s="76" t="str">
        <f t="shared" si="540"/>
        <v>Hypericum</v>
      </c>
      <c r="K1150" s="76" t="str">
        <f t="shared" si="540"/>
        <v>revolutum</v>
      </c>
      <c r="L1150" s="77">
        <f t="shared" si="540"/>
        <v>6</v>
      </c>
      <c r="M1150" s="77">
        <f t="shared" si="540"/>
        <v>1</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Dec</v>
      </c>
      <c r="C1151" s="73">
        <f t="shared" si="535"/>
        <v>3</v>
      </c>
      <c r="D1151" s="74">
        <f t="shared" si="518"/>
        <v>10</v>
      </c>
      <c r="E1151" s="75">
        <f t="shared" si="519"/>
        <v>2</v>
      </c>
      <c r="F1151" s="79"/>
      <c r="G1151" s="82"/>
      <c r="H1151" s="68" t="str">
        <f t="shared" si="536"/>
        <v>Hyprev6_20201203_10_00</v>
      </c>
      <c r="I1151" s="69">
        <f t="shared" si="540"/>
        <v>1</v>
      </c>
      <c r="J1151" s="76" t="str">
        <f t="shared" si="540"/>
        <v>Hypericum</v>
      </c>
      <c r="K1151" s="76" t="str">
        <f t="shared" si="540"/>
        <v>revolutum</v>
      </c>
      <c r="L1151" s="77">
        <f t="shared" si="540"/>
        <v>6</v>
      </c>
      <c r="M1151" s="77">
        <f t="shared" si="540"/>
        <v>1</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Dec</v>
      </c>
      <c r="C1152" s="73">
        <f t="shared" si="535"/>
        <v>3</v>
      </c>
      <c r="D1152" s="74">
        <f t="shared" si="518"/>
        <v>10</v>
      </c>
      <c r="E1152" s="75">
        <f t="shared" si="519"/>
        <v>3</v>
      </c>
      <c r="F1152" s="79"/>
      <c r="G1152" s="82"/>
      <c r="H1152" s="68" t="str">
        <f t="shared" si="536"/>
        <v>Hyprev6_20201203_10_00</v>
      </c>
      <c r="I1152" s="69">
        <f t="shared" si="540"/>
        <v>1</v>
      </c>
      <c r="J1152" s="76" t="str">
        <f t="shared" si="540"/>
        <v>Hypericum</v>
      </c>
      <c r="K1152" s="76" t="str">
        <f t="shared" si="540"/>
        <v>revolutum</v>
      </c>
      <c r="L1152" s="77">
        <f t="shared" si="540"/>
        <v>6</v>
      </c>
      <c r="M1152" s="77">
        <f t="shared" si="540"/>
        <v>1</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Dec</v>
      </c>
      <c r="C1153" s="73">
        <f t="shared" si="535"/>
        <v>3</v>
      </c>
      <c r="D1153" s="74">
        <f t="shared" si="518"/>
        <v>10</v>
      </c>
      <c r="E1153" s="75">
        <f t="shared" si="519"/>
        <v>4</v>
      </c>
      <c r="F1153" s="79"/>
      <c r="G1153" s="82"/>
      <c r="H1153" s="68" t="str">
        <f t="shared" si="536"/>
        <v>Hyprev6_20201203_10_00</v>
      </c>
      <c r="I1153" s="69">
        <f t="shared" si="540"/>
        <v>1</v>
      </c>
      <c r="J1153" s="76" t="str">
        <f t="shared" si="540"/>
        <v>Hypericum</v>
      </c>
      <c r="K1153" s="76" t="str">
        <f t="shared" si="540"/>
        <v>revolutum</v>
      </c>
      <c r="L1153" s="77">
        <f t="shared" si="540"/>
        <v>6</v>
      </c>
      <c r="M1153" s="77">
        <f t="shared" si="540"/>
        <v>1</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Dec</v>
      </c>
      <c r="C1154" s="73">
        <f t="shared" si="535"/>
        <v>3</v>
      </c>
      <c r="D1154" s="74">
        <f t="shared" si="518"/>
        <v>10</v>
      </c>
      <c r="E1154" s="75">
        <f t="shared" si="519"/>
        <v>5</v>
      </c>
      <c r="F1154" s="79"/>
      <c r="G1154" s="82"/>
      <c r="H1154" s="68" t="str">
        <f t="shared" si="536"/>
        <v>Hyprev6_20201203_10_00</v>
      </c>
      <c r="I1154" s="69">
        <f t="shared" si="540"/>
        <v>1</v>
      </c>
      <c r="J1154" s="76" t="str">
        <f t="shared" si="540"/>
        <v>Hypericum</v>
      </c>
      <c r="K1154" s="76" t="str">
        <f t="shared" si="540"/>
        <v>revolutum</v>
      </c>
      <c r="L1154" s="77">
        <f t="shared" si="540"/>
        <v>6</v>
      </c>
      <c r="M1154" s="77">
        <f t="shared" si="540"/>
        <v>1</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Dec</v>
      </c>
      <c r="C1155" s="73">
        <f t="shared" si="535"/>
        <v>3</v>
      </c>
      <c r="D1155" s="74">
        <f t="shared" si="518"/>
        <v>10</v>
      </c>
      <c r="E1155" s="75">
        <f t="shared" si="519"/>
        <v>6</v>
      </c>
      <c r="F1155" s="79"/>
      <c r="G1155" s="82"/>
      <c r="H1155" s="68" t="str">
        <f t="shared" si="536"/>
        <v>Hyprev6_20201203_10_00</v>
      </c>
      <c r="I1155" s="69">
        <f t="shared" si="540"/>
        <v>1</v>
      </c>
      <c r="J1155" s="76" t="str">
        <f t="shared" si="540"/>
        <v>Hypericum</v>
      </c>
      <c r="K1155" s="76" t="str">
        <f t="shared" si="540"/>
        <v>revolutum</v>
      </c>
      <c r="L1155" s="77">
        <f t="shared" si="540"/>
        <v>6</v>
      </c>
      <c r="M1155" s="77">
        <f t="shared" si="540"/>
        <v>1</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Dec</v>
      </c>
      <c r="C1156" s="73">
        <f t="shared" si="535"/>
        <v>3</v>
      </c>
      <c r="D1156" s="74">
        <f t="shared" ref="D1156:D1219" si="548">IF(IF(E1155=59,D1155+1,D1155)=24,0,IF(E1155=59,D1155+1,D1155))</f>
        <v>10</v>
      </c>
      <c r="E1156" s="75">
        <f t="shared" ref="E1156:E1219" si="549">IF(E1155&lt;59,E1155+1,0)</f>
        <v>7</v>
      </c>
      <c r="F1156" s="79"/>
      <c r="G1156" s="82"/>
      <c r="H1156" s="68" t="str">
        <f t="shared" si="536"/>
        <v>Hyprev6_20201203_10_00</v>
      </c>
      <c r="I1156" s="69">
        <f t="shared" si="540"/>
        <v>1</v>
      </c>
      <c r="J1156" s="76" t="str">
        <f t="shared" si="540"/>
        <v>Hypericum</v>
      </c>
      <c r="K1156" s="76" t="str">
        <f t="shared" si="540"/>
        <v>revolutum</v>
      </c>
      <c r="L1156" s="77">
        <f t="shared" si="540"/>
        <v>6</v>
      </c>
      <c r="M1156" s="77">
        <f t="shared" si="540"/>
        <v>1</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Dec</v>
      </c>
      <c r="C1157" s="73">
        <f t="shared" ref="C1157:C1220" si="565">IF(AND(D1157=0, E1157=0), IF(TEXT(C1156,"dd")=TEXT(EOMONTH(DATE(A1156,MONTH(DATEVALUE(B1156&amp;"1")),C1156),0), "dd"), 1, C1156+1), C1156)</f>
        <v>3</v>
      </c>
      <c r="D1157" s="74">
        <f t="shared" si="548"/>
        <v>10</v>
      </c>
      <c r="E1157" s="75">
        <f t="shared" si="549"/>
        <v>8</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Hyprev6_20201203_10_00</v>
      </c>
      <c r="I1157" s="69">
        <f t="shared" ref="I1157:N1172" si="567">I1156</f>
        <v>1</v>
      </c>
      <c r="J1157" s="76" t="str">
        <f t="shared" si="567"/>
        <v>Hypericum</v>
      </c>
      <c r="K1157" s="76" t="str">
        <f t="shared" si="567"/>
        <v>revolutum</v>
      </c>
      <c r="L1157" s="77">
        <f t="shared" si="567"/>
        <v>6</v>
      </c>
      <c r="M1157" s="77">
        <f t="shared" si="567"/>
        <v>1</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Dec</v>
      </c>
      <c r="C1158" s="73">
        <f t="shared" si="565"/>
        <v>3</v>
      </c>
      <c r="D1158" s="74">
        <f t="shared" si="548"/>
        <v>10</v>
      </c>
      <c r="E1158" s="75">
        <f t="shared" si="549"/>
        <v>9</v>
      </c>
      <c r="F1158" s="79"/>
      <c r="G1158" s="82"/>
      <c r="H1158" s="68" t="str">
        <f t="shared" si="566"/>
        <v>Hyprev6_20201203_10_00</v>
      </c>
      <c r="I1158" s="69">
        <f t="shared" si="567"/>
        <v>1</v>
      </c>
      <c r="J1158" s="76" t="str">
        <f t="shared" si="567"/>
        <v>Hypericum</v>
      </c>
      <c r="K1158" s="76" t="str">
        <f t="shared" si="567"/>
        <v>revolutum</v>
      </c>
      <c r="L1158" s="77">
        <f t="shared" si="567"/>
        <v>6</v>
      </c>
      <c r="M1158" s="77">
        <f t="shared" si="567"/>
        <v>1</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Dec</v>
      </c>
      <c r="C1159" s="73">
        <f t="shared" si="565"/>
        <v>3</v>
      </c>
      <c r="D1159" s="74">
        <f t="shared" si="548"/>
        <v>10</v>
      </c>
      <c r="E1159" s="75">
        <f t="shared" si="549"/>
        <v>10</v>
      </c>
      <c r="F1159" s="79"/>
      <c r="G1159" s="82"/>
      <c r="H1159" s="68" t="str">
        <f t="shared" si="566"/>
        <v>Hyprev6_20201203_10_00</v>
      </c>
      <c r="I1159" s="69">
        <f t="shared" si="567"/>
        <v>1</v>
      </c>
      <c r="J1159" s="76" t="str">
        <f t="shared" si="567"/>
        <v>Hypericum</v>
      </c>
      <c r="K1159" s="76" t="str">
        <f t="shared" si="567"/>
        <v>revolutum</v>
      </c>
      <c r="L1159" s="77">
        <f t="shared" si="567"/>
        <v>6</v>
      </c>
      <c r="M1159" s="77">
        <f t="shared" si="567"/>
        <v>1</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Dec</v>
      </c>
      <c r="C1160" s="73">
        <f t="shared" si="565"/>
        <v>3</v>
      </c>
      <c r="D1160" s="74">
        <f t="shared" si="548"/>
        <v>10</v>
      </c>
      <c r="E1160" s="75">
        <f t="shared" si="549"/>
        <v>11</v>
      </c>
      <c r="F1160" s="79"/>
      <c r="G1160" s="82"/>
      <c r="H1160" s="68" t="str">
        <f t="shared" si="566"/>
        <v>Hyprev6_20201203_10_00</v>
      </c>
      <c r="I1160" s="69">
        <f t="shared" si="567"/>
        <v>1</v>
      </c>
      <c r="J1160" s="76" t="str">
        <f t="shared" si="567"/>
        <v>Hypericum</v>
      </c>
      <c r="K1160" s="76" t="str">
        <f t="shared" si="567"/>
        <v>revolutum</v>
      </c>
      <c r="L1160" s="77">
        <f t="shared" si="567"/>
        <v>6</v>
      </c>
      <c r="M1160" s="77">
        <f t="shared" si="567"/>
        <v>1</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Dec</v>
      </c>
      <c r="C1161" s="73">
        <f t="shared" si="565"/>
        <v>3</v>
      </c>
      <c r="D1161" s="74">
        <f t="shared" si="548"/>
        <v>10</v>
      </c>
      <c r="E1161" s="75">
        <f t="shared" si="549"/>
        <v>12</v>
      </c>
      <c r="F1161" s="79"/>
      <c r="G1161" s="82"/>
      <c r="H1161" s="68" t="str">
        <f t="shared" si="566"/>
        <v>Hyprev6_20201203_10_00</v>
      </c>
      <c r="I1161" s="69">
        <f t="shared" si="567"/>
        <v>1</v>
      </c>
      <c r="J1161" s="76" t="str">
        <f t="shared" si="567"/>
        <v>Hypericum</v>
      </c>
      <c r="K1161" s="76" t="str">
        <f t="shared" si="567"/>
        <v>revolutum</v>
      </c>
      <c r="L1161" s="77">
        <f t="shared" si="567"/>
        <v>6</v>
      </c>
      <c r="M1161" s="77">
        <f t="shared" si="567"/>
        <v>1</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Dec</v>
      </c>
      <c r="C1162" s="73">
        <f t="shared" si="565"/>
        <v>3</v>
      </c>
      <c r="D1162" s="74">
        <f t="shared" si="548"/>
        <v>10</v>
      </c>
      <c r="E1162" s="75">
        <f t="shared" si="549"/>
        <v>13</v>
      </c>
      <c r="F1162" s="79"/>
      <c r="G1162" s="82"/>
      <c r="H1162" s="68" t="str">
        <f t="shared" si="566"/>
        <v>Hyprev6_20201203_10_00</v>
      </c>
      <c r="I1162" s="69">
        <f t="shared" si="567"/>
        <v>1</v>
      </c>
      <c r="J1162" s="76" t="str">
        <f t="shared" si="567"/>
        <v>Hypericum</v>
      </c>
      <c r="K1162" s="76" t="str">
        <f t="shared" si="567"/>
        <v>revolutum</v>
      </c>
      <c r="L1162" s="77">
        <f t="shared" si="567"/>
        <v>6</v>
      </c>
      <c r="M1162" s="77">
        <f t="shared" si="567"/>
        <v>1</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Dec</v>
      </c>
      <c r="C1163" s="73">
        <f t="shared" si="565"/>
        <v>3</v>
      </c>
      <c r="D1163" s="74">
        <f t="shared" si="548"/>
        <v>10</v>
      </c>
      <c r="E1163" s="75">
        <f t="shared" si="549"/>
        <v>14</v>
      </c>
      <c r="F1163" s="79"/>
      <c r="G1163" s="82"/>
      <c r="H1163" s="68" t="str">
        <f t="shared" si="566"/>
        <v>Hyprev6_20201203_10_00</v>
      </c>
      <c r="I1163" s="69">
        <f t="shared" si="567"/>
        <v>1</v>
      </c>
      <c r="J1163" s="76" t="str">
        <f t="shared" si="567"/>
        <v>Hypericum</v>
      </c>
      <c r="K1163" s="76" t="str">
        <f t="shared" si="567"/>
        <v>revolutum</v>
      </c>
      <c r="L1163" s="77">
        <f t="shared" si="567"/>
        <v>6</v>
      </c>
      <c r="M1163" s="77">
        <f t="shared" si="567"/>
        <v>1</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Dec</v>
      </c>
      <c r="C1164" s="73">
        <f t="shared" si="565"/>
        <v>3</v>
      </c>
      <c r="D1164" s="74">
        <f t="shared" si="548"/>
        <v>10</v>
      </c>
      <c r="E1164" s="75">
        <f t="shared" si="549"/>
        <v>15</v>
      </c>
      <c r="F1164" s="79"/>
      <c r="G1164" s="82"/>
      <c r="H1164" s="68" t="str">
        <f t="shared" si="566"/>
        <v>Hyprev6_20201203_10_00</v>
      </c>
      <c r="I1164" s="69">
        <f t="shared" si="567"/>
        <v>1</v>
      </c>
      <c r="J1164" s="76" t="str">
        <f t="shared" si="567"/>
        <v>Hypericum</v>
      </c>
      <c r="K1164" s="76" t="str">
        <f t="shared" si="567"/>
        <v>revolutum</v>
      </c>
      <c r="L1164" s="77">
        <f t="shared" si="567"/>
        <v>6</v>
      </c>
      <c r="M1164" s="77">
        <f t="shared" si="567"/>
        <v>1</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Dec</v>
      </c>
      <c r="C1165" s="73">
        <f t="shared" si="565"/>
        <v>3</v>
      </c>
      <c r="D1165" s="74">
        <f t="shared" si="548"/>
        <v>10</v>
      </c>
      <c r="E1165" s="75">
        <f t="shared" si="549"/>
        <v>16</v>
      </c>
      <c r="F1165" s="79"/>
      <c r="G1165" s="82"/>
      <c r="H1165" s="68" t="str">
        <f t="shared" si="566"/>
        <v>Hyprev6_20201203_10_00</v>
      </c>
      <c r="I1165" s="69">
        <f t="shared" si="567"/>
        <v>1</v>
      </c>
      <c r="J1165" s="76" t="str">
        <f t="shared" si="567"/>
        <v>Hypericum</v>
      </c>
      <c r="K1165" s="76" t="str">
        <f t="shared" si="567"/>
        <v>revolutum</v>
      </c>
      <c r="L1165" s="77">
        <f t="shared" si="567"/>
        <v>6</v>
      </c>
      <c r="M1165" s="77">
        <f t="shared" si="567"/>
        <v>1</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Dec</v>
      </c>
      <c r="C1166" s="73">
        <f t="shared" si="565"/>
        <v>3</v>
      </c>
      <c r="D1166" s="74">
        <f t="shared" si="548"/>
        <v>10</v>
      </c>
      <c r="E1166" s="75">
        <f t="shared" si="549"/>
        <v>17</v>
      </c>
      <c r="F1166" s="79"/>
      <c r="G1166" s="82"/>
      <c r="H1166" s="68" t="str">
        <f t="shared" si="566"/>
        <v>Hyprev6_20201203_10_00</v>
      </c>
      <c r="I1166" s="69">
        <f t="shared" si="567"/>
        <v>1</v>
      </c>
      <c r="J1166" s="76" t="str">
        <f t="shared" si="567"/>
        <v>Hypericum</v>
      </c>
      <c r="K1166" s="76" t="str">
        <f t="shared" si="567"/>
        <v>revolutum</v>
      </c>
      <c r="L1166" s="77">
        <f t="shared" si="567"/>
        <v>6</v>
      </c>
      <c r="M1166" s="77">
        <f t="shared" si="567"/>
        <v>1</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Dec</v>
      </c>
      <c r="C1167" s="73">
        <f t="shared" si="565"/>
        <v>3</v>
      </c>
      <c r="D1167" s="74">
        <f t="shared" si="548"/>
        <v>10</v>
      </c>
      <c r="E1167" s="75">
        <f t="shared" si="549"/>
        <v>18</v>
      </c>
      <c r="F1167" s="79"/>
      <c r="G1167" s="82"/>
      <c r="H1167" s="68" t="str">
        <f t="shared" si="566"/>
        <v>Hyprev6_20201203_10_00</v>
      </c>
      <c r="I1167" s="69">
        <f t="shared" si="567"/>
        <v>1</v>
      </c>
      <c r="J1167" s="76" t="str">
        <f t="shared" si="567"/>
        <v>Hypericum</v>
      </c>
      <c r="K1167" s="76" t="str">
        <f t="shared" si="567"/>
        <v>revolutum</v>
      </c>
      <c r="L1167" s="77">
        <f t="shared" si="567"/>
        <v>6</v>
      </c>
      <c r="M1167" s="77">
        <f t="shared" si="567"/>
        <v>1</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Dec</v>
      </c>
      <c r="C1168" s="73">
        <f t="shared" si="565"/>
        <v>3</v>
      </c>
      <c r="D1168" s="74">
        <f t="shared" si="548"/>
        <v>10</v>
      </c>
      <c r="E1168" s="75">
        <f t="shared" si="549"/>
        <v>19</v>
      </c>
      <c r="F1168" s="79"/>
      <c r="G1168" s="82"/>
      <c r="H1168" s="68" t="str">
        <f t="shared" si="566"/>
        <v>Hyprev6_20201203_10_00</v>
      </c>
      <c r="I1168" s="69">
        <f t="shared" si="567"/>
        <v>1</v>
      </c>
      <c r="J1168" s="76" t="str">
        <f t="shared" si="567"/>
        <v>Hypericum</v>
      </c>
      <c r="K1168" s="76" t="str">
        <f t="shared" si="567"/>
        <v>revolutum</v>
      </c>
      <c r="L1168" s="77">
        <f t="shared" si="567"/>
        <v>6</v>
      </c>
      <c r="M1168" s="77">
        <f t="shared" si="567"/>
        <v>1</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Dec</v>
      </c>
      <c r="C1169" s="73">
        <f t="shared" si="565"/>
        <v>3</v>
      </c>
      <c r="D1169" s="74">
        <f t="shared" si="548"/>
        <v>10</v>
      </c>
      <c r="E1169" s="75">
        <f t="shared" si="549"/>
        <v>20</v>
      </c>
      <c r="F1169" s="79"/>
      <c r="G1169" s="82"/>
      <c r="H1169" s="68" t="str">
        <f t="shared" si="566"/>
        <v>Hyprev6_20201203_10_00</v>
      </c>
      <c r="I1169" s="69">
        <f t="shared" si="567"/>
        <v>1</v>
      </c>
      <c r="J1169" s="76" t="str">
        <f t="shared" si="567"/>
        <v>Hypericum</v>
      </c>
      <c r="K1169" s="76" t="str">
        <f t="shared" si="567"/>
        <v>revolutum</v>
      </c>
      <c r="L1169" s="77">
        <f t="shared" si="567"/>
        <v>6</v>
      </c>
      <c r="M1169" s="77">
        <f t="shared" si="567"/>
        <v>1</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Dec</v>
      </c>
      <c r="C1170" s="73">
        <f t="shared" si="565"/>
        <v>3</v>
      </c>
      <c r="D1170" s="74">
        <f t="shared" si="548"/>
        <v>10</v>
      </c>
      <c r="E1170" s="75">
        <f t="shared" si="549"/>
        <v>21</v>
      </c>
      <c r="F1170" s="79"/>
      <c r="G1170" s="82"/>
      <c r="H1170" s="68" t="str">
        <f t="shared" si="566"/>
        <v>Hyprev6_20201203_10_00</v>
      </c>
      <c r="I1170" s="69">
        <f t="shared" si="567"/>
        <v>1</v>
      </c>
      <c r="J1170" s="76" t="str">
        <f t="shared" si="567"/>
        <v>Hypericum</v>
      </c>
      <c r="K1170" s="76" t="str">
        <f t="shared" si="567"/>
        <v>revolutum</v>
      </c>
      <c r="L1170" s="77">
        <f t="shared" si="567"/>
        <v>6</v>
      </c>
      <c r="M1170" s="77">
        <f t="shared" si="567"/>
        <v>1</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Dec</v>
      </c>
      <c r="C1171" s="73">
        <f t="shared" si="565"/>
        <v>3</v>
      </c>
      <c r="D1171" s="74">
        <f t="shared" si="548"/>
        <v>10</v>
      </c>
      <c r="E1171" s="75">
        <f t="shared" si="549"/>
        <v>22</v>
      </c>
      <c r="F1171" s="79"/>
      <c r="G1171" s="82"/>
      <c r="H1171" s="68" t="str">
        <f t="shared" si="566"/>
        <v>Hyprev6_20201203_10_00</v>
      </c>
      <c r="I1171" s="69">
        <f t="shared" si="567"/>
        <v>1</v>
      </c>
      <c r="J1171" s="76" t="str">
        <f t="shared" si="567"/>
        <v>Hypericum</v>
      </c>
      <c r="K1171" s="76" t="str">
        <f t="shared" si="567"/>
        <v>revolutum</v>
      </c>
      <c r="L1171" s="77">
        <f t="shared" si="567"/>
        <v>6</v>
      </c>
      <c r="M1171" s="77">
        <f t="shared" si="567"/>
        <v>1</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Dec</v>
      </c>
      <c r="C1172" s="73">
        <f t="shared" si="565"/>
        <v>3</v>
      </c>
      <c r="D1172" s="74">
        <f t="shared" si="548"/>
        <v>10</v>
      </c>
      <c r="E1172" s="75">
        <f t="shared" si="549"/>
        <v>23</v>
      </c>
      <c r="F1172" s="79"/>
      <c r="G1172" s="82"/>
      <c r="H1172" s="68" t="str">
        <f t="shared" si="566"/>
        <v>Hyprev6_20201203_10_00</v>
      </c>
      <c r="I1172" s="69">
        <f t="shared" si="567"/>
        <v>1</v>
      </c>
      <c r="J1172" s="76" t="str">
        <f t="shared" si="567"/>
        <v>Hypericum</v>
      </c>
      <c r="K1172" s="76" t="str">
        <f t="shared" si="567"/>
        <v>revolutum</v>
      </c>
      <c r="L1172" s="77">
        <f t="shared" si="567"/>
        <v>6</v>
      </c>
      <c r="M1172" s="77">
        <f t="shared" si="567"/>
        <v>1</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Dec</v>
      </c>
      <c r="C1173" s="73">
        <f t="shared" si="565"/>
        <v>3</v>
      </c>
      <c r="D1173" s="74">
        <f t="shared" si="548"/>
        <v>10</v>
      </c>
      <c r="E1173" s="75">
        <f t="shared" si="549"/>
        <v>24</v>
      </c>
      <c r="F1173" s="79"/>
      <c r="G1173" s="82"/>
      <c r="H1173" s="68" t="str">
        <f t="shared" si="566"/>
        <v>Hyprev6_20201203_10_00</v>
      </c>
      <c r="I1173" s="69">
        <f t="shared" ref="I1173:N1188" si="568">I1172</f>
        <v>1</v>
      </c>
      <c r="J1173" s="76" t="str">
        <f t="shared" si="568"/>
        <v>Hypericum</v>
      </c>
      <c r="K1173" s="76" t="str">
        <f t="shared" si="568"/>
        <v>revolutum</v>
      </c>
      <c r="L1173" s="77">
        <f t="shared" si="568"/>
        <v>6</v>
      </c>
      <c r="M1173" s="77">
        <f t="shared" si="568"/>
        <v>1</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Dec</v>
      </c>
      <c r="C1174" s="73">
        <f t="shared" si="565"/>
        <v>3</v>
      </c>
      <c r="D1174" s="74">
        <f t="shared" si="548"/>
        <v>10</v>
      </c>
      <c r="E1174" s="75">
        <f t="shared" si="549"/>
        <v>25</v>
      </c>
      <c r="F1174" s="79"/>
      <c r="G1174" s="82"/>
      <c r="H1174" s="68" t="str">
        <f t="shared" si="566"/>
        <v>Hyprev6_20201203_10_00</v>
      </c>
      <c r="I1174" s="69">
        <f t="shared" si="568"/>
        <v>1</v>
      </c>
      <c r="J1174" s="76" t="str">
        <f t="shared" si="568"/>
        <v>Hypericum</v>
      </c>
      <c r="K1174" s="76" t="str">
        <f t="shared" si="568"/>
        <v>revolutum</v>
      </c>
      <c r="L1174" s="77">
        <f t="shared" si="568"/>
        <v>6</v>
      </c>
      <c r="M1174" s="77">
        <f t="shared" si="568"/>
        <v>1</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Dec</v>
      </c>
      <c r="C1175" s="73">
        <f t="shared" si="565"/>
        <v>3</v>
      </c>
      <c r="D1175" s="74">
        <f t="shared" si="548"/>
        <v>10</v>
      </c>
      <c r="E1175" s="75">
        <f t="shared" si="549"/>
        <v>26</v>
      </c>
      <c r="F1175" s="79"/>
      <c r="G1175" s="82"/>
      <c r="H1175" s="68" t="str">
        <f t="shared" si="566"/>
        <v>Hyprev6_20201203_10_00</v>
      </c>
      <c r="I1175" s="69">
        <f t="shared" si="568"/>
        <v>1</v>
      </c>
      <c r="J1175" s="76" t="str">
        <f t="shared" si="568"/>
        <v>Hypericum</v>
      </c>
      <c r="K1175" s="76" t="str">
        <f t="shared" si="568"/>
        <v>revolutum</v>
      </c>
      <c r="L1175" s="77">
        <f t="shared" si="568"/>
        <v>6</v>
      </c>
      <c r="M1175" s="77">
        <f t="shared" si="568"/>
        <v>1</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Dec</v>
      </c>
      <c r="C1176" s="73">
        <f t="shared" si="565"/>
        <v>3</v>
      </c>
      <c r="D1176" s="74">
        <f t="shared" si="548"/>
        <v>10</v>
      </c>
      <c r="E1176" s="75">
        <f t="shared" si="549"/>
        <v>27</v>
      </c>
      <c r="F1176" s="79"/>
      <c r="G1176" s="82"/>
      <c r="H1176" s="68" t="str">
        <f t="shared" si="566"/>
        <v>Hyprev6_20201203_10_00</v>
      </c>
      <c r="I1176" s="69">
        <f t="shared" si="568"/>
        <v>1</v>
      </c>
      <c r="J1176" s="76" t="str">
        <f t="shared" si="568"/>
        <v>Hypericum</v>
      </c>
      <c r="K1176" s="76" t="str">
        <f t="shared" si="568"/>
        <v>revolutum</v>
      </c>
      <c r="L1176" s="77">
        <f t="shared" si="568"/>
        <v>6</v>
      </c>
      <c r="M1176" s="77">
        <f t="shared" si="568"/>
        <v>1</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Dec</v>
      </c>
      <c r="C1177" s="73">
        <f t="shared" si="565"/>
        <v>3</v>
      </c>
      <c r="D1177" s="74">
        <f t="shared" si="548"/>
        <v>10</v>
      </c>
      <c r="E1177" s="75">
        <f t="shared" si="549"/>
        <v>28</v>
      </c>
      <c r="F1177" s="79"/>
      <c r="G1177" s="82"/>
      <c r="H1177" s="68" t="str">
        <f t="shared" si="566"/>
        <v>Hyprev6_20201203_10_00</v>
      </c>
      <c r="I1177" s="69">
        <f t="shared" si="568"/>
        <v>1</v>
      </c>
      <c r="J1177" s="76" t="str">
        <f t="shared" si="568"/>
        <v>Hypericum</v>
      </c>
      <c r="K1177" s="76" t="str">
        <f t="shared" si="568"/>
        <v>revolutum</v>
      </c>
      <c r="L1177" s="77">
        <f t="shared" si="568"/>
        <v>6</v>
      </c>
      <c r="M1177" s="77">
        <f t="shared" si="568"/>
        <v>1</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Dec</v>
      </c>
      <c r="C1178" s="73">
        <f t="shared" si="565"/>
        <v>3</v>
      </c>
      <c r="D1178" s="74">
        <f t="shared" si="548"/>
        <v>10</v>
      </c>
      <c r="E1178" s="75">
        <f t="shared" si="549"/>
        <v>29</v>
      </c>
      <c r="F1178" s="79"/>
      <c r="G1178" s="82"/>
      <c r="H1178" s="68" t="str">
        <f t="shared" si="566"/>
        <v>Hyprev6_20201203_10_00</v>
      </c>
      <c r="I1178" s="69">
        <f t="shared" si="568"/>
        <v>1</v>
      </c>
      <c r="J1178" s="76" t="str">
        <f t="shared" si="568"/>
        <v>Hypericum</v>
      </c>
      <c r="K1178" s="76" t="str">
        <f t="shared" si="568"/>
        <v>revolutum</v>
      </c>
      <c r="L1178" s="77">
        <f t="shared" si="568"/>
        <v>6</v>
      </c>
      <c r="M1178" s="77">
        <f t="shared" si="568"/>
        <v>1</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Dec</v>
      </c>
      <c r="C1179" s="73">
        <f t="shared" si="565"/>
        <v>3</v>
      </c>
      <c r="D1179" s="74">
        <f t="shared" si="548"/>
        <v>10</v>
      </c>
      <c r="E1179" s="75">
        <f t="shared" si="549"/>
        <v>30</v>
      </c>
      <c r="F1179" s="79"/>
      <c r="G1179" s="82"/>
      <c r="H1179" s="68" t="str">
        <f t="shared" si="566"/>
        <v>Hyprev6_20201203_10_00</v>
      </c>
      <c r="I1179" s="69">
        <f t="shared" si="568"/>
        <v>1</v>
      </c>
      <c r="J1179" s="76" t="str">
        <f t="shared" si="568"/>
        <v>Hypericum</v>
      </c>
      <c r="K1179" s="76" t="str">
        <f t="shared" si="568"/>
        <v>revolutum</v>
      </c>
      <c r="L1179" s="77">
        <f t="shared" si="568"/>
        <v>6</v>
      </c>
      <c r="M1179" s="77">
        <f t="shared" si="568"/>
        <v>1</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Dec</v>
      </c>
      <c r="C1180" s="73">
        <f t="shared" si="565"/>
        <v>3</v>
      </c>
      <c r="D1180" s="74">
        <f t="shared" si="548"/>
        <v>10</v>
      </c>
      <c r="E1180" s="75">
        <f t="shared" si="549"/>
        <v>31</v>
      </c>
      <c r="F1180" s="79"/>
      <c r="G1180" s="82"/>
      <c r="H1180" s="68" t="str">
        <f t="shared" si="566"/>
        <v>Hyprev6_20201203_10_00</v>
      </c>
      <c r="I1180" s="69">
        <f t="shared" si="568"/>
        <v>1</v>
      </c>
      <c r="J1180" s="76" t="str">
        <f t="shared" si="568"/>
        <v>Hypericum</v>
      </c>
      <c r="K1180" s="76" t="str">
        <f t="shared" si="568"/>
        <v>revolutum</v>
      </c>
      <c r="L1180" s="77">
        <f t="shared" si="568"/>
        <v>6</v>
      </c>
      <c r="M1180" s="77">
        <f t="shared" si="568"/>
        <v>1</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Dec</v>
      </c>
      <c r="C1181" s="73">
        <f t="shared" si="565"/>
        <v>3</v>
      </c>
      <c r="D1181" s="74">
        <f t="shared" si="548"/>
        <v>10</v>
      </c>
      <c r="E1181" s="75">
        <f t="shared" si="549"/>
        <v>32</v>
      </c>
      <c r="F1181" s="79"/>
      <c r="G1181" s="82"/>
      <c r="H1181" s="68" t="str">
        <f t="shared" si="566"/>
        <v>Hyprev6_20201203_10_00</v>
      </c>
      <c r="I1181" s="69">
        <f t="shared" si="568"/>
        <v>1</v>
      </c>
      <c r="J1181" s="76" t="str">
        <f t="shared" si="568"/>
        <v>Hypericum</v>
      </c>
      <c r="K1181" s="76" t="str">
        <f t="shared" si="568"/>
        <v>revolutum</v>
      </c>
      <c r="L1181" s="77">
        <f t="shared" si="568"/>
        <v>6</v>
      </c>
      <c r="M1181" s="77">
        <f t="shared" si="568"/>
        <v>1</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Dec</v>
      </c>
      <c r="C1182" s="73">
        <f t="shared" si="565"/>
        <v>3</v>
      </c>
      <c r="D1182" s="74">
        <f t="shared" si="548"/>
        <v>10</v>
      </c>
      <c r="E1182" s="75">
        <f t="shared" si="549"/>
        <v>33</v>
      </c>
      <c r="F1182" s="79"/>
      <c r="G1182" s="82"/>
      <c r="H1182" s="68" t="str">
        <f t="shared" si="566"/>
        <v>Hyprev6_20201203_10_00</v>
      </c>
      <c r="I1182" s="69">
        <f t="shared" si="568"/>
        <v>1</v>
      </c>
      <c r="J1182" s="76" t="str">
        <f t="shared" si="568"/>
        <v>Hypericum</v>
      </c>
      <c r="K1182" s="76" t="str">
        <f t="shared" si="568"/>
        <v>revolutum</v>
      </c>
      <c r="L1182" s="77">
        <f t="shared" si="568"/>
        <v>6</v>
      </c>
      <c r="M1182" s="77">
        <f t="shared" si="568"/>
        <v>1</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Dec</v>
      </c>
      <c r="C1183" s="73">
        <f t="shared" si="565"/>
        <v>3</v>
      </c>
      <c r="D1183" s="74">
        <f t="shared" si="548"/>
        <v>10</v>
      </c>
      <c r="E1183" s="75">
        <f t="shared" si="549"/>
        <v>34</v>
      </c>
      <c r="F1183" s="79"/>
      <c r="G1183" s="82"/>
      <c r="H1183" s="68" t="str">
        <f t="shared" si="566"/>
        <v>Hyprev6_20201203_10_00</v>
      </c>
      <c r="I1183" s="69">
        <f t="shared" si="568"/>
        <v>1</v>
      </c>
      <c r="J1183" s="76" t="str">
        <f t="shared" si="568"/>
        <v>Hypericum</v>
      </c>
      <c r="K1183" s="76" t="str">
        <f t="shared" si="568"/>
        <v>revolutum</v>
      </c>
      <c r="L1183" s="77">
        <f t="shared" si="568"/>
        <v>6</v>
      </c>
      <c r="M1183" s="77">
        <f t="shared" si="568"/>
        <v>1</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Dec</v>
      </c>
      <c r="C1184" s="73">
        <f t="shared" si="565"/>
        <v>3</v>
      </c>
      <c r="D1184" s="74">
        <f t="shared" si="548"/>
        <v>10</v>
      </c>
      <c r="E1184" s="75">
        <f t="shared" si="549"/>
        <v>35</v>
      </c>
      <c r="F1184" s="79"/>
      <c r="G1184" s="82"/>
      <c r="H1184" s="68" t="str">
        <f t="shared" si="566"/>
        <v>Hyprev6_20201203_10_00</v>
      </c>
      <c r="I1184" s="69">
        <f t="shared" si="568"/>
        <v>1</v>
      </c>
      <c r="J1184" s="76" t="str">
        <f t="shared" si="568"/>
        <v>Hypericum</v>
      </c>
      <c r="K1184" s="76" t="str">
        <f t="shared" si="568"/>
        <v>revolutum</v>
      </c>
      <c r="L1184" s="77">
        <f t="shared" si="568"/>
        <v>6</v>
      </c>
      <c r="M1184" s="77">
        <f t="shared" si="568"/>
        <v>1</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Dec</v>
      </c>
      <c r="C1185" s="73">
        <f t="shared" si="565"/>
        <v>3</v>
      </c>
      <c r="D1185" s="74">
        <f t="shared" si="548"/>
        <v>10</v>
      </c>
      <c r="E1185" s="75">
        <f t="shared" si="549"/>
        <v>36</v>
      </c>
      <c r="F1185" s="79"/>
      <c r="G1185" s="82"/>
      <c r="H1185" s="68" t="str">
        <f t="shared" si="566"/>
        <v>Hyprev6_20201203_10_00</v>
      </c>
      <c r="I1185" s="69">
        <f t="shared" si="568"/>
        <v>1</v>
      </c>
      <c r="J1185" s="76" t="str">
        <f t="shared" si="568"/>
        <v>Hypericum</v>
      </c>
      <c r="K1185" s="76" t="str">
        <f t="shared" si="568"/>
        <v>revolutum</v>
      </c>
      <c r="L1185" s="77">
        <f t="shared" si="568"/>
        <v>6</v>
      </c>
      <c r="M1185" s="77">
        <f t="shared" si="568"/>
        <v>1</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Dec</v>
      </c>
      <c r="C1186" s="73">
        <f t="shared" si="565"/>
        <v>3</v>
      </c>
      <c r="D1186" s="74">
        <f t="shared" si="548"/>
        <v>10</v>
      </c>
      <c r="E1186" s="75">
        <f t="shared" si="549"/>
        <v>37</v>
      </c>
      <c r="F1186" s="79"/>
      <c r="G1186" s="82"/>
      <c r="H1186" s="68" t="str">
        <f t="shared" si="566"/>
        <v>Hyprev6_20201203_10_00</v>
      </c>
      <c r="I1186" s="69">
        <f t="shared" si="568"/>
        <v>1</v>
      </c>
      <c r="J1186" s="76" t="str">
        <f t="shared" si="568"/>
        <v>Hypericum</v>
      </c>
      <c r="K1186" s="76" t="str">
        <f t="shared" si="568"/>
        <v>revolutum</v>
      </c>
      <c r="L1186" s="77">
        <f t="shared" si="568"/>
        <v>6</v>
      </c>
      <c r="M1186" s="77">
        <f t="shared" si="568"/>
        <v>1</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Dec</v>
      </c>
      <c r="C1187" s="73">
        <f t="shared" si="565"/>
        <v>3</v>
      </c>
      <c r="D1187" s="74">
        <f t="shared" si="548"/>
        <v>10</v>
      </c>
      <c r="E1187" s="75">
        <f t="shared" si="549"/>
        <v>38</v>
      </c>
      <c r="F1187" s="79"/>
      <c r="G1187" s="82"/>
      <c r="H1187" s="68" t="str">
        <f t="shared" si="566"/>
        <v>Hyprev6_20201203_10_00</v>
      </c>
      <c r="I1187" s="69">
        <f t="shared" si="568"/>
        <v>1</v>
      </c>
      <c r="J1187" s="76" t="str">
        <f t="shared" si="568"/>
        <v>Hypericum</v>
      </c>
      <c r="K1187" s="76" t="str">
        <f t="shared" si="568"/>
        <v>revolutum</v>
      </c>
      <c r="L1187" s="77">
        <f t="shared" si="568"/>
        <v>6</v>
      </c>
      <c r="M1187" s="77">
        <f t="shared" si="568"/>
        <v>1</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Dec</v>
      </c>
      <c r="C1188" s="73">
        <f t="shared" si="565"/>
        <v>3</v>
      </c>
      <c r="D1188" s="74">
        <f t="shared" si="548"/>
        <v>10</v>
      </c>
      <c r="E1188" s="75">
        <f t="shared" si="549"/>
        <v>39</v>
      </c>
      <c r="F1188" s="79"/>
      <c r="G1188" s="82"/>
      <c r="H1188" s="68" t="str">
        <f t="shared" si="566"/>
        <v>Hyprev6_20201203_10_00</v>
      </c>
      <c r="I1188" s="69">
        <f t="shared" si="568"/>
        <v>1</v>
      </c>
      <c r="J1188" s="76" t="str">
        <f t="shared" si="568"/>
        <v>Hypericum</v>
      </c>
      <c r="K1188" s="76" t="str">
        <f t="shared" si="568"/>
        <v>revolutum</v>
      </c>
      <c r="L1188" s="77">
        <f t="shared" si="568"/>
        <v>6</v>
      </c>
      <c r="M1188" s="77">
        <f t="shared" si="568"/>
        <v>1</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Dec</v>
      </c>
      <c r="C1189" s="73">
        <f t="shared" si="565"/>
        <v>3</v>
      </c>
      <c r="D1189" s="74">
        <f t="shared" si="548"/>
        <v>10</v>
      </c>
      <c r="E1189" s="75">
        <f t="shared" si="549"/>
        <v>40</v>
      </c>
      <c r="F1189" s="79"/>
      <c r="G1189" s="82"/>
      <c r="H1189" s="68" t="str">
        <f t="shared" si="566"/>
        <v>Hyprev6_20201203_10_00</v>
      </c>
      <c r="I1189" s="69">
        <f t="shared" ref="I1189:N1204" si="569">I1188</f>
        <v>1</v>
      </c>
      <c r="J1189" s="76" t="str">
        <f t="shared" si="569"/>
        <v>Hypericum</v>
      </c>
      <c r="K1189" s="76" t="str">
        <f t="shared" si="569"/>
        <v>revolutum</v>
      </c>
      <c r="L1189" s="77">
        <f t="shared" si="569"/>
        <v>6</v>
      </c>
      <c r="M1189" s="77">
        <f t="shared" si="569"/>
        <v>1</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Dec</v>
      </c>
      <c r="C1190" s="73">
        <f t="shared" si="565"/>
        <v>3</v>
      </c>
      <c r="D1190" s="74">
        <f t="shared" si="548"/>
        <v>10</v>
      </c>
      <c r="E1190" s="75">
        <f t="shared" si="549"/>
        <v>41</v>
      </c>
      <c r="F1190" s="79"/>
      <c r="G1190" s="82"/>
      <c r="H1190" s="68" t="str">
        <f t="shared" si="566"/>
        <v>Hyprev6_20201203_10_00</v>
      </c>
      <c r="I1190" s="69">
        <f t="shared" si="569"/>
        <v>1</v>
      </c>
      <c r="J1190" s="76" t="str">
        <f t="shared" si="569"/>
        <v>Hypericum</v>
      </c>
      <c r="K1190" s="76" t="str">
        <f t="shared" si="569"/>
        <v>revolutum</v>
      </c>
      <c r="L1190" s="77">
        <f t="shared" si="569"/>
        <v>6</v>
      </c>
      <c r="M1190" s="77">
        <f t="shared" si="569"/>
        <v>1</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Dec</v>
      </c>
      <c r="C1191" s="73">
        <f t="shared" si="565"/>
        <v>3</v>
      </c>
      <c r="D1191" s="74">
        <f t="shared" si="548"/>
        <v>10</v>
      </c>
      <c r="E1191" s="75">
        <f t="shared" si="549"/>
        <v>42</v>
      </c>
      <c r="F1191" s="79"/>
      <c r="G1191" s="82"/>
      <c r="H1191" s="68" t="str">
        <f t="shared" si="566"/>
        <v>Hyprev6_20201203_10_00</v>
      </c>
      <c r="I1191" s="69">
        <f t="shared" si="569"/>
        <v>1</v>
      </c>
      <c r="J1191" s="76" t="str">
        <f t="shared" si="569"/>
        <v>Hypericum</v>
      </c>
      <c r="K1191" s="76" t="str">
        <f t="shared" si="569"/>
        <v>revolutum</v>
      </c>
      <c r="L1191" s="77">
        <f t="shared" si="569"/>
        <v>6</v>
      </c>
      <c r="M1191" s="77">
        <f t="shared" si="569"/>
        <v>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Dec</v>
      </c>
      <c r="C1192" s="73">
        <f t="shared" si="565"/>
        <v>3</v>
      </c>
      <c r="D1192" s="74">
        <f t="shared" si="548"/>
        <v>10</v>
      </c>
      <c r="E1192" s="75">
        <f t="shared" si="549"/>
        <v>43</v>
      </c>
      <c r="F1192" s="79"/>
      <c r="G1192" s="82"/>
      <c r="H1192" s="68" t="str">
        <f t="shared" si="566"/>
        <v>Hyprev6_20201203_10_00</v>
      </c>
      <c r="I1192" s="69">
        <f t="shared" si="569"/>
        <v>1</v>
      </c>
      <c r="J1192" s="76" t="str">
        <f t="shared" si="569"/>
        <v>Hypericum</v>
      </c>
      <c r="K1192" s="76" t="str">
        <f t="shared" si="569"/>
        <v>revolutum</v>
      </c>
      <c r="L1192" s="77">
        <f t="shared" si="569"/>
        <v>6</v>
      </c>
      <c r="M1192" s="77">
        <f t="shared" si="569"/>
        <v>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Dec</v>
      </c>
      <c r="C1193" s="73">
        <f t="shared" si="565"/>
        <v>3</v>
      </c>
      <c r="D1193" s="74">
        <f t="shared" si="548"/>
        <v>10</v>
      </c>
      <c r="E1193" s="75">
        <f t="shared" si="549"/>
        <v>44</v>
      </c>
      <c r="F1193" s="79"/>
      <c r="G1193" s="82"/>
      <c r="H1193" s="68" t="str">
        <f t="shared" si="566"/>
        <v>Hyprev6_20201203_10_00</v>
      </c>
      <c r="I1193" s="69">
        <f t="shared" si="569"/>
        <v>1</v>
      </c>
      <c r="J1193" s="76" t="str">
        <f t="shared" si="569"/>
        <v>Hypericum</v>
      </c>
      <c r="K1193" s="76" t="str">
        <f t="shared" si="569"/>
        <v>revolutum</v>
      </c>
      <c r="L1193" s="77">
        <f t="shared" si="569"/>
        <v>6</v>
      </c>
      <c r="M1193" s="77">
        <f t="shared" si="569"/>
        <v>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Dec</v>
      </c>
      <c r="C1194" s="73">
        <f t="shared" si="565"/>
        <v>3</v>
      </c>
      <c r="D1194" s="74">
        <f t="shared" si="548"/>
        <v>10</v>
      </c>
      <c r="E1194" s="75">
        <f t="shared" si="549"/>
        <v>45</v>
      </c>
      <c r="F1194" s="79"/>
      <c r="G1194" s="82"/>
      <c r="H1194" s="68" t="str">
        <f t="shared" si="566"/>
        <v>Hyprev6_20201203_10_00</v>
      </c>
      <c r="I1194" s="69">
        <f t="shared" si="569"/>
        <v>1</v>
      </c>
      <c r="J1194" s="76" t="str">
        <f t="shared" si="569"/>
        <v>Hypericum</v>
      </c>
      <c r="K1194" s="76" t="str">
        <f t="shared" si="569"/>
        <v>revolutum</v>
      </c>
      <c r="L1194" s="77">
        <f t="shared" si="569"/>
        <v>6</v>
      </c>
      <c r="M1194" s="77">
        <f t="shared" si="569"/>
        <v>1</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Dec</v>
      </c>
      <c r="C1195" s="73">
        <f t="shared" si="565"/>
        <v>3</v>
      </c>
      <c r="D1195" s="74">
        <f t="shared" si="548"/>
        <v>10</v>
      </c>
      <c r="E1195" s="75">
        <f t="shared" si="549"/>
        <v>46</v>
      </c>
      <c r="F1195" s="79"/>
      <c r="G1195" s="82"/>
      <c r="H1195" s="68" t="str">
        <f t="shared" si="566"/>
        <v>Hyprev6_20201203_10_00</v>
      </c>
      <c r="I1195" s="69">
        <f t="shared" si="569"/>
        <v>1</v>
      </c>
      <c r="J1195" s="76" t="str">
        <f t="shared" si="569"/>
        <v>Hypericum</v>
      </c>
      <c r="K1195" s="76" t="str">
        <f t="shared" si="569"/>
        <v>revolutum</v>
      </c>
      <c r="L1195" s="77">
        <f t="shared" si="569"/>
        <v>6</v>
      </c>
      <c r="M1195" s="77">
        <f t="shared" si="569"/>
        <v>1</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Dec</v>
      </c>
      <c r="C1196" s="73">
        <f t="shared" si="565"/>
        <v>3</v>
      </c>
      <c r="D1196" s="74">
        <f t="shared" si="548"/>
        <v>10</v>
      </c>
      <c r="E1196" s="75">
        <f t="shared" si="549"/>
        <v>47</v>
      </c>
      <c r="F1196" s="79"/>
      <c r="G1196" s="82"/>
      <c r="H1196" s="68" t="str">
        <f t="shared" si="566"/>
        <v>Hyprev6_20201203_10_00</v>
      </c>
      <c r="I1196" s="69">
        <f t="shared" si="569"/>
        <v>1</v>
      </c>
      <c r="J1196" s="76" t="str">
        <f t="shared" si="569"/>
        <v>Hypericum</v>
      </c>
      <c r="K1196" s="76" t="str">
        <f t="shared" si="569"/>
        <v>revolutum</v>
      </c>
      <c r="L1196" s="77">
        <f t="shared" si="569"/>
        <v>6</v>
      </c>
      <c r="M1196" s="77">
        <f t="shared" si="569"/>
        <v>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Dec</v>
      </c>
      <c r="C1197" s="73">
        <f t="shared" si="565"/>
        <v>3</v>
      </c>
      <c r="D1197" s="74">
        <f t="shared" si="548"/>
        <v>10</v>
      </c>
      <c r="E1197" s="75">
        <f t="shared" si="549"/>
        <v>48</v>
      </c>
      <c r="F1197" s="79"/>
      <c r="G1197" s="82"/>
      <c r="H1197" s="68" t="str">
        <f t="shared" si="566"/>
        <v>Hyprev6_20201203_10_00</v>
      </c>
      <c r="I1197" s="69">
        <f t="shared" si="569"/>
        <v>1</v>
      </c>
      <c r="J1197" s="76" t="str">
        <f t="shared" si="569"/>
        <v>Hypericum</v>
      </c>
      <c r="K1197" s="76" t="str">
        <f t="shared" si="569"/>
        <v>revolutum</v>
      </c>
      <c r="L1197" s="77">
        <f t="shared" si="569"/>
        <v>6</v>
      </c>
      <c r="M1197" s="77">
        <f t="shared" si="569"/>
        <v>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Dec</v>
      </c>
      <c r="C1198" s="73">
        <f t="shared" si="565"/>
        <v>3</v>
      </c>
      <c r="D1198" s="74">
        <f t="shared" si="548"/>
        <v>10</v>
      </c>
      <c r="E1198" s="75">
        <f t="shared" si="549"/>
        <v>49</v>
      </c>
      <c r="F1198" s="79"/>
      <c r="G1198" s="82"/>
      <c r="H1198" s="68" t="str">
        <f t="shared" si="566"/>
        <v>Hyprev6_20201203_10_00</v>
      </c>
      <c r="I1198" s="69">
        <f t="shared" si="569"/>
        <v>1</v>
      </c>
      <c r="J1198" s="76" t="str">
        <f t="shared" si="569"/>
        <v>Hypericum</v>
      </c>
      <c r="K1198" s="76" t="str">
        <f t="shared" si="569"/>
        <v>revolutum</v>
      </c>
      <c r="L1198" s="77">
        <f t="shared" si="569"/>
        <v>6</v>
      </c>
      <c r="M1198" s="77">
        <f t="shared" si="569"/>
        <v>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Dec</v>
      </c>
      <c r="C1199" s="73">
        <f t="shared" si="565"/>
        <v>3</v>
      </c>
      <c r="D1199" s="74">
        <f t="shared" si="548"/>
        <v>10</v>
      </c>
      <c r="E1199" s="75">
        <f t="shared" si="549"/>
        <v>50</v>
      </c>
      <c r="F1199" s="79"/>
      <c r="G1199" s="82"/>
      <c r="H1199" s="68" t="str">
        <f t="shared" si="566"/>
        <v>Hyprev6_20201203_10_00</v>
      </c>
      <c r="I1199" s="69">
        <f t="shared" si="569"/>
        <v>1</v>
      </c>
      <c r="J1199" s="76" t="str">
        <f t="shared" si="569"/>
        <v>Hypericum</v>
      </c>
      <c r="K1199" s="76" t="str">
        <f t="shared" si="569"/>
        <v>revolutum</v>
      </c>
      <c r="L1199" s="77">
        <f t="shared" si="569"/>
        <v>6</v>
      </c>
      <c r="M1199" s="77">
        <f t="shared" si="569"/>
        <v>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Dec</v>
      </c>
      <c r="C1200" s="73">
        <f t="shared" si="565"/>
        <v>3</v>
      </c>
      <c r="D1200" s="74">
        <f t="shared" si="548"/>
        <v>10</v>
      </c>
      <c r="E1200" s="75">
        <f t="shared" si="549"/>
        <v>51</v>
      </c>
      <c r="F1200" s="79"/>
      <c r="G1200" s="82"/>
      <c r="H1200" s="68" t="str">
        <f t="shared" si="566"/>
        <v>Hyprev6_20201203_10_00</v>
      </c>
      <c r="I1200" s="69">
        <f t="shared" si="569"/>
        <v>1</v>
      </c>
      <c r="J1200" s="76" t="str">
        <f t="shared" si="569"/>
        <v>Hypericum</v>
      </c>
      <c r="K1200" s="76" t="str">
        <f t="shared" si="569"/>
        <v>revolutum</v>
      </c>
      <c r="L1200" s="77">
        <f t="shared" si="569"/>
        <v>6</v>
      </c>
      <c r="M1200" s="77">
        <f t="shared" si="569"/>
        <v>1</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Dec</v>
      </c>
      <c r="C1201" s="73">
        <f t="shared" si="565"/>
        <v>3</v>
      </c>
      <c r="D1201" s="74">
        <f t="shared" si="548"/>
        <v>10</v>
      </c>
      <c r="E1201" s="75">
        <f t="shared" si="549"/>
        <v>52</v>
      </c>
      <c r="F1201" s="79"/>
      <c r="G1201" s="82"/>
      <c r="H1201" s="68" t="str">
        <f t="shared" si="566"/>
        <v>Hyprev6_20201203_10_00</v>
      </c>
      <c r="I1201" s="69">
        <f t="shared" si="569"/>
        <v>1</v>
      </c>
      <c r="J1201" s="76" t="str">
        <f t="shared" si="569"/>
        <v>Hypericum</v>
      </c>
      <c r="K1201" s="76" t="str">
        <f t="shared" si="569"/>
        <v>revolutum</v>
      </c>
      <c r="L1201" s="77">
        <f t="shared" si="569"/>
        <v>6</v>
      </c>
      <c r="M1201" s="77">
        <f t="shared" si="569"/>
        <v>1</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Dec</v>
      </c>
      <c r="C1202" s="73">
        <f t="shared" si="565"/>
        <v>3</v>
      </c>
      <c r="D1202" s="74">
        <f t="shared" si="548"/>
        <v>10</v>
      </c>
      <c r="E1202" s="75">
        <f t="shared" si="549"/>
        <v>53</v>
      </c>
      <c r="F1202" s="79"/>
      <c r="G1202" s="82"/>
      <c r="H1202" s="68" t="str">
        <f t="shared" si="566"/>
        <v>Hyprev6_20201203_10_00</v>
      </c>
      <c r="I1202" s="69">
        <f t="shared" si="569"/>
        <v>1</v>
      </c>
      <c r="J1202" s="76" t="str">
        <f t="shared" si="569"/>
        <v>Hypericum</v>
      </c>
      <c r="K1202" s="76" t="str">
        <f t="shared" si="569"/>
        <v>revolutum</v>
      </c>
      <c r="L1202" s="77">
        <f t="shared" si="569"/>
        <v>6</v>
      </c>
      <c r="M1202" s="77">
        <f t="shared" si="569"/>
        <v>1</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Dec</v>
      </c>
      <c r="C1203" s="73">
        <f t="shared" si="565"/>
        <v>3</v>
      </c>
      <c r="D1203" s="74">
        <f t="shared" si="548"/>
        <v>10</v>
      </c>
      <c r="E1203" s="75">
        <f t="shared" si="549"/>
        <v>54</v>
      </c>
      <c r="F1203" s="79"/>
      <c r="G1203" s="82"/>
      <c r="H1203" s="68" t="str">
        <f t="shared" si="566"/>
        <v>Hyprev6_20201203_10_00</v>
      </c>
      <c r="I1203" s="69">
        <f t="shared" si="569"/>
        <v>1</v>
      </c>
      <c r="J1203" s="76" t="str">
        <f t="shared" si="569"/>
        <v>Hypericum</v>
      </c>
      <c r="K1203" s="76" t="str">
        <f t="shared" si="569"/>
        <v>revolutum</v>
      </c>
      <c r="L1203" s="77">
        <f t="shared" si="569"/>
        <v>6</v>
      </c>
      <c r="M1203" s="77">
        <f t="shared" si="569"/>
        <v>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Dec</v>
      </c>
      <c r="C1204" s="73">
        <f t="shared" si="565"/>
        <v>3</v>
      </c>
      <c r="D1204" s="74">
        <f t="shared" si="548"/>
        <v>10</v>
      </c>
      <c r="E1204" s="75">
        <f t="shared" si="549"/>
        <v>55</v>
      </c>
      <c r="F1204" s="79"/>
      <c r="G1204" s="82"/>
      <c r="H1204" s="68" t="str">
        <f t="shared" si="566"/>
        <v>Hyprev6_20201203_10_00</v>
      </c>
      <c r="I1204" s="69">
        <f t="shared" si="569"/>
        <v>1</v>
      </c>
      <c r="J1204" s="76" t="str">
        <f t="shared" si="569"/>
        <v>Hypericum</v>
      </c>
      <c r="K1204" s="76" t="str">
        <f t="shared" si="569"/>
        <v>revolutum</v>
      </c>
      <c r="L1204" s="77">
        <f t="shared" si="569"/>
        <v>6</v>
      </c>
      <c r="M1204" s="77">
        <f t="shared" si="569"/>
        <v>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Dec</v>
      </c>
      <c r="C1205" s="73">
        <f t="shared" si="565"/>
        <v>3</v>
      </c>
      <c r="D1205" s="74">
        <f t="shared" si="548"/>
        <v>10</v>
      </c>
      <c r="E1205" s="75">
        <f t="shared" si="549"/>
        <v>56</v>
      </c>
      <c r="F1205" s="79"/>
      <c r="G1205" s="82"/>
      <c r="H1205" s="68" t="str">
        <f t="shared" si="566"/>
        <v>Hyprev6_20201203_10_00</v>
      </c>
      <c r="I1205" s="69">
        <f t="shared" ref="I1205:N1220" si="570">I1204</f>
        <v>1</v>
      </c>
      <c r="J1205" s="76" t="str">
        <f t="shared" si="570"/>
        <v>Hypericum</v>
      </c>
      <c r="K1205" s="76" t="str">
        <f t="shared" si="570"/>
        <v>revolutum</v>
      </c>
      <c r="L1205" s="77">
        <f t="shared" si="570"/>
        <v>6</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Dec</v>
      </c>
      <c r="C1206" s="73">
        <f t="shared" si="565"/>
        <v>3</v>
      </c>
      <c r="D1206" s="74">
        <f t="shared" si="548"/>
        <v>10</v>
      </c>
      <c r="E1206" s="75">
        <f t="shared" si="549"/>
        <v>57</v>
      </c>
      <c r="F1206" s="79"/>
      <c r="G1206" s="82"/>
      <c r="H1206" s="68" t="str">
        <f t="shared" si="566"/>
        <v>Hyprev6_20201203_10_00</v>
      </c>
      <c r="I1206" s="69">
        <f t="shared" si="570"/>
        <v>1</v>
      </c>
      <c r="J1206" s="76" t="str">
        <f t="shared" si="570"/>
        <v>Hypericum</v>
      </c>
      <c r="K1206" s="76" t="str">
        <f t="shared" si="570"/>
        <v>revolutum</v>
      </c>
      <c r="L1206" s="77">
        <f t="shared" si="570"/>
        <v>6</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Dec</v>
      </c>
      <c r="C1207" s="73">
        <f t="shared" si="565"/>
        <v>3</v>
      </c>
      <c r="D1207" s="74">
        <f t="shared" si="548"/>
        <v>10</v>
      </c>
      <c r="E1207" s="75">
        <f t="shared" si="549"/>
        <v>58</v>
      </c>
      <c r="F1207" s="79"/>
      <c r="G1207" s="82"/>
      <c r="H1207" s="68" t="str">
        <f t="shared" si="566"/>
        <v>Hyprev6_20201203_10_00</v>
      </c>
      <c r="I1207" s="69">
        <f t="shared" si="570"/>
        <v>1</v>
      </c>
      <c r="J1207" s="76" t="str">
        <f t="shared" si="570"/>
        <v>Hypericum</v>
      </c>
      <c r="K1207" s="76" t="str">
        <f t="shared" si="570"/>
        <v>revolutum</v>
      </c>
      <c r="L1207" s="77">
        <f t="shared" si="570"/>
        <v>6</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Dec</v>
      </c>
      <c r="C1208" s="73">
        <f t="shared" si="565"/>
        <v>3</v>
      </c>
      <c r="D1208" s="74">
        <f t="shared" si="548"/>
        <v>10</v>
      </c>
      <c r="E1208" s="75">
        <f t="shared" si="549"/>
        <v>59</v>
      </c>
      <c r="F1208" s="79"/>
      <c r="G1208" s="82"/>
      <c r="H1208" s="68" t="str">
        <f t="shared" si="566"/>
        <v>Hyprev6_20201203_10_00</v>
      </c>
      <c r="I1208" s="69">
        <f t="shared" si="570"/>
        <v>1</v>
      </c>
      <c r="J1208" s="76" t="str">
        <f t="shared" si="570"/>
        <v>Hypericum</v>
      </c>
      <c r="K1208" s="76" t="str">
        <f t="shared" si="570"/>
        <v>revolutum</v>
      </c>
      <c r="L1208" s="77">
        <f t="shared" si="570"/>
        <v>6</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Dec</v>
      </c>
      <c r="C1209" s="73">
        <f t="shared" si="565"/>
        <v>3</v>
      </c>
      <c r="D1209" s="74">
        <f t="shared" si="548"/>
        <v>11</v>
      </c>
      <c r="E1209" s="75">
        <f t="shared" si="549"/>
        <v>0</v>
      </c>
      <c r="F1209" s="79"/>
      <c r="G1209" s="82"/>
      <c r="H1209" s="68" t="str">
        <f t="shared" si="566"/>
        <v>Hyprev6_20201203_11_00</v>
      </c>
      <c r="I1209" s="69">
        <f t="shared" si="570"/>
        <v>1</v>
      </c>
      <c r="J1209" s="76" t="str">
        <f t="shared" si="570"/>
        <v>Hypericum</v>
      </c>
      <c r="K1209" s="76" t="str">
        <f t="shared" si="570"/>
        <v>revolutum</v>
      </c>
      <c r="L1209" s="77">
        <f t="shared" si="570"/>
        <v>6</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Dec</v>
      </c>
      <c r="C1210" s="73">
        <f t="shared" si="565"/>
        <v>3</v>
      </c>
      <c r="D1210" s="74">
        <f t="shared" si="548"/>
        <v>11</v>
      </c>
      <c r="E1210" s="75">
        <f t="shared" si="549"/>
        <v>1</v>
      </c>
      <c r="F1210" s="79"/>
      <c r="G1210" s="82"/>
      <c r="H1210" s="68" t="str">
        <f t="shared" si="566"/>
        <v>Hyprev6_20201203_11_00</v>
      </c>
      <c r="I1210" s="69">
        <f t="shared" si="570"/>
        <v>1</v>
      </c>
      <c r="J1210" s="76" t="str">
        <f t="shared" si="570"/>
        <v>Hypericum</v>
      </c>
      <c r="K1210" s="76" t="str">
        <f t="shared" si="570"/>
        <v>revolutum</v>
      </c>
      <c r="L1210" s="77">
        <f t="shared" si="570"/>
        <v>6</v>
      </c>
      <c r="M1210" s="77">
        <f t="shared" si="570"/>
        <v>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Dec</v>
      </c>
      <c r="C1211" s="73">
        <f t="shared" si="565"/>
        <v>3</v>
      </c>
      <c r="D1211" s="74">
        <f t="shared" si="548"/>
        <v>11</v>
      </c>
      <c r="E1211" s="75">
        <f t="shared" si="549"/>
        <v>2</v>
      </c>
      <c r="F1211" s="79"/>
      <c r="G1211" s="82"/>
      <c r="H1211" s="68" t="str">
        <f t="shared" si="566"/>
        <v>Hyprev6_20201203_11_00</v>
      </c>
      <c r="I1211" s="69">
        <f t="shared" si="570"/>
        <v>1</v>
      </c>
      <c r="J1211" s="76" t="str">
        <f t="shared" si="570"/>
        <v>Hypericum</v>
      </c>
      <c r="K1211" s="76" t="str">
        <f t="shared" si="570"/>
        <v>revolutum</v>
      </c>
      <c r="L1211" s="77">
        <f t="shared" si="570"/>
        <v>6</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Dec</v>
      </c>
      <c r="C1212" s="73">
        <f t="shared" si="565"/>
        <v>3</v>
      </c>
      <c r="D1212" s="74">
        <f t="shared" si="548"/>
        <v>11</v>
      </c>
      <c r="E1212" s="75">
        <f t="shared" si="549"/>
        <v>3</v>
      </c>
      <c r="F1212" s="79"/>
      <c r="G1212" s="82"/>
      <c r="H1212" s="68" t="str">
        <f t="shared" si="566"/>
        <v>Hyprev6_20201203_11_00</v>
      </c>
      <c r="I1212" s="69">
        <f t="shared" si="570"/>
        <v>1</v>
      </c>
      <c r="J1212" s="76" t="str">
        <f t="shared" si="570"/>
        <v>Hypericum</v>
      </c>
      <c r="K1212" s="76" t="str">
        <f t="shared" si="570"/>
        <v>revolutum</v>
      </c>
      <c r="L1212" s="77">
        <f t="shared" si="570"/>
        <v>6</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Dec</v>
      </c>
      <c r="C1213" s="73">
        <f t="shared" si="565"/>
        <v>3</v>
      </c>
      <c r="D1213" s="74">
        <f t="shared" si="548"/>
        <v>11</v>
      </c>
      <c r="E1213" s="75">
        <f t="shared" si="549"/>
        <v>4</v>
      </c>
      <c r="F1213" s="79"/>
      <c r="G1213" s="82"/>
      <c r="H1213" s="68" t="str">
        <f t="shared" si="566"/>
        <v>Hyprev6_20201203_11_00</v>
      </c>
      <c r="I1213" s="69">
        <f t="shared" si="570"/>
        <v>1</v>
      </c>
      <c r="J1213" s="76" t="str">
        <f t="shared" si="570"/>
        <v>Hypericum</v>
      </c>
      <c r="K1213" s="76" t="str">
        <f t="shared" si="570"/>
        <v>revolutum</v>
      </c>
      <c r="L1213" s="77">
        <f t="shared" si="570"/>
        <v>6</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Dec</v>
      </c>
      <c r="C1214" s="73">
        <f t="shared" si="565"/>
        <v>3</v>
      </c>
      <c r="D1214" s="74">
        <f t="shared" si="548"/>
        <v>11</v>
      </c>
      <c r="E1214" s="75">
        <f t="shared" si="549"/>
        <v>5</v>
      </c>
      <c r="F1214" s="79"/>
      <c r="G1214" s="82"/>
      <c r="H1214" s="68" t="str">
        <f t="shared" si="566"/>
        <v>Hyprev6_20201203_11_00</v>
      </c>
      <c r="I1214" s="69">
        <f t="shared" si="570"/>
        <v>1</v>
      </c>
      <c r="J1214" s="76" t="str">
        <f t="shared" si="570"/>
        <v>Hypericum</v>
      </c>
      <c r="K1214" s="76" t="str">
        <f t="shared" si="570"/>
        <v>revolutum</v>
      </c>
      <c r="L1214" s="77">
        <f t="shared" si="570"/>
        <v>6</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Dec</v>
      </c>
      <c r="C1215" s="73">
        <f t="shared" si="565"/>
        <v>3</v>
      </c>
      <c r="D1215" s="74">
        <f t="shared" si="548"/>
        <v>11</v>
      </c>
      <c r="E1215" s="75">
        <f t="shared" si="549"/>
        <v>6</v>
      </c>
      <c r="F1215" s="79"/>
      <c r="G1215" s="82"/>
      <c r="H1215" s="68" t="str">
        <f t="shared" si="566"/>
        <v>Hyprev6_20201203_11_00</v>
      </c>
      <c r="I1215" s="69">
        <f t="shared" si="570"/>
        <v>1</v>
      </c>
      <c r="J1215" s="76" t="str">
        <f t="shared" si="570"/>
        <v>Hypericum</v>
      </c>
      <c r="K1215" s="76" t="str">
        <f t="shared" si="570"/>
        <v>revolutum</v>
      </c>
      <c r="L1215" s="77">
        <f t="shared" si="570"/>
        <v>6</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Dec</v>
      </c>
      <c r="C1216" s="73">
        <f t="shared" si="565"/>
        <v>3</v>
      </c>
      <c r="D1216" s="74">
        <f t="shared" si="548"/>
        <v>11</v>
      </c>
      <c r="E1216" s="75">
        <f t="shared" si="549"/>
        <v>7</v>
      </c>
      <c r="F1216" s="79"/>
      <c r="G1216" s="82"/>
      <c r="H1216" s="68" t="str">
        <f t="shared" si="566"/>
        <v>Hyprev6_20201203_11_00</v>
      </c>
      <c r="I1216" s="69">
        <f t="shared" si="570"/>
        <v>1</v>
      </c>
      <c r="J1216" s="76" t="str">
        <f t="shared" si="570"/>
        <v>Hypericum</v>
      </c>
      <c r="K1216" s="76" t="str">
        <f t="shared" si="570"/>
        <v>revolutum</v>
      </c>
      <c r="L1216" s="77">
        <f t="shared" si="570"/>
        <v>6</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Dec</v>
      </c>
      <c r="C1217" s="73">
        <f t="shared" si="565"/>
        <v>3</v>
      </c>
      <c r="D1217" s="74">
        <f t="shared" si="548"/>
        <v>11</v>
      </c>
      <c r="E1217" s="75">
        <f t="shared" si="549"/>
        <v>8</v>
      </c>
      <c r="F1217" s="79"/>
      <c r="G1217" s="82"/>
      <c r="H1217" s="68" t="str">
        <f t="shared" si="566"/>
        <v>Hyprev6_20201203_11_00</v>
      </c>
      <c r="I1217" s="69">
        <f t="shared" si="570"/>
        <v>1</v>
      </c>
      <c r="J1217" s="76" t="str">
        <f t="shared" si="570"/>
        <v>Hypericum</v>
      </c>
      <c r="K1217" s="76" t="str">
        <f t="shared" si="570"/>
        <v>revolutum</v>
      </c>
      <c r="L1217" s="77">
        <f t="shared" si="570"/>
        <v>6</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Dec</v>
      </c>
      <c r="C1218" s="73">
        <f t="shared" si="565"/>
        <v>3</v>
      </c>
      <c r="D1218" s="74">
        <f t="shared" si="548"/>
        <v>11</v>
      </c>
      <c r="E1218" s="75">
        <f t="shared" si="549"/>
        <v>9</v>
      </c>
      <c r="F1218" s="79"/>
      <c r="G1218" s="82"/>
      <c r="H1218" s="68" t="str">
        <f t="shared" si="566"/>
        <v>Hyprev6_20201203_11_00</v>
      </c>
      <c r="I1218" s="69">
        <f t="shared" si="570"/>
        <v>1</v>
      </c>
      <c r="J1218" s="76" t="str">
        <f t="shared" si="570"/>
        <v>Hypericum</v>
      </c>
      <c r="K1218" s="76" t="str">
        <f t="shared" si="570"/>
        <v>revolutum</v>
      </c>
      <c r="L1218" s="77">
        <f t="shared" si="570"/>
        <v>6</v>
      </c>
      <c r="M1218" s="77">
        <f t="shared" si="570"/>
        <v>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Dec</v>
      </c>
      <c r="C1219" s="73">
        <f t="shared" si="565"/>
        <v>3</v>
      </c>
      <c r="D1219" s="74">
        <f t="shared" si="548"/>
        <v>11</v>
      </c>
      <c r="E1219" s="75">
        <f t="shared" si="549"/>
        <v>10</v>
      </c>
      <c r="F1219" s="79"/>
      <c r="G1219" s="82"/>
      <c r="H1219" s="68" t="str">
        <f t="shared" si="566"/>
        <v>Hyprev6_20201203_11_00</v>
      </c>
      <c r="I1219" s="69">
        <f t="shared" si="570"/>
        <v>1</v>
      </c>
      <c r="J1219" s="76" t="str">
        <f t="shared" si="570"/>
        <v>Hypericum</v>
      </c>
      <c r="K1219" s="76" t="str">
        <f t="shared" si="570"/>
        <v>revolutum</v>
      </c>
      <c r="L1219" s="77">
        <f t="shared" si="570"/>
        <v>6</v>
      </c>
      <c r="M1219" s="77">
        <f t="shared" si="570"/>
        <v>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Dec</v>
      </c>
      <c r="C1220" s="73">
        <f t="shared" si="565"/>
        <v>3</v>
      </c>
      <c r="D1220" s="74">
        <f t="shared" ref="D1220:D1283" si="578">IF(IF(E1219=59,D1219+1,D1219)=24,0,IF(E1219=59,D1219+1,D1219))</f>
        <v>11</v>
      </c>
      <c r="E1220" s="75">
        <f t="shared" ref="E1220:E1283" si="579">IF(E1219&lt;59,E1219+1,0)</f>
        <v>11</v>
      </c>
      <c r="F1220" s="79"/>
      <c r="G1220" s="82"/>
      <c r="H1220" s="68" t="str">
        <f t="shared" si="566"/>
        <v>Hyprev6_20201203_11_00</v>
      </c>
      <c r="I1220" s="69">
        <f t="shared" si="570"/>
        <v>1</v>
      </c>
      <c r="J1220" s="76" t="str">
        <f t="shared" si="570"/>
        <v>Hypericum</v>
      </c>
      <c r="K1220" s="76" t="str">
        <f t="shared" si="570"/>
        <v>revolutum</v>
      </c>
      <c r="L1220" s="77">
        <f t="shared" si="570"/>
        <v>6</v>
      </c>
      <c r="M1220" s="77">
        <f t="shared" si="570"/>
        <v>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Dec</v>
      </c>
      <c r="C1221" s="73">
        <f t="shared" ref="C1221:C1284" si="595">IF(AND(D1221=0, E1221=0), IF(TEXT(C1220,"dd")=TEXT(EOMONTH(DATE(A1220,MONTH(DATEVALUE(B1220&amp;"1")),C1220),0), "dd"), 1, C1220+1), C1220)</f>
        <v>3</v>
      </c>
      <c r="D1221" s="74">
        <f t="shared" si="578"/>
        <v>11</v>
      </c>
      <c r="E1221" s="75">
        <f t="shared" si="579"/>
        <v>12</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Hyprev6_20201203_11_00</v>
      </c>
      <c r="I1221" s="69">
        <f t="shared" ref="I1221:N1236" si="597">I1220</f>
        <v>1</v>
      </c>
      <c r="J1221" s="76" t="str">
        <f t="shared" si="597"/>
        <v>Hypericum</v>
      </c>
      <c r="K1221" s="76" t="str">
        <f t="shared" si="597"/>
        <v>revolutum</v>
      </c>
      <c r="L1221" s="77">
        <f t="shared" si="597"/>
        <v>6</v>
      </c>
      <c r="M1221" s="77">
        <f t="shared" si="597"/>
        <v>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Dec</v>
      </c>
      <c r="C1222" s="73">
        <f t="shared" si="595"/>
        <v>3</v>
      </c>
      <c r="D1222" s="74">
        <f t="shared" si="578"/>
        <v>11</v>
      </c>
      <c r="E1222" s="75">
        <f t="shared" si="579"/>
        <v>13</v>
      </c>
      <c r="F1222" s="79"/>
      <c r="G1222" s="82"/>
      <c r="H1222" s="68" t="str">
        <f t="shared" si="596"/>
        <v>Hyprev6_20201203_11_00</v>
      </c>
      <c r="I1222" s="69">
        <f t="shared" si="597"/>
        <v>1</v>
      </c>
      <c r="J1222" s="76" t="str">
        <f t="shared" si="597"/>
        <v>Hypericum</v>
      </c>
      <c r="K1222" s="76" t="str">
        <f t="shared" si="597"/>
        <v>revolutum</v>
      </c>
      <c r="L1222" s="77">
        <f t="shared" si="597"/>
        <v>6</v>
      </c>
      <c r="M1222" s="77">
        <f t="shared" si="597"/>
        <v>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Dec</v>
      </c>
      <c r="C1223" s="73">
        <f t="shared" si="595"/>
        <v>3</v>
      </c>
      <c r="D1223" s="74">
        <f t="shared" si="578"/>
        <v>11</v>
      </c>
      <c r="E1223" s="75">
        <f t="shared" si="579"/>
        <v>14</v>
      </c>
      <c r="F1223" s="79"/>
      <c r="G1223" s="82"/>
      <c r="H1223" s="68" t="str">
        <f t="shared" si="596"/>
        <v>Hyprev6_20201203_11_00</v>
      </c>
      <c r="I1223" s="69">
        <f t="shared" si="597"/>
        <v>1</v>
      </c>
      <c r="J1223" s="76" t="str">
        <f t="shared" si="597"/>
        <v>Hypericum</v>
      </c>
      <c r="K1223" s="76" t="str">
        <f t="shared" si="597"/>
        <v>revolutum</v>
      </c>
      <c r="L1223" s="77">
        <f t="shared" si="597"/>
        <v>6</v>
      </c>
      <c r="M1223" s="77">
        <f t="shared" si="597"/>
        <v>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Dec</v>
      </c>
      <c r="C1224" s="73">
        <f t="shared" si="595"/>
        <v>3</v>
      </c>
      <c r="D1224" s="74">
        <f t="shared" si="578"/>
        <v>11</v>
      </c>
      <c r="E1224" s="75">
        <f t="shared" si="579"/>
        <v>15</v>
      </c>
      <c r="F1224" s="79"/>
      <c r="G1224" s="82"/>
      <c r="H1224" s="68" t="str">
        <f t="shared" si="596"/>
        <v>Hyprev6_20201203_11_00</v>
      </c>
      <c r="I1224" s="69">
        <f t="shared" si="597"/>
        <v>1</v>
      </c>
      <c r="J1224" s="76" t="str">
        <f t="shared" si="597"/>
        <v>Hypericum</v>
      </c>
      <c r="K1224" s="76" t="str">
        <f t="shared" si="597"/>
        <v>revolutum</v>
      </c>
      <c r="L1224" s="77">
        <f t="shared" si="597"/>
        <v>6</v>
      </c>
      <c r="M1224" s="77">
        <f t="shared" si="597"/>
        <v>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Dec</v>
      </c>
      <c r="C1225" s="73">
        <f t="shared" si="595"/>
        <v>3</v>
      </c>
      <c r="D1225" s="74">
        <f t="shared" si="578"/>
        <v>11</v>
      </c>
      <c r="E1225" s="75">
        <f t="shared" si="579"/>
        <v>16</v>
      </c>
      <c r="F1225" s="79"/>
      <c r="G1225" s="82"/>
      <c r="H1225" s="68" t="str">
        <f t="shared" si="596"/>
        <v>Hyprev6_20201203_11_00</v>
      </c>
      <c r="I1225" s="69">
        <f t="shared" si="597"/>
        <v>1</v>
      </c>
      <c r="J1225" s="76" t="str">
        <f t="shared" si="597"/>
        <v>Hypericum</v>
      </c>
      <c r="K1225" s="76" t="str">
        <f t="shared" si="597"/>
        <v>revolutum</v>
      </c>
      <c r="L1225" s="77">
        <f t="shared" si="597"/>
        <v>6</v>
      </c>
      <c r="M1225" s="77">
        <f t="shared" si="597"/>
        <v>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Dec</v>
      </c>
      <c r="C1226" s="73">
        <f t="shared" si="595"/>
        <v>3</v>
      </c>
      <c r="D1226" s="74">
        <f t="shared" si="578"/>
        <v>11</v>
      </c>
      <c r="E1226" s="75">
        <f t="shared" si="579"/>
        <v>17</v>
      </c>
      <c r="F1226" s="79"/>
      <c r="G1226" s="82"/>
      <c r="H1226" s="68" t="str">
        <f t="shared" si="596"/>
        <v>Hyprev6_20201203_11_00</v>
      </c>
      <c r="I1226" s="69">
        <f t="shared" si="597"/>
        <v>1</v>
      </c>
      <c r="J1226" s="76" t="str">
        <f t="shared" si="597"/>
        <v>Hypericum</v>
      </c>
      <c r="K1226" s="76" t="str">
        <f t="shared" si="597"/>
        <v>revolutum</v>
      </c>
      <c r="L1226" s="77">
        <f t="shared" si="597"/>
        <v>6</v>
      </c>
      <c r="M1226" s="77">
        <f t="shared" si="597"/>
        <v>1</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Dec</v>
      </c>
      <c r="C1227" s="73">
        <f t="shared" si="595"/>
        <v>3</v>
      </c>
      <c r="D1227" s="74">
        <f t="shared" si="578"/>
        <v>11</v>
      </c>
      <c r="E1227" s="75">
        <f t="shared" si="579"/>
        <v>18</v>
      </c>
      <c r="F1227" s="79"/>
      <c r="G1227" s="82"/>
      <c r="H1227" s="68" t="str">
        <f t="shared" si="596"/>
        <v>Hyprev6_20201203_11_00</v>
      </c>
      <c r="I1227" s="69">
        <f t="shared" si="597"/>
        <v>1</v>
      </c>
      <c r="J1227" s="76" t="str">
        <f t="shared" si="597"/>
        <v>Hypericum</v>
      </c>
      <c r="K1227" s="76" t="str">
        <f t="shared" si="597"/>
        <v>revolutum</v>
      </c>
      <c r="L1227" s="77">
        <f t="shared" si="597"/>
        <v>6</v>
      </c>
      <c r="M1227" s="77">
        <f t="shared" si="597"/>
        <v>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Dec</v>
      </c>
      <c r="C1228" s="73">
        <f t="shared" si="595"/>
        <v>3</v>
      </c>
      <c r="D1228" s="74">
        <f t="shared" si="578"/>
        <v>11</v>
      </c>
      <c r="E1228" s="75">
        <f t="shared" si="579"/>
        <v>19</v>
      </c>
      <c r="F1228" s="79"/>
      <c r="G1228" s="82"/>
      <c r="H1228" s="68" t="str">
        <f t="shared" si="596"/>
        <v>Hyprev6_20201203_11_00</v>
      </c>
      <c r="I1228" s="69">
        <f t="shared" si="597"/>
        <v>1</v>
      </c>
      <c r="J1228" s="76" t="str">
        <f t="shared" si="597"/>
        <v>Hypericum</v>
      </c>
      <c r="K1228" s="76" t="str">
        <f t="shared" si="597"/>
        <v>revolutum</v>
      </c>
      <c r="L1228" s="77">
        <f t="shared" si="597"/>
        <v>6</v>
      </c>
      <c r="M1228" s="77">
        <f t="shared" si="597"/>
        <v>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Dec</v>
      </c>
      <c r="C1229" s="73">
        <f t="shared" si="595"/>
        <v>3</v>
      </c>
      <c r="D1229" s="74">
        <f t="shared" si="578"/>
        <v>11</v>
      </c>
      <c r="E1229" s="75">
        <f t="shared" si="579"/>
        <v>20</v>
      </c>
      <c r="F1229" s="79"/>
      <c r="G1229" s="82"/>
      <c r="H1229" s="68" t="str">
        <f t="shared" si="596"/>
        <v>Hyprev6_20201203_11_00</v>
      </c>
      <c r="I1229" s="69">
        <f t="shared" si="597"/>
        <v>1</v>
      </c>
      <c r="J1229" s="76" t="str">
        <f t="shared" si="597"/>
        <v>Hypericum</v>
      </c>
      <c r="K1229" s="76" t="str">
        <f t="shared" si="597"/>
        <v>revolutum</v>
      </c>
      <c r="L1229" s="77">
        <f t="shared" si="597"/>
        <v>6</v>
      </c>
      <c r="M1229" s="77">
        <f t="shared" si="597"/>
        <v>1</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Dec</v>
      </c>
      <c r="C1230" s="73">
        <f t="shared" si="595"/>
        <v>3</v>
      </c>
      <c r="D1230" s="74">
        <f t="shared" si="578"/>
        <v>11</v>
      </c>
      <c r="E1230" s="75">
        <f t="shared" si="579"/>
        <v>21</v>
      </c>
      <c r="F1230" s="79"/>
      <c r="G1230" s="82"/>
      <c r="H1230" s="68" t="str">
        <f t="shared" si="596"/>
        <v>Hyprev6_20201203_11_00</v>
      </c>
      <c r="I1230" s="69">
        <f t="shared" si="597"/>
        <v>1</v>
      </c>
      <c r="J1230" s="76" t="str">
        <f t="shared" si="597"/>
        <v>Hypericum</v>
      </c>
      <c r="K1230" s="76" t="str">
        <f t="shared" si="597"/>
        <v>revolutum</v>
      </c>
      <c r="L1230" s="77">
        <f t="shared" si="597"/>
        <v>6</v>
      </c>
      <c r="M1230" s="77">
        <f t="shared" si="597"/>
        <v>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Dec</v>
      </c>
      <c r="C1231" s="73">
        <f t="shared" si="595"/>
        <v>3</v>
      </c>
      <c r="D1231" s="74">
        <f t="shared" si="578"/>
        <v>11</v>
      </c>
      <c r="E1231" s="75">
        <f t="shared" si="579"/>
        <v>22</v>
      </c>
      <c r="F1231" s="79"/>
      <c r="G1231" s="82"/>
      <c r="H1231" s="68" t="str">
        <f t="shared" si="596"/>
        <v>Hyprev6_20201203_11_00</v>
      </c>
      <c r="I1231" s="69">
        <f t="shared" si="597"/>
        <v>1</v>
      </c>
      <c r="J1231" s="76" t="str">
        <f t="shared" si="597"/>
        <v>Hypericum</v>
      </c>
      <c r="K1231" s="76" t="str">
        <f t="shared" si="597"/>
        <v>revolutum</v>
      </c>
      <c r="L1231" s="77">
        <f t="shared" si="597"/>
        <v>6</v>
      </c>
      <c r="M1231" s="77">
        <f t="shared" si="597"/>
        <v>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Dec</v>
      </c>
      <c r="C1232" s="73">
        <f t="shared" si="595"/>
        <v>3</v>
      </c>
      <c r="D1232" s="74">
        <f t="shared" si="578"/>
        <v>11</v>
      </c>
      <c r="E1232" s="75">
        <f t="shared" si="579"/>
        <v>23</v>
      </c>
      <c r="F1232" s="79"/>
      <c r="G1232" s="82"/>
      <c r="H1232" s="68" t="str">
        <f t="shared" si="596"/>
        <v>Hyprev6_20201203_11_00</v>
      </c>
      <c r="I1232" s="69">
        <f t="shared" si="597"/>
        <v>1</v>
      </c>
      <c r="J1232" s="76" t="str">
        <f t="shared" si="597"/>
        <v>Hypericum</v>
      </c>
      <c r="K1232" s="76" t="str">
        <f t="shared" si="597"/>
        <v>revolutum</v>
      </c>
      <c r="L1232" s="77">
        <f t="shared" si="597"/>
        <v>6</v>
      </c>
      <c r="M1232" s="77">
        <f t="shared" si="597"/>
        <v>1</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Dec</v>
      </c>
      <c r="C1233" s="73">
        <f t="shared" si="595"/>
        <v>3</v>
      </c>
      <c r="D1233" s="74">
        <f t="shared" si="578"/>
        <v>11</v>
      </c>
      <c r="E1233" s="75">
        <f t="shared" si="579"/>
        <v>24</v>
      </c>
      <c r="F1233" s="79"/>
      <c r="G1233" s="82"/>
      <c r="H1233" s="68" t="str">
        <f t="shared" si="596"/>
        <v>Hyprev6_20201203_11_00</v>
      </c>
      <c r="I1233" s="69">
        <f t="shared" si="597"/>
        <v>1</v>
      </c>
      <c r="J1233" s="76" t="str">
        <f t="shared" si="597"/>
        <v>Hypericum</v>
      </c>
      <c r="K1233" s="76" t="str">
        <f t="shared" si="597"/>
        <v>revolutum</v>
      </c>
      <c r="L1233" s="77">
        <f t="shared" si="597"/>
        <v>6</v>
      </c>
      <c r="M1233" s="77">
        <f t="shared" si="597"/>
        <v>1</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Dec</v>
      </c>
      <c r="C1234" s="73">
        <f t="shared" si="595"/>
        <v>3</v>
      </c>
      <c r="D1234" s="74">
        <f t="shared" si="578"/>
        <v>11</v>
      </c>
      <c r="E1234" s="75">
        <f t="shared" si="579"/>
        <v>25</v>
      </c>
      <c r="F1234" s="79"/>
      <c r="G1234" s="82"/>
      <c r="H1234" s="68" t="str">
        <f t="shared" si="596"/>
        <v>Hyprev6_20201203_11_00</v>
      </c>
      <c r="I1234" s="69">
        <f t="shared" si="597"/>
        <v>1</v>
      </c>
      <c r="J1234" s="76" t="str">
        <f t="shared" si="597"/>
        <v>Hypericum</v>
      </c>
      <c r="K1234" s="76" t="str">
        <f t="shared" si="597"/>
        <v>revolutum</v>
      </c>
      <c r="L1234" s="77">
        <f t="shared" si="597"/>
        <v>6</v>
      </c>
      <c r="M1234" s="77">
        <f t="shared" si="597"/>
        <v>1</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Dec</v>
      </c>
      <c r="C1235" s="73">
        <f t="shared" si="595"/>
        <v>3</v>
      </c>
      <c r="D1235" s="74">
        <f t="shared" si="578"/>
        <v>11</v>
      </c>
      <c r="E1235" s="75">
        <f t="shared" si="579"/>
        <v>26</v>
      </c>
      <c r="F1235" s="79"/>
      <c r="G1235" s="82"/>
      <c r="H1235" s="68" t="str">
        <f t="shared" si="596"/>
        <v>Hyprev6_20201203_11_00</v>
      </c>
      <c r="I1235" s="69">
        <f t="shared" si="597"/>
        <v>1</v>
      </c>
      <c r="J1235" s="76" t="str">
        <f t="shared" si="597"/>
        <v>Hypericum</v>
      </c>
      <c r="K1235" s="76" t="str">
        <f t="shared" si="597"/>
        <v>revolutum</v>
      </c>
      <c r="L1235" s="77">
        <f t="shared" si="597"/>
        <v>6</v>
      </c>
      <c r="M1235" s="77">
        <f t="shared" si="597"/>
        <v>1</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Dec</v>
      </c>
      <c r="C1236" s="73">
        <f t="shared" si="595"/>
        <v>3</v>
      </c>
      <c r="D1236" s="74">
        <f t="shared" si="578"/>
        <v>11</v>
      </c>
      <c r="E1236" s="75">
        <f t="shared" si="579"/>
        <v>27</v>
      </c>
      <c r="F1236" s="79"/>
      <c r="G1236" s="82"/>
      <c r="H1236" s="68" t="str">
        <f t="shared" si="596"/>
        <v>Hyprev6_20201203_11_00</v>
      </c>
      <c r="I1236" s="69">
        <f t="shared" si="597"/>
        <v>1</v>
      </c>
      <c r="J1236" s="76" t="str">
        <f t="shared" si="597"/>
        <v>Hypericum</v>
      </c>
      <c r="K1236" s="76" t="str">
        <f t="shared" si="597"/>
        <v>revolutum</v>
      </c>
      <c r="L1236" s="77">
        <f t="shared" si="597"/>
        <v>6</v>
      </c>
      <c r="M1236" s="77">
        <f t="shared" si="597"/>
        <v>1</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Dec</v>
      </c>
      <c r="C1237" s="73">
        <f t="shared" si="595"/>
        <v>3</v>
      </c>
      <c r="D1237" s="74">
        <f t="shared" si="578"/>
        <v>11</v>
      </c>
      <c r="E1237" s="75">
        <f t="shared" si="579"/>
        <v>28</v>
      </c>
      <c r="F1237" s="79"/>
      <c r="G1237" s="82"/>
      <c r="H1237" s="68" t="str">
        <f t="shared" si="596"/>
        <v>Hyprev6_20201203_11_00</v>
      </c>
      <c r="I1237" s="69">
        <f t="shared" ref="I1237:N1252" si="598">I1236</f>
        <v>1</v>
      </c>
      <c r="J1237" s="76" t="str">
        <f t="shared" si="598"/>
        <v>Hypericum</v>
      </c>
      <c r="K1237" s="76" t="str">
        <f t="shared" si="598"/>
        <v>revolutum</v>
      </c>
      <c r="L1237" s="77">
        <f t="shared" si="598"/>
        <v>6</v>
      </c>
      <c r="M1237" s="77">
        <f t="shared" si="598"/>
        <v>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Dec</v>
      </c>
      <c r="C1238" s="73">
        <f t="shared" si="595"/>
        <v>3</v>
      </c>
      <c r="D1238" s="74">
        <f t="shared" si="578"/>
        <v>11</v>
      </c>
      <c r="E1238" s="75">
        <f t="shared" si="579"/>
        <v>29</v>
      </c>
      <c r="F1238" s="79"/>
      <c r="G1238" s="82"/>
      <c r="H1238" s="68" t="str">
        <f t="shared" si="596"/>
        <v>Hyprev6_20201203_11_00</v>
      </c>
      <c r="I1238" s="69">
        <f t="shared" si="598"/>
        <v>1</v>
      </c>
      <c r="J1238" s="76" t="str">
        <f t="shared" si="598"/>
        <v>Hypericum</v>
      </c>
      <c r="K1238" s="76" t="str">
        <f t="shared" si="598"/>
        <v>revolutum</v>
      </c>
      <c r="L1238" s="77">
        <f t="shared" si="598"/>
        <v>6</v>
      </c>
      <c r="M1238" s="77">
        <f t="shared" si="598"/>
        <v>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Dec</v>
      </c>
      <c r="C1239" s="73">
        <f t="shared" si="595"/>
        <v>3</v>
      </c>
      <c r="D1239" s="74">
        <f t="shared" si="578"/>
        <v>11</v>
      </c>
      <c r="E1239" s="75">
        <f t="shared" si="579"/>
        <v>30</v>
      </c>
      <c r="F1239" s="79"/>
      <c r="G1239" s="82"/>
      <c r="H1239" s="68" t="str">
        <f t="shared" si="596"/>
        <v>Hyprev6_20201203_11_00</v>
      </c>
      <c r="I1239" s="69">
        <f t="shared" si="598"/>
        <v>1</v>
      </c>
      <c r="J1239" s="76" t="str">
        <f t="shared" si="598"/>
        <v>Hypericum</v>
      </c>
      <c r="K1239" s="76" t="str">
        <f t="shared" si="598"/>
        <v>revolutum</v>
      </c>
      <c r="L1239" s="77">
        <f t="shared" si="598"/>
        <v>6</v>
      </c>
      <c r="M1239" s="77">
        <f t="shared" si="598"/>
        <v>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Dec</v>
      </c>
      <c r="C1240" s="73">
        <f t="shared" si="595"/>
        <v>3</v>
      </c>
      <c r="D1240" s="74">
        <f t="shared" si="578"/>
        <v>11</v>
      </c>
      <c r="E1240" s="75">
        <f t="shared" si="579"/>
        <v>31</v>
      </c>
      <c r="F1240" s="79"/>
      <c r="G1240" s="82"/>
      <c r="H1240" s="68" t="str">
        <f t="shared" si="596"/>
        <v>Hyprev6_20201203_11_00</v>
      </c>
      <c r="I1240" s="69">
        <f t="shared" si="598"/>
        <v>1</v>
      </c>
      <c r="J1240" s="76" t="str">
        <f t="shared" si="598"/>
        <v>Hypericum</v>
      </c>
      <c r="K1240" s="76" t="str">
        <f t="shared" si="598"/>
        <v>revolutum</v>
      </c>
      <c r="L1240" s="77">
        <f t="shared" si="598"/>
        <v>6</v>
      </c>
      <c r="M1240" s="77">
        <f t="shared" si="598"/>
        <v>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Dec</v>
      </c>
      <c r="C1241" s="73">
        <f t="shared" si="595"/>
        <v>3</v>
      </c>
      <c r="D1241" s="74">
        <f t="shared" si="578"/>
        <v>11</v>
      </c>
      <c r="E1241" s="75">
        <f t="shared" si="579"/>
        <v>32</v>
      </c>
      <c r="F1241" s="79"/>
      <c r="G1241" s="82"/>
      <c r="H1241" s="68" t="str">
        <f t="shared" si="596"/>
        <v>Hyprev6_20201203_11_00</v>
      </c>
      <c r="I1241" s="69">
        <f t="shared" si="598"/>
        <v>1</v>
      </c>
      <c r="J1241" s="76" t="str">
        <f t="shared" si="598"/>
        <v>Hypericum</v>
      </c>
      <c r="K1241" s="76" t="str">
        <f t="shared" si="598"/>
        <v>revolutum</v>
      </c>
      <c r="L1241" s="77">
        <f t="shared" si="598"/>
        <v>6</v>
      </c>
      <c r="M1241" s="77">
        <f t="shared" si="598"/>
        <v>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Dec</v>
      </c>
      <c r="C1242" s="73">
        <f t="shared" si="595"/>
        <v>3</v>
      </c>
      <c r="D1242" s="74">
        <f t="shared" si="578"/>
        <v>11</v>
      </c>
      <c r="E1242" s="75">
        <f t="shared" si="579"/>
        <v>33</v>
      </c>
      <c r="F1242" s="79"/>
      <c r="G1242" s="82"/>
      <c r="H1242" s="68" t="str">
        <f t="shared" si="596"/>
        <v>Hyprev6_20201203_11_00</v>
      </c>
      <c r="I1242" s="69">
        <f t="shared" si="598"/>
        <v>1</v>
      </c>
      <c r="J1242" s="76" t="str">
        <f t="shared" si="598"/>
        <v>Hypericum</v>
      </c>
      <c r="K1242" s="76" t="str">
        <f t="shared" si="598"/>
        <v>revolutum</v>
      </c>
      <c r="L1242" s="77">
        <f t="shared" si="598"/>
        <v>6</v>
      </c>
      <c r="M1242" s="77">
        <f t="shared" si="598"/>
        <v>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Dec</v>
      </c>
      <c r="C1243" s="73">
        <f t="shared" si="595"/>
        <v>3</v>
      </c>
      <c r="D1243" s="74">
        <f t="shared" si="578"/>
        <v>11</v>
      </c>
      <c r="E1243" s="75">
        <f t="shared" si="579"/>
        <v>34</v>
      </c>
      <c r="F1243" s="79"/>
      <c r="G1243" s="82"/>
      <c r="H1243" s="68" t="str">
        <f t="shared" si="596"/>
        <v>Hyprev6_20201203_11_00</v>
      </c>
      <c r="I1243" s="69">
        <f t="shared" si="598"/>
        <v>1</v>
      </c>
      <c r="J1243" s="76" t="str">
        <f t="shared" si="598"/>
        <v>Hypericum</v>
      </c>
      <c r="K1243" s="76" t="str">
        <f t="shared" si="598"/>
        <v>revolutum</v>
      </c>
      <c r="L1243" s="77">
        <f t="shared" si="598"/>
        <v>6</v>
      </c>
      <c r="M1243" s="77">
        <f t="shared" si="598"/>
        <v>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Dec</v>
      </c>
      <c r="C1244" s="73">
        <f t="shared" si="595"/>
        <v>3</v>
      </c>
      <c r="D1244" s="74">
        <f t="shared" si="578"/>
        <v>11</v>
      </c>
      <c r="E1244" s="75">
        <f t="shared" si="579"/>
        <v>35</v>
      </c>
      <c r="F1244" s="79"/>
      <c r="G1244" s="82"/>
      <c r="H1244" s="68" t="str">
        <f t="shared" si="596"/>
        <v>Hyprev6_20201203_11_00</v>
      </c>
      <c r="I1244" s="69">
        <f t="shared" si="598"/>
        <v>1</v>
      </c>
      <c r="J1244" s="76" t="str">
        <f t="shared" si="598"/>
        <v>Hypericum</v>
      </c>
      <c r="K1244" s="76" t="str">
        <f t="shared" si="598"/>
        <v>revolutum</v>
      </c>
      <c r="L1244" s="77">
        <f t="shared" si="598"/>
        <v>6</v>
      </c>
      <c r="M1244" s="77">
        <f t="shared" si="598"/>
        <v>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Dec</v>
      </c>
      <c r="C1245" s="73">
        <f t="shared" si="595"/>
        <v>3</v>
      </c>
      <c r="D1245" s="74">
        <f t="shared" si="578"/>
        <v>11</v>
      </c>
      <c r="E1245" s="75">
        <f t="shared" si="579"/>
        <v>36</v>
      </c>
      <c r="F1245" s="79"/>
      <c r="G1245" s="82"/>
      <c r="H1245" s="68" t="str">
        <f t="shared" si="596"/>
        <v>Hyprev6_20201203_11_00</v>
      </c>
      <c r="I1245" s="69">
        <f t="shared" si="598"/>
        <v>1</v>
      </c>
      <c r="J1245" s="76" t="str">
        <f t="shared" si="598"/>
        <v>Hypericum</v>
      </c>
      <c r="K1245" s="76" t="str">
        <f t="shared" si="598"/>
        <v>revolutum</v>
      </c>
      <c r="L1245" s="77">
        <f t="shared" si="598"/>
        <v>6</v>
      </c>
      <c r="M1245" s="77">
        <f t="shared" si="598"/>
        <v>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Dec</v>
      </c>
      <c r="C1246" s="73">
        <f t="shared" si="595"/>
        <v>3</v>
      </c>
      <c r="D1246" s="74">
        <f t="shared" si="578"/>
        <v>11</v>
      </c>
      <c r="E1246" s="75">
        <f t="shared" si="579"/>
        <v>37</v>
      </c>
      <c r="F1246" s="79"/>
      <c r="G1246" s="82"/>
      <c r="H1246" s="68" t="str">
        <f t="shared" si="596"/>
        <v>Hyprev6_20201203_11_00</v>
      </c>
      <c r="I1246" s="69">
        <f t="shared" si="598"/>
        <v>1</v>
      </c>
      <c r="J1246" s="76" t="str">
        <f t="shared" si="598"/>
        <v>Hypericum</v>
      </c>
      <c r="K1246" s="76" t="str">
        <f t="shared" si="598"/>
        <v>revolutum</v>
      </c>
      <c r="L1246" s="77">
        <f t="shared" si="598"/>
        <v>6</v>
      </c>
      <c r="M1246" s="77">
        <f t="shared" si="598"/>
        <v>1</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Dec</v>
      </c>
      <c r="C1247" s="73">
        <f t="shared" si="595"/>
        <v>3</v>
      </c>
      <c r="D1247" s="74">
        <f t="shared" si="578"/>
        <v>11</v>
      </c>
      <c r="E1247" s="75">
        <f t="shared" si="579"/>
        <v>38</v>
      </c>
      <c r="F1247" s="79"/>
      <c r="G1247" s="82"/>
      <c r="H1247" s="68" t="str">
        <f t="shared" si="596"/>
        <v>Hyprev6_20201203_11_00</v>
      </c>
      <c r="I1247" s="69">
        <f t="shared" si="598"/>
        <v>1</v>
      </c>
      <c r="J1247" s="76" t="str">
        <f t="shared" si="598"/>
        <v>Hypericum</v>
      </c>
      <c r="K1247" s="76" t="str">
        <f t="shared" si="598"/>
        <v>revolutum</v>
      </c>
      <c r="L1247" s="77">
        <f t="shared" si="598"/>
        <v>6</v>
      </c>
      <c r="M1247" s="77">
        <f t="shared" si="598"/>
        <v>1</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Dec</v>
      </c>
      <c r="C1248" s="73">
        <f t="shared" si="595"/>
        <v>3</v>
      </c>
      <c r="D1248" s="74">
        <f t="shared" si="578"/>
        <v>11</v>
      </c>
      <c r="E1248" s="75">
        <f t="shared" si="579"/>
        <v>39</v>
      </c>
      <c r="F1248" s="79"/>
      <c r="G1248" s="82"/>
      <c r="H1248" s="68" t="str">
        <f t="shared" si="596"/>
        <v>Hyprev6_20201203_11_00</v>
      </c>
      <c r="I1248" s="69">
        <f t="shared" si="598"/>
        <v>1</v>
      </c>
      <c r="J1248" s="76" t="str">
        <f t="shared" si="598"/>
        <v>Hypericum</v>
      </c>
      <c r="K1248" s="76" t="str">
        <f t="shared" si="598"/>
        <v>revolutum</v>
      </c>
      <c r="L1248" s="77">
        <f t="shared" si="598"/>
        <v>6</v>
      </c>
      <c r="M1248" s="77">
        <f t="shared" si="598"/>
        <v>1</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Dec</v>
      </c>
      <c r="C1249" s="73">
        <f t="shared" si="595"/>
        <v>3</v>
      </c>
      <c r="D1249" s="74">
        <f t="shared" si="578"/>
        <v>11</v>
      </c>
      <c r="E1249" s="75">
        <f t="shared" si="579"/>
        <v>40</v>
      </c>
      <c r="F1249" s="79"/>
      <c r="G1249" s="82"/>
      <c r="H1249" s="68" t="str">
        <f t="shared" si="596"/>
        <v>Hyprev6_20201203_11_00</v>
      </c>
      <c r="I1249" s="69">
        <f t="shared" si="598"/>
        <v>1</v>
      </c>
      <c r="J1249" s="76" t="str">
        <f t="shared" si="598"/>
        <v>Hypericum</v>
      </c>
      <c r="K1249" s="76" t="str">
        <f t="shared" si="598"/>
        <v>revolutum</v>
      </c>
      <c r="L1249" s="77">
        <f t="shared" si="598"/>
        <v>6</v>
      </c>
      <c r="M1249" s="77">
        <f t="shared" si="598"/>
        <v>1</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Dec</v>
      </c>
      <c r="C1250" s="73">
        <f t="shared" si="595"/>
        <v>3</v>
      </c>
      <c r="D1250" s="74">
        <f t="shared" si="578"/>
        <v>11</v>
      </c>
      <c r="E1250" s="75">
        <f t="shared" si="579"/>
        <v>41</v>
      </c>
      <c r="F1250" s="79"/>
      <c r="G1250" s="82"/>
      <c r="H1250" s="68" t="str">
        <f t="shared" si="596"/>
        <v>Hyprev6_20201203_11_00</v>
      </c>
      <c r="I1250" s="69">
        <f t="shared" si="598"/>
        <v>1</v>
      </c>
      <c r="J1250" s="76" t="str">
        <f t="shared" si="598"/>
        <v>Hypericum</v>
      </c>
      <c r="K1250" s="76" t="str">
        <f t="shared" si="598"/>
        <v>revolutum</v>
      </c>
      <c r="L1250" s="77">
        <f t="shared" si="598"/>
        <v>6</v>
      </c>
      <c r="M1250" s="77">
        <f t="shared" si="598"/>
        <v>1</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Dec</v>
      </c>
      <c r="C1251" s="73">
        <f t="shared" si="595"/>
        <v>3</v>
      </c>
      <c r="D1251" s="74">
        <f t="shared" si="578"/>
        <v>11</v>
      </c>
      <c r="E1251" s="75">
        <f t="shared" si="579"/>
        <v>42</v>
      </c>
      <c r="F1251" s="79"/>
      <c r="G1251" s="82"/>
      <c r="H1251" s="68" t="str">
        <f t="shared" si="596"/>
        <v>Hyprev6_20201203_11_00</v>
      </c>
      <c r="I1251" s="69">
        <f t="shared" si="598"/>
        <v>1</v>
      </c>
      <c r="J1251" s="76" t="str">
        <f t="shared" si="598"/>
        <v>Hypericum</v>
      </c>
      <c r="K1251" s="76" t="str">
        <f t="shared" si="598"/>
        <v>revolutum</v>
      </c>
      <c r="L1251" s="77">
        <f t="shared" si="598"/>
        <v>6</v>
      </c>
      <c r="M1251" s="77">
        <f t="shared" si="598"/>
        <v>1</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Dec</v>
      </c>
      <c r="C1252" s="73">
        <f t="shared" si="595"/>
        <v>3</v>
      </c>
      <c r="D1252" s="74">
        <f t="shared" si="578"/>
        <v>11</v>
      </c>
      <c r="E1252" s="75">
        <f t="shared" si="579"/>
        <v>43</v>
      </c>
      <c r="F1252" s="79"/>
      <c r="G1252" s="82"/>
      <c r="H1252" s="68" t="str">
        <f t="shared" si="596"/>
        <v>Hyprev6_20201203_11_00</v>
      </c>
      <c r="I1252" s="69">
        <f t="shared" si="598"/>
        <v>1</v>
      </c>
      <c r="J1252" s="76" t="str">
        <f t="shared" si="598"/>
        <v>Hypericum</v>
      </c>
      <c r="K1252" s="76" t="str">
        <f t="shared" si="598"/>
        <v>revolutum</v>
      </c>
      <c r="L1252" s="77">
        <f t="shared" si="598"/>
        <v>6</v>
      </c>
      <c r="M1252" s="77">
        <f t="shared" si="598"/>
        <v>1</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Dec</v>
      </c>
      <c r="C1253" s="73">
        <f t="shared" si="595"/>
        <v>3</v>
      </c>
      <c r="D1253" s="74">
        <f t="shared" si="578"/>
        <v>11</v>
      </c>
      <c r="E1253" s="75">
        <f t="shared" si="579"/>
        <v>44</v>
      </c>
      <c r="F1253" s="79"/>
      <c r="G1253" s="82"/>
      <c r="H1253" s="68" t="str">
        <f t="shared" si="596"/>
        <v>Hyprev6_20201203_11_00</v>
      </c>
      <c r="I1253" s="69">
        <f t="shared" ref="I1253:N1268" si="599">I1252</f>
        <v>1</v>
      </c>
      <c r="J1253" s="76" t="str">
        <f t="shared" si="599"/>
        <v>Hypericum</v>
      </c>
      <c r="K1253" s="76" t="str">
        <f t="shared" si="599"/>
        <v>revolutum</v>
      </c>
      <c r="L1253" s="77">
        <f t="shared" si="599"/>
        <v>6</v>
      </c>
      <c r="M1253" s="77">
        <f t="shared" si="599"/>
        <v>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Dec</v>
      </c>
      <c r="C1254" s="73">
        <f t="shared" si="595"/>
        <v>3</v>
      </c>
      <c r="D1254" s="74">
        <f t="shared" si="578"/>
        <v>11</v>
      </c>
      <c r="E1254" s="75">
        <f t="shared" si="579"/>
        <v>45</v>
      </c>
      <c r="F1254" s="79"/>
      <c r="G1254" s="82"/>
      <c r="H1254" s="68" t="str">
        <f t="shared" si="596"/>
        <v>Hyprev6_20201203_11_00</v>
      </c>
      <c r="I1254" s="69">
        <f t="shared" si="599"/>
        <v>1</v>
      </c>
      <c r="J1254" s="76" t="str">
        <f t="shared" si="599"/>
        <v>Hypericum</v>
      </c>
      <c r="K1254" s="76" t="str">
        <f t="shared" si="599"/>
        <v>revolutum</v>
      </c>
      <c r="L1254" s="77">
        <f t="shared" si="599"/>
        <v>6</v>
      </c>
      <c r="M1254" s="77">
        <f t="shared" si="599"/>
        <v>1</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Dec</v>
      </c>
      <c r="C1255" s="73">
        <f t="shared" si="595"/>
        <v>3</v>
      </c>
      <c r="D1255" s="74">
        <f t="shared" si="578"/>
        <v>11</v>
      </c>
      <c r="E1255" s="75">
        <f t="shared" si="579"/>
        <v>46</v>
      </c>
      <c r="F1255" s="79"/>
      <c r="G1255" s="82"/>
      <c r="H1255" s="68" t="str">
        <f t="shared" si="596"/>
        <v>Hyprev6_20201203_11_00</v>
      </c>
      <c r="I1255" s="69">
        <f t="shared" si="599"/>
        <v>1</v>
      </c>
      <c r="J1255" s="76" t="str">
        <f t="shared" si="599"/>
        <v>Hypericum</v>
      </c>
      <c r="K1255" s="76" t="str">
        <f t="shared" si="599"/>
        <v>revolutum</v>
      </c>
      <c r="L1255" s="77">
        <f t="shared" si="599"/>
        <v>6</v>
      </c>
      <c r="M1255" s="77">
        <f t="shared" si="599"/>
        <v>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Dec</v>
      </c>
      <c r="C1256" s="73">
        <f t="shared" si="595"/>
        <v>3</v>
      </c>
      <c r="D1256" s="74">
        <f t="shared" si="578"/>
        <v>11</v>
      </c>
      <c r="E1256" s="75">
        <f t="shared" si="579"/>
        <v>47</v>
      </c>
      <c r="F1256" s="79"/>
      <c r="G1256" s="82"/>
      <c r="H1256" s="68" t="str">
        <f t="shared" si="596"/>
        <v>Hyprev6_20201203_11_00</v>
      </c>
      <c r="I1256" s="69">
        <f t="shared" si="599"/>
        <v>1</v>
      </c>
      <c r="J1256" s="76" t="str">
        <f t="shared" si="599"/>
        <v>Hypericum</v>
      </c>
      <c r="K1256" s="76" t="str">
        <f t="shared" si="599"/>
        <v>revolutum</v>
      </c>
      <c r="L1256" s="77">
        <f t="shared" si="599"/>
        <v>6</v>
      </c>
      <c r="M1256" s="77">
        <f t="shared" si="599"/>
        <v>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Dec</v>
      </c>
      <c r="C1257" s="73">
        <f t="shared" si="595"/>
        <v>3</v>
      </c>
      <c r="D1257" s="74">
        <f t="shared" si="578"/>
        <v>11</v>
      </c>
      <c r="E1257" s="75">
        <f t="shared" si="579"/>
        <v>48</v>
      </c>
      <c r="F1257" s="79"/>
      <c r="G1257" s="82"/>
      <c r="H1257" s="68" t="str">
        <f t="shared" si="596"/>
        <v>Hyprev6_20201203_11_00</v>
      </c>
      <c r="I1257" s="69">
        <f t="shared" si="599"/>
        <v>1</v>
      </c>
      <c r="J1257" s="76" t="str">
        <f t="shared" si="599"/>
        <v>Hypericum</v>
      </c>
      <c r="K1257" s="76" t="str">
        <f t="shared" si="599"/>
        <v>revolutum</v>
      </c>
      <c r="L1257" s="77">
        <f t="shared" si="599"/>
        <v>6</v>
      </c>
      <c r="M1257" s="77">
        <f t="shared" si="599"/>
        <v>1</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Dec</v>
      </c>
      <c r="C1258" s="73">
        <f t="shared" si="595"/>
        <v>3</v>
      </c>
      <c r="D1258" s="74">
        <f t="shared" si="578"/>
        <v>11</v>
      </c>
      <c r="E1258" s="75">
        <f t="shared" si="579"/>
        <v>49</v>
      </c>
      <c r="F1258" s="79"/>
      <c r="G1258" s="82"/>
      <c r="H1258" s="68" t="str">
        <f t="shared" si="596"/>
        <v>Hyprev6_20201203_11_00</v>
      </c>
      <c r="I1258" s="69">
        <f t="shared" si="599"/>
        <v>1</v>
      </c>
      <c r="J1258" s="76" t="str">
        <f t="shared" si="599"/>
        <v>Hypericum</v>
      </c>
      <c r="K1258" s="76" t="str">
        <f t="shared" si="599"/>
        <v>revolutum</v>
      </c>
      <c r="L1258" s="77">
        <f t="shared" si="599"/>
        <v>6</v>
      </c>
      <c r="M1258" s="77">
        <f t="shared" si="599"/>
        <v>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Dec</v>
      </c>
      <c r="C1259" s="73">
        <f t="shared" si="595"/>
        <v>3</v>
      </c>
      <c r="D1259" s="74">
        <f t="shared" si="578"/>
        <v>11</v>
      </c>
      <c r="E1259" s="75">
        <f t="shared" si="579"/>
        <v>50</v>
      </c>
      <c r="F1259" s="79"/>
      <c r="G1259" s="82"/>
      <c r="H1259" s="68" t="str">
        <f t="shared" si="596"/>
        <v>Hyprev6_20201203_11_00</v>
      </c>
      <c r="I1259" s="69">
        <f t="shared" si="599"/>
        <v>1</v>
      </c>
      <c r="J1259" s="76" t="str">
        <f t="shared" si="599"/>
        <v>Hypericum</v>
      </c>
      <c r="K1259" s="76" t="str">
        <f t="shared" si="599"/>
        <v>revolutum</v>
      </c>
      <c r="L1259" s="77">
        <f t="shared" si="599"/>
        <v>6</v>
      </c>
      <c r="M1259" s="77">
        <f t="shared" si="599"/>
        <v>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Dec</v>
      </c>
      <c r="C1260" s="73">
        <f t="shared" si="595"/>
        <v>3</v>
      </c>
      <c r="D1260" s="74">
        <f t="shared" si="578"/>
        <v>11</v>
      </c>
      <c r="E1260" s="75">
        <f t="shared" si="579"/>
        <v>51</v>
      </c>
      <c r="F1260" s="79"/>
      <c r="G1260" s="82"/>
      <c r="H1260" s="68" t="str">
        <f t="shared" si="596"/>
        <v>Hyprev6_20201203_11_00</v>
      </c>
      <c r="I1260" s="69">
        <f t="shared" si="599"/>
        <v>1</v>
      </c>
      <c r="J1260" s="76" t="str">
        <f t="shared" si="599"/>
        <v>Hypericum</v>
      </c>
      <c r="K1260" s="76" t="str">
        <f t="shared" si="599"/>
        <v>revolutum</v>
      </c>
      <c r="L1260" s="77">
        <f t="shared" si="599"/>
        <v>6</v>
      </c>
      <c r="M1260" s="77">
        <f t="shared" si="599"/>
        <v>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Dec</v>
      </c>
      <c r="C1261" s="73">
        <f t="shared" si="595"/>
        <v>3</v>
      </c>
      <c r="D1261" s="74">
        <f t="shared" si="578"/>
        <v>11</v>
      </c>
      <c r="E1261" s="75">
        <f t="shared" si="579"/>
        <v>52</v>
      </c>
      <c r="F1261" s="79"/>
      <c r="G1261" s="82"/>
      <c r="H1261" s="68" t="str">
        <f t="shared" si="596"/>
        <v>Hyprev6_20201203_11_00</v>
      </c>
      <c r="I1261" s="69">
        <f t="shared" si="599"/>
        <v>1</v>
      </c>
      <c r="J1261" s="76" t="str">
        <f t="shared" si="599"/>
        <v>Hypericum</v>
      </c>
      <c r="K1261" s="76" t="str">
        <f t="shared" si="599"/>
        <v>revolutum</v>
      </c>
      <c r="L1261" s="77">
        <f t="shared" si="599"/>
        <v>6</v>
      </c>
      <c r="M1261" s="77">
        <f t="shared" si="599"/>
        <v>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Dec</v>
      </c>
      <c r="C1262" s="73">
        <f t="shared" si="595"/>
        <v>3</v>
      </c>
      <c r="D1262" s="74">
        <f t="shared" si="578"/>
        <v>11</v>
      </c>
      <c r="E1262" s="75">
        <f t="shared" si="579"/>
        <v>53</v>
      </c>
      <c r="F1262" s="79"/>
      <c r="G1262" s="82"/>
      <c r="H1262" s="68" t="str">
        <f t="shared" si="596"/>
        <v>Hyprev6_20201203_11_00</v>
      </c>
      <c r="I1262" s="69">
        <f t="shared" si="599"/>
        <v>1</v>
      </c>
      <c r="J1262" s="76" t="str">
        <f t="shared" si="599"/>
        <v>Hypericum</v>
      </c>
      <c r="K1262" s="76" t="str">
        <f t="shared" si="599"/>
        <v>revolutum</v>
      </c>
      <c r="L1262" s="77">
        <f t="shared" si="599"/>
        <v>6</v>
      </c>
      <c r="M1262" s="77">
        <f t="shared" si="599"/>
        <v>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Dec</v>
      </c>
      <c r="C1263" s="73">
        <f t="shared" si="595"/>
        <v>3</v>
      </c>
      <c r="D1263" s="74">
        <f t="shared" si="578"/>
        <v>11</v>
      </c>
      <c r="E1263" s="75">
        <f t="shared" si="579"/>
        <v>54</v>
      </c>
      <c r="F1263" s="79"/>
      <c r="G1263" s="82"/>
      <c r="H1263" s="68" t="str">
        <f t="shared" si="596"/>
        <v>Hyprev6_20201203_11_00</v>
      </c>
      <c r="I1263" s="69">
        <f t="shared" si="599"/>
        <v>1</v>
      </c>
      <c r="J1263" s="76" t="str">
        <f t="shared" si="599"/>
        <v>Hypericum</v>
      </c>
      <c r="K1263" s="76" t="str">
        <f t="shared" si="599"/>
        <v>revolutum</v>
      </c>
      <c r="L1263" s="77">
        <f t="shared" si="599"/>
        <v>6</v>
      </c>
      <c r="M1263" s="77">
        <f t="shared" si="599"/>
        <v>1</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Dec</v>
      </c>
      <c r="C1264" s="73">
        <f t="shared" si="595"/>
        <v>3</v>
      </c>
      <c r="D1264" s="74">
        <f t="shared" si="578"/>
        <v>11</v>
      </c>
      <c r="E1264" s="75">
        <f t="shared" si="579"/>
        <v>55</v>
      </c>
      <c r="F1264" s="79"/>
      <c r="G1264" s="82"/>
      <c r="H1264" s="68" t="str">
        <f t="shared" si="596"/>
        <v>Hyprev6_20201203_11_00</v>
      </c>
      <c r="I1264" s="69">
        <f t="shared" si="599"/>
        <v>1</v>
      </c>
      <c r="J1264" s="76" t="str">
        <f t="shared" si="599"/>
        <v>Hypericum</v>
      </c>
      <c r="K1264" s="76" t="str">
        <f t="shared" si="599"/>
        <v>revolutum</v>
      </c>
      <c r="L1264" s="77">
        <f t="shared" si="599"/>
        <v>6</v>
      </c>
      <c r="M1264" s="77">
        <f t="shared" si="599"/>
        <v>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Dec</v>
      </c>
      <c r="C1265" s="73">
        <f t="shared" si="595"/>
        <v>3</v>
      </c>
      <c r="D1265" s="74">
        <f t="shared" si="578"/>
        <v>11</v>
      </c>
      <c r="E1265" s="75">
        <f t="shared" si="579"/>
        <v>56</v>
      </c>
      <c r="F1265" s="79"/>
      <c r="G1265" s="82"/>
      <c r="H1265" s="68" t="str">
        <f t="shared" si="596"/>
        <v>Hyprev6_20201203_11_00</v>
      </c>
      <c r="I1265" s="69">
        <f t="shared" si="599"/>
        <v>1</v>
      </c>
      <c r="J1265" s="76" t="str">
        <f t="shared" si="599"/>
        <v>Hypericum</v>
      </c>
      <c r="K1265" s="76" t="str">
        <f t="shared" si="599"/>
        <v>revolutum</v>
      </c>
      <c r="L1265" s="77">
        <f t="shared" si="599"/>
        <v>6</v>
      </c>
      <c r="M1265" s="77">
        <f t="shared" si="599"/>
        <v>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Dec</v>
      </c>
      <c r="C1266" s="73">
        <f t="shared" si="595"/>
        <v>3</v>
      </c>
      <c r="D1266" s="74">
        <f t="shared" si="578"/>
        <v>11</v>
      </c>
      <c r="E1266" s="75">
        <f t="shared" si="579"/>
        <v>57</v>
      </c>
      <c r="F1266" s="79"/>
      <c r="G1266" s="82"/>
      <c r="H1266" s="68" t="str">
        <f t="shared" si="596"/>
        <v>Hyprev6_20201203_11_00</v>
      </c>
      <c r="I1266" s="69">
        <f t="shared" si="599"/>
        <v>1</v>
      </c>
      <c r="J1266" s="76" t="str">
        <f t="shared" si="599"/>
        <v>Hypericum</v>
      </c>
      <c r="K1266" s="76" t="str">
        <f t="shared" si="599"/>
        <v>revolutum</v>
      </c>
      <c r="L1266" s="77">
        <f t="shared" si="599"/>
        <v>6</v>
      </c>
      <c r="M1266" s="77">
        <f t="shared" si="599"/>
        <v>1</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Dec</v>
      </c>
      <c r="C1267" s="73">
        <f t="shared" si="595"/>
        <v>3</v>
      </c>
      <c r="D1267" s="74">
        <f t="shared" si="578"/>
        <v>11</v>
      </c>
      <c r="E1267" s="75">
        <f t="shared" si="579"/>
        <v>58</v>
      </c>
      <c r="F1267" s="79"/>
      <c r="G1267" s="82"/>
      <c r="H1267" s="68" t="str">
        <f t="shared" si="596"/>
        <v>Hyprev6_20201203_11_00</v>
      </c>
      <c r="I1267" s="69">
        <f t="shared" si="599"/>
        <v>1</v>
      </c>
      <c r="J1267" s="76" t="str">
        <f t="shared" si="599"/>
        <v>Hypericum</v>
      </c>
      <c r="K1267" s="76" t="str">
        <f t="shared" si="599"/>
        <v>revolutum</v>
      </c>
      <c r="L1267" s="77">
        <f t="shared" si="599"/>
        <v>6</v>
      </c>
      <c r="M1267" s="77">
        <f t="shared" si="599"/>
        <v>1</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Dec</v>
      </c>
      <c r="C1268" s="73">
        <f t="shared" si="595"/>
        <v>3</v>
      </c>
      <c r="D1268" s="74">
        <f t="shared" si="578"/>
        <v>11</v>
      </c>
      <c r="E1268" s="75">
        <f t="shared" si="579"/>
        <v>59</v>
      </c>
      <c r="F1268" s="79"/>
      <c r="G1268" s="82"/>
      <c r="H1268" s="68" t="str">
        <f t="shared" si="596"/>
        <v>Hyprev6_20201203_11_00</v>
      </c>
      <c r="I1268" s="69">
        <f t="shared" si="599"/>
        <v>1</v>
      </c>
      <c r="J1268" s="76" t="str">
        <f t="shared" si="599"/>
        <v>Hypericum</v>
      </c>
      <c r="K1268" s="76" t="str">
        <f t="shared" si="599"/>
        <v>revolutum</v>
      </c>
      <c r="L1268" s="77">
        <f t="shared" si="599"/>
        <v>6</v>
      </c>
      <c r="M1268" s="77">
        <f t="shared" si="599"/>
        <v>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Dec</v>
      </c>
      <c r="C1269" s="73">
        <f t="shared" si="595"/>
        <v>3</v>
      </c>
      <c r="D1269" s="74">
        <f t="shared" si="578"/>
        <v>12</v>
      </c>
      <c r="E1269" s="75">
        <f t="shared" si="579"/>
        <v>0</v>
      </c>
      <c r="F1269" s="79"/>
      <c r="G1269" s="82"/>
      <c r="H1269" s="68" t="str">
        <f t="shared" si="596"/>
        <v>Hyprev6_20201203_12_00</v>
      </c>
      <c r="I1269" s="69">
        <f t="shared" ref="I1269:N1284" si="600">I1268</f>
        <v>1</v>
      </c>
      <c r="J1269" s="76" t="str">
        <f t="shared" si="600"/>
        <v>Hypericum</v>
      </c>
      <c r="K1269" s="76" t="str">
        <f t="shared" si="600"/>
        <v>revolutum</v>
      </c>
      <c r="L1269" s="77">
        <f t="shared" si="600"/>
        <v>6</v>
      </c>
      <c r="M1269" s="77">
        <f t="shared" si="600"/>
        <v>1</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Dec</v>
      </c>
      <c r="C1270" s="73">
        <f t="shared" si="595"/>
        <v>3</v>
      </c>
      <c r="D1270" s="74">
        <f t="shared" si="578"/>
        <v>12</v>
      </c>
      <c r="E1270" s="75">
        <f t="shared" si="579"/>
        <v>1</v>
      </c>
      <c r="F1270" s="79"/>
      <c r="G1270" s="82"/>
      <c r="H1270" s="68" t="str">
        <f t="shared" si="596"/>
        <v>Hyprev6_20201203_12_00</v>
      </c>
      <c r="I1270" s="69">
        <f t="shared" si="600"/>
        <v>1</v>
      </c>
      <c r="J1270" s="76" t="str">
        <f t="shared" si="600"/>
        <v>Hypericum</v>
      </c>
      <c r="K1270" s="76" t="str">
        <f t="shared" si="600"/>
        <v>revolutum</v>
      </c>
      <c r="L1270" s="77">
        <f t="shared" si="600"/>
        <v>6</v>
      </c>
      <c r="M1270" s="77">
        <f t="shared" si="600"/>
        <v>1</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Dec</v>
      </c>
      <c r="C1271" s="73">
        <f t="shared" si="595"/>
        <v>3</v>
      </c>
      <c r="D1271" s="74">
        <f t="shared" si="578"/>
        <v>12</v>
      </c>
      <c r="E1271" s="75">
        <f t="shared" si="579"/>
        <v>2</v>
      </c>
      <c r="F1271" s="79"/>
      <c r="G1271" s="82"/>
      <c r="H1271" s="68" t="str">
        <f t="shared" si="596"/>
        <v>Hyprev6_20201203_12_00</v>
      </c>
      <c r="I1271" s="69">
        <f t="shared" si="600"/>
        <v>1</v>
      </c>
      <c r="J1271" s="76" t="str">
        <f t="shared" si="600"/>
        <v>Hypericum</v>
      </c>
      <c r="K1271" s="76" t="str">
        <f t="shared" si="600"/>
        <v>revolutum</v>
      </c>
      <c r="L1271" s="77">
        <f t="shared" si="600"/>
        <v>6</v>
      </c>
      <c r="M1271" s="77">
        <f t="shared" si="600"/>
        <v>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Dec</v>
      </c>
      <c r="C1272" s="73">
        <f t="shared" si="595"/>
        <v>3</v>
      </c>
      <c r="D1272" s="74">
        <f t="shared" si="578"/>
        <v>12</v>
      </c>
      <c r="E1272" s="75">
        <f t="shared" si="579"/>
        <v>3</v>
      </c>
      <c r="F1272" s="79"/>
      <c r="G1272" s="82"/>
      <c r="H1272" s="68" t="str">
        <f t="shared" si="596"/>
        <v>Hyprev6_20201203_12_00</v>
      </c>
      <c r="I1272" s="69">
        <f t="shared" si="600"/>
        <v>1</v>
      </c>
      <c r="J1272" s="76" t="str">
        <f t="shared" si="600"/>
        <v>Hypericum</v>
      </c>
      <c r="K1272" s="76" t="str">
        <f t="shared" si="600"/>
        <v>revolutum</v>
      </c>
      <c r="L1272" s="77">
        <f t="shared" si="600"/>
        <v>6</v>
      </c>
      <c r="M1272" s="77">
        <f t="shared" si="600"/>
        <v>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Dec</v>
      </c>
      <c r="C1273" s="73">
        <f t="shared" si="595"/>
        <v>3</v>
      </c>
      <c r="D1273" s="74">
        <f t="shared" si="578"/>
        <v>12</v>
      </c>
      <c r="E1273" s="75">
        <f t="shared" si="579"/>
        <v>4</v>
      </c>
      <c r="F1273" s="79"/>
      <c r="G1273" s="82"/>
      <c r="H1273" s="68" t="str">
        <f t="shared" si="596"/>
        <v>Hyprev6_20201203_12_00</v>
      </c>
      <c r="I1273" s="69">
        <f t="shared" si="600"/>
        <v>1</v>
      </c>
      <c r="J1273" s="76" t="str">
        <f t="shared" si="600"/>
        <v>Hypericum</v>
      </c>
      <c r="K1273" s="76" t="str">
        <f t="shared" si="600"/>
        <v>revolutum</v>
      </c>
      <c r="L1273" s="77">
        <f t="shared" si="600"/>
        <v>6</v>
      </c>
      <c r="M1273" s="77">
        <f t="shared" si="600"/>
        <v>1</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Dec</v>
      </c>
      <c r="C1274" s="73">
        <f t="shared" si="595"/>
        <v>3</v>
      </c>
      <c r="D1274" s="74">
        <f t="shared" si="578"/>
        <v>12</v>
      </c>
      <c r="E1274" s="75">
        <f t="shared" si="579"/>
        <v>5</v>
      </c>
      <c r="F1274" s="79"/>
      <c r="G1274" s="82"/>
      <c r="H1274" s="68" t="str">
        <f t="shared" si="596"/>
        <v>Hyprev6_20201203_12_00</v>
      </c>
      <c r="I1274" s="69">
        <f t="shared" si="600"/>
        <v>1</v>
      </c>
      <c r="J1274" s="76" t="str">
        <f t="shared" si="600"/>
        <v>Hypericum</v>
      </c>
      <c r="K1274" s="76" t="str">
        <f t="shared" si="600"/>
        <v>revolutum</v>
      </c>
      <c r="L1274" s="77">
        <f t="shared" si="600"/>
        <v>6</v>
      </c>
      <c r="M1274" s="77">
        <f t="shared" si="600"/>
        <v>1</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Dec</v>
      </c>
      <c r="C1275" s="73">
        <f t="shared" si="595"/>
        <v>3</v>
      </c>
      <c r="D1275" s="74">
        <f t="shared" si="578"/>
        <v>12</v>
      </c>
      <c r="E1275" s="75">
        <f t="shared" si="579"/>
        <v>6</v>
      </c>
      <c r="F1275" s="79"/>
      <c r="G1275" s="82"/>
      <c r="H1275" s="68" t="str">
        <f t="shared" si="596"/>
        <v>Hyprev6_20201203_12_00</v>
      </c>
      <c r="I1275" s="69">
        <f t="shared" si="600"/>
        <v>1</v>
      </c>
      <c r="J1275" s="76" t="str">
        <f t="shared" si="600"/>
        <v>Hypericum</v>
      </c>
      <c r="K1275" s="76" t="str">
        <f t="shared" si="600"/>
        <v>revolutum</v>
      </c>
      <c r="L1275" s="77">
        <f t="shared" si="600"/>
        <v>6</v>
      </c>
      <c r="M1275" s="77">
        <f t="shared" si="600"/>
        <v>1</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Dec</v>
      </c>
      <c r="C1276" s="73">
        <f t="shared" si="595"/>
        <v>3</v>
      </c>
      <c r="D1276" s="74">
        <f t="shared" si="578"/>
        <v>12</v>
      </c>
      <c r="E1276" s="75">
        <f t="shared" si="579"/>
        <v>7</v>
      </c>
      <c r="F1276" s="79"/>
      <c r="G1276" s="82"/>
      <c r="H1276" s="68" t="str">
        <f t="shared" si="596"/>
        <v>Hyprev6_20201203_12_00</v>
      </c>
      <c r="I1276" s="69">
        <f t="shared" si="600"/>
        <v>1</v>
      </c>
      <c r="J1276" s="76" t="str">
        <f t="shared" si="600"/>
        <v>Hypericum</v>
      </c>
      <c r="K1276" s="76" t="str">
        <f t="shared" si="600"/>
        <v>revolutum</v>
      </c>
      <c r="L1276" s="77">
        <f t="shared" si="600"/>
        <v>6</v>
      </c>
      <c r="M1276" s="77">
        <f t="shared" si="600"/>
        <v>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Dec</v>
      </c>
      <c r="C1277" s="73">
        <f t="shared" si="595"/>
        <v>3</v>
      </c>
      <c r="D1277" s="74">
        <f t="shared" si="578"/>
        <v>12</v>
      </c>
      <c r="E1277" s="75">
        <f t="shared" si="579"/>
        <v>8</v>
      </c>
      <c r="F1277" s="79"/>
      <c r="G1277" s="82"/>
      <c r="H1277" s="68" t="str">
        <f t="shared" si="596"/>
        <v>Hyprev6_20201203_12_00</v>
      </c>
      <c r="I1277" s="69">
        <f t="shared" si="600"/>
        <v>1</v>
      </c>
      <c r="J1277" s="76" t="str">
        <f t="shared" si="600"/>
        <v>Hypericum</v>
      </c>
      <c r="K1277" s="76" t="str">
        <f t="shared" si="600"/>
        <v>revolutum</v>
      </c>
      <c r="L1277" s="77">
        <f t="shared" si="600"/>
        <v>6</v>
      </c>
      <c r="M1277" s="77">
        <f t="shared" si="600"/>
        <v>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Dec</v>
      </c>
      <c r="C1278" s="73">
        <f t="shared" si="595"/>
        <v>3</v>
      </c>
      <c r="D1278" s="74">
        <f t="shared" si="578"/>
        <v>12</v>
      </c>
      <c r="E1278" s="75">
        <f t="shared" si="579"/>
        <v>9</v>
      </c>
      <c r="F1278" s="79"/>
      <c r="G1278" s="82"/>
      <c r="H1278" s="68" t="str">
        <f t="shared" si="596"/>
        <v>Hyprev6_20201203_12_00</v>
      </c>
      <c r="I1278" s="69">
        <f t="shared" si="600"/>
        <v>1</v>
      </c>
      <c r="J1278" s="76" t="str">
        <f t="shared" si="600"/>
        <v>Hypericum</v>
      </c>
      <c r="K1278" s="76" t="str">
        <f t="shared" si="600"/>
        <v>revolutum</v>
      </c>
      <c r="L1278" s="77">
        <f t="shared" si="600"/>
        <v>6</v>
      </c>
      <c r="M1278" s="77">
        <f t="shared" si="600"/>
        <v>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Dec</v>
      </c>
      <c r="C1279" s="73">
        <f t="shared" si="595"/>
        <v>3</v>
      </c>
      <c r="D1279" s="74">
        <f t="shared" si="578"/>
        <v>12</v>
      </c>
      <c r="E1279" s="75">
        <f t="shared" si="579"/>
        <v>10</v>
      </c>
      <c r="F1279" s="79"/>
      <c r="G1279" s="82"/>
      <c r="H1279" s="68" t="str">
        <f t="shared" si="596"/>
        <v>Hyprev6_20201203_12_00</v>
      </c>
      <c r="I1279" s="69">
        <f t="shared" si="600"/>
        <v>1</v>
      </c>
      <c r="J1279" s="76" t="str">
        <f t="shared" si="600"/>
        <v>Hypericum</v>
      </c>
      <c r="K1279" s="76" t="str">
        <f t="shared" si="600"/>
        <v>revolutum</v>
      </c>
      <c r="L1279" s="77">
        <f t="shared" si="600"/>
        <v>6</v>
      </c>
      <c r="M1279" s="77">
        <f t="shared" si="600"/>
        <v>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Dec</v>
      </c>
      <c r="C1280" s="73">
        <f t="shared" si="595"/>
        <v>3</v>
      </c>
      <c r="D1280" s="74">
        <f t="shared" si="578"/>
        <v>12</v>
      </c>
      <c r="E1280" s="75">
        <f t="shared" si="579"/>
        <v>11</v>
      </c>
      <c r="F1280" s="79"/>
      <c r="G1280" s="82"/>
      <c r="H1280" s="68" t="str">
        <f t="shared" si="596"/>
        <v>Hyprev6_20201203_12_00</v>
      </c>
      <c r="I1280" s="69">
        <f t="shared" si="600"/>
        <v>1</v>
      </c>
      <c r="J1280" s="76" t="str">
        <f t="shared" si="600"/>
        <v>Hypericum</v>
      </c>
      <c r="K1280" s="76" t="str">
        <f t="shared" si="600"/>
        <v>revolutum</v>
      </c>
      <c r="L1280" s="77">
        <f t="shared" si="600"/>
        <v>6</v>
      </c>
      <c r="M1280" s="77">
        <f t="shared" si="600"/>
        <v>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Dec</v>
      </c>
      <c r="C1281" s="73">
        <f t="shared" si="595"/>
        <v>3</v>
      </c>
      <c r="D1281" s="74">
        <f t="shared" si="578"/>
        <v>12</v>
      </c>
      <c r="E1281" s="75">
        <f t="shared" si="579"/>
        <v>12</v>
      </c>
      <c r="F1281" s="79"/>
      <c r="G1281" s="82"/>
      <c r="H1281" s="68" t="str">
        <f t="shared" si="596"/>
        <v>Hyprev6_20201203_12_00</v>
      </c>
      <c r="I1281" s="69">
        <f t="shared" si="600"/>
        <v>1</v>
      </c>
      <c r="J1281" s="76" t="str">
        <f t="shared" si="600"/>
        <v>Hypericum</v>
      </c>
      <c r="K1281" s="76" t="str">
        <f t="shared" si="600"/>
        <v>revolutum</v>
      </c>
      <c r="L1281" s="77">
        <f t="shared" si="600"/>
        <v>6</v>
      </c>
      <c r="M1281" s="77">
        <f t="shared" si="600"/>
        <v>1</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Dec</v>
      </c>
      <c r="C1282" s="73">
        <f t="shared" si="595"/>
        <v>3</v>
      </c>
      <c r="D1282" s="74">
        <f t="shared" si="578"/>
        <v>12</v>
      </c>
      <c r="E1282" s="75">
        <f t="shared" si="579"/>
        <v>13</v>
      </c>
      <c r="F1282" s="79"/>
      <c r="G1282" s="82"/>
      <c r="H1282" s="68" t="str">
        <f t="shared" si="596"/>
        <v>Hyprev6_20201203_12_00</v>
      </c>
      <c r="I1282" s="69">
        <f t="shared" si="600"/>
        <v>1</v>
      </c>
      <c r="J1282" s="76" t="str">
        <f t="shared" si="600"/>
        <v>Hypericum</v>
      </c>
      <c r="K1282" s="76" t="str">
        <f t="shared" si="600"/>
        <v>revolutum</v>
      </c>
      <c r="L1282" s="77">
        <f t="shared" si="600"/>
        <v>6</v>
      </c>
      <c r="M1282" s="77">
        <f t="shared" si="600"/>
        <v>1</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Dec</v>
      </c>
      <c r="C1283" s="73">
        <f t="shared" si="595"/>
        <v>3</v>
      </c>
      <c r="D1283" s="74">
        <f t="shared" si="578"/>
        <v>12</v>
      </c>
      <c r="E1283" s="75">
        <f t="shared" si="579"/>
        <v>14</v>
      </c>
      <c r="F1283" s="79"/>
      <c r="G1283" s="82"/>
      <c r="H1283" s="68" t="str">
        <f t="shared" si="596"/>
        <v>Hyprev6_20201203_12_00</v>
      </c>
      <c r="I1283" s="69">
        <f t="shared" si="600"/>
        <v>1</v>
      </c>
      <c r="J1283" s="76" t="str">
        <f t="shared" si="600"/>
        <v>Hypericum</v>
      </c>
      <c r="K1283" s="76" t="str">
        <f t="shared" si="600"/>
        <v>revolutum</v>
      </c>
      <c r="L1283" s="77">
        <f t="shared" si="600"/>
        <v>6</v>
      </c>
      <c r="M1283" s="77">
        <f t="shared" si="600"/>
        <v>1</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Dec</v>
      </c>
      <c r="C1284" s="73">
        <f t="shared" si="595"/>
        <v>3</v>
      </c>
      <c r="D1284" s="74">
        <f t="shared" ref="D1284:D1347" si="608">IF(IF(E1283=59,D1283+1,D1283)=24,0,IF(E1283=59,D1283+1,D1283))</f>
        <v>12</v>
      </c>
      <c r="E1284" s="75">
        <f t="shared" ref="E1284:E1347" si="609">IF(E1283&lt;59,E1283+1,0)</f>
        <v>15</v>
      </c>
      <c r="F1284" s="79"/>
      <c r="G1284" s="82"/>
      <c r="H1284" s="68" t="str">
        <f t="shared" si="596"/>
        <v>Hyprev6_20201203_12_00</v>
      </c>
      <c r="I1284" s="69">
        <f t="shared" si="600"/>
        <v>1</v>
      </c>
      <c r="J1284" s="76" t="str">
        <f t="shared" si="600"/>
        <v>Hypericum</v>
      </c>
      <c r="K1284" s="76" t="str">
        <f t="shared" si="600"/>
        <v>revolutum</v>
      </c>
      <c r="L1284" s="77">
        <f t="shared" si="600"/>
        <v>6</v>
      </c>
      <c r="M1284" s="77">
        <f t="shared" si="600"/>
        <v>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Dec</v>
      </c>
      <c r="C1285" s="73">
        <f t="shared" ref="C1285:C1348" si="625">IF(AND(D1285=0, E1285=0), IF(TEXT(C1284,"dd")=TEXT(EOMONTH(DATE(A1284,MONTH(DATEVALUE(B1284&amp;"1")),C1284),0), "dd"), 1, C1284+1), C1284)</f>
        <v>3</v>
      </c>
      <c r="D1285" s="74">
        <f t="shared" si="608"/>
        <v>12</v>
      </c>
      <c r="E1285" s="75">
        <f t="shared" si="609"/>
        <v>16</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Hyprev6_20201203_12_00</v>
      </c>
      <c r="I1285" s="69">
        <f t="shared" ref="I1285:N1300" si="627">I1284</f>
        <v>1</v>
      </c>
      <c r="J1285" s="76" t="str">
        <f t="shared" si="627"/>
        <v>Hypericum</v>
      </c>
      <c r="K1285" s="76" t="str">
        <f t="shared" si="627"/>
        <v>revolutum</v>
      </c>
      <c r="L1285" s="77">
        <f t="shared" si="627"/>
        <v>6</v>
      </c>
      <c r="M1285" s="77">
        <f t="shared" si="627"/>
        <v>1</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Dec</v>
      </c>
      <c r="C1286" s="73">
        <f t="shared" si="625"/>
        <v>3</v>
      </c>
      <c r="D1286" s="74">
        <f t="shared" si="608"/>
        <v>12</v>
      </c>
      <c r="E1286" s="75">
        <f t="shared" si="609"/>
        <v>17</v>
      </c>
      <c r="F1286" s="79"/>
      <c r="G1286" s="82"/>
      <c r="H1286" s="68" t="str">
        <f t="shared" si="626"/>
        <v>Hyprev6_20201203_12_00</v>
      </c>
      <c r="I1286" s="69">
        <f t="shared" si="627"/>
        <v>1</v>
      </c>
      <c r="J1286" s="76" t="str">
        <f t="shared" si="627"/>
        <v>Hypericum</v>
      </c>
      <c r="K1286" s="76" t="str">
        <f t="shared" si="627"/>
        <v>revolutum</v>
      </c>
      <c r="L1286" s="77">
        <f t="shared" si="627"/>
        <v>6</v>
      </c>
      <c r="M1286" s="77">
        <f t="shared" si="627"/>
        <v>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Dec</v>
      </c>
      <c r="C1287" s="73">
        <f t="shared" si="625"/>
        <v>3</v>
      </c>
      <c r="D1287" s="74">
        <f t="shared" si="608"/>
        <v>12</v>
      </c>
      <c r="E1287" s="75">
        <f t="shared" si="609"/>
        <v>18</v>
      </c>
      <c r="F1287" s="79"/>
      <c r="G1287" s="82"/>
      <c r="H1287" s="68" t="str">
        <f t="shared" si="626"/>
        <v>Hyprev6_20201203_12_00</v>
      </c>
      <c r="I1287" s="69">
        <f t="shared" si="627"/>
        <v>1</v>
      </c>
      <c r="J1287" s="76" t="str">
        <f t="shared" si="627"/>
        <v>Hypericum</v>
      </c>
      <c r="K1287" s="76" t="str">
        <f t="shared" si="627"/>
        <v>revolutum</v>
      </c>
      <c r="L1287" s="77">
        <f t="shared" si="627"/>
        <v>6</v>
      </c>
      <c r="M1287" s="77">
        <f t="shared" si="627"/>
        <v>1</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Dec</v>
      </c>
      <c r="C1288" s="73">
        <f t="shared" si="625"/>
        <v>3</v>
      </c>
      <c r="D1288" s="74">
        <f t="shared" si="608"/>
        <v>12</v>
      </c>
      <c r="E1288" s="75">
        <f t="shared" si="609"/>
        <v>19</v>
      </c>
      <c r="F1288" s="79"/>
      <c r="G1288" s="82"/>
      <c r="H1288" s="68" t="str">
        <f t="shared" si="626"/>
        <v>Hyprev6_20201203_12_00</v>
      </c>
      <c r="I1288" s="69">
        <f t="shared" si="627"/>
        <v>1</v>
      </c>
      <c r="J1288" s="76" t="str">
        <f t="shared" si="627"/>
        <v>Hypericum</v>
      </c>
      <c r="K1288" s="76" t="str">
        <f t="shared" si="627"/>
        <v>revolutum</v>
      </c>
      <c r="L1288" s="77">
        <f t="shared" si="627"/>
        <v>6</v>
      </c>
      <c r="M1288" s="77">
        <f t="shared" si="627"/>
        <v>1</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Dec</v>
      </c>
      <c r="C1289" s="73">
        <f t="shared" si="625"/>
        <v>3</v>
      </c>
      <c r="D1289" s="74">
        <f t="shared" si="608"/>
        <v>12</v>
      </c>
      <c r="E1289" s="75">
        <f t="shared" si="609"/>
        <v>20</v>
      </c>
      <c r="F1289" s="79"/>
      <c r="G1289" s="82"/>
      <c r="H1289" s="68" t="str">
        <f t="shared" si="626"/>
        <v>Hyprev6_20201203_12_00</v>
      </c>
      <c r="I1289" s="69">
        <f t="shared" si="627"/>
        <v>1</v>
      </c>
      <c r="J1289" s="76" t="str">
        <f t="shared" si="627"/>
        <v>Hypericum</v>
      </c>
      <c r="K1289" s="76" t="str">
        <f t="shared" si="627"/>
        <v>revolutum</v>
      </c>
      <c r="L1289" s="77">
        <f t="shared" si="627"/>
        <v>6</v>
      </c>
      <c r="M1289" s="77">
        <f t="shared" si="627"/>
        <v>1</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Dec</v>
      </c>
      <c r="C1290" s="73">
        <f t="shared" si="625"/>
        <v>3</v>
      </c>
      <c r="D1290" s="74">
        <f t="shared" si="608"/>
        <v>12</v>
      </c>
      <c r="E1290" s="75">
        <f t="shared" si="609"/>
        <v>21</v>
      </c>
      <c r="F1290" s="79"/>
      <c r="G1290" s="82"/>
      <c r="H1290" s="68" t="str">
        <f t="shared" si="626"/>
        <v>Hyprev6_20201203_12_00</v>
      </c>
      <c r="I1290" s="69">
        <f t="shared" si="627"/>
        <v>1</v>
      </c>
      <c r="J1290" s="76" t="str">
        <f t="shared" si="627"/>
        <v>Hypericum</v>
      </c>
      <c r="K1290" s="76" t="str">
        <f t="shared" si="627"/>
        <v>revolutum</v>
      </c>
      <c r="L1290" s="77">
        <f t="shared" si="627"/>
        <v>6</v>
      </c>
      <c r="M1290" s="77">
        <f t="shared" si="627"/>
        <v>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Dec</v>
      </c>
      <c r="C1291" s="73">
        <f t="shared" si="625"/>
        <v>3</v>
      </c>
      <c r="D1291" s="74">
        <f t="shared" si="608"/>
        <v>12</v>
      </c>
      <c r="E1291" s="75">
        <f t="shared" si="609"/>
        <v>22</v>
      </c>
      <c r="F1291" s="79"/>
      <c r="G1291" s="82"/>
      <c r="H1291" s="68" t="str">
        <f t="shared" si="626"/>
        <v>Hyprev6_20201203_12_00</v>
      </c>
      <c r="I1291" s="69">
        <f t="shared" si="627"/>
        <v>1</v>
      </c>
      <c r="J1291" s="76" t="str">
        <f t="shared" si="627"/>
        <v>Hypericum</v>
      </c>
      <c r="K1291" s="76" t="str">
        <f t="shared" si="627"/>
        <v>revolutum</v>
      </c>
      <c r="L1291" s="77">
        <f t="shared" si="627"/>
        <v>6</v>
      </c>
      <c r="M1291" s="77">
        <f t="shared" si="627"/>
        <v>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Dec</v>
      </c>
      <c r="C1292" s="73">
        <f t="shared" si="625"/>
        <v>3</v>
      </c>
      <c r="D1292" s="74">
        <f t="shared" si="608"/>
        <v>12</v>
      </c>
      <c r="E1292" s="75">
        <f t="shared" si="609"/>
        <v>23</v>
      </c>
      <c r="F1292" s="79"/>
      <c r="G1292" s="82"/>
      <c r="H1292" s="68" t="str">
        <f t="shared" si="626"/>
        <v>Hyprev6_20201203_12_00</v>
      </c>
      <c r="I1292" s="69">
        <f t="shared" si="627"/>
        <v>1</v>
      </c>
      <c r="J1292" s="76" t="str">
        <f t="shared" si="627"/>
        <v>Hypericum</v>
      </c>
      <c r="K1292" s="76" t="str">
        <f t="shared" si="627"/>
        <v>revolutum</v>
      </c>
      <c r="L1292" s="77">
        <f t="shared" si="627"/>
        <v>6</v>
      </c>
      <c r="M1292" s="77">
        <f t="shared" si="627"/>
        <v>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Dec</v>
      </c>
      <c r="C1293" s="73">
        <f t="shared" si="625"/>
        <v>3</v>
      </c>
      <c r="D1293" s="74">
        <f t="shared" si="608"/>
        <v>12</v>
      </c>
      <c r="E1293" s="75">
        <f t="shared" si="609"/>
        <v>24</v>
      </c>
      <c r="F1293" s="79"/>
      <c r="G1293" s="82"/>
      <c r="H1293" s="68" t="str">
        <f t="shared" si="626"/>
        <v>Hyprev6_20201203_12_00</v>
      </c>
      <c r="I1293" s="69">
        <f t="shared" si="627"/>
        <v>1</v>
      </c>
      <c r="J1293" s="76" t="str">
        <f t="shared" si="627"/>
        <v>Hypericum</v>
      </c>
      <c r="K1293" s="76" t="str">
        <f t="shared" si="627"/>
        <v>revolutum</v>
      </c>
      <c r="L1293" s="77">
        <f t="shared" si="627"/>
        <v>6</v>
      </c>
      <c r="M1293" s="77">
        <f t="shared" si="627"/>
        <v>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Dec</v>
      </c>
      <c r="C1294" s="73">
        <f t="shared" si="625"/>
        <v>3</v>
      </c>
      <c r="D1294" s="74">
        <f t="shared" si="608"/>
        <v>12</v>
      </c>
      <c r="E1294" s="75">
        <f t="shared" si="609"/>
        <v>25</v>
      </c>
      <c r="F1294" s="79"/>
      <c r="G1294" s="82"/>
      <c r="H1294" s="68" t="str">
        <f t="shared" si="626"/>
        <v>Hyprev6_20201203_12_00</v>
      </c>
      <c r="I1294" s="69">
        <f t="shared" si="627"/>
        <v>1</v>
      </c>
      <c r="J1294" s="76" t="str">
        <f t="shared" si="627"/>
        <v>Hypericum</v>
      </c>
      <c r="K1294" s="76" t="str">
        <f t="shared" si="627"/>
        <v>revolutum</v>
      </c>
      <c r="L1294" s="77">
        <f t="shared" si="627"/>
        <v>6</v>
      </c>
      <c r="M1294" s="77">
        <f t="shared" si="627"/>
        <v>1</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Dec</v>
      </c>
      <c r="C1295" s="73">
        <f t="shared" si="625"/>
        <v>3</v>
      </c>
      <c r="D1295" s="74">
        <f t="shared" si="608"/>
        <v>12</v>
      </c>
      <c r="E1295" s="75">
        <f t="shared" si="609"/>
        <v>26</v>
      </c>
      <c r="F1295" s="79"/>
      <c r="G1295" s="82"/>
      <c r="H1295" s="68" t="str">
        <f t="shared" si="626"/>
        <v>Hyprev6_20201203_12_00</v>
      </c>
      <c r="I1295" s="69">
        <f t="shared" si="627"/>
        <v>1</v>
      </c>
      <c r="J1295" s="76" t="str">
        <f t="shared" si="627"/>
        <v>Hypericum</v>
      </c>
      <c r="K1295" s="76" t="str">
        <f t="shared" si="627"/>
        <v>revolutum</v>
      </c>
      <c r="L1295" s="77">
        <f t="shared" si="627"/>
        <v>6</v>
      </c>
      <c r="M1295" s="77">
        <f t="shared" si="627"/>
        <v>1</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Dec</v>
      </c>
      <c r="C1296" s="73">
        <f t="shared" si="625"/>
        <v>3</v>
      </c>
      <c r="D1296" s="74">
        <f t="shared" si="608"/>
        <v>12</v>
      </c>
      <c r="E1296" s="75">
        <f t="shared" si="609"/>
        <v>27</v>
      </c>
      <c r="F1296" s="79"/>
      <c r="G1296" s="82"/>
      <c r="H1296" s="68" t="str">
        <f t="shared" si="626"/>
        <v>Hyprev6_20201203_12_00</v>
      </c>
      <c r="I1296" s="69">
        <f t="shared" si="627"/>
        <v>1</v>
      </c>
      <c r="J1296" s="76" t="str">
        <f t="shared" si="627"/>
        <v>Hypericum</v>
      </c>
      <c r="K1296" s="76" t="str">
        <f t="shared" si="627"/>
        <v>revolutum</v>
      </c>
      <c r="L1296" s="77">
        <f t="shared" si="627"/>
        <v>6</v>
      </c>
      <c r="M1296" s="77">
        <f t="shared" si="627"/>
        <v>1</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Dec</v>
      </c>
      <c r="C1297" s="73">
        <f t="shared" si="625"/>
        <v>3</v>
      </c>
      <c r="D1297" s="74">
        <f t="shared" si="608"/>
        <v>12</v>
      </c>
      <c r="E1297" s="75">
        <f t="shared" si="609"/>
        <v>28</v>
      </c>
      <c r="F1297" s="79"/>
      <c r="G1297" s="82"/>
      <c r="H1297" s="68" t="str">
        <f t="shared" si="626"/>
        <v>Hyprev6_20201203_12_00</v>
      </c>
      <c r="I1297" s="69">
        <f t="shared" si="627"/>
        <v>1</v>
      </c>
      <c r="J1297" s="76" t="str">
        <f t="shared" si="627"/>
        <v>Hypericum</v>
      </c>
      <c r="K1297" s="76" t="str">
        <f t="shared" si="627"/>
        <v>revolutum</v>
      </c>
      <c r="L1297" s="77">
        <f t="shared" si="627"/>
        <v>6</v>
      </c>
      <c r="M1297" s="77">
        <f t="shared" si="627"/>
        <v>1</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Dec</v>
      </c>
      <c r="C1298" s="73">
        <f t="shared" si="625"/>
        <v>3</v>
      </c>
      <c r="D1298" s="74">
        <f t="shared" si="608"/>
        <v>12</v>
      </c>
      <c r="E1298" s="75">
        <f t="shared" si="609"/>
        <v>29</v>
      </c>
      <c r="F1298" s="79"/>
      <c r="G1298" s="82"/>
      <c r="H1298" s="68" t="str">
        <f t="shared" si="626"/>
        <v>Hyprev6_20201203_12_00</v>
      </c>
      <c r="I1298" s="69">
        <f t="shared" si="627"/>
        <v>1</v>
      </c>
      <c r="J1298" s="76" t="str">
        <f t="shared" si="627"/>
        <v>Hypericum</v>
      </c>
      <c r="K1298" s="76" t="str">
        <f t="shared" si="627"/>
        <v>revolutum</v>
      </c>
      <c r="L1298" s="77">
        <f t="shared" si="627"/>
        <v>6</v>
      </c>
      <c r="M1298" s="77">
        <f t="shared" si="627"/>
        <v>1</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Dec</v>
      </c>
      <c r="C1299" s="73">
        <f t="shared" si="625"/>
        <v>3</v>
      </c>
      <c r="D1299" s="74">
        <f t="shared" si="608"/>
        <v>12</v>
      </c>
      <c r="E1299" s="75">
        <f t="shared" si="609"/>
        <v>30</v>
      </c>
      <c r="F1299" s="79"/>
      <c r="G1299" s="82"/>
      <c r="H1299" s="68" t="str">
        <f t="shared" si="626"/>
        <v>Hyprev6_20201203_12_00</v>
      </c>
      <c r="I1299" s="69">
        <f t="shared" si="627"/>
        <v>1</v>
      </c>
      <c r="J1299" s="76" t="str">
        <f t="shared" si="627"/>
        <v>Hypericum</v>
      </c>
      <c r="K1299" s="76" t="str">
        <f t="shared" si="627"/>
        <v>revolutum</v>
      </c>
      <c r="L1299" s="77">
        <f t="shared" si="627"/>
        <v>6</v>
      </c>
      <c r="M1299" s="77">
        <f t="shared" si="627"/>
        <v>1</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Dec</v>
      </c>
      <c r="C1300" s="73">
        <f t="shared" si="625"/>
        <v>3</v>
      </c>
      <c r="D1300" s="74">
        <f t="shared" si="608"/>
        <v>12</v>
      </c>
      <c r="E1300" s="75">
        <f t="shared" si="609"/>
        <v>31</v>
      </c>
      <c r="F1300" s="79"/>
      <c r="G1300" s="82"/>
      <c r="H1300" s="68" t="str">
        <f t="shared" si="626"/>
        <v>Hyprev6_20201203_12_00</v>
      </c>
      <c r="I1300" s="69">
        <f t="shared" si="627"/>
        <v>1</v>
      </c>
      <c r="J1300" s="76" t="str">
        <f t="shared" si="627"/>
        <v>Hypericum</v>
      </c>
      <c r="K1300" s="76" t="str">
        <f t="shared" si="627"/>
        <v>revolutum</v>
      </c>
      <c r="L1300" s="77">
        <f t="shared" si="627"/>
        <v>6</v>
      </c>
      <c r="M1300" s="77">
        <f t="shared" si="627"/>
        <v>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Dec</v>
      </c>
      <c r="C1301" s="73">
        <f t="shared" si="625"/>
        <v>3</v>
      </c>
      <c r="D1301" s="74">
        <f t="shared" si="608"/>
        <v>12</v>
      </c>
      <c r="E1301" s="75">
        <f t="shared" si="609"/>
        <v>32</v>
      </c>
      <c r="F1301" s="79"/>
      <c r="G1301" s="82"/>
      <c r="H1301" s="68" t="str">
        <f t="shared" si="626"/>
        <v>Hyprev6_20201203_12_00</v>
      </c>
      <c r="I1301" s="69">
        <f t="shared" ref="I1301:N1316" si="628">I1300</f>
        <v>1</v>
      </c>
      <c r="J1301" s="76" t="str">
        <f t="shared" si="628"/>
        <v>Hypericum</v>
      </c>
      <c r="K1301" s="76" t="str">
        <f t="shared" si="628"/>
        <v>revolutum</v>
      </c>
      <c r="L1301" s="77">
        <f t="shared" si="628"/>
        <v>6</v>
      </c>
      <c r="M1301" s="77">
        <f t="shared" si="628"/>
        <v>1</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Dec</v>
      </c>
      <c r="C1302" s="73">
        <f t="shared" si="625"/>
        <v>3</v>
      </c>
      <c r="D1302" s="74">
        <f t="shared" si="608"/>
        <v>12</v>
      </c>
      <c r="E1302" s="75">
        <f t="shared" si="609"/>
        <v>33</v>
      </c>
      <c r="F1302" s="79"/>
      <c r="G1302" s="82"/>
      <c r="H1302" s="68" t="str">
        <f t="shared" si="626"/>
        <v>Hyprev6_20201203_12_00</v>
      </c>
      <c r="I1302" s="69">
        <f t="shared" si="628"/>
        <v>1</v>
      </c>
      <c r="J1302" s="76" t="str">
        <f t="shared" si="628"/>
        <v>Hypericum</v>
      </c>
      <c r="K1302" s="76" t="str">
        <f t="shared" si="628"/>
        <v>revolutum</v>
      </c>
      <c r="L1302" s="77">
        <f t="shared" si="628"/>
        <v>6</v>
      </c>
      <c r="M1302" s="77">
        <f t="shared" si="628"/>
        <v>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Dec</v>
      </c>
      <c r="C1303" s="73">
        <f t="shared" si="625"/>
        <v>3</v>
      </c>
      <c r="D1303" s="74">
        <f t="shared" si="608"/>
        <v>12</v>
      </c>
      <c r="E1303" s="75">
        <f t="shared" si="609"/>
        <v>34</v>
      </c>
      <c r="F1303" s="79"/>
      <c r="G1303" s="82"/>
      <c r="H1303" s="68" t="str">
        <f t="shared" si="626"/>
        <v>Hyprev6_20201203_12_00</v>
      </c>
      <c r="I1303" s="69">
        <f t="shared" si="628"/>
        <v>1</v>
      </c>
      <c r="J1303" s="76" t="str">
        <f t="shared" si="628"/>
        <v>Hypericum</v>
      </c>
      <c r="K1303" s="76" t="str">
        <f t="shared" si="628"/>
        <v>revolutum</v>
      </c>
      <c r="L1303" s="77">
        <f t="shared" si="628"/>
        <v>6</v>
      </c>
      <c r="M1303" s="77">
        <f t="shared" si="628"/>
        <v>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Dec</v>
      </c>
      <c r="C1304" s="73">
        <f t="shared" si="625"/>
        <v>3</v>
      </c>
      <c r="D1304" s="74">
        <f t="shared" si="608"/>
        <v>12</v>
      </c>
      <c r="E1304" s="75">
        <f t="shared" si="609"/>
        <v>35</v>
      </c>
      <c r="F1304" s="79"/>
      <c r="G1304" s="82"/>
      <c r="H1304" s="68" t="str">
        <f t="shared" si="626"/>
        <v>Hyprev6_20201203_12_00</v>
      </c>
      <c r="I1304" s="69">
        <f t="shared" si="628"/>
        <v>1</v>
      </c>
      <c r="J1304" s="76" t="str">
        <f t="shared" si="628"/>
        <v>Hypericum</v>
      </c>
      <c r="K1304" s="76" t="str">
        <f t="shared" si="628"/>
        <v>revolutum</v>
      </c>
      <c r="L1304" s="77">
        <f t="shared" si="628"/>
        <v>6</v>
      </c>
      <c r="M1304" s="77">
        <f t="shared" si="628"/>
        <v>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Dec</v>
      </c>
      <c r="C1305" s="73">
        <f t="shared" si="625"/>
        <v>3</v>
      </c>
      <c r="D1305" s="74">
        <f t="shared" si="608"/>
        <v>12</v>
      </c>
      <c r="E1305" s="75">
        <f t="shared" si="609"/>
        <v>36</v>
      </c>
      <c r="F1305" s="79"/>
      <c r="G1305" s="82"/>
      <c r="H1305" s="68" t="str">
        <f t="shared" si="626"/>
        <v>Hyprev6_20201203_12_00</v>
      </c>
      <c r="I1305" s="69">
        <f t="shared" si="628"/>
        <v>1</v>
      </c>
      <c r="J1305" s="76" t="str">
        <f t="shared" si="628"/>
        <v>Hypericum</v>
      </c>
      <c r="K1305" s="76" t="str">
        <f t="shared" si="628"/>
        <v>revolutum</v>
      </c>
      <c r="L1305" s="77">
        <f t="shared" si="628"/>
        <v>6</v>
      </c>
      <c r="M1305" s="77">
        <f t="shared" si="628"/>
        <v>1</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Dec</v>
      </c>
      <c r="C1306" s="73">
        <f t="shared" si="625"/>
        <v>3</v>
      </c>
      <c r="D1306" s="74">
        <f t="shared" si="608"/>
        <v>12</v>
      </c>
      <c r="E1306" s="75">
        <f t="shared" si="609"/>
        <v>37</v>
      </c>
      <c r="F1306" s="79"/>
      <c r="G1306" s="82"/>
      <c r="H1306" s="68" t="str">
        <f t="shared" si="626"/>
        <v>Hyprev6_20201203_12_00</v>
      </c>
      <c r="I1306" s="69">
        <f t="shared" si="628"/>
        <v>1</v>
      </c>
      <c r="J1306" s="76" t="str">
        <f t="shared" si="628"/>
        <v>Hypericum</v>
      </c>
      <c r="K1306" s="76" t="str">
        <f t="shared" si="628"/>
        <v>revolutum</v>
      </c>
      <c r="L1306" s="77">
        <f t="shared" si="628"/>
        <v>6</v>
      </c>
      <c r="M1306" s="77">
        <f t="shared" si="628"/>
        <v>1</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Dec</v>
      </c>
      <c r="C1307" s="73">
        <f t="shared" si="625"/>
        <v>3</v>
      </c>
      <c r="D1307" s="74">
        <f t="shared" si="608"/>
        <v>12</v>
      </c>
      <c r="E1307" s="75">
        <f t="shared" si="609"/>
        <v>38</v>
      </c>
      <c r="F1307" s="79"/>
      <c r="G1307" s="82"/>
      <c r="H1307" s="68" t="str">
        <f t="shared" si="626"/>
        <v>Hyprev6_20201203_12_00</v>
      </c>
      <c r="I1307" s="69">
        <f t="shared" si="628"/>
        <v>1</v>
      </c>
      <c r="J1307" s="76" t="str">
        <f t="shared" si="628"/>
        <v>Hypericum</v>
      </c>
      <c r="K1307" s="76" t="str">
        <f t="shared" si="628"/>
        <v>revolutum</v>
      </c>
      <c r="L1307" s="77">
        <f t="shared" si="628"/>
        <v>6</v>
      </c>
      <c r="M1307" s="77">
        <f t="shared" si="628"/>
        <v>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Dec</v>
      </c>
      <c r="C1308" s="73">
        <f t="shared" si="625"/>
        <v>3</v>
      </c>
      <c r="D1308" s="74">
        <f t="shared" si="608"/>
        <v>12</v>
      </c>
      <c r="E1308" s="75">
        <f t="shared" si="609"/>
        <v>39</v>
      </c>
      <c r="F1308" s="79"/>
      <c r="G1308" s="82"/>
      <c r="H1308" s="68" t="str">
        <f t="shared" si="626"/>
        <v>Hyprev6_20201203_12_00</v>
      </c>
      <c r="I1308" s="69">
        <f t="shared" si="628"/>
        <v>1</v>
      </c>
      <c r="J1308" s="76" t="str">
        <f t="shared" si="628"/>
        <v>Hypericum</v>
      </c>
      <c r="K1308" s="76" t="str">
        <f t="shared" si="628"/>
        <v>revolutum</v>
      </c>
      <c r="L1308" s="77">
        <f t="shared" si="628"/>
        <v>6</v>
      </c>
      <c r="M1308" s="77">
        <f t="shared" si="628"/>
        <v>1</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Dec</v>
      </c>
      <c r="C1309" s="73">
        <f t="shared" si="625"/>
        <v>3</v>
      </c>
      <c r="D1309" s="74">
        <f t="shared" si="608"/>
        <v>12</v>
      </c>
      <c r="E1309" s="75">
        <f t="shared" si="609"/>
        <v>40</v>
      </c>
      <c r="F1309" s="79"/>
      <c r="G1309" s="82"/>
      <c r="H1309" s="68" t="str">
        <f t="shared" si="626"/>
        <v>Hyprev6_20201203_12_00</v>
      </c>
      <c r="I1309" s="69">
        <f t="shared" si="628"/>
        <v>1</v>
      </c>
      <c r="J1309" s="76" t="str">
        <f t="shared" si="628"/>
        <v>Hypericum</v>
      </c>
      <c r="K1309" s="76" t="str">
        <f t="shared" si="628"/>
        <v>revolutum</v>
      </c>
      <c r="L1309" s="77">
        <f t="shared" si="628"/>
        <v>6</v>
      </c>
      <c r="M1309" s="77">
        <f t="shared" si="628"/>
        <v>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Dec</v>
      </c>
      <c r="C1310" s="73">
        <f t="shared" si="625"/>
        <v>3</v>
      </c>
      <c r="D1310" s="74">
        <f t="shared" si="608"/>
        <v>12</v>
      </c>
      <c r="E1310" s="75">
        <f t="shared" si="609"/>
        <v>41</v>
      </c>
      <c r="F1310" s="79"/>
      <c r="G1310" s="82"/>
      <c r="H1310" s="68" t="str">
        <f t="shared" si="626"/>
        <v>Hyprev6_20201203_12_00</v>
      </c>
      <c r="I1310" s="69">
        <f t="shared" si="628"/>
        <v>1</v>
      </c>
      <c r="J1310" s="76" t="str">
        <f t="shared" si="628"/>
        <v>Hypericum</v>
      </c>
      <c r="K1310" s="76" t="str">
        <f t="shared" si="628"/>
        <v>revolutum</v>
      </c>
      <c r="L1310" s="77">
        <f t="shared" si="628"/>
        <v>6</v>
      </c>
      <c r="M1310" s="77">
        <f t="shared" si="628"/>
        <v>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Dec</v>
      </c>
      <c r="C1311" s="73">
        <f t="shared" si="625"/>
        <v>3</v>
      </c>
      <c r="D1311" s="74">
        <f t="shared" si="608"/>
        <v>12</v>
      </c>
      <c r="E1311" s="75">
        <f t="shared" si="609"/>
        <v>42</v>
      </c>
      <c r="F1311" s="79"/>
      <c r="G1311" s="82"/>
      <c r="H1311" s="68" t="str">
        <f t="shared" si="626"/>
        <v>Hyprev6_20201203_12_00</v>
      </c>
      <c r="I1311" s="69">
        <f t="shared" si="628"/>
        <v>1</v>
      </c>
      <c r="J1311" s="76" t="str">
        <f t="shared" si="628"/>
        <v>Hypericum</v>
      </c>
      <c r="K1311" s="76" t="str">
        <f t="shared" si="628"/>
        <v>revolutum</v>
      </c>
      <c r="L1311" s="77">
        <f t="shared" si="628"/>
        <v>6</v>
      </c>
      <c r="M1311" s="77">
        <f t="shared" si="628"/>
        <v>1</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Dec</v>
      </c>
      <c r="C1312" s="73">
        <f t="shared" si="625"/>
        <v>3</v>
      </c>
      <c r="D1312" s="74">
        <f t="shared" si="608"/>
        <v>12</v>
      </c>
      <c r="E1312" s="75">
        <f t="shared" si="609"/>
        <v>43</v>
      </c>
      <c r="F1312" s="79"/>
      <c r="G1312" s="82"/>
      <c r="H1312" s="68" t="str">
        <f t="shared" si="626"/>
        <v>Hyprev6_20201203_12_00</v>
      </c>
      <c r="I1312" s="69">
        <f t="shared" si="628"/>
        <v>1</v>
      </c>
      <c r="J1312" s="76" t="str">
        <f t="shared" si="628"/>
        <v>Hypericum</v>
      </c>
      <c r="K1312" s="76" t="str">
        <f t="shared" si="628"/>
        <v>revolutum</v>
      </c>
      <c r="L1312" s="77">
        <f t="shared" si="628"/>
        <v>6</v>
      </c>
      <c r="M1312" s="77">
        <f t="shared" si="628"/>
        <v>1</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Dec</v>
      </c>
      <c r="C1313" s="73">
        <f t="shared" si="625"/>
        <v>3</v>
      </c>
      <c r="D1313" s="74">
        <f t="shared" si="608"/>
        <v>12</v>
      </c>
      <c r="E1313" s="75">
        <f t="shared" si="609"/>
        <v>44</v>
      </c>
      <c r="F1313" s="79"/>
      <c r="G1313" s="82"/>
      <c r="H1313" s="68" t="str">
        <f t="shared" si="626"/>
        <v>Hyprev6_20201203_12_00</v>
      </c>
      <c r="I1313" s="69">
        <f t="shared" si="628"/>
        <v>1</v>
      </c>
      <c r="J1313" s="76" t="str">
        <f t="shared" si="628"/>
        <v>Hypericum</v>
      </c>
      <c r="K1313" s="76" t="str">
        <f t="shared" si="628"/>
        <v>revolutum</v>
      </c>
      <c r="L1313" s="77">
        <f t="shared" si="628"/>
        <v>6</v>
      </c>
      <c r="M1313" s="77">
        <f t="shared" si="628"/>
        <v>1</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Dec</v>
      </c>
      <c r="C1314" s="73">
        <f t="shared" si="625"/>
        <v>3</v>
      </c>
      <c r="D1314" s="74">
        <f t="shared" si="608"/>
        <v>12</v>
      </c>
      <c r="E1314" s="75">
        <f t="shared" si="609"/>
        <v>45</v>
      </c>
      <c r="F1314" s="79"/>
      <c r="G1314" s="82"/>
      <c r="H1314" s="68" t="str">
        <f t="shared" si="626"/>
        <v>Hyprev6_20201203_12_00</v>
      </c>
      <c r="I1314" s="69">
        <f t="shared" si="628"/>
        <v>1</v>
      </c>
      <c r="J1314" s="76" t="str">
        <f t="shared" si="628"/>
        <v>Hypericum</v>
      </c>
      <c r="K1314" s="76" t="str">
        <f t="shared" si="628"/>
        <v>revolutum</v>
      </c>
      <c r="L1314" s="77">
        <f t="shared" si="628"/>
        <v>6</v>
      </c>
      <c r="M1314" s="77">
        <f t="shared" si="628"/>
        <v>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Dec</v>
      </c>
      <c r="C1315" s="73">
        <f t="shared" si="625"/>
        <v>3</v>
      </c>
      <c r="D1315" s="74">
        <f t="shared" si="608"/>
        <v>12</v>
      </c>
      <c r="E1315" s="75">
        <f t="shared" si="609"/>
        <v>46</v>
      </c>
      <c r="F1315" s="79"/>
      <c r="G1315" s="82"/>
      <c r="H1315" s="68" t="str">
        <f t="shared" si="626"/>
        <v>Hyprev6_20201203_12_00</v>
      </c>
      <c r="I1315" s="69">
        <f t="shared" si="628"/>
        <v>1</v>
      </c>
      <c r="J1315" s="76" t="str">
        <f t="shared" si="628"/>
        <v>Hypericum</v>
      </c>
      <c r="K1315" s="76" t="str">
        <f t="shared" si="628"/>
        <v>revolutum</v>
      </c>
      <c r="L1315" s="77">
        <f t="shared" si="628"/>
        <v>6</v>
      </c>
      <c r="M1315" s="77">
        <f t="shared" si="628"/>
        <v>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Dec</v>
      </c>
      <c r="C1316" s="73">
        <f t="shared" si="625"/>
        <v>3</v>
      </c>
      <c r="D1316" s="74">
        <f t="shared" si="608"/>
        <v>12</v>
      </c>
      <c r="E1316" s="75">
        <f t="shared" si="609"/>
        <v>47</v>
      </c>
      <c r="F1316" s="79"/>
      <c r="G1316" s="82"/>
      <c r="H1316" s="68" t="str">
        <f t="shared" si="626"/>
        <v>Hyprev6_20201203_12_00</v>
      </c>
      <c r="I1316" s="69">
        <f t="shared" si="628"/>
        <v>1</v>
      </c>
      <c r="J1316" s="76" t="str">
        <f t="shared" si="628"/>
        <v>Hypericum</v>
      </c>
      <c r="K1316" s="76" t="str">
        <f t="shared" si="628"/>
        <v>revolutum</v>
      </c>
      <c r="L1316" s="77">
        <f t="shared" si="628"/>
        <v>6</v>
      </c>
      <c r="M1316" s="77">
        <f t="shared" si="628"/>
        <v>1</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Dec</v>
      </c>
      <c r="C1317" s="73">
        <f t="shared" si="625"/>
        <v>3</v>
      </c>
      <c r="D1317" s="74">
        <f t="shared" si="608"/>
        <v>12</v>
      </c>
      <c r="E1317" s="75">
        <f t="shared" si="609"/>
        <v>48</v>
      </c>
      <c r="F1317" s="79"/>
      <c r="G1317" s="82"/>
      <c r="H1317" s="68" t="str">
        <f t="shared" si="626"/>
        <v>Hyprev6_20201203_12_00</v>
      </c>
      <c r="I1317" s="69">
        <f t="shared" ref="I1317:N1332" si="629">I1316</f>
        <v>1</v>
      </c>
      <c r="J1317" s="76" t="str">
        <f t="shared" si="629"/>
        <v>Hypericum</v>
      </c>
      <c r="K1317" s="76" t="str">
        <f t="shared" si="629"/>
        <v>revolutum</v>
      </c>
      <c r="L1317" s="77">
        <f t="shared" si="629"/>
        <v>6</v>
      </c>
      <c r="M1317" s="77">
        <f t="shared" si="629"/>
        <v>1</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Dec</v>
      </c>
      <c r="C1318" s="73">
        <f t="shared" si="625"/>
        <v>3</v>
      </c>
      <c r="D1318" s="74">
        <f t="shared" si="608"/>
        <v>12</v>
      </c>
      <c r="E1318" s="75">
        <f t="shared" si="609"/>
        <v>49</v>
      </c>
      <c r="F1318" s="79"/>
      <c r="G1318" s="82"/>
      <c r="H1318" s="68" t="str">
        <f t="shared" si="626"/>
        <v>Hyprev6_20201203_12_00</v>
      </c>
      <c r="I1318" s="69">
        <f t="shared" si="629"/>
        <v>1</v>
      </c>
      <c r="J1318" s="76" t="str">
        <f t="shared" si="629"/>
        <v>Hypericum</v>
      </c>
      <c r="K1318" s="76" t="str">
        <f t="shared" si="629"/>
        <v>revolutum</v>
      </c>
      <c r="L1318" s="77">
        <f t="shared" si="629"/>
        <v>6</v>
      </c>
      <c r="M1318" s="77">
        <f t="shared" si="629"/>
        <v>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Dec</v>
      </c>
      <c r="C1319" s="73">
        <f t="shared" si="625"/>
        <v>3</v>
      </c>
      <c r="D1319" s="74">
        <f t="shared" si="608"/>
        <v>12</v>
      </c>
      <c r="E1319" s="75">
        <f t="shared" si="609"/>
        <v>50</v>
      </c>
      <c r="F1319" s="79"/>
      <c r="G1319" s="82"/>
      <c r="H1319" s="68" t="str">
        <f t="shared" si="626"/>
        <v>Hyprev6_20201203_12_00</v>
      </c>
      <c r="I1319" s="69">
        <f t="shared" si="629"/>
        <v>1</v>
      </c>
      <c r="J1319" s="76" t="str">
        <f t="shared" si="629"/>
        <v>Hypericum</v>
      </c>
      <c r="K1319" s="76" t="str">
        <f t="shared" si="629"/>
        <v>revolutum</v>
      </c>
      <c r="L1319" s="77">
        <f t="shared" si="629"/>
        <v>6</v>
      </c>
      <c r="M1319" s="77">
        <f t="shared" si="629"/>
        <v>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Dec</v>
      </c>
      <c r="C1320" s="73">
        <f t="shared" si="625"/>
        <v>3</v>
      </c>
      <c r="D1320" s="74">
        <f t="shared" si="608"/>
        <v>12</v>
      </c>
      <c r="E1320" s="75">
        <f t="shared" si="609"/>
        <v>51</v>
      </c>
      <c r="F1320" s="79"/>
      <c r="G1320" s="82"/>
      <c r="H1320" s="68" t="str">
        <f t="shared" si="626"/>
        <v>Hyprev6_20201203_12_00</v>
      </c>
      <c r="I1320" s="69">
        <f t="shared" si="629"/>
        <v>1</v>
      </c>
      <c r="J1320" s="76" t="str">
        <f t="shared" si="629"/>
        <v>Hypericum</v>
      </c>
      <c r="K1320" s="76" t="str">
        <f t="shared" si="629"/>
        <v>revolutum</v>
      </c>
      <c r="L1320" s="77">
        <f t="shared" si="629"/>
        <v>6</v>
      </c>
      <c r="M1320" s="77">
        <f t="shared" si="629"/>
        <v>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Dec</v>
      </c>
      <c r="C1321" s="73">
        <f t="shared" si="625"/>
        <v>3</v>
      </c>
      <c r="D1321" s="74">
        <f t="shared" si="608"/>
        <v>12</v>
      </c>
      <c r="E1321" s="75">
        <f t="shared" si="609"/>
        <v>52</v>
      </c>
      <c r="F1321" s="79"/>
      <c r="G1321" s="82"/>
      <c r="H1321" s="68" t="str">
        <f t="shared" si="626"/>
        <v>Hyprev6_20201203_12_00</v>
      </c>
      <c r="I1321" s="69">
        <f t="shared" si="629"/>
        <v>1</v>
      </c>
      <c r="J1321" s="76" t="str">
        <f t="shared" si="629"/>
        <v>Hypericum</v>
      </c>
      <c r="K1321" s="76" t="str">
        <f t="shared" si="629"/>
        <v>revolutum</v>
      </c>
      <c r="L1321" s="77">
        <f t="shared" si="629"/>
        <v>6</v>
      </c>
      <c r="M1321" s="77">
        <f t="shared" si="629"/>
        <v>1</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Dec</v>
      </c>
      <c r="C1322" s="73">
        <f t="shared" si="625"/>
        <v>3</v>
      </c>
      <c r="D1322" s="74">
        <f t="shared" si="608"/>
        <v>12</v>
      </c>
      <c r="E1322" s="75">
        <f t="shared" si="609"/>
        <v>53</v>
      </c>
      <c r="F1322" s="79"/>
      <c r="G1322" s="82"/>
      <c r="H1322" s="68" t="str">
        <f t="shared" si="626"/>
        <v>Hyprev6_20201203_12_00</v>
      </c>
      <c r="I1322" s="69">
        <f t="shared" si="629"/>
        <v>1</v>
      </c>
      <c r="J1322" s="76" t="str">
        <f t="shared" si="629"/>
        <v>Hypericum</v>
      </c>
      <c r="K1322" s="76" t="str">
        <f t="shared" si="629"/>
        <v>revolutum</v>
      </c>
      <c r="L1322" s="77">
        <f t="shared" si="629"/>
        <v>6</v>
      </c>
      <c r="M1322" s="77">
        <f t="shared" si="629"/>
        <v>1</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Dec</v>
      </c>
      <c r="C1323" s="73">
        <f t="shared" si="625"/>
        <v>3</v>
      </c>
      <c r="D1323" s="74">
        <f t="shared" si="608"/>
        <v>12</v>
      </c>
      <c r="E1323" s="75">
        <f t="shared" si="609"/>
        <v>54</v>
      </c>
      <c r="F1323" s="79"/>
      <c r="G1323" s="82"/>
      <c r="H1323" s="68" t="str">
        <f t="shared" si="626"/>
        <v>Hyprev6_20201203_12_00</v>
      </c>
      <c r="I1323" s="69">
        <f t="shared" si="629"/>
        <v>1</v>
      </c>
      <c r="J1323" s="76" t="str">
        <f t="shared" si="629"/>
        <v>Hypericum</v>
      </c>
      <c r="K1323" s="76" t="str">
        <f t="shared" si="629"/>
        <v>revolutum</v>
      </c>
      <c r="L1323" s="77">
        <f t="shared" si="629"/>
        <v>6</v>
      </c>
      <c r="M1323" s="77">
        <f t="shared" si="629"/>
        <v>1</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Dec</v>
      </c>
      <c r="C1324" s="73">
        <f t="shared" si="625"/>
        <v>3</v>
      </c>
      <c r="D1324" s="74">
        <f t="shared" si="608"/>
        <v>12</v>
      </c>
      <c r="E1324" s="75">
        <f t="shared" si="609"/>
        <v>55</v>
      </c>
      <c r="F1324" s="79"/>
      <c r="G1324" s="82"/>
      <c r="H1324" s="68" t="str">
        <f t="shared" si="626"/>
        <v>Hyprev6_20201203_12_00</v>
      </c>
      <c r="I1324" s="69">
        <f t="shared" si="629"/>
        <v>1</v>
      </c>
      <c r="J1324" s="76" t="str">
        <f t="shared" si="629"/>
        <v>Hypericum</v>
      </c>
      <c r="K1324" s="76" t="str">
        <f t="shared" si="629"/>
        <v>revolutum</v>
      </c>
      <c r="L1324" s="77">
        <f t="shared" si="629"/>
        <v>6</v>
      </c>
      <c r="M1324" s="77">
        <f t="shared" si="629"/>
        <v>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Dec</v>
      </c>
      <c r="C1325" s="73">
        <f t="shared" si="625"/>
        <v>3</v>
      </c>
      <c r="D1325" s="74">
        <f t="shared" si="608"/>
        <v>12</v>
      </c>
      <c r="E1325" s="75">
        <f t="shared" si="609"/>
        <v>56</v>
      </c>
      <c r="F1325" s="79"/>
      <c r="G1325" s="82"/>
      <c r="H1325" s="68" t="str">
        <f t="shared" si="626"/>
        <v>Hyprev6_20201203_12_00</v>
      </c>
      <c r="I1325" s="69">
        <f t="shared" si="629"/>
        <v>1</v>
      </c>
      <c r="J1325" s="76" t="str">
        <f t="shared" si="629"/>
        <v>Hypericum</v>
      </c>
      <c r="K1325" s="76" t="str">
        <f t="shared" si="629"/>
        <v>revolutum</v>
      </c>
      <c r="L1325" s="77">
        <f t="shared" si="629"/>
        <v>6</v>
      </c>
      <c r="M1325" s="77">
        <f t="shared" si="629"/>
        <v>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Dec</v>
      </c>
      <c r="C1326" s="73">
        <f t="shared" si="625"/>
        <v>3</v>
      </c>
      <c r="D1326" s="74">
        <f t="shared" si="608"/>
        <v>12</v>
      </c>
      <c r="E1326" s="75">
        <f t="shared" si="609"/>
        <v>57</v>
      </c>
      <c r="F1326" s="79"/>
      <c r="G1326" s="82"/>
      <c r="H1326" s="68" t="str">
        <f t="shared" si="626"/>
        <v>Hyprev6_20201203_12_00</v>
      </c>
      <c r="I1326" s="69">
        <f t="shared" si="629"/>
        <v>1</v>
      </c>
      <c r="J1326" s="76" t="str">
        <f t="shared" si="629"/>
        <v>Hypericum</v>
      </c>
      <c r="K1326" s="76" t="str">
        <f t="shared" si="629"/>
        <v>revolutum</v>
      </c>
      <c r="L1326" s="77">
        <f t="shared" si="629"/>
        <v>6</v>
      </c>
      <c r="M1326" s="77">
        <f t="shared" si="629"/>
        <v>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Dec</v>
      </c>
      <c r="C1327" s="73">
        <f t="shared" si="625"/>
        <v>3</v>
      </c>
      <c r="D1327" s="74">
        <f t="shared" si="608"/>
        <v>12</v>
      </c>
      <c r="E1327" s="75">
        <f t="shared" si="609"/>
        <v>58</v>
      </c>
      <c r="F1327" s="79"/>
      <c r="G1327" s="82"/>
      <c r="H1327" s="68" t="str">
        <f t="shared" si="626"/>
        <v>Hyprev6_20201203_12_00</v>
      </c>
      <c r="I1327" s="69">
        <f t="shared" si="629"/>
        <v>1</v>
      </c>
      <c r="J1327" s="76" t="str">
        <f t="shared" si="629"/>
        <v>Hypericum</v>
      </c>
      <c r="K1327" s="76" t="str">
        <f t="shared" si="629"/>
        <v>revolutum</v>
      </c>
      <c r="L1327" s="77">
        <f t="shared" si="629"/>
        <v>6</v>
      </c>
      <c r="M1327" s="77">
        <f t="shared" si="629"/>
        <v>1</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Dec</v>
      </c>
      <c r="C1328" s="73">
        <f t="shared" si="625"/>
        <v>3</v>
      </c>
      <c r="D1328" s="74">
        <f t="shared" si="608"/>
        <v>12</v>
      </c>
      <c r="E1328" s="75">
        <f t="shared" si="609"/>
        <v>59</v>
      </c>
      <c r="F1328" s="79"/>
      <c r="G1328" s="82"/>
      <c r="H1328" s="68" t="str">
        <f t="shared" si="626"/>
        <v>Hyprev6_20201203_12_00</v>
      </c>
      <c r="I1328" s="69">
        <f t="shared" si="629"/>
        <v>1</v>
      </c>
      <c r="J1328" s="76" t="str">
        <f t="shared" si="629"/>
        <v>Hypericum</v>
      </c>
      <c r="K1328" s="76" t="str">
        <f t="shared" si="629"/>
        <v>revolutum</v>
      </c>
      <c r="L1328" s="77">
        <f t="shared" si="629"/>
        <v>6</v>
      </c>
      <c r="M1328" s="77">
        <f t="shared" si="629"/>
        <v>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Dec</v>
      </c>
      <c r="C1329" s="73">
        <f t="shared" si="625"/>
        <v>3</v>
      </c>
      <c r="D1329" s="74">
        <f t="shared" si="608"/>
        <v>13</v>
      </c>
      <c r="E1329" s="75">
        <f t="shared" si="609"/>
        <v>0</v>
      </c>
      <c r="F1329" s="79"/>
      <c r="G1329" s="82"/>
      <c r="H1329" s="68" t="str">
        <f t="shared" si="626"/>
        <v>Hyprev6_20201203_13_00</v>
      </c>
      <c r="I1329" s="69">
        <f t="shared" si="629"/>
        <v>1</v>
      </c>
      <c r="J1329" s="76" t="str">
        <f t="shared" si="629"/>
        <v>Hypericum</v>
      </c>
      <c r="K1329" s="76" t="str">
        <f t="shared" si="629"/>
        <v>revolutum</v>
      </c>
      <c r="L1329" s="77">
        <f t="shared" si="629"/>
        <v>6</v>
      </c>
      <c r="M1329" s="77">
        <f t="shared" si="629"/>
        <v>1</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Dec</v>
      </c>
      <c r="C1330" s="73">
        <f t="shared" si="625"/>
        <v>3</v>
      </c>
      <c r="D1330" s="74">
        <f t="shared" si="608"/>
        <v>13</v>
      </c>
      <c r="E1330" s="75">
        <f t="shared" si="609"/>
        <v>1</v>
      </c>
      <c r="F1330" s="79"/>
      <c r="G1330" s="82"/>
      <c r="H1330" s="68" t="str">
        <f t="shared" si="626"/>
        <v>Hyprev6_20201203_13_00</v>
      </c>
      <c r="I1330" s="69">
        <f t="shared" si="629"/>
        <v>1</v>
      </c>
      <c r="J1330" s="76" t="str">
        <f t="shared" si="629"/>
        <v>Hypericum</v>
      </c>
      <c r="K1330" s="76" t="str">
        <f t="shared" si="629"/>
        <v>revolutum</v>
      </c>
      <c r="L1330" s="77">
        <f t="shared" si="629"/>
        <v>6</v>
      </c>
      <c r="M1330" s="77">
        <f t="shared" si="629"/>
        <v>1</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Dec</v>
      </c>
      <c r="C1331" s="73">
        <f t="shared" si="625"/>
        <v>3</v>
      </c>
      <c r="D1331" s="74">
        <f t="shared" si="608"/>
        <v>13</v>
      </c>
      <c r="E1331" s="75">
        <f t="shared" si="609"/>
        <v>2</v>
      </c>
      <c r="F1331" s="79"/>
      <c r="G1331" s="82"/>
      <c r="H1331" s="68" t="str">
        <f t="shared" si="626"/>
        <v>Hyprev6_20201203_13_00</v>
      </c>
      <c r="I1331" s="69">
        <f t="shared" si="629"/>
        <v>1</v>
      </c>
      <c r="J1331" s="76" t="str">
        <f t="shared" si="629"/>
        <v>Hypericum</v>
      </c>
      <c r="K1331" s="76" t="str">
        <f t="shared" si="629"/>
        <v>revolutum</v>
      </c>
      <c r="L1331" s="77">
        <f t="shared" si="629"/>
        <v>6</v>
      </c>
      <c r="M1331" s="77">
        <f t="shared" si="629"/>
        <v>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Dec</v>
      </c>
      <c r="C1332" s="73">
        <f t="shared" si="625"/>
        <v>3</v>
      </c>
      <c r="D1332" s="74">
        <f t="shared" si="608"/>
        <v>13</v>
      </c>
      <c r="E1332" s="75">
        <f t="shared" si="609"/>
        <v>3</v>
      </c>
      <c r="F1332" s="79"/>
      <c r="G1332" s="82"/>
      <c r="H1332" s="68" t="str">
        <f t="shared" si="626"/>
        <v>Hyprev6_20201203_13_00</v>
      </c>
      <c r="I1332" s="69">
        <f t="shared" si="629"/>
        <v>1</v>
      </c>
      <c r="J1332" s="76" t="str">
        <f t="shared" si="629"/>
        <v>Hypericum</v>
      </c>
      <c r="K1332" s="76" t="str">
        <f t="shared" si="629"/>
        <v>revolutum</v>
      </c>
      <c r="L1332" s="77">
        <f t="shared" si="629"/>
        <v>6</v>
      </c>
      <c r="M1332" s="77">
        <f t="shared" si="629"/>
        <v>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Dec</v>
      </c>
      <c r="C1333" s="73">
        <f t="shared" si="625"/>
        <v>3</v>
      </c>
      <c r="D1333" s="74">
        <f t="shared" si="608"/>
        <v>13</v>
      </c>
      <c r="E1333" s="75">
        <f t="shared" si="609"/>
        <v>4</v>
      </c>
      <c r="F1333" s="79"/>
      <c r="G1333" s="82"/>
      <c r="H1333" s="68" t="str">
        <f t="shared" si="626"/>
        <v>Hyprev6_20201203_13_00</v>
      </c>
      <c r="I1333" s="69">
        <f t="shared" ref="I1333:N1348" si="630">I1332</f>
        <v>1</v>
      </c>
      <c r="J1333" s="76" t="str">
        <f t="shared" si="630"/>
        <v>Hypericum</v>
      </c>
      <c r="K1333" s="76" t="str">
        <f t="shared" si="630"/>
        <v>revolutum</v>
      </c>
      <c r="L1333" s="77">
        <f t="shared" si="630"/>
        <v>6</v>
      </c>
      <c r="M1333" s="77">
        <f t="shared" si="630"/>
        <v>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Dec</v>
      </c>
      <c r="C1334" s="73">
        <f t="shared" si="625"/>
        <v>3</v>
      </c>
      <c r="D1334" s="74">
        <f t="shared" si="608"/>
        <v>13</v>
      </c>
      <c r="E1334" s="75">
        <f t="shared" si="609"/>
        <v>5</v>
      </c>
      <c r="F1334" s="79"/>
      <c r="G1334" s="82"/>
      <c r="H1334" s="68" t="str">
        <f t="shared" si="626"/>
        <v>Hyprev6_20201203_13_00</v>
      </c>
      <c r="I1334" s="69">
        <f t="shared" si="630"/>
        <v>1</v>
      </c>
      <c r="J1334" s="76" t="str">
        <f t="shared" si="630"/>
        <v>Hypericum</v>
      </c>
      <c r="K1334" s="76" t="str">
        <f t="shared" si="630"/>
        <v>revolutum</v>
      </c>
      <c r="L1334" s="77">
        <f t="shared" si="630"/>
        <v>6</v>
      </c>
      <c r="M1334" s="77">
        <f t="shared" si="630"/>
        <v>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Dec</v>
      </c>
      <c r="C1335" s="73">
        <f t="shared" si="625"/>
        <v>3</v>
      </c>
      <c r="D1335" s="74">
        <f t="shared" si="608"/>
        <v>13</v>
      </c>
      <c r="E1335" s="75">
        <f t="shared" si="609"/>
        <v>6</v>
      </c>
      <c r="F1335" s="79"/>
      <c r="G1335" s="82"/>
      <c r="H1335" s="68" t="str">
        <f t="shared" si="626"/>
        <v>Hyprev6_20201203_13_00</v>
      </c>
      <c r="I1335" s="69">
        <f t="shared" si="630"/>
        <v>1</v>
      </c>
      <c r="J1335" s="76" t="str">
        <f t="shared" si="630"/>
        <v>Hypericum</v>
      </c>
      <c r="K1335" s="76" t="str">
        <f t="shared" si="630"/>
        <v>revolutum</v>
      </c>
      <c r="L1335" s="77">
        <f t="shared" si="630"/>
        <v>6</v>
      </c>
      <c r="M1335" s="77">
        <f t="shared" si="630"/>
        <v>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Dec</v>
      </c>
      <c r="C1336" s="73">
        <f t="shared" si="625"/>
        <v>3</v>
      </c>
      <c r="D1336" s="74">
        <f t="shared" si="608"/>
        <v>13</v>
      </c>
      <c r="E1336" s="75">
        <f t="shared" si="609"/>
        <v>7</v>
      </c>
      <c r="F1336" s="79"/>
      <c r="G1336" s="82"/>
      <c r="H1336" s="68" t="str">
        <f t="shared" si="626"/>
        <v>Hyprev6_20201203_13_00</v>
      </c>
      <c r="I1336" s="69">
        <f t="shared" si="630"/>
        <v>1</v>
      </c>
      <c r="J1336" s="76" t="str">
        <f t="shared" si="630"/>
        <v>Hypericum</v>
      </c>
      <c r="K1336" s="76" t="str">
        <f t="shared" si="630"/>
        <v>revolutum</v>
      </c>
      <c r="L1336" s="77">
        <f t="shared" si="630"/>
        <v>6</v>
      </c>
      <c r="M1336" s="77">
        <f t="shared" si="630"/>
        <v>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Dec</v>
      </c>
      <c r="C1337" s="73">
        <f t="shared" si="625"/>
        <v>3</v>
      </c>
      <c r="D1337" s="74">
        <f t="shared" si="608"/>
        <v>13</v>
      </c>
      <c r="E1337" s="75">
        <f t="shared" si="609"/>
        <v>8</v>
      </c>
      <c r="F1337" s="79"/>
      <c r="G1337" s="82"/>
      <c r="H1337" s="68" t="str">
        <f t="shared" si="626"/>
        <v>Hyprev6_20201203_13_00</v>
      </c>
      <c r="I1337" s="69">
        <f t="shared" si="630"/>
        <v>1</v>
      </c>
      <c r="J1337" s="76" t="str">
        <f t="shared" si="630"/>
        <v>Hypericum</v>
      </c>
      <c r="K1337" s="76" t="str">
        <f t="shared" si="630"/>
        <v>revolutum</v>
      </c>
      <c r="L1337" s="77">
        <f t="shared" si="630"/>
        <v>6</v>
      </c>
      <c r="M1337" s="77">
        <f t="shared" si="630"/>
        <v>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Dec</v>
      </c>
      <c r="C1338" s="73">
        <f t="shared" si="625"/>
        <v>3</v>
      </c>
      <c r="D1338" s="74">
        <f t="shared" si="608"/>
        <v>13</v>
      </c>
      <c r="E1338" s="75">
        <f t="shared" si="609"/>
        <v>9</v>
      </c>
      <c r="F1338" s="79"/>
      <c r="G1338" s="82"/>
      <c r="H1338" s="68" t="str">
        <f t="shared" si="626"/>
        <v>Hyprev6_20201203_13_00</v>
      </c>
      <c r="I1338" s="69">
        <f t="shared" si="630"/>
        <v>1</v>
      </c>
      <c r="J1338" s="76" t="str">
        <f t="shared" si="630"/>
        <v>Hypericum</v>
      </c>
      <c r="K1338" s="76" t="str">
        <f t="shared" si="630"/>
        <v>revolutum</v>
      </c>
      <c r="L1338" s="77">
        <f t="shared" si="630"/>
        <v>6</v>
      </c>
      <c r="M1338" s="77">
        <f t="shared" si="630"/>
        <v>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Dec</v>
      </c>
      <c r="C1339" s="73">
        <f t="shared" si="625"/>
        <v>3</v>
      </c>
      <c r="D1339" s="74">
        <f t="shared" si="608"/>
        <v>13</v>
      </c>
      <c r="E1339" s="75">
        <f t="shared" si="609"/>
        <v>10</v>
      </c>
      <c r="F1339" s="79"/>
      <c r="G1339" s="82"/>
      <c r="H1339" s="68" t="str">
        <f t="shared" si="626"/>
        <v>Hyprev6_20201203_13_00</v>
      </c>
      <c r="I1339" s="69">
        <f t="shared" si="630"/>
        <v>1</v>
      </c>
      <c r="J1339" s="76" t="str">
        <f t="shared" si="630"/>
        <v>Hypericum</v>
      </c>
      <c r="K1339" s="76" t="str">
        <f t="shared" si="630"/>
        <v>revolutum</v>
      </c>
      <c r="L1339" s="77">
        <f t="shared" si="630"/>
        <v>6</v>
      </c>
      <c r="M1339" s="77">
        <f t="shared" si="630"/>
        <v>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Dec</v>
      </c>
      <c r="C1340" s="73">
        <f t="shared" si="625"/>
        <v>3</v>
      </c>
      <c r="D1340" s="74">
        <f t="shared" si="608"/>
        <v>13</v>
      </c>
      <c r="E1340" s="75">
        <f t="shared" si="609"/>
        <v>11</v>
      </c>
      <c r="F1340" s="79"/>
      <c r="G1340" s="82"/>
      <c r="H1340" s="68" t="str">
        <f t="shared" si="626"/>
        <v>Hyprev6_20201203_13_00</v>
      </c>
      <c r="I1340" s="69">
        <f t="shared" si="630"/>
        <v>1</v>
      </c>
      <c r="J1340" s="76" t="str">
        <f t="shared" si="630"/>
        <v>Hypericum</v>
      </c>
      <c r="K1340" s="76" t="str">
        <f t="shared" si="630"/>
        <v>revolutum</v>
      </c>
      <c r="L1340" s="77">
        <f t="shared" si="630"/>
        <v>6</v>
      </c>
      <c r="M1340" s="77">
        <f t="shared" si="630"/>
        <v>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Dec</v>
      </c>
      <c r="C1341" s="73">
        <f t="shared" si="625"/>
        <v>3</v>
      </c>
      <c r="D1341" s="74">
        <f t="shared" si="608"/>
        <v>13</v>
      </c>
      <c r="E1341" s="75">
        <f t="shared" si="609"/>
        <v>12</v>
      </c>
      <c r="F1341" s="79"/>
      <c r="G1341" s="82"/>
      <c r="H1341" s="68" t="str">
        <f t="shared" si="626"/>
        <v>Hyprev6_20201203_13_00</v>
      </c>
      <c r="I1341" s="69">
        <f t="shared" si="630"/>
        <v>1</v>
      </c>
      <c r="J1341" s="76" t="str">
        <f t="shared" si="630"/>
        <v>Hypericum</v>
      </c>
      <c r="K1341" s="76" t="str">
        <f t="shared" si="630"/>
        <v>revolutum</v>
      </c>
      <c r="L1341" s="77">
        <f t="shared" si="630"/>
        <v>6</v>
      </c>
      <c r="M1341" s="77">
        <f t="shared" si="630"/>
        <v>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Dec</v>
      </c>
      <c r="C1342" s="73">
        <f t="shared" si="625"/>
        <v>3</v>
      </c>
      <c r="D1342" s="74">
        <f t="shared" si="608"/>
        <v>13</v>
      </c>
      <c r="E1342" s="75">
        <f t="shared" si="609"/>
        <v>13</v>
      </c>
      <c r="F1342" s="79"/>
      <c r="G1342" s="82"/>
      <c r="H1342" s="68" t="str">
        <f t="shared" si="626"/>
        <v>Hyprev6_20201203_13_00</v>
      </c>
      <c r="I1342" s="69">
        <f t="shared" si="630"/>
        <v>1</v>
      </c>
      <c r="J1342" s="76" t="str">
        <f t="shared" si="630"/>
        <v>Hypericum</v>
      </c>
      <c r="K1342" s="76" t="str">
        <f t="shared" si="630"/>
        <v>revolutum</v>
      </c>
      <c r="L1342" s="77">
        <f t="shared" si="630"/>
        <v>6</v>
      </c>
      <c r="M1342" s="77">
        <f t="shared" si="630"/>
        <v>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Dec</v>
      </c>
      <c r="C1343" s="73">
        <f t="shared" si="625"/>
        <v>3</v>
      </c>
      <c r="D1343" s="74">
        <f t="shared" si="608"/>
        <v>13</v>
      </c>
      <c r="E1343" s="75">
        <f t="shared" si="609"/>
        <v>14</v>
      </c>
      <c r="F1343" s="79"/>
      <c r="G1343" s="82"/>
      <c r="H1343" s="68" t="str">
        <f t="shared" si="626"/>
        <v>Hyprev6_20201203_13_00</v>
      </c>
      <c r="I1343" s="69">
        <f t="shared" si="630"/>
        <v>1</v>
      </c>
      <c r="J1343" s="76" t="str">
        <f t="shared" si="630"/>
        <v>Hypericum</v>
      </c>
      <c r="K1343" s="76" t="str">
        <f t="shared" si="630"/>
        <v>revolutum</v>
      </c>
      <c r="L1343" s="77">
        <f t="shared" si="630"/>
        <v>6</v>
      </c>
      <c r="M1343" s="77">
        <f t="shared" si="630"/>
        <v>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Dec</v>
      </c>
      <c r="C1344" s="73">
        <f t="shared" si="625"/>
        <v>3</v>
      </c>
      <c r="D1344" s="74">
        <f t="shared" si="608"/>
        <v>13</v>
      </c>
      <c r="E1344" s="75">
        <f t="shared" si="609"/>
        <v>15</v>
      </c>
      <c r="F1344" s="79"/>
      <c r="G1344" s="82"/>
      <c r="H1344" s="68" t="str">
        <f t="shared" si="626"/>
        <v>Hyprev6_20201203_13_00</v>
      </c>
      <c r="I1344" s="69">
        <f t="shared" si="630"/>
        <v>1</v>
      </c>
      <c r="J1344" s="76" t="str">
        <f t="shared" si="630"/>
        <v>Hypericum</v>
      </c>
      <c r="K1344" s="76" t="str">
        <f t="shared" si="630"/>
        <v>revolutum</v>
      </c>
      <c r="L1344" s="77">
        <f t="shared" si="630"/>
        <v>6</v>
      </c>
      <c r="M1344" s="77">
        <f t="shared" si="630"/>
        <v>1</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Dec</v>
      </c>
      <c r="C1345" s="73">
        <f t="shared" si="625"/>
        <v>3</v>
      </c>
      <c r="D1345" s="74">
        <f t="shared" si="608"/>
        <v>13</v>
      </c>
      <c r="E1345" s="75">
        <f t="shared" si="609"/>
        <v>16</v>
      </c>
      <c r="F1345" s="79"/>
      <c r="G1345" s="82"/>
      <c r="H1345" s="68" t="str">
        <f t="shared" si="626"/>
        <v>Hyprev6_20201203_13_00</v>
      </c>
      <c r="I1345" s="69">
        <f t="shared" si="630"/>
        <v>1</v>
      </c>
      <c r="J1345" s="76" t="str">
        <f t="shared" si="630"/>
        <v>Hypericum</v>
      </c>
      <c r="K1345" s="76" t="str">
        <f t="shared" si="630"/>
        <v>revolutum</v>
      </c>
      <c r="L1345" s="77">
        <f t="shared" si="630"/>
        <v>6</v>
      </c>
      <c r="M1345" s="77">
        <f t="shared" si="630"/>
        <v>1</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Dec</v>
      </c>
      <c r="C1346" s="73">
        <f t="shared" si="625"/>
        <v>3</v>
      </c>
      <c r="D1346" s="74">
        <f t="shared" si="608"/>
        <v>13</v>
      </c>
      <c r="E1346" s="75">
        <f t="shared" si="609"/>
        <v>17</v>
      </c>
      <c r="F1346" s="79"/>
      <c r="G1346" s="82"/>
      <c r="H1346" s="68" t="str">
        <f t="shared" si="626"/>
        <v>Hyprev6_20201203_13_00</v>
      </c>
      <c r="I1346" s="69">
        <f t="shared" si="630"/>
        <v>1</v>
      </c>
      <c r="J1346" s="76" t="str">
        <f t="shared" si="630"/>
        <v>Hypericum</v>
      </c>
      <c r="K1346" s="76" t="str">
        <f t="shared" si="630"/>
        <v>revolutum</v>
      </c>
      <c r="L1346" s="77">
        <f t="shared" si="630"/>
        <v>6</v>
      </c>
      <c r="M1346" s="77">
        <f t="shared" si="630"/>
        <v>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Dec</v>
      </c>
      <c r="C1347" s="73">
        <f t="shared" si="625"/>
        <v>3</v>
      </c>
      <c r="D1347" s="74">
        <f t="shared" si="608"/>
        <v>13</v>
      </c>
      <c r="E1347" s="75">
        <f t="shared" si="609"/>
        <v>18</v>
      </c>
      <c r="F1347" s="79"/>
      <c r="G1347" s="82"/>
      <c r="H1347" s="68" t="str">
        <f t="shared" si="626"/>
        <v>Hyprev6_20201203_13_00</v>
      </c>
      <c r="I1347" s="69">
        <f t="shared" si="630"/>
        <v>1</v>
      </c>
      <c r="J1347" s="76" t="str">
        <f t="shared" si="630"/>
        <v>Hypericum</v>
      </c>
      <c r="K1347" s="76" t="str">
        <f t="shared" si="630"/>
        <v>revolutum</v>
      </c>
      <c r="L1347" s="77">
        <f t="shared" si="630"/>
        <v>6</v>
      </c>
      <c r="M1347" s="77">
        <f t="shared" si="630"/>
        <v>1</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Dec</v>
      </c>
      <c r="C1348" s="73">
        <f t="shared" si="625"/>
        <v>3</v>
      </c>
      <c r="D1348" s="74">
        <f t="shared" ref="D1348:D1411" si="638">IF(IF(E1347=59,D1347+1,D1347)=24,0,IF(E1347=59,D1347+1,D1347))</f>
        <v>13</v>
      </c>
      <c r="E1348" s="75">
        <f t="shared" ref="E1348:E1411" si="639">IF(E1347&lt;59,E1347+1,0)</f>
        <v>19</v>
      </c>
      <c r="F1348" s="79"/>
      <c r="G1348" s="82"/>
      <c r="H1348" s="68" t="str">
        <f t="shared" si="626"/>
        <v>Hyprev6_20201203_13_00</v>
      </c>
      <c r="I1348" s="69">
        <f t="shared" si="630"/>
        <v>1</v>
      </c>
      <c r="J1348" s="76" t="str">
        <f t="shared" si="630"/>
        <v>Hypericum</v>
      </c>
      <c r="K1348" s="76" t="str">
        <f t="shared" si="630"/>
        <v>revolutum</v>
      </c>
      <c r="L1348" s="77">
        <f t="shared" si="630"/>
        <v>6</v>
      </c>
      <c r="M1348" s="77">
        <f t="shared" si="630"/>
        <v>1</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Dec</v>
      </c>
      <c r="C1349" s="73">
        <f t="shared" ref="C1349:C1412" si="655">IF(AND(D1349=0, E1349=0), IF(TEXT(C1348,"dd")=TEXT(EOMONTH(DATE(A1348,MONTH(DATEVALUE(B1348&amp;"1")),C1348),0), "dd"), 1, C1348+1), C1348)</f>
        <v>3</v>
      </c>
      <c r="D1349" s="74">
        <f t="shared" si="638"/>
        <v>13</v>
      </c>
      <c r="E1349" s="75">
        <f t="shared" si="639"/>
        <v>20</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Hyprev6_20201203_13_00</v>
      </c>
      <c r="I1349" s="69">
        <f t="shared" ref="I1349:N1364" si="657">I1348</f>
        <v>1</v>
      </c>
      <c r="J1349" s="76" t="str">
        <f t="shared" si="657"/>
        <v>Hypericum</v>
      </c>
      <c r="K1349" s="76" t="str">
        <f t="shared" si="657"/>
        <v>revolutum</v>
      </c>
      <c r="L1349" s="77">
        <f t="shared" si="657"/>
        <v>6</v>
      </c>
      <c r="M1349" s="77">
        <f t="shared" si="657"/>
        <v>1</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Dec</v>
      </c>
      <c r="C1350" s="73">
        <f t="shared" si="655"/>
        <v>3</v>
      </c>
      <c r="D1350" s="74">
        <f t="shared" si="638"/>
        <v>13</v>
      </c>
      <c r="E1350" s="75">
        <f t="shared" si="639"/>
        <v>21</v>
      </c>
      <c r="F1350" s="79"/>
      <c r="G1350" s="82"/>
      <c r="H1350" s="68" t="str">
        <f t="shared" si="656"/>
        <v>Hyprev6_20201203_13_00</v>
      </c>
      <c r="I1350" s="69">
        <f t="shared" si="657"/>
        <v>1</v>
      </c>
      <c r="J1350" s="76" t="str">
        <f t="shared" si="657"/>
        <v>Hypericum</v>
      </c>
      <c r="K1350" s="76" t="str">
        <f t="shared" si="657"/>
        <v>revolutum</v>
      </c>
      <c r="L1350" s="77">
        <f t="shared" si="657"/>
        <v>6</v>
      </c>
      <c r="M1350" s="77">
        <f t="shared" si="657"/>
        <v>1</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Dec</v>
      </c>
      <c r="C1351" s="73">
        <f t="shared" si="655"/>
        <v>3</v>
      </c>
      <c r="D1351" s="74">
        <f t="shared" si="638"/>
        <v>13</v>
      </c>
      <c r="E1351" s="75">
        <f t="shared" si="639"/>
        <v>22</v>
      </c>
      <c r="F1351" s="79"/>
      <c r="G1351" s="82"/>
      <c r="H1351" s="68" t="str">
        <f t="shared" si="656"/>
        <v>Hyprev6_20201203_13_00</v>
      </c>
      <c r="I1351" s="69">
        <f t="shared" si="657"/>
        <v>1</v>
      </c>
      <c r="J1351" s="76" t="str">
        <f t="shared" si="657"/>
        <v>Hypericum</v>
      </c>
      <c r="K1351" s="76" t="str">
        <f t="shared" si="657"/>
        <v>revolutum</v>
      </c>
      <c r="L1351" s="77">
        <f t="shared" si="657"/>
        <v>6</v>
      </c>
      <c r="M1351" s="77">
        <f t="shared" si="657"/>
        <v>1</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Dec</v>
      </c>
      <c r="C1352" s="73">
        <f t="shared" si="655"/>
        <v>3</v>
      </c>
      <c r="D1352" s="74">
        <f t="shared" si="638"/>
        <v>13</v>
      </c>
      <c r="E1352" s="75">
        <f t="shared" si="639"/>
        <v>23</v>
      </c>
      <c r="F1352" s="79"/>
      <c r="G1352" s="82"/>
      <c r="H1352" s="68" t="str">
        <f t="shared" si="656"/>
        <v>Hyprev6_20201203_13_00</v>
      </c>
      <c r="I1352" s="69">
        <f t="shared" si="657"/>
        <v>1</v>
      </c>
      <c r="J1352" s="76" t="str">
        <f t="shared" si="657"/>
        <v>Hypericum</v>
      </c>
      <c r="K1352" s="76" t="str">
        <f t="shared" si="657"/>
        <v>revolutum</v>
      </c>
      <c r="L1352" s="77">
        <f t="shared" si="657"/>
        <v>6</v>
      </c>
      <c r="M1352" s="77">
        <f t="shared" si="657"/>
        <v>1</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Dec</v>
      </c>
      <c r="C1353" s="73">
        <f t="shared" si="655"/>
        <v>3</v>
      </c>
      <c r="D1353" s="74">
        <f t="shared" si="638"/>
        <v>13</v>
      </c>
      <c r="E1353" s="75">
        <f t="shared" si="639"/>
        <v>24</v>
      </c>
      <c r="F1353" s="79"/>
      <c r="G1353" s="82"/>
      <c r="H1353" s="68" t="str">
        <f t="shared" si="656"/>
        <v>Hyprev6_20201203_13_00</v>
      </c>
      <c r="I1353" s="69">
        <f t="shared" si="657"/>
        <v>1</v>
      </c>
      <c r="J1353" s="76" t="str">
        <f t="shared" si="657"/>
        <v>Hypericum</v>
      </c>
      <c r="K1353" s="76" t="str">
        <f t="shared" si="657"/>
        <v>revolutum</v>
      </c>
      <c r="L1353" s="77">
        <f t="shared" si="657"/>
        <v>6</v>
      </c>
      <c r="M1353" s="77">
        <f t="shared" si="657"/>
        <v>1</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Dec</v>
      </c>
      <c r="C1354" s="73">
        <f t="shared" si="655"/>
        <v>3</v>
      </c>
      <c r="D1354" s="74">
        <f t="shared" si="638"/>
        <v>13</v>
      </c>
      <c r="E1354" s="75">
        <f t="shared" si="639"/>
        <v>25</v>
      </c>
      <c r="F1354" s="79"/>
      <c r="G1354" s="82"/>
      <c r="H1354" s="68" t="str">
        <f t="shared" si="656"/>
        <v>Hyprev6_20201203_13_00</v>
      </c>
      <c r="I1354" s="69">
        <f t="shared" si="657"/>
        <v>1</v>
      </c>
      <c r="J1354" s="76" t="str">
        <f t="shared" si="657"/>
        <v>Hypericum</v>
      </c>
      <c r="K1354" s="76" t="str">
        <f t="shared" si="657"/>
        <v>revolutum</v>
      </c>
      <c r="L1354" s="77">
        <f t="shared" si="657"/>
        <v>6</v>
      </c>
      <c r="M1354" s="77">
        <f t="shared" si="657"/>
        <v>1</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Dec</v>
      </c>
      <c r="C1355" s="73">
        <f t="shared" si="655"/>
        <v>3</v>
      </c>
      <c r="D1355" s="74">
        <f t="shared" si="638"/>
        <v>13</v>
      </c>
      <c r="E1355" s="75">
        <f t="shared" si="639"/>
        <v>26</v>
      </c>
      <c r="F1355" s="79"/>
      <c r="G1355" s="82"/>
      <c r="H1355" s="68" t="str">
        <f t="shared" si="656"/>
        <v>Hyprev6_20201203_13_00</v>
      </c>
      <c r="I1355" s="69">
        <f t="shared" si="657"/>
        <v>1</v>
      </c>
      <c r="J1355" s="76" t="str">
        <f t="shared" si="657"/>
        <v>Hypericum</v>
      </c>
      <c r="K1355" s="76" t="str">
        <f t="shared" si="657"/>
        <v>revolutum</v>
      </c>
      <c r="L1355" s="77">
        <f t="shared" si="657"/>
        <v>6</v>
      </c>
      <c r="M1355" s="77">
        <f t="shared" si="657"/>
        <v>1</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Dec</v>
      </c>
      <c r="C1356" s="73">
        <f t="shared" si="655"/>
        <v>3</v>
      </c>
      <c r="D1356" s="74">
        <f t="shared" si="638"/>
        <v>13</v>
      </c>
      <c r="E1356" s="75">
        <f t="shared" si="639"/>
        <v>27</v>
      </c>
      <c r="F1356" s="79"/>
      <c r="G1356" s="82"/>
      <c r="H1356" s="68" t="str">
        <f t="shared" si="656"/>
        <v>Hyprev6_20201203_13_00</v>
      </c>
      <c r="I1356" s="69">
        <f t="shared" si="657"/>
        <v>1</v>
      </c>
      <c r="J1356" s="76" t="str">
        <f t="shared" si="657"/>
        <v>Hypericum</v>
      </c>
      <c r="K1356" s="76" t="str">
        <f t="shared" si="657"/>
        <v>revolutum</v>
      </c>
      <c r="L1356" s="77">
        <f t="shared" si="657"/>
        <v>6</v>
      </c>
      <c r="M1356" s="77">
        <f t="shared" si="657"/>
        <v>1</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Dec</v>
      </c>
      <c r="C1357" s="73">
        <f t="shared" si="655"/>
        <v>3</v>
      </c>
      <c r="D1357" s="74">
        <f t="shared" si="638"/>
        <v>13</v>
      </c>
      <c r="E1357" s="75">
        <f t="shared" si="639"/>
        <v>28</v>
      </c>
      <c r="F1357" s="79"/>
      <c r="G1357" s="82"/>
      <c r="H1357" s="68" t="str">
        <f t="shared" si="656"/>
        <v>Hyprev6_20201203_13_00</v>
      </c>
      <c r="I1357" s="69">
        <f t="shared" si="657"/>
        <v>1</v>
      </c>
      <c r="J1357" s="76" t="str">
        <f t="shared" si="657"/>
        <v>Hypericum</v>
      </c>
      <c r="K1357" s="76" t="str">
        <f t="shared" si="657"/>
        <v>revolutum</v>
      </c>
      <c r="L1357" s="77">
        <f t="shared" si="657"/>
        <v>6</v>
      </c>
      <c r="M1357" s="77">
        <f t="shared" si="657"/>
        <v>1</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Dec</v>
      </c>
      <c r="C1358" s="73">
        <f t="shared" si="655"/>
        <v>3</v>
      </c>
      <c r="D1358" s="74">
        <f t="shared" si="638"/>
        <v>13</v>
      </c>
      <c r="E1358" s="75">
        <f t="shared" si="639"/>
        <v>29</v>
      </c>
      <c r="F1358" s="79"/>
      <c r="G1358" s="82"/>
      <c r="H1358" s="68" t="str">
        <f t="shared" si="656"/>
        <v>Hyprev6_20201203_13_00</v>
      </c>
      <c r="I1358" s="69">
        <f t="shared" si="657"/>
        <v>1</v>
      </c>
      <c r="J1358" s="76" t="str">
        <f t="shared" si="657"/>
        <v>Hypericum</v>
      </c>
      <c r="K1358" s="76" t="str">
        <f t="shared" si="657"/>
        <v>revolutum</v>
      </c>
      <c r="L1358" s="77">
        <f t="shared" si="657"/>
        <v>6</v>
      </c>
      <c r="M1358" s="77">
        <f t="shared" si="657"/>
        <v>1</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Dec</v>
      </c>
      <c r="C1359" s="73">
        <f t="shared" si="655"/>
        <v>3</v>
      </c>
      <c r="D1359" s="74">
        <f t="shared" si="638"/>
        <v>13</v>
      </c>
      <c r="E1359" s="75">
        <f t="shared" si="639"/>
        <v>30</v>
      </c>
      <c r="F1359" s="79"/>
      <c r="G1359" s="82"/>
      <c r="H1359" s="68" t="str">
        <f t="shared" si="656"/>
        <v>Hyprev6_20201203_13_00</v>
      </c>
      <c r="I1359" s="69">
        <f t="shared" si="657"/>
        <v>1</v>
      </c>
      <c r="J1359" s="76" t="str">
        <f t="shared" si="657"/>
        <v>Hypericum</v>
      </c>
      <c r="K1359" s="76" t="str">
        <f t="shared" si="657"/>
        <v>revolutum</v>
      </c>
      <c r="L1359" s="77">
        <f t="shared" si="657"/>
        <v>6</v>
      </c>
      <c r="M1359" s="77">
        <f t="shared" si="657"/>
        <v>1</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Dec</v>
      </c>
      <c r="C1360" s="73">
        <f t="shared" si="655"/>
        <v>3</v>
      </c>
      <c r="D1360" s="74">
        <f t="shared" si="638"/>
        <v>13</v>
      </c>
      <c r="E1360" s="75">
        <f t="shared" si="639"/>
        <v>31</v>
      </c>
      <c r="F1360" s="79"/>
      <c r="G1360" s="82"/>
      <c r="H1360" s="68" t="str">
        <f t="shared" si="656"/>
        <v>Hyprev6_20201203_13_00</v>
      </c>
      <c r="I1360" s="69">
        <f t="shared" si="657"/>
        <v>1</v>
      </c>
      <c r="J1360" s="76" t="str">
        <f t="shared" si="657"/>
        <v>Hypericum</v>
      </c>
      <c r="K1360" s="76" t="str">
        <f t="shared" si="657"/>
        <v>revolutum</v>
      </c>
      <c r="L1360" s="77">
        <f t="shared" si="657"/>
        <v>6</v>
      </c>
      <c r="M1360" s="77">
        <f t="shared" si="657"/>
        <v>1</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Dec</v>
      </c>
      <c r="C1361" s="73">
        <f t="shared" si="655"/>
        <v>3</v>
      </c>
      <c r="D1361" s="74">
        <f t="shared" si="638"/>
        <v>13</v>
      </c>
      <c r="E1361" s="75">
        <f t="shared" si="639"/>
        <v>32</v>
      </c>
      <c r="F1361" s="79"/>
      <c r="G1361" s="82"/>
      <c r="H1361" s="68" t="str">
        <f t="shared" si="656"/>
        <v>Hyprev6_20201203_13_00</v>
      </c>
      <c r="I1361" s="69">
        <f t="shared" si="657"/>
        <v>1</v>
      </c>
      <c r="J1361" s="76" t="str">
        <f t="shared" si="657"/>
        <v>Hypericum</v>
      </c>
      <c r="K1361" s="76" t="str">
        <f t="shared" si="657"/>
        <v>revolutum</v>
      </c>
      <c r="L1361" s="77">
        <f t="shared" si="657"/>
        <v>6</v>
      </c>
      <c r="M1361" s="77">
        <f t="shared" si="657"/>
        <v>1</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Dec</v>
      </c>
      <c r="C1362" s="73">
        <f t="shared" si="655"/>
        <v>3</v>
      </c>
      <c r="D1362" s="74">
        <f t="shared" si="638"/>
        <v>13</v>
      </c>
      <c r="E1362" s="75">
        <f t="shared" si="639"/>
        <v>33</v>
      </c>
      <c r="F1362" s="79"/>
      <c r="G1362" s="82"/>
      <c r="H1362" s="68" t="str">
        <f t="shared" si="656"/>
        <v>Hyprev6_20201203_13_00</v>
      </c>
      <c r="I1362" s="69">
        <f t="shared" si="657"/>
        <v>1</v>
      </c>
      <c r="J1362" s="76" t="str">
        <f t="shared" si="657"/>
        <v>Hypericum</v>
      </c>
      <c r="K1362" s="76" t="str">
        <f t="shared" si="657"/>
        <v>revolutum</v>
      </c>
      <c r="L1362" s="77">
        <f t="shared" si="657"/>
        <v>6</v>
      </c>
      <c r="M1362" s="77">
        <f t="shared" si="657"/>
        <v>1</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Dec</v>
      </c>
      <c r="C1363" s="73">
        <f t="shared" si="655"/>
        <v>3</v>
      </c>
      <c r="D1363" s="74">
        <f t="shared" si="638"/>
        <v>13</v>
      </c>
      <c r="E1363" s="75">
        <f t="shared" si="639"/>
        <v>34</v>
      </c>
      <c r="F1363" s="79"/>
      <c r="G1363" s="82"/>
      <c r="H1363" s="68" t="str">
        <f t="shared" si="656"/>
        <v>Hyprev6_20201203_13_00</v>
      </c>
      <c r="I1363" s="69">
        <f t="shared" si="657"/>
        <v>1</v>
      </c>
      <c r="J1363" s="76" t="str">
        <f t="shared" si="657"/>
        <v>Hypericum</v>
      </c>
      <c r="K1363" s="76" t="str">
        <f t="shared" si="657"/>
        <v>revolutum</v>
      </c>
      <c r="L1363" s="77">
        <f t="shared" si="657"/>
        <v>6</v>
      </c>
      <c r="M1363" s="77">
        <f t="shared" si="657"/>
        <v>1</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Dec</v>
      </c>
      <c r="C1364" s="73">
        <f t="shared" si="655"/>
        <v>3</v>
      </c>
      <c r="D1364" s="74">
        <f t="shared" si="638"/>
        <v>13</v>
      </c>
      <c r="E1364" s="75">
        <f t="shared" si="639"/>
        <v>35</v>
      </c>
      <c r="F1364" s="79"/>
      <c r="G1364" s="82"/>
      <c r="H1364" s="68" t="str">
        <f t="shared" si="656"/>
        <v>Hyprev6_20201203_13_00</v>
      </c>
      <c r="I1364" s="69">
        <f t="shared" si="657"/>
        <v>1</v>
      </c>
      <c r="J1364" s="76" t="str">
        <f t="shared" si="657"/>
        <v>Hypericum</v>
      </c>
      <c r="K1364" s="76" t="str">
        <f t="shared" si="657"/>
        <v>revolutum</v>
      </c>
      <c r="L1364" s="77">
        <f t="shared" si="657"/>
        <v>6</v>
      </c>
      <c r="M1364" s="77">
        <f t="shared" si="657"/>
        <v>1</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Dec</v>
      </c>
      <c r="C1365" s="73">
        <f t="shared" si="655"/>
        <v>3</v>
      </c>
      <c r="D1365" s="74">
        <f t="shared" si="638"/>
        <v>13</v>
      </c>
      <c r="E1365" s="75">
        <f t="shared" si="639"/>
        <v>36</v>
      </c>
      <c r="F1365" s="79"/>
      <c r="G1365" s="82"/>
      <c r="H1365" s="68" t="str">
        <f t="shared" si="656"/>
        <v>Hyprev6_20201203_13_00</v>
      </c>
      <c r="I1365" s="69">
        <f t="shared" ref="I1365:N1380" si="658">I1364</f>
        <v>1</v>
      </c>
      <c r="J1365" s="76" t="str">
        <f t="shared" si="658"/>
        <v>Hypericum</v>
      </c>
      <c r="K1365" s="76" t="str">
        <f t="shared" si="658"/>
        <v>revolutum</v>
      </c>
      <c r="L1365" s="77">
        <f t="shared" si="658"/>
        <v>6</v>
      </c>
      <c r="M1365" s="77">
        <f t="shared" si="658"/>
        <v>1</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Dec</v>
      </c>
      <c r="C1366" s="73">
        <f t="shared" si="655"/>
        <v>3</v>
      </c>
      <c r="D1366" s="74">
        <f t="shared" si="638"/>
        <v>13</v>
      </c>
      <c r="E1366" s="75">
        <f t="shared" si="639"/>
        <v>37</v>
      </c>
      <c r="F1366" s="79"/>
      <c r="G1366" s="82"/>
      <c r="H1366" s="68" t="str">
        <f t="shared" si="656"/>
        <v>Hyprev6_20201203_13_00</v>
      </c>
      <c r="I1366" s="69">
        <f t="shared" si="658"/>
        <v>1</v>
      </c>
      <c r="J1366" s="76" t="str">
        <f t="shared" si="658"/>
        <v>Hypericum</v>
      </c>
      <c r="K1366" s="76" t="str">
        <f t="shared" si="658"/>
        <v>revolutum</v>
      </c>
      <c r="L1366" s="77">
        <f t="shared" si="658"/>
        <v>6</v>
      </c>
      <c r="M1366" s="77">
        <f t="shared" si="658"/>
        <v>1</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Dec</v>
      </c>
      <c r="C1367" s="73">
        <f t="shared" si="655"/>
        <v>3</v>
      </c>
      <c r="D1367" s="74">
        <f t="shared" si="638"/>
        <v>13</v>
      </c>
      <c r="E1367" s="75">
        <f t="shared" si="639"/>
        <v>38</v>
      </c>
      <c r="F1367" s="79"/>
      <c r="G1367" s="82"/>
      <c r="H1367" s="68" t="str">
        <f t="shared" si="656"/>
        <v>Hyprev6_20201203_13_00</v>
      </c>
      <c r="I1367" s="69">
        <f t="shared" si="658"/>
        <v>1</v>
      </c>
      <c r="J1367" s="76" t="str">
        <f t="shared" si="658"/>
        <v>Hypericum</v>
      </c>
      <c r="K1367" s="76" t="str">
        <f t="shared" si="658"/>
        <v>revolutum</v>
      </c>
      <c r="L1367" s="77">
        <f t="shared" si="658"/>
        <v>6</v>
      </c>
      <c r="M1367" s="77">
        <f t="shared" si="658"/>
        <v>1</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Dec</v>
      </c>
      <c r="C1368" s="73">
        <f t="shared" si="655"/>
        <v>3</v>
      </c>
      <c r="D1368" s="74">
        <f t="shared" si="638"/>
        <v>13</v>
      </c>
      <c r="E1368" s="75">
        <f t="shared" si="639"/>
        <v>39</v>
      </c>
      <c r="F1368" s="79"/>
      <c r="G1368" s="82"/>
      <c r="H1368" s="68" t="str">
        <f t="shared" si="656"/>
        <v>Hyprev6_20201203_13_00</v>
      </c>
      <c r="I1368" s="69">
        <f t="shared" si="658"/>
        <v>1</v>
      </c>
      <c r="J1368" s="76" t="str">
        <f t="shared" si="658"/>
        <v>Hypericum</v>
      </c>
      <c r="K1368" s="76" t="str">
        <f t="shared" si="658"/>
        <v>revolutum</v>
      </c>
      <c r="L1368" s="77">
        <f t="shared" si="658"/>
        <v>6</v>
      </c>
      <c r="M1368" s="77">
        <f t="shared" si="658"/>
        <v>1</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Dec</v>
      </c>
      <c r="C1369" s="73">
        <f t="shared" si="655"/>
        <v>3</v>
      </c>
      <c r="D1369" s="74">
        <f t="shared" si="638"/>
        <v>13</v>
      </c>
      <c r="E1369" s="75">
        <f t="shared" si="639"/>
        <v>40</v>
      </c>
      <c r="F1369" s="79"/>
      <c r="G1369" s="82"/>
      <c r="H1369" s="68" t="str">
        <f t="shared" si="656"/>
        <v>Hyprev6_20201203_13_00</v>
      </c>
      <c r="I1369" s="69">
        <f t="shared" si="658"/>
        <v>1</v>
      </c>
      <c r="J1369" s="76" t="str">
        <f t="shared" si="658"/>
        <v>Hypericum</v>
      </c>
      <c r="K1369" s="76" t="str">
        <f t="shared" si="658"/>
        <v>revolutum</v>
      </c>
      <c r="L1369" s="77">
        <f t="shared" si="658"/>
        <v>6</v>
      </c>
      <c r="M1369" s="77">
        <f t="shared" si="658"/>
        <v>1</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Dec</v>
      </c>
      <c r="C1370" s="73">
        <f t="shared" si="655"/>
        <v>3</v>
      </c>
      <c r="D1370" s="74">
        <f t="shared" si="638"/>
        <v>13</v>
      </c>
      <c r="E1370" s="75">
        <f t="shared" si="639"/>
        <v>41</v>
      </c>
      <c r="F1370" s="79"/>
      <c r="G1370" s="82"/>
      <c r="H1370" s="68" t="str">
        <f t="shared" si="656"/>
        <v>Hyprev6_20201203_13_00</v>
      </c>
      <c r="I1370" s="69">
        <f t="shared" si="658"/>
        <v>1</v>
      </c>
      <c r="J1370" s="76" t="str">
        <f t="shared" si="658"/>
        <v>Hypericum</v>
      </c>
      <c r="K1370" s="76" t="str">
        <f t="shared" si="658"/>
        <v>revolutum</v>
      </c>
      <c r="L1370" s="77">
        <f t="shared" si="658"/>
        <v>6</v>
      </c>
      <c r="M1370" s="77">
        <f t="shared" si="658"/>
        <v>1</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Dec</v>
      </c>
      <c r="C1371" s="73">
        <f t="shared" si="655"/>
        <v>3</v>
      </c>
      <c r="D1371" s="74">
        <f t="shared" si="638"/>
        <v>13</v>
      </c>
      <c r="E1371" s="75">
        <f t="shared" si="639"/>
        <v>42</v>
      </c>
      <c r="F1371" s="79"/>
      <c r="G1371" s="82"/>
      <c r="H1371" s="68" t="str">
        <f t="shared" si="656"/>
        <v>Hyprev6_20201203_13_00</v>
      </c>
      <c r="I1371" s="69">
        <f t="shared" si="658"/>
        <v>1</v>
      </c>
      <c r="J1371" s="76" t="str">
        <f t="shared" si="658"/>
        <v>Hypericum</v>
      </c>
      <c r="K1371" s="76" t="str">
        <f t="shared" si="658"/>
        <v>revolutum</v>
      </c>
      <c r="L1371" s="77">
        <f t="shared" si="658"/>
        <v>6</v>
      </c>
      <c r="M1371" s="77">
        <f t="shared" si="658"/>
        <v>1</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Dec</v>
      </c>
      <c r="C1372" s="73">
        <f t="shared" si="655"/>
        <v>3</v>
      </c>
      <c r="D1372" s="74">
        <f t="shared" si="638"/>
        <v>13</v>
      </c>
      <c r="E1372" s="75">
        <f t="shared" si="639"/>
        <v>43</v>
      </c>
      <c r="F1372" s="79"/>
      <c r="G1372" s="82"/>
      <c r="H1372" s="68" t="str">
        <f t="shared" si="656"/>
        <v>Hyprev6_20201203_13_00</v>
      </c>
      <c r="I1372" s="69">
        <f t="shared" si="658"/>
        <v>1</v>
      </c>
      <c r="J1372" s="76" t="str">
        <f t="shared" si="658"/>
        <v>Hypericum</v>
      </c>
      <c r="K1372" s="76" t="str">
        <f t="shared" si="658"/>
        <v>revolutum</v>
      </c>
      <c r="L1372" s="77">
        <f t="shared" si="658"/>
        <v>6</v>
      </c>
      <c r="M1372" s="77">
        <f t="shared" si="658"/>
        <v>1</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Dec</v>
      </c>
      <c r="C1373" s="73">
        <f t="shared" si="655"/>
        <v>3</v>
      </c>
      <c r="D1373" s="74">
        <f t="shared" si="638"/>
        <v>13</v>
      </c>
      <c r="E1373" s="75">
        <f t="shared" si="639"/>
        <v>44</v>
      </c>
      <c r="F1373" s="79"/>
      <c r="G1373" s="82"/>
      <c r="H1373" s="68" t="str">
        <f t="shared" si="656"/>
        <v>Hyprev6_20201203_13_00</v>
      </c>
      <c r="I1373" s="69">
        <f t="shared" si="658"/>
        <v>1</v>
      </c>
      <c r="J1373" s="76" t="str">
        <f t="shared" si="658"/>
        <v>Hypericum</v>
      </c>
      <c r="K1373" s="76" t="str">
        <f t="shared" si="658"/>
        <v>revolutum</v>
      </c>
      <c r="L1373" s="77">
        <f t="shared" si="658"/>
        <v>6</v>
      </c>
      <c r="M1373" s="77">
        <f t="shared" si="658"/>
        <v>1</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Dec</v>
      </c>
      <c r="C1374" s="73">
        <f t="shared" si="655"/>
        <v>3</v>
      </c>
      <c r="D1374" s="74">
        <f t="shared" si="638"/>
        <v>13</v>
      </c>
      <c r="E1374" s="75">
        <f t="shared" si="639"/>
        <v>45</v>
      </c>
      <c r="F1374" s="79"/>
      <c r="G1374" s="82"/>
      <c r="H1374" s="68" t="str">
        <f t="shared" si="656"/>
        <v>Hyprev6_20201203_13_00</v>
      </c>
      <c r="I1374" s="69">
        <f t="shared" si="658"/>
        <v>1</v>
      </c>
      <c r="J1374" s="76" t="str">
        <f t="shared" si="658"/>
        <v>Hypericum</v>
      </c>
      <c r="K1374" s="76" t="str">
        <f t="shared" si="658"/>
        <v>revolutum</v>
      </c>
      <c r="L1374" s="77">
        <f t="shared" si="658"/>
        <v>6</v>
      </c>
      <c r="M1374" s="77">
        <f t="shared" si="658"/>
        <v>1</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Dec</v>
      </c>
      <c r="C1375" s="73">
        <f t="shared" si="655"/>
        <v>3</v>
      </c>
      <c r="D1375" s="74">
        <f t="shared" si="638"/>
        <v>13</v>
      </c>
      <c r="E1375" s="75">
        <f t="shared" si="639"/>
        <v>46</v>
      </c>
      <c r="F1375" s="79"/>
      <c r="G1375" s="82"/>
      <c r="H1375" s="68" t="str">
        <f t="shared" si="656"/>
        <v>Hyprev6_20201203_13_00</v>
      </c>
      <c r="I1375" s="69">
        <f t="shared" si="658"/>
        <v>1</v>
      </c>
      <c r="J1375" s="76" t="str">
        <f t="shared" si="658"/>
        <v>Hypericum</v>
      </c>
      <c r="K1375" s="76" t="str">
        <f t="shared" si="658"/>
        <v>revolutum</v>
      </c>
      <c r="L1375" s="77">
        <f t="shared" si="658"/>
        <v>6</v>
      </c>
      <c r="M1375" s="77">
        <f t="shared" si="658"/>
        <v>1</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Dec</v>
      </c>
      <c r="C1376" s="73">
        <f t="shared" si="655"/>
        <v>3</v>
      </c>
      <c r="D1376" s="74">
        <f t="shared" si="638"/>
        <v>13</v>
      </c>
      <c r="E1376" s="75">
        <f t="shared" si="639"/>
        <v>47</v>
      </c>
      <c r="F1376" s="79"/>
      <c r="G1376" s="82"/>
      <c r="H1376" s="68" t="str">
        <f t="shared" si="656"/>
        <v>Hyprev6_20201203_13_00</v>
      </c>
      <c r="I1376" s="69">
        <f t="shared" si="658"/>
        <v>1</v>
      </c>
      <c r="J1376" s="76" t="str">
        <f t="shared" si="658"/>
        <v>Hypericum</v>
      </c>
      <c r="K1376" s="76" t="str">
        <f t="shared" si="658"/>
        <v>revolutum</v>
      </c>
      <c r="L1376" s="77">
        <f t="shared" si="658"/>
        <v>6</v>
      </c>
      <c r="M1376" s="77">
        <f t="shared" si="658"/>
        <v>1</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Dec</v>
      </c>
      <c r="C1377" s="73">
        <f t="shared" si="655"/>
        <v>3</v>
      </c>
      <c r="D1377" s="74">
        <f t="shared" si="638"/>
        <v>13</v>
      </c>
      <c r="E1377" s="75">
        <f t="shared" si="639"/>
        <v>48</v>
      </c>
      <c r="F1377" s="79"/>
      <c r="G1377" s="82"/>
      <c r="H1377" s="68" t="str">
        <f t="shared" si="656"/>
        <v>Hyprev6_20201203_13_00</v>
      </c>
      <c r="I1377" s="69">
        <f t="shared" si="658"/>
        <v>1</v>
      </c>
      <c r="J1377" s="76" t="str">
        <f t="shared" si="658"/>
        <v>Hypericum</v>
      </c>
      <c r="K1377" s="76" t="str">
        <f t="shared" si="658"/>
        <v>revolutum</v>
      </c>
      <c r="L1377" s="77">
        <f t="shared" si="658"/>
        <v>6</v>
      </c>
      <c r="M1377" s="77">
        <f t="shared" si="658"/>
        <v>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Dec</v>
      </c>
      <c r="C1378" s="73">
        <f t="shared" si="655"/>
        <v>3</v>
      </c>
      <c r="D1378" s="74">
        <f t="shared" si="638"/>
        <v>13</v>
      </c>
      <c r="E1378" s="75">
        <f t="shared" si="639"/>
        <v>49</v>
      </c>
      <c r="F1378" s="79"/>
      <c r="G1378" s="82"/>
      <c r="H1378" s="68" t="str">
        <f t="shared" si="656"/>
        <v>Hyprev6_20201203_13_00</v>
      </c>
      <c r="I1378" s="69">
        <f t="shared" si="658"/>
        <v>1</v>
      </c>
      <c r="J1378" s="76" t="str">
        <f t="shared" si="658"/>
        <v>Hypericum</v>
      </c>
      <c r="K1378" s="76" t="str">
        <f t="shared" si="658"/>
        <v>revolutum</v>
      </c>
      <c r="L1378" s="77">
        <f t="shared" si="658"/>
        <v>6</v>
      </c>
      <c r="M1378" s="77">
        <f t="shared" si="658"/>
        <v>1</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Dec</v>
      </c>
      <c r="C1379" s="73">
        <f t="shared" si="655"/>
        <v>3</v>
      </c>
      <c r="D1379" s="74">
        <f t="shared" si="638"/>
        <v>13</v>
      </c>
      <c r="E1379" s="75">
        <f t="shared" si="639"/>
        <v>50</v>
      </c>
      <c r="F1379" s="79"/>
      <c r="G1379" s="82"/>
      <c r="H1379" s="68" t="str">
        <f t="shared" si="656"/>
        <v>Hyprev6_20201203_13_00</v>
      </c>
      <c r="I1379" s="69">
        <f t="shared" si="658"/>
        <v>1</v>
      </c>
      <c r="J1379" s="76" t="str">
        <f t="shared" si="658"/>
        <v>Hypericum</v>
      </c>
      <c r="K1379" s="76" t="str">
        <f t="shared" si="658"/>
        <v>revolutum</v>
      </c>
      <c r="L1379" s="77">
        <f t="shared" si="658"/>
        <v>6</v>
      </c>
      <c r="M1379" s="77">
        <f t="shared" si="658"/>
        <v>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Dec</v>
      </c>
      <c r="C1380" s="73">
        <f t="shared" si="655"/>
        <v>3</v>
      </c>
      <c r="D1380" s="74">
        <f t="shared" si="638"/>
        <v>13</v>
      </c>
      <c r="E1380" s="75">
        <f t="shared" si="639"/>
        <v>51</v>
      </c>
      <c r="F1380" s="79"/>
      <c r="G1380" s="82"/>
      <c r="H1380" s="68" t="str">
        <f t="shared" si="656"/>
        <v>Hyprev6_20201203_13_00</v>
      </c>
      <c r="I1380" s="69">
        <f t="shared" si="658"/>
        <v>1</v>
      </c>
      <c r="J1380" s="76" t="str">
        <f t="shared" si="658"/>
        <v>Hypericum</v>
      </c>
      <c r="K1380" s="76" t="str">
        <f t="shared" si="658"/>
        <v>revolutum</v>
      </c>
      <c r="L1380" s="77">
        <f t="shared" si="658"/>
        <v>6</v>
      </c>
      <c r="M1380" s="77">
        <f t="shared" si="658"/>
        <v>1</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Dec</v>
      </c>
      <c r="C1381" s="73">
        <f t="shared" si="655"/>
        <v>3</v>
      </c>
      <c r="D1381" s="74">
        <f t="shared" si="638"/>
        <v>13</v>
      </c>
      <c r="E1381" s="75">
        <f t="shared" si="639"/>
        <v>52</v>
      </c>
      <c r="F1381" s="79"/>
      <c r="G1381" s="82"/>
      <c r="H1381" s="68" t="str">
        <f t="shared" si="656"/>
        <v>Hyprev6_20201203_13_00</v>
      </c>
      <c r="I1381" s="69">
        <f t="shared" ref="I1381:N1396" si="659">I1380</f>
        <v>1</v>
      </c>
      <c r="J1381" s="76" t="str">
        <f t="shared" si="659"/>
        <v>Hypericum</v>
      </c>
      <c r="K1381" s="76" t="str">
        <f t="shared" si="659"/>
        <v>revolutum</v>
      </c>
      <c r="L1381" s="77">
        <f t="shared" si="659"/>
        <v>6</v>
      </c>
      <c r="M1381" s="77">
        <f t="shared" si="659"/>
        <v>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Dec</v>
      </c>
      <c r="C1382" s="73">
        <f t="shared" si="655"/>
        <v>3</v>
      </c>
      <c r="D1382" s="74">
        <f t="shared" si="638"/>
        <v>13</v>
      </c>
      <c r="E1382" s="75">
        <f t="shared" si="639"/>
        <v>53</v>
      </c>
      <c r="F1382" s="79"/>
      <c r="G1382" s="82"/>
      <c r="H1382" s="68" t="str">
        <f t="shared" si="656"/>
        <v>Hyprev6_20201203_13_00</v>
      </c>
      <c r="I1382" s="69">
        <f t="shared" si="659"/>
        <v>1</v>
      </c>
      <c r="J1382" s="76" t="str">
        <f t="shared" si="659"/>
        <v>Hypericum</v>
      </c>
      <c r="K1382" s="76" t="str">
        <f t="shared" si="659"/>
        <v>revolutum</v>
      </c>
      <c r="L1382" s="77">
        <f t="shared" si="659"/>
        <v>6</v>
      </c>
      <c r="M1382" s="77">
        <f t="shared" si="659"/>
        <v>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Dec</v>
      </c>
      <c r="C1383" s="73">
        <f t="shared" si="655"/>
        <v>3</v>
      </c>
      <c r="D1383" s="74">
        <f t="shared" si="638"/>
        <v>13</v>
      </c>
      <c r="E1383" s="75">
        <f t="shared" si="639"/>
        <v>54</v>
      </c>
      <c r="F1383" s="79"/>
      <c r="G1383" s="82"/>
      <c r="H1383" s="68" t="str">
        <f t="shared" si="656"/>
        <v>Hyprev6_20201203_13_00</v>
      </c>
      <c r="I1383" s="69">
        <f t="shared" si="659"/>
        <v>1</v>
      </c>
      <c r="J1383" s="76" t="str">
        <f t="shared" si="659"/>
        <v>Hypericum</v>
      </c>
      <c r="K1383" s="76" t="str">
        <f t="shared" si="659"/>
        <v>revolutum</v>
      </c>
      <c r="L1383" s="77">
        <f t="shared" si="659"/>
        <v>6</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Dec</v>
      </c>
      <c r="C1384" s="73">
        <f t="shared" si="655"/>
        <v>3</v>
      </c>
      <c r="D1384" s="74">
        <f t="shared" si="638"/>
        <v>13</v>
      </c>
      <c r="E1384" s="75">
        <f t="shared" si="639"/>
        <v>55</v>
      </c>
      <c r="F1384" s="79"/>
      <c r="G1384" s="82"/>
      <c r="H1384" s="68" t="str">
        <f t="shared" si="656"/>
        <v>Hyprev6_20201203_13_00</v>
      </c>
      <c r="I1384" s="69">
        <f t="shared" si="659"/>
        <v>1</v>
      </c>
      <c r="J1384" s="76" t="str">
        <f t="shared" si="659"/>
        <v>Hypericum</v>
      </c>
      <c r="K1384" s="76" t="str">
        <f t="shared" si="659"/>
        <v>revolutum</v>
      </c>
      <c r="L1384" s="77">
        <f t="shared" si="659"/>
        <v>6</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Dec</v>
      </c>
      <c r="C1385" s="73">
        <f t="shared" si="655"/>
        <v>3</v>
      </c>
      <c r="D1385" s="74">
        <f t="shared" si="638"/>
        <v>13</v>
      </c>
      <c r="E1385" s="75">
        <f t="shared" si="639"/>
        <v>56</v>
      </c>
      <c r="F1385" s="79"/>
      <c r="G1385" s="82"/>
      <c r="H1385" s="68" t="str">
        <f t="shared" si="656"/>
        <v>Hyprev6_20201203_13_00</v>
      </c>
      <c r="I1385" s="69">
        <f t="shared" si="659"/>
        <v>1</v>
      </c>
      <c r="J1385" s="76" t="str">
        <f t="shared" si="659"/>
        <v>Hypericum</v>
      </c>
      <c r="K1385" s="76" t="str">
        <f t="shared" si="659"/>
        <v>revolutum</v>
      </c>
      <c r="L1385" s="77">
        <f t="shared" si="659"/>
        <v>6</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Dec</v>
      </c>
      <c r="C1386" s="73">
        <f t="shared" si="655"/>
        <v>3</v>
      </c>
      <c r="D1386" s="74">
        <f t="shared" si="638"/>
        <v>13</v>
      </c>
      <c r="E1386" s="75">
        <f t="shared" si="639"/>
        <v>57</v>
      </c>
      <c r="F1386" s="79"/>
      <c r="G1386" s="82"/>
      <c r="H1386" s="68" t="str">
        <f t="shared" si="656"/>
        <v>Hyprev6_20201203_13_00</v>
      </c>
      <c r="I1386" s="69">
        <f t="shared" si="659"/>
        <v>1</v>
      </c>
      <c r="J1386" s="76" t="str">
        <f t="shared" si="659"/>
        <v>Hypericum</v>
      </c>
      <c r="K1386" s="76" t="str">
        <f t="shared" si="659"/>
        <v>revolutum</v>
      </c>
      <c r="L1386" s="77">
        <f t="shared" si="659"/>
        <v>6</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Dec</v>
      </c>
      <c r="C1387" s="73">
        <f t="shared" si="655"/>
        <v>3</v>
      </c>
      <c r="D1387" s="74">
        <f t="shared" si="638"/>
        <v>13</v>
      </c>
      <c r="E1387" s="75">
        <f t="shared" si="639"/>
        <v>58</v>
      </c>
      <c r="F1387" s="79"/>
      <c r="G1387" s="82"/>
      <c r="H1387" s="68" t="str">
        <f t="shared" si="656"/>
        <v>Hyprev6_20201203_13_00</v>
      </c>
      <c r="I1387" s="69">
        <f t="shared" si="659"/>
        <v>1</v>
      </c>
      <c r="J1387" s="76" t="str">
        <f t="shared" si="659"/>
        <v>Hypericum</v>
      </c>
      <c r="K1387" s="76" t="str">
        <f t="shared" si="659"/>
        <v>revolutum</v>
      </c>
      <c r="L1387" s="77">
        <f t="shared" si="659"/>
        <v>6</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Dec</v>
      </c>
      <c r="C1388" s="73">
        <f t="shared" si="655"/>
        <v>3</v>
      </c>
      <c r="D1388" s="74">
        <f t="shared" si="638"/>
        <v>13</v>
      </c>
      <c r="E1388" s="75">
        <f t="shared" si="639"/>
        <v>59</v>
      </c>
      <c r="F1388" s="79"/>
      <c r="G1388" s="82"/>
      <c r="H1388" s="68" t="str">
        <f t="shared" si="656"/>
        <v>Hyprev6_20201203_13_00</v>
      </c>
      <c r="I1388" s="69">
        <f t="shared" si="659"/>
        <v>1</v>
      </c>
      <c r="J1388" s="76" t="str">
        <f t="shared" si="659"/>
        <v>Hypericum</v>
      </c>
      <c r="K1388" s="76" t="str">
        <f t="shared" si="659"/>
        <v>revolutum</v>
      </c>
      <c r="L1388" s="77">
        <f t="shared" si="659"/>
        <v>6</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Dec</v>
      </c>
      <c r="C1389" s="73">
        <f t="shared" si="655"/>
        <v>3</v>
      </c>
      <c r="D1389" s="74">
        <f t="shared" si="638"/>
        <v>14</v>
      </c>
      <c r="E1389" s="75">
        <f t="shared" si="639"/>
        <v>0</v>
      </c>
      <c r="F1389" s="79"/>
      <c r="G1389" s="82"/>
      <c r="H1389" s="68" t="str">
        <f t="shared" si="656"/>
        <v>Hyprev6_20201203_14_00</v>
      </c>
      <c r="I1389" s="69">
        <f t="shared" si="659"/>
        <v>1</v>
      </c>
      <c r="J1389" s="76" t="str">
        <f t="shared" si="659"/>
        <v>Hypericum</v>
      </c>
      <c r="K1389" s="76" t="str">
        <f t="shared" si="659"/>
        <v>revolutum</v>
      </c>
      <c r="L1389" s="77">
        <f t="shared" si="659"/>
        <v>6</v>
      </c>
      <c r="M1389" s="77">
        <f t="shared" si="659"/>
        <v>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Dec</v>
      </c>
      <c r="C1390" s="73">
        <f t="shared" si="655"/>
        <v>3</v>
      </c>
      <c r="D1390" s="74">
        <f t="shared" si="638"/>
        <v>14</v>
      </c>
      <c r="E1390" s="75">
        <f t="shared" si="639"/>
        <v>1</v>
      </c>
      <c r="F1390" s="79"/>
      <c r="G1390" s="82"/>
      <c r="H1390" s="68" t="str">
        <f t="shared" si="656"/>
        <v>Hyprev6_20201203_14_00</v>
      </c>
      <c r="I1390" s="69">
        <f t="shared" si="659"/>
        <v>1</v>
      </c>
      <c r="J1390" s="76" t="str">
        <f t="shared" si="659"/>
        <v>Hypericum</v>
      </c>
      <c r="K1390" s="76" t="str">
        <f t="shared" si="659"/>
        <v>revolutum</v>
      </c>
      <c r="L1390" s="77">
        <f t="shared" si="659"/>
        <v>6</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Dec</v>
      </c>
      <c r="C1391" s="73">
        <f t="shared" si="655"/>
        <v>3</v>
      </c>
      <c r="D1391" s="74">
        <f t="shared" si="638"/>
        <v>14</v>
      </c>
      <c r="E1391" s="75">
        <f t="shared" si="639"/>
        <v>2</v>
      </c>
      <c r="F1391" s="79"/>
      <c r="G1391" s="82"/>
      <c r="H1391" s="68" t="str">
        <f t="shared" si="656"/>
        <v>Hyprev6_20201203_14_00</v>
      </c>
      <c r="I1391" s="69">
        <f t="shared" si="659"/>
        <v>1</v>
      </c>
      <c r="J1391" s="76" t="str">
        <f t="shared" si="659"/>
        <v>Hypericum</v>
      </c>
      <c r="K1391" s="76" t="str">
        <f t="shared" si="659"/>
        <v>revolutum</v>
      </c>
      <c r="L1391" s="77">
        <f t="shared" si="659"/>
        <v>6</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Dec</v>
      </c>
      <c r="C1392" s="73">
        <f t="shared" si="655"/>
        <v>3</v>
      </c>
      <c r="D1392" s="74">
        <f t="shared" si="638"/>
        <v>14</v>
      </c>
      <c r="E1392" s="75">
        <f t="shared" si="639"/>
        <v>3</v>
      </c>
      <c r="F1392" s="79"/>
      <c r="G1392" s="82"/>
      <c r="H1392" s="68" t="str">
        <f t="shared" si="656"/>
        <v>Hyprev6_20201203_14_00</v>
      </c>
      <c r="I1392" s="69">
        <f t="shared" si="659"/>
        <v>1</v>
      </c>
      <c r="J1392" s="76" t="str">
        <f t="shared" si="659"/>
        <v>Hypericum</v>
      </c>
      <c r="K1392" s="76" t="str">
        <f t="shared" si="659"/>
        <v>revolutum</v>
      </c>
      <c r="L1392" s="77">
        <f t="shared" si="659"/>
        <v>6</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Dec</v>
      </c>
      <c r="C1393" s="73">
        <f t="shared" si="655"/>
        <v>3</v>
      </c>
      <c r="D1393" s="74">
        <f t="shared" si="638"/>
        <v>14</v>
      </c>
      <c r="E1393" s="75">
        <f t="shared" si="639"/>
        <v>4</v>
      </c>
      <c r="F1393" s="79"/>
      <c r="G1393" s="82"/>
      <c r="H1393" s="68" t="str">
        <f t="shared" si="656"/>
        <v>Hyprev6_20201203_14_00</v>
      </c>
      <c r="I1393" s="69">
        <f t="shared" si="659"/>
        <v>1</v>
      </c>
      <c r="J1393" s="76" t="str">
        <f t="shared" si="659"/>
        <v>Hypericum</v>
      </c>
      <c r="K1393" s="76" t="str">
        <f t="shared" si="659"/>
        <v>revolutum</v>
      </c>
      <c r="L1393" s="77">
        <f t="shared" si="659"/>
        <v>6</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Dec</v>
      </c>
      <c r="C1394" s="73">
        <f t="shared" si="655"/>
        <v>3</v>
      </c>
      <c r="D1394" s="74">
        <f t="shared" si="638"/>
        <v>14</v>
      </c>
      <c r="E1394" s="75">
        <f t="shared" si="639"/>
        <v>5</v>
      </c>
      <c r="F1394" s="79"/>
      <c r="G1394" s="82"/>
      <c r="H1394" s="68" t="str">
        <f t="shared" si="656"/>
        <v>Hyprev6_20201203_14_00</v>
      </c>
      <c r="I1394" s="69">
        <f t="shared" si="659"/>
        <v>1</v>
      </c>
      <c r="J1394" s="76" t="str">
        <f t="shared" si="659"/>
        <v>Hypericum</v>
      </c>
      <c r="K1394" s="76" t="str">
        <f t="shared" si="659"/>
        <v>revolutum</v>
      </c>
      <c r="L1394" s="77">
        <f t="shared" si="659"/>
        <v>6</v>
      </c>
      <c r="M1394" s="77">
        <f t="shared" si="659"/>
        <v>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Dec</v>
      </c>
      <c r="C1395" s="73">
        <f t="shared" si="655"/>
        <v>3</v>
      </c>
      <c r="D1395" s="74">
        <f t="shared" si="638"/>
        <v>14</v>
      </c>
      <c r="E1395" s="75">
        <f t="shared" si="639"/>
        <v>6</v>
      </c>
      <c r="F1395" s="79"/>
      <c r="G1395" s="82"/>
      <c r="H1395" s="68" t="str">
        <f t="shared" si="656"/>
        <v>Hyprev6_20201203_14_00</v>
      </c>
      <c r="I1395" s="69">
        <f t="shared" si="659"/>
        <v>1</v>
      </c>
      <c r="J1395" s="76" t="str">
        <f t="shared" si="659"/>
        <v>Hypericum</v>
      </c>
      <c r="K1395" s="76" t="str">
        <f t="shared" si="659"/>
        <v>revolutum</v>
      </c>
      <c r="L1395" s="77">
        <f t="shared" si="659"/>
        <v>6</v>
      </c>
      <c r="M1395" s="77">
        <f t="shared" si="659"/>
        <v>1</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Dec</v>
      </c>
      <c r="C1396" s="73">
        <f t="shared" si="655"/>
        <v>3</v>
      </c>
      <c r="D1396" s="74">
        <f t="shared" si="638"/>
        <v>14</v>
      </c>
      <c r="E1396" s="75">
        <f t="shared" si="639"/>
        <v>7</v>
      </c>
      <c r="F1396" s="79"/>
      <c r="G1396" s="82"/>
      <c r="H1396" s="68" t="str">
        <f t="shared" si="656"/>
        <v>Hyprev6_20201203_14_00</v>
      </c>
      <c r="I1396" s="69">
        <f t="shared" si="659"/>
        <v>1</v>
      </c>
      <c r="J1396" s="76" t="str">
        <f t="shared" si="659"/>
        <v>Hypericum</v>
      </c>
      <c r="K1396" s="76" t="str">
        <f t="shared" si="659"/>
        <v>revolutum</v>
      </c>
      <c r="L1396" s="77">
        <f t="shared" si="659"/>
        <v>6</v>
      </c>
      <c r="M1396" s="77">
        <f t="shared" si="659"/>
        <v>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Dec</v>
      </c>
      <c r="C1397" s="73">
        <f t="shared" si="655"/>
        <v>3</v>
      </c>
      <c r="D1397" s="74">
        <f t="shared" si="638"/>
        <v>14</v>
      </c>
      <c r="E1397" s="75">
        <f t="shared" si="639"/>
        <v>8</v>
      </c>
      <c r="F1397" s="79"/>
      <c r="G1397" s="82"/>
      <c r="H1397" s="68" t="str">
        <f t="shared" si="656"/>
        <v>Hyprev6_20201203_14_00</v>
      </c>
      <c r="I1397" s="69">
        <f t="shared" ref="I1397:N1412" si="660">I1396</f>
        <v>1</v>
      </c>
      <c r="J1397" s="76" t="str">
        <f t="shared" si="660"/>
        <v>Hypericum</v>
      </c>
      <c r="K1397" s="76" t="str">
        <f t="shared" si="660"/>
        <v>revolutum</v>
      </c>
      <c r="L1397" s="77">
        <f t="shared" si="660"/>
        <v>6</v>
      </c>
      <c r="M1397" s="77">
        <f t="shared" si="660"/>
        <v>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Dec</v>
      </c>
      <c r="C1398" s="73">
        <f t="shared" si="655"/>
        <v>3</v>
      </c>
      <c r="D1398" s="74">
        <f t="shared" si="638"/>
        <v>14</v>
      </c>
      <c r="E1398" s="75">
        <f t="shared" si="639"/>
        <v>9</v>
      </c>
      <c r="F1398" s="79"/>
      <c r="G1398" s="82"/>
      <c r="H1398" s="68" t="str">
        <f t="shared" si="656"/>
        <v>Hyprev6_20201203_14_00</v>
      </c>
      <c r="I1398" s="69">
        <f t="shared" si="660"/>
        <v>1</v>
      </c>
      <c r="J1398" s="76" t="str">
        <f t="shared" si="660"/>
        <v>Hypericum</v>
      </c>
      <c r="K1398" s="76" t="str">
        <f t="shared" si="660"/>
        <v>revolutum</v>
      </c>
      <c r="L1398" s="77">
        <f t="shared" si="660"/>
        <v>6</v>
      </c>
      <c r="M1398" s="77">
        <f t="shared" si="660"/>
        <v>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Dec</v>
      </c>
      <c r="C1399" s="73">
        <f t="shared" si="655"/>
        <v>3</v>
      </c>
      <c r="D1399" s="74">
        <f t="shared" si="638"/>
        <v>14</v>
      </c>
      <c r="E1399" s="75">
        <f t="shared" si="639"/>
        <v>10</v>
      </c>
      <c r="F1399" s="79"/>
      <c r="G1399" s="82"/>
      <c r="H1399" s="68" t="str">
        <f t="shared" si="656"/>
        <v>Hyprev6_20201203_14_00</v>
      </c>
      <c r="I1399" s="69">
        <f t="shared" si="660"/>
        <v>1</v>
      </c>
      <c r="J1399" s="76" t="str">
        <f t="shared" si="660"/>
        <v>Hypericum</v>
      </c>
      <c r="K1399" s="76" t="str">
        <f t="shared" si="660"/>
        <v>revolutum</v>
      </c>
      <c r="L1399" s="77">
        <f t="shared" si="660"/>
        <v>6</v>
      </c>
      <c r="M1399" s="77">
        <f t="shared" si="660"/>
        <v>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Dec</v>
      </c>
      <c r="C1400" s="73">
        <f t="shared" si="655"/>
        <v>3</v>
      </c>
      <c r="D1400" s="74">
        <f t="shared" si="638"/>
        <v>14</v>
      </c>
      <c r="E1400" s="75">
        <f t="shared" si="639"/>
        <v>11</v>
      </c>
      <c r="F1400" s="79"/>
      <c r="G1400" s="82"/>
      <c r="H1400" s="68" t="str">
        <f t="shared" si="656"/>
        <v>Hyprev6_20201203_14_00</v>
      </c>
      <c r="I1400" s="69">
        <f t="shared" si="660"/>
        <v>1</v>
      </c>
      <c r="J1400" s="76" t="str">
        <f t="shared" si="660"/>
        <v>Hypericum</v>
      </c>
      <c r="K1400" s="76" t="str">
        <f t="shared" si="660"/>
        <v>revolutum</v>
      </c>
      <c r="L1400" s="77">
        <f t="shared" si="660"/>
        <v>6</v>
      </c>
      <c r="M1400" s="77">
        <f t="shared" si="660"/>
        <v>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Dec</v>
      </c>
      <c r="C1401" s="73">
        <f t="shared" si="655"/>
        <v>3</v>
      </c>
      <c r="D1401" s="74">
        <f t="shared" si="638"/>
        <v>14</v>
      </c>
      <c r="E1401" s="75">
        <f t="shared" si="639"/>
        <v>12</v>
      </c>
      <c r="F1401" s="79"/>
      <c r="G1401" s="82"/>
      <c r="H1401" s="68" t="str">
        <f t="shared" si="656"/>
        <v>Hyprev6_20201203_14_00</v>
      </c>
      <c r="I1401" s="69">
        <f t="shared" si="660"/>
        <v>1</v>
      </c>
      <c r="J1401" s="76" t="str">
        <f t="shared" si="660"/>
        <v>Hypericum</v>
      </c>
      <c r="K1401" s="76" t="str">
        <f t="shared" si="660"/>
        <v>revolutum</v>
      </c>
      <c r="L1401" s="77">
        <f t="shared" si="660"/>
        <v>6</v>
      </c>
      <c r="M1401" s="77">
        <f t="shared" si="660"/>
        <v>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Dec</v>
      </c>
      <c r="C1402" s="73">
        <f t="shared" si="655"/>
        <v>3</v>
      </c>
      <c r="D1402" s="74">
        <f t="shared" si="638"/>
        <v>14</v>
      </c>
      <c r="E1402" s="75">
        <f t="shared" si="639"/>
        <v>13</v>
      </c>
      <c r="F1402" s="79"/>
      <c r="G1402" s="82"/>
      <c r="H1402" s="68" t="str">
        <f t="shared" si="656"/>
        <v>Hyprev6_20201203_14_00</v>
      </c>
      <c r="I1402" s="69">
        <f t="shared" si="660"/>
        <v>1</v>
      </c>
      <c r="J1402" s="76" t="str">
        <f t="shared" si="660"/>
        <v>Hypericum</v>
      </c>
      <c r="K1402" s="76" t="str">
        <f t="shared" si="660"/>
        <v>revolutum</v>
      </c>
      <c r="L1402" s="77">
        <f t="shared" si="660"/>
        <v>6</v>
      </c>
      <c r="M1402" s="77">
        <f t="shared" si="660"/>
        <v>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Dec</v>
      </c>
      <c r="C1403" s="73">
        <f t="shared" si="655"/>
        <v>3</v>
      </c>
      <c r="D1403" s="74">
        <f t="shared" si="638"/>
        <v>14</v>
      </c>
      <c r="E1403" s="75">
        <f t="shared" si="639"/>
        <v>14</v>
      </c>
      <c r="F1403" s="79"/>
      <c r="G1403" s="82"/>
      <c r="H1403" s="68" t="str">
        <f t="shared" si="656"/>
        <v>Hyprev6_20201203_14_00</v>
      </c>
      <c r="I1403" s="69">
        <f t="shared" si="660"/>
        <v>1</v>
      </c>
      <c r="J1403" s="76" t="str">
        <f t="shared" si="660"/>
        <v>Hypericum</v>
      </c>
      <c r="K1403" s="76" t="str">
        <f t="shared" si="660"/>
        <v>revolutum</v>
      </c>
      <c r="L1403" s="77">
        <f t="shared" si="660"/>
        <v>6</v>
      </c>
      <c r="M1403" s="77">
        <f t="shared" si="660"/>
        <v>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Dec</v>
      </c>
      <c r="C1404" s="73">
        <f t="shared" si="655"/>
        <v>3</v>
      </c>
      <c r="D1404" s="74">
        <f t="shared" si="638"/>
        <v>14</v>
      </c>
      <c r="E1404" s="75">
        <f t="shared" si="639"/>
        <v>15</v>
      </c>
      <c r="F1404" s="79"/>
      <c r="G1404" s="82"/>
      <c r="H1404" s="68" t="str">
        <f t="shared" si="656"/>
        <v>Hyprev6_20201203_14_00</v>
      </c>
      <c r="I1404" s="69">
        <f t="shared" si="660"/>
        <v>1</v>
      </c>
      <c r="J1404" s="76" t="str">
        <f t="shared" si="660"/>
        <v>Hypericum</v>
      </c>
      <c r="K1404" s="76" t="str">
        <f t="shared" si="660"/>
        <v>revolutum</v>
      </c>
      <c r="L1404" s="77">
        <f t="shared" si="660"/>
        <v>6</v>
      </c>
      <c r="M1404" s="77">
        <f t="shared" si="660"/>
        <v>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Dec</v>
      </c>
      <c r="C1405" s="73">
        <f t="shared" si="655"/>
        <v>3</v>
      </c>
      <c r="D1405" s="74">
        <f t="shared" si="638"/>
        <v>14</v>
      </c>
      <c r="E1405" s="75">
        <f t="shared" si="639"/>
        <v>16</v>
      </c>
      <c r="F1405" s="79"/>
      <c r="G1405" s="82"/>
      <c r="H1405" s="68" t="str">
        <f t="shared" si="656"/>
        <v>Hyprev6_20201203_14_00</v>
      </c>
      <c r="I1405" s="69">
        <f t="shared" si="660"/>
        <v>1</v>
      </c>
      <c r="J1405" s="76" t="str">
        <f t="shared" si="660"/>
        <v>Hypericum</v>
      </c>
      <c r="K1405" s="76" t="str">
        <f t="shared" si="660"/>
        <v>revolutum</v>
      </c>
      <c r="L1405" s="77">
        <f t="shared" si="660"/>
        <v>6</v>
      </c>
      <c r="M1405" s="77">
        <f t="shared" si="660"/>
        <v>1</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Dec</v>
      </c>
      <c r="C1406" s="73">
        <f t="shared" si="655"/>
        <v>3</v>
      </c>
      <c r="D1406" s="74">
        <f t="shared" si="638"/>
        <v>14</v>
      </c>
      <c r="E1406" s="75">
        <f t="shared" si="639"/>
        <v>17</v>
      </c>
      <c r="F1406" s="79"/>
      <c r="G1406" s="82"/>
      <c r="H1406" s="68" t="str">
        <f t="shared" si="656"/>
        <v>Hyprev6_20201203_14_00</v>
      </c>
      <c r="I1406" s="69">
        <f t="shared" si="660"/>
        <v>1</v>
      </c>
      <c r="J1406" s="76" t="str">
        <f t="shared" si="660"/>
        <v>Hypericum</v>
      </c>
      <c r="K1406" s="76" t="str">
        <f t="shared" si="660"/>
        <v>revolutum</v>
      </c>
      <c r="L1406" s="77">
        <f t="shared" si="660"/>
        <v>6</v>
      </c>
      <c r="M1406" s="77">
        <f t="shared" si="660"/>
        <v>1</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Dec</v>
      </c>
      <c r="C1407" s="73">
        <f t="shared" si="655"/>
        <v>3</v>
      </c>
      <c r="D1407" s="74">
        <f t="shared" si="638"/>
        <v>14</v>
      </c>
      <c r="E1407" s="75">
        <f t="shared" si="639"/>
        <v>18</v>
      </c>
      <c r="F1407" s="79"/>
      <c r="G1407" s="82"/>
      <c r="H1407" s="68" t="str">
        <f t="shared" si="656"/>
        <v>Hyprev6_20201203_14_00</v>
      </c>
      <c r="I1407" s="69">
        <f t="shared" si="660"/>
        <v>1</v>
      </c>
      <c r="J1407" s="76" t="str">
        <f t="shared" si="660"/>
        <v>Hypericum</v>
      </c>
      <c r="K1407" s="76" t="str">
        <f t="shared" si="660"/>
        <v>revolutum</v>
      </c>
      <c r="L1407" s="77">
        <f t="shared" si="660"/>
        <v>6</v>
      </c>
      <c r="M1407" s="77">
        <f t="shared" si="660"/>
        <v>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Dec</v>
      </c>
      <c r="C1408" s="73">
        <f t="shared" si="655"/>
        <v>3</v>
      </c>
      <c r="D1408" s="74">
        <f t="shared" si="638"/>
        <v>14</v>
      </c>
      <c r="E1408" s="75">
        <f t="shared" si="639"/>
        <v>19</v>
      </c>
      <c r="F1408" s="79"/>
      <c r="G1408" s="82"/>
      <c r="H1408" s="68" t="str">
        <f t="shared" si="656"/>
        <v>Hyprev6_20201203_14_00</v>
      </c>
      <c r="I1408" s="69">
        <f t="shared" si="660"/>
        <v>1</v>
      </c>
      <c r="J1408" s="76" t="str">
        <f t="shared" si="660"/>
        <v>Hypericum</v>
      </c>
      <c r="K1408" s="76" t="str">
        <f t="shared" si="660"/>
        <v>revolutum</v>
      </c>
      <c r="L1408" s="77">
        <f t="shared" si="660"/>
        <v>6</v>
      </c>
      <c r="M1408" s="77">
        <f t="shared" si="660"/>
        <v>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Dec</v>
      </c>
      <c r="C1409" s="73">
        <f t="shared" si="655"/>
        <v>3</v>
      </c>
      <c r="D1409" s="74">
        <f t="shared" si="638"/>
        <v>14</v>
      </c>
      <c r="E1409" s="75">
        <f t="shared" si="639"/>
        <v>20</v>
      </c>
      <c r="F1409" s="79"/>
      <c r="G1409" s="82"/>
      <c r="H1409" s="68" t="str">
        <f t="shared" si="656"/>
        <v>Hyprev6_20201203_14_00</v>
      </c>
      <c r="I1409" s="69">
        <f t="shared" si="660"/>
        <v>1</v>
      </c>
      <c r="J1409" s="76" t="str">
        <f t="shared" si="660"/>
        <v>Hypericum</v>
      </c>
      <c r="K1409" s="76" t="str">
        <f t="shared" si="660"/>
        <v>revolutum</v>
      </c>
      <c r="L1409" s="77">
        <f t="shared" si="660"/>
        <v>6</v>
      </c>
      <c r="M1409" s="77">
        <f t="shared" si="660"/>
        <v>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Dec</v>
      </c>
      <c r="C1410" s="73">
        <f t="shared" si="655"/>
        <v>3</v>
      </c>
      <c r="D1410" s="74">
        <f t="shared" si="638"/>
        <v>14</v>
      </c>
      <c r="E1410" s="75">
        <f t="shared" si="639"/>
        <v>21</v>
      </c>
      <c r="F1410" s="79"/>
      <c r="G1410" s="82"/>
      <c r="H1410" s="68" t="str">
        <f t="shared" si="656"/>
        <v>Hyprev6_20201203_14_00</v>
      </c>
      <c r="I1410" s="69">
        <f t="shared" si="660"/>
        <v>1</v>
      </c>
      <c r="J1410" s="76" t="str">
        <f t="shared" si="660"/>
        <v>Hypericum</v>
      </c>
      <c r="K1410" s="76" t="str">
        <f t="shared" si="660"/>
        <v>revolutum</v>
      </c>
      <c r="L1410" s="77">
        <f t="shared" si="660"/>
        <v>6</v>
      </c>
      <c r="M1410" s="77">
        <f t="shared" si="660"/>
        <v>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Dec</v>
      </c>
      <c r="C1411" s="73">
        <f t="shared" si="655"/>
        <v>3</v>
      </c>
      <c r="D1411" s="74">
        <f t="shared" si="638"/>
        <v>14</v>
      </c>
      <c r="E1411" s="75">
        <f t="shared" si="639"/>
        <v>22</v>
      </c>
      <c r="F1411" s="79"/>
      <c r="G1411" s="82"/>
      <c r="H1411" s="68" t="str">
        <f t="shared" si="656"/>
        <v>Hyprev6_20201203_14_00</v>
      </c>
      <c r="I1411" s="69">
        <f t="shared" si="660"/>
        <v>1</v>
      </c>
      <c r="J1411" s="76" t="str">
        <f t="shared" si="660"/>
        <v>Hypericum</v>
      </c>
      <c r="K1411" s="76" t="str">
        <f t="shared" si="660"/>
        <v>revolutum</v>
      </c>
      <c r="L1411" s="77">
        <f t="shared" si="660"/>
        <v>6</v>
      </c>
      <c r="M1411" s="77">
        <f t="shared" si="660"/>
        <v>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Dec</v>
      </c>
      <c r="C1412" s="73">
        <f t="shared" si="655"/>
        <v>3</v>
      </c>
      <c r="D1412" s="74">
        <f t="shared" ref="D1412:D1417" si="668">IF(IF(E1411=59,D1411+1,D1411)=24,0,IF(E1411=59,D1411+1,D1411))</f>
        <v>14</v>
      </c>
      <c r="E1412" s="75">
        <f t="shared" ref="E1412:E1417" si="669">IF(E1411&lt;59,E1411+1,0)</f>
        <v>23</v>
      </c>
      <c r="F1412" s="79"/>
      <c r="G1412" s="82"/>
      <c r="H1412" s="68" t="str">
        <f t="shared" si="656"/>
        <v>Hyprev6_20201203_14_00</v>
      </c>
      <c r="I1412" s="69">
        <f t="shared" si="660"/>
        <v>1</v>
      </c>
      <c r="J1412" s="76" t="str">
        <f t="shared" si="660"/>
        <v>Hypericum</v>
      </c>
      <c r="K1412" s="76" t="str">
        <f t="shared" si="660"/>
        <v>revolutum</v>
      </c>
      <c r="L1412" s="77">
        <f t="shared" si="660"/>
        <v>6</v>
      </c>
      <c r="M1412" s="77">
        <f t="shared" si="660"/>
        <v>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Dec</v>
      </c>
      <c r="C1413" s="73">
        <f t="shared" ref="C1413:C1442" si="685">IF(AND(D1413=0, E1413=0), IF(TEXT(C1412,"dd")=TEXT(EOMONTH(DATE(A1412,MONTH(DATEVALUE(B1412&amp;"1")),C1412),0), "dd"), 1, C1412+1), C1412)</f>
        <v>3</v>
      </c>
      <c r="D1413" s="74">
        <f t="shared" si="668"/>
        <v>14</v>
      </c>
      <c r="E1413" s="75">
        <f t="shared" si="669"/>
        <v>24</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Hyprev6_20201203_14_00</v>
      </c>
      <c r="I1413" s="69">
        <f t="shared" ref="I1413:N1428" si="687">I1412</f>
        <v>1</v>
      </c>
      <c r="J1413" s="76" t="str">
        <f t="shared" si="687"/>
        <v>Hypericum</v>
      </c>
      <c r="K1413" s="76" t="str">
        <f t="shared" si="687"/>
        <v>revolutum</v>
      </c>
      <c r="L1413" s="77">
        <f t="shared" si="687"/>
        <v>6</v>
      </c>
      <c r="M1413" s="77">
        <f t="shared" si="687"/>
        <v>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Dec</v>
      </c>
      <c r="C1414" s="73">
        <f t="shared" si="685"/>
        <v>3</v>
      </c>
      <c r="D1414" s="74">
        <f t="shared" si="668"/>
        <v>14</v>
      </c>
      <c r="E1414" s="75">
        <f t="shared" si="669"/>
        <v>25</v>
      </c>
      <c r="F1414" s="79"/>
      <c r="G1414" s="82"/>
      <c r="H1414" s="68" t="str">
        <f t="shared" si="686"/>
        <v>Hyprev6_20201203_14_00</v>
      </c>
      <c r="I1414" s="69">
        <f t="shared" si="687"/>
        <v>1</v>
      </c>
      <c r="J1414" s="76" t="str">
        <f t="shared" si="687"/>
        <v>Hypericum</v>
      </c>
      <c r="K1414" s="76" t="str">
        <f t="shared" si="687"/>
        <v>revolutum</v>
      </c>
      <c r="L1414" s="77">
        <f t="shared" si="687"/>
        <v>6</v>
      </c>
      <c r="M1414" s="77">
        <f t="shared" si="687"/>
        <v>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Dec</v>
      </c>
      <c r="C1415" s="73">
        <f t="shared" si="685"/>
        <v>3</v>
      </c>
      <c r="D1415" s="74">
        <f t="shared" si="668"/>
        <v>14</v>
      </c>
      <c r="E1415" s="75">
        <f t="shared" si="669"/>
        <v>26</v>
      </c>
      <c r="F1415" s="79">
        <v>50</v>
      </c>
      <c r="G1415" s="82"/>
      <c r="H1415" s="68" t="str">
        <f t="shared" si="686"/>
        <v>Hyprev6_20201203_14_00</v>
      </c>
      <c r="I1415" s="69">
        <f t="shared" si="687"/>
        <v>1</v>
      </c>
      <c r="J1415" s="76" t="str">
        <f t="shared" si="687"/>
        <v>Hypericum</v>
      </c>
      <c r="K1415" s="76" t="str">
        <f t="shared" si="687"/>
        <v>revolutum</v>
      </c>
      <c r="L1415" s="77">
        <f t="shared" si="687"/>
        <v>6</v>
      </c>
      <c r="M1415" s="77">
        <f t="shared" si="687"/>
        <v>1</v>
      </c>
      <c r="N1415" s="71">
        <f t="shared" si="687"/>
        <v>0</v>
      </c>
      <c r="O1415" s="44"/>
      <c r="P1415" s="45">
        <f t="shared" si="670"/>
        <v>1</v>
      </c>
      <c r="Q1415" s="46" t="str">
        <f t="shared" si="671"/>
        <v>14:26:50</v>
      </c>
      <c r="R1415" s="47" t="str">
        <f t="shared" si="672"/>
        <v>26:50</v>
      </c>
      <c r="S1415" s="48">
        <f t="shared" si="661"/>
        <v>4</v>
      </c>
      <c r="T1415" s="47" t="str">
        <f t="shared" si="673"/>
        <v>14</v>
      </c>
      <c r="U1415" s="49">
        <v>26</v>
      </c>
      <c r="V1415" s="50">
        <v>54</v>
      </c>
      <c r="W1415" s="51" t="str">
        <f t="shared" si="674"/>
        <v>26:54</v>
      </c>
      <c r="X1415" s="52" t="s">
        <v>58</v>
      </c>
      <c r="Y1415" s="52" t="s">
        <v>63</v>
      </c>
      <c r="Z1415" s="52"/>
      <c r="AA1415" s="47" t="s">
        <v>60</v>
      </c>
      <c r="AB1415" s="47" t="str">
        <f t="shared" si="675"/>
        <v>NA</v>
      </c>
      <c r="AC1415" s="53">
        <f t="shared" si="676"/>
        <v>0</v>
      </c>
      <c r="AD1415" s="54">
        <f t="shared" si="677"/>
        <v>1</v>
      </c>
      <c r="AE1415" s="54"/>
      <c r="AF1415" s="54"/>
      <c r="AG1415" s="55">
        <v>1</v>
      </c>
      <c r="AH1415" s="56">
        <f t="shared" si="679"/>
        <v>4</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f t="shared" si="662"/>
        <v>0</v>
      </c>
      <c r="AX1415" s="61" t="str">
        <f t="shared" si="663"/>
        <v/>
      </c>
      <c r="AY1415" s="60">
        <f t="shared" si="664"/>
        <v>0</v>
      </c>
      <c r="AZ1415" s="61" t="str">
        <f t="shared" si="665"/>
        <v/>
      </c>
    </row>
    <row r="1416" spans="1:52" s="3" customFormat="1" hidden="1" x14ac:dyDescent="0.35">
      <c r="A1416" s="72">
        <f t="shared" si="666"/>
        <v>2020</v>
      </c>
      <c r="B1416" s="72" t="str">
        <f t="shared" si="667"/>
        <v>Dec</v>
      </c>
      <c r="C1416" s="73">
        <f t="shared" si="685"/>
        <v>3</v>
      </c>
      <c r="D1416" s="74">
        <f t="shared" si="668"/>
        <v>14</v>
      </c>
      <c r="E1416" s="75">
        <f t="shared" si="669"/>
        <v>27</v>
      </c>
      <c r="F1416" s="79"/>
      <c r="G1416" s="82"/>
      <c r="H1416" s="68" t="str">
        <f t="shared" si="686"/>
        <v>Hyprev6_20201203_14_00</v>
      </c>
      <c r="I1416" s="69">
        <f t="shared" si="687"/>
        <v>1</v>
      </c>
      <c r="J1416" s="76" t="str">
        <f t="shared" si="687"/>
        <v>Hypericum</v>
      </c>
      <c r="K1416" s="76" t="str">
        <f t="shared" si="687"/>
        <v>revolutum</v>
      </c>
      <c r="L1416" s="77">
        <f t="shared" si="687"/>
        <v>6</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Dec</v>
      </c>
      <c r="C1417" s="73">
        <f t="shared" si="685"/>
        <v>3</v>
      </c>
      <c r="D1417" s="74">
        <f t="shared" si="668"/>
        <v>14</v>
      </c>
      <c r="E1417" s="75">
        <f t="shared" si="669"/>
        <v>28</v>
      </c>
      <c r="F1417" s="79"/>
      <c r="G1417" s="82"/>
      <c r="H1417" s="68" t="str">
        <f t="shared" si="686"/>
        <v>Hyprev6_20201203_14_00</v>
      </c>
      <c r="I1417" s="69">
        <f t="shared" si="687"/>
        <v>1</v>
      </c>
      <c r="J1417" s="76" t="str">
        <f t="shared" si="687"/>
        <v>Hypericum</v>
      </c>
      <c r="K1417" s="76" t="str">
        <f t="shared" si="687"/>
        <v>revolutum</v>
      </c>
      <c r="L1417" s="77">
        <f t="shared" si="687"/>
        <v>6</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Dec</v>
      </c>
      <c r="C1418" s="73">
        <f t="shared" si="685"/>
        <v>3</v>
      </c>
      <c r="D1418" s="74">
        <f>IF(IF(E1417=59,D1417+1,D1417)=24,0,IF(E1417=59,D1417+1,D1417))</f>
        <v>14</v>
      </c>
      <c r="E1418" s="75">
        <f>IF(E1417&lt;59,E1417+1,0)</f>
        <v>29</v>
      </c>
      <c r="F1418" s="79"/>
      <c r="G1418" s="82"/>
      <c r="H1418" s="68" t="str">
        <f t="shared" si="686"/>
        <v>Hyprev6_20201203_14_00</v>
      </c>
      <c r="I1418" s="69">
        <f t="shared" si="687"/>
        <v>1</v>
      </c>
      <c r="J1418" s="76" t="str">
        <f>J1417</f>
        <v>Hypericum</v>
      </c>
      <c r="K1418" s="76" t="str">
        <f>K1417</f>
        <v>revolutum</v>
      </c>
      <c r="L1418" s="77">
        <f>L1417</f>
        <v>6</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Dec</v>
      </c>
      <c r="C1419" s="73">
        <f t="shared" si="685"/>
        <v>3</v>
      </c>
      <c r="D1419" s="74">
        <f t="shared" ref="D1419:D1424" si="690">IF(IF(E1418=59,D1418+1,D1418)=24,0,IF(E1418=59,D1418+1,D1418))</f>
        <v>14</v>
      </c>
      <c r="E1419" s="75">
        <f t="shared" ref="E1419:E1424" si="691">IF(E1418&lt;59,E1418+1,0)</f>
        <v>30</v>
      </c>
      <c r="F1419" s="79"/>
      <c r="G1419" s="82"/>
      <c r="H1419" s="68" t="str">
        <f t="shared" si="686"/>
        <v>Hyprev6_20201203_14_00</v>
      </c>
      <c r="I1419" s="69">
        <f t="shared" si="687"/>
        <v>1</v>
      </c>
      <c r="J1419" s="76" t="str">
        <f t="shared" si="687"/>
        <v>Hypericum</v>
      </c>
      <c r="K1419" s="76" t="str">
        <f t="shared" si="687"/>
        <v>revolutum</v>
      </c>
      <c r="L1419" s="77">
        <f t="shared" si="687"/>
        <v>6</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Dec</v>
      </c>
      <c r="C1420" s="73">
        <f t="shared" si="685"/>
        <v>3</v>
      </c>
      <c r="D1420" s="74">
        <f t="shared" si="690"/>
        <v>14</v>
      </c>
      <c r="E1420" s="75">
        <f t="shared" si="691"/>
        <v>31</v>
      </c>
      <c r="F1420" s="79"/>
      <c r="G1420" s="82"/>
      <c r="H1420" s="68" t="str">
        <f t="shared" si="686"/>
        <v>Hyprev6_20201203_14_00</v>
      </c>
      <c r="I1420" s="69">
        <f t="shared" si="687"/>
        <v>1</v>
      </c>
      <c r="J1420" s="76" t="str">
        <f t="shared" si="687"/>
        <v>Hypericum</v>
      </c>
      <c r="K1420" s="76" t="str">
        <f t="shared" si="687"/>
        <v>revolutum</v>
      </c>
      <c r="L1420" s="77">
        <f t="shared" si="687"/>
        <v>6</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Dec</v>
      </c>
      <c r="C1421" s="73">
        <f t="shared" si="685"/>
        <v>3</v>
      </c>
      <c r="D1421" s="74">
        <f t="shared" si="690"/>
        <v>14</v>
      </c>
      <c r="E1421" s="75">
        <f t="shared" si="691"/>
        <v>32</v>
      </c>
      <c r="F1421" s="79"/>
      <c r="G1421" s="82"/>
      <c r="H1421" s="68" t="str">
        <f t="shared" si="686"/>
        <v>Hyprev6_20201203_14_00</v>
      </c>
      <c r="I1421" s="69">
        <f t="shared" si="687"/>
        <v>1</v>
      </c>
      <c r="J1421" s="76" t="str">
        <f t="shared" si="687"/>
        <v>Hypericum</v>
      </c>
      <c r="K1421" s="76" t="str">
        <f t="shared" si="687"/>
        <v>revolutum</v>
      </c>
      <c r="L1421" s="77">
        <f t="shared" si="687"/>
        <v>6</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Dec</v>
      </c>
      <c r="C1422" s="73">
        <f t="shared" si="685"/>
        <v>3</v>
      </c>
      <c r="D1422" s="74">
        <f t="shared" si="690"/>
        <v>14</v>
      </c>
      <c r="E1422" s="75">
        <f t="shared" si="691"/>
        <v>33</v>
      </c>
      <c r="F1422" s="79"/>
      <c r="G1422" s="82"/>
      <c r="H1422" s="68" t="str">
        <f t="shared" si="686"/>
        <v>Hyprev6_20201203_14_00</v>
      </c>
      <c r="I1422" s="69">
        <f t="shared" si="687"/>
        <v>1</v>
      </c>
      <c r="J1422" s="76" t="str">
        <f t="shared" si="687"/>
        <v>Hypericum</v>
      </c>
      <c r="K1422" s="76" t="str">
        <f t="shared" si="687"/>
        <v>revolutum</v>
      </c>
      <c r="L1422" s="77">
        <f t="shared" si="687"/>
        <v>6</v>
      </c>
      <c r="M1422" s="77">
        <f t="shared" si="687"/>
        <v>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Dec</v>
      </c>
      <c r="C1423" s="73">
        <f t="shared" si="685"/>
        <v>3</v>
      </c>
      <c r="D1423" s="74">
        <f t="shared" si="690"/>
        <v>14</v>
      </c>
      <c r="E1423" s="75">
        <f t="shared" si="691"/>
        <v>34</v>
      </c>
      <c r="F1423" s="79"/>
      <c r="G1423" s="82"/>
      <c r="H1423" s="68" t="str">
        <f t="shared" si="686"/>
        <v>Hyprev6_20201203_14_00</v>
      </c>
      <c r="I1423" s="69">
        <f t="shared" si="687"/>
        <v>1</v>
      </c>
      <c r="J1423" s="76" t="str">
        <f t="shared" si="687"/>
        <v>Hypericum</v>
      </c>
      <c r="K1423" s="76" t="str">
        <f t="shared" si="687"/>
        <v>revolutum</v>
      </c>
      <c r="L1423" s="77">
        <f t="shared" si="687"/>
        <v>6</v>
      </c>
      <c r="M1423" s="77">
        <f t="shared" si="687"/>
        <v>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Dec</v>
      </c>
      <c r="C1424" s="73">
        <f t="shared" si="685"/>
        <v>3</v>
      </c>
      <c r="D1424" s="74">
        <f t="shared" si="690"/>
        <v>14</v>
      </c>
      <c r="E1424" s="75">
        <f t="shared" si="691"/>
        <v>35</v>
      </c>
      <c r="F1424" s="79"/>
      <c r="G1424" s="82"/>
      <c r="H1424" s="68" t="str">
        <f t="shared" si="686"/>
        <v>Hyprev6_20201203_14_00</v>
      </c>
      <c r="I1424" s="69">
        <f t="shared" si="687"/>
        <v>1</v>
      </c>
      <c r="J1424" s="76" t="str">
        <f t="shared" si="687"/>
        <v>Hypericum</v>
      </c>
      <c r="K1424" s="76" t="str">
        <f t="shared" si="687"/>
        <v>revolutum</v>
      </c>
      <c r="L1424" s="77">
        <f t="shared" si="687"/>
        <v>6</v>
      </c>
      <c r="M1424" s="77">
        <f t="shared" si="687"/>
        <v>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Dec</v>
      </c>
      <c r="C1425" s="73">
        <f t="shared" si="685"/>
        <v>3</v>
      </c>
      <c r="D1425" s="74">
        <f>IF(IF(E1424=59,D1424+1,D1424)=24,0,IF(E1424=59,D1424+1,D1424))</f>
        <v>14</v>
      </c>
      <c r="E1425" s="75">
        <f>IF(E1424&lt;59,E1424+1,0)</f>
        <v>36</v>
      </c>
      <c r="F1425" s="79"/>
      <c r="G1425" s="82"/>
      <c r="H1425" s="68" t="str">
        <f t="shared" si="686"/>
        <v>Hyprev6_20201203_14_00</v>
      </c>
      <c r="I1425" s="69">
        <f t="shared" si="687"/>
        <v>1</v>
      </c>
      <c r="J1425" s="76" t="str">
        <f>J1424</f>
        <v>Hypericum</v>
      </c>
      <c r="K1425" s="76" t="str">
        <f>K1424</f>
        <v>revolutum</v>
      </c>
      <c r="L1425" s="77">
        <f>L1424</f>
        <v>6</v>
      </c>
      <c r="M1425" s="77">
        <f t="shared" si="687"/>
        <v>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89" si="692">A1425</f>
        <v>2020</v>
      </c>
      <c r="B1426" s="72" t="str">
        <f t="shared" ref="B1426:B1442" si="693">IF(C1425-C1426&gt;0, TEXT(DATE(2016,(MONTH(DATEVALUE(B1425&amp;"1"))+1),1),"mmm"), B1425)</f>
        <v>Dec</v>
      </c>
      <c r="C1426" s="73">
        <f t="shared" si="685"/>
        <v>3</v>
      </c>
      <c r="D1426" s="74">
        <f t="shared" ref="D1426:D1442" si="694">IF(IF(E1425=59,D1425+1,D1425)=24,0,IF(E1425=59,D1425+1,D1425))</f>
        <v>14</v>
      </c>
      <c r="E1426" s="75">
        <f t="shared" ref="E1426:E1489" si="695">IF(E1425&lt;59,E1425+1,0)</f>
        <v>37</v>
      </c>
      <c r="F1426" s="79"/>
      <c r="G1426" s="82"/>
      <c r="H1426" s="68" t="str">
        <f t="shared" si="686"/>
        <v>Hyprev6_20201203_14_00</v>
      </c>
      <c r="I1426" s="69">
        <f t="shared" si="687"/>
        <v>1</v>
      </c>
      <c r="J1426" s="76" t="str">
        <f t="shared" si="687"/>
        <v>Hypericum</v>
      </c>
      <c r="K1426" s="76" t="str">
        <f t="shared" si="687"/>
        <v>revolutum</v>
      </c>
      <c r="L1426" s="77">
        <f t="shared" si="687"/>
        <v>6</v>
      </c>
      <c r="M1426" s="77">
        <f t="shared" si="687"/>
        <v>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Dec</v>
      </c>
      <c r="C1427" s="73">
        <f t="shared" si="685"/>
        <v>3</v>
      </c>
      <c r="D1427" s="74">
        <f t="shared" si="694"/>
        <v>14</v>
      </c>
      <c r="E1427" s="75">
        <f t="shared" si="695"/>
        <v>38</v>
      </c>
      <c r="F1427" s="79"/>
      <c r="G1427" s="82"/>
      <c r="H1427" s="68" t="str">
        <f t="shared" si="686"/>
        <v>Hyprev6_20201203_14_00</v>
      </c>
      <c r="I1427" s="69">
        <f t="shared" si="687"/>
        <v>1</v>
      </c>
      <c r="J1427" s="76" t="str">
        <f t="shared" si="687"/>
        <v>Hypericum</v>
      </c>
      <c r="K1427" s="76" t="str">
        <f t="shared" si="687"/>
        <v>revolutum</v>
      </c>
      <c r="L1427" s="77">
        <f t="shared" si="687"/>
        <v>6</v>
      </c>
      <c r="M1427" s="77">
        <f t="shared" si="687"/>
        <v>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Dec</v>
      </c>
      <c r="C1428" s="73">
        <f t="shared" si="685"/>
        <v>3</v>
      </c>
      <c r="D1428" s="74">
        <f t="shared" si="694"/>
        <v>14</v>
      </c>
      <c r="E1428" s="75">
        <f t="shared" si="695"/>
        <v>39</v>
      </c>
      <c r="F1428" s="79"/>
      <c r="G1428" s="82"/>
      <c r="H1428" s="68" t="str">
        <f t="shared" si="686"/>
        <v>Hyprev6_20201203_14_00</v>
      </c>
      <c r="I1428" s="69">
        <f t="shared" si="687"/>
        <v>1</v>
      </c>
      <c r="J1428" s="76" t="str">
        <f t="shared" si="687"/>
        <v>Hypericum</v>
      </c>
      <c r="K1428" s="76" t="str">
        <f t="shared" si="687"/>
        <v>revolutum</v>
      </c>
      <c r="L1428" s="77">
        <f t="shared" si="687"/>
        <v>6</v>
      </c>
      <c r="M1428" s="77">
        <f t="shared" si="687"/>
        <v>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Dec</v>
      </c>
      <c r="C1429" s="73">
        <f t="shared" si="685"/>
        <v>3</v>
      </c>
      <c r="D1429" s="74">
        <f t="shared" si="694"/>
        <v>14</v>
      </c>
      <c r="E1429" s="75">
        <f t="shared" si="695"/>
        <v>40</v>
      </c>
      <c r="F1429" s="79"/>
      <c r="G1429" s="82"/>
      <c r="H1429" s="68" t="str">
        <f t="shared" si="686"/>
        <v>Hyprev6_20201203_14_00</v>
      </c>
      <c r="I1429" s="69">
        <f t="shared" ref="I1429:N1442" si="696">I1428</f>
        <v>1</v>
      </c>
      <c r="J1429" s="76" t="str">
        <f t="shared" si="696"/>
        <v>Hypericum</v>
      </c>
      <c r="K1429" s="76" t="str">
        <f t="shared" si="696"/>
        <v>revolutum</v>
      </c>
      <c r="L1429" s="77">
        <f t="shared" si="696"/>
        <v>6</v>
      </c>
      <c r="M1429" s="77">
        <f t="shared" si="696"/>
        <v>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Dec</v>
      </c>
      <c r="C1430" s="73">
        <f t="shared" si="685"/>
        <v>3</v>
      </c>
      <c r="D1430" s="74">
        <f t="shared" si="694"/>
        <v>14</v>
      </c>
      <c r="E1430" s="75">
        <f t="shared" si="695"/>
        <v>41</v>
      </c>
      <c r="F1430" s="79"/>
      <c r="G1430" s="82"/>
      <c r="H1430" s="68" t="str">
        <f t="shared" si="686"/>
        <v>Hyprev6_20201203_14_00</v>
      </c>
      <c r="I1430" s="69">
        <f t="shared" si="696"/>
        <v>1</v>
      </c>
      <c r="J1430" s="76" t="str">
        <f t="shared" si="696"/>
        <v>Hypericum</v>
      </c>
      <c r="K1430" s="76" t="str">
        <f t="shared" si="696"/>
        <v>revolutum</v>
      </c>
      <c r="L1430" s="77">
        <f t="shared" si="696"/>
        <v>6</v>
      </c>
      <c r="M1430" s="77">
        <f t="shared" si="696"/>
        <v>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Dec</v>
      </c>
      <c r="C1431" s="73">
        <f t="shared" si="685"/>
        <v>3</v>
      </c>
      <c r="D1431" s="74">
        <f t="shared" si="694"/>
        <v>14</v>
      </c>
      <c r="E1431" s="75">
        <f t="shared" si="695"/>
        <v>42</v>
      </c>
      <c r="F1431" s="79"/>
      <c r="G1431" s="82"/>
      <c r="H1431" s="68" t="str">
        <f t="shared" si="686"/>
        <v>Hyprev6_20201203_14_00</v>
      </c>
      <c r="I1431" s="69">
        <f t="shared" si="696"/>
        <v>1</v>
      </c>
      <c r="J1431" s="76" t="str">
        <f t="shared" si="696"/>
        <v>Hypericum</v>
      </c>
      <c r="K1431" s="76" t="str">
        <f t="shared" si="696"/>
        <v>revolutum</v>
      </c>
      <c r="L1431" s="77">
        <f t="shared" si="696"/>
        <v>6</v>
      </c>
      <c r="M1431" s="77">
        <f t="shared" si="696"/>
        <v>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Dec</v>
      </c>
      <c r="C1432" s="73">
        <f t="shared" si="685"/>
        <v>3</v>
      </c>
      <c r="D1432" s="74">
        <f t="shared" si="694"/>
        <v>14</v>
      </c>
      <c r="E1432" s="75">
        <f t="shared" si="695"/>
        <v>43</v>
      </c>
      <c r="F1432" s="79"/>
      <c r="G1432" s="82"/>
      <c r="H1432" s="68" t="str">
        <f t="shared" si="686"/>
        <v>Hyprev6_20201203_14_00</v>
      </c>
      <c r="I1432" s="69">
        <f t="shared" si="696"/>
        <v>1</v>
      </c>
      <c r="J1432" s="76" t="str">
        <f t="shared" si="696"/>
        <v>Hypericum</v>
      </c>
      <c r="K1432" s="76" t="str">
        <f t="shared" si="696"/>
        <v>revolutum</v>
      </c>
      <c r="L1432" s="77">
        <f t="shared" si="696"/>
        <v>6</v>
      </c>
      <c r="M1432" s="77">
        <f t="shared" si="696"/>
        <v>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Dec</v>
      </c>
      <c r="C1433" s="73">
        <f t="shared" si="685"/>
        <v>3</v>
      </c>
      <c r="D1433" s="74">
        <f t="shared" si="694"/>
        <v>14</v>
      </c>
      <c r="E1433" s="75">
        <f t="shared" si="695"/>
        <v>44</v>
      </c>
      <c r="F1433" s="79"/>
      <c r="G1433" s="82"/>
      <c r="H1433" s="68" t="str">
        <f t="shared" si="686"/>
        <v>Hyprev6_20201203_14_00</v>
      </c>
      <c r="I1433" s="69">
        <f t="shared" si="696"/>
        <v>1</v>
      </c>
      <c r="J1433" s="76" t="str">
        <f t="shared" si="696"/>
        <v>Hypericum</v>
      </c>
      <c r="K1433" s="76" t="str">
        <f t="shared" si="696"/>
        <v>revolutum</v>
      </c>
      <c r="L1433" s="77">
        <f t="shared" si="696"/>
        <v>6</v>
      </c>
      <c r="M1433" s="77">
        <f t="shared" si="696"/>
        <v>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Dec</v>
      </c>
      <c r="C1434" s="73">
        <f t="shared" si="685"/>
        <v>3</v>
      </c>
      <c r="D1434" s="74">
        <f t="shared" si="694"/>
        <v>14</v>
      </c>
      <c r="E1434" s="75">
        <f t="shared" si="695"/>
        <v>45</v>
      </c>
      <c r="F1434" s="79"/>
      <c r="G1434" s="82"/>
      <c r="H1434" s="68" t="str">
        <f t="shared" si="686"/>
        <v>Hyprev6_20201203_14_00</v>
      </c>
      <c r="I1434" s="69">
        <f t="shared" si="696"/>
        <v>1</v>
      </c>
      <c r="J1434" s="76" t="str">
        <f t="shared" si="696"/>
        <v>Hypericum</v>
      </c>
      <c r="K1434" s="76" t="str">
        <f t="shared" si="696"/>
        <v>revolutum</v>
      </c>
      <c r="L1434" s="77">
        <f t="shared" si="696"/>
        <v>6</v>
      </c>
      <c r="M1434" s="77">
        <f t="shared" si="696"/>
        <v>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Dec</v>
      </c>
      <c r="C1435" s="73">
        <f t="shared" si="685"/>
        <v>3</v>
      </c>
      <c r="D1435" s="74">
        <f t="shared" si="694"/>
        <v>14</v>
      </c>
      <c r="E1435" s="75">
        <f t="shared" si="695"/>
        <v>46</v>
      </c>
      <c r="F1435" s="79"/>
      <c r="G1435" s="82"/>
      <c r="H1435" s="68" t="str">
        <f t="shared" si="686"/>
        <v>Hyprev6_20201203_14_00</v>
      </c>
      <c r="I1435" s="69">
        <f t="shared" si="696"/>
        <v>1</v>
      </c>
      <c r="J1435" s="76" t="str">
        <f t="shared" si="696"/>
        <v>Hypericum</v>
      </c>
      <c r="K1435" s="76" t="str">
        <f t="shared" si="696"/>
        <v>revolutum</v>
      </c>
      <c r="L1435" s="77">
        <f t="shared" si="696"/>
        <v>6</v>
      </c>
      <c r="M1435" s="77">
        <f t="shared" si="696"/>
        <v>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Dec</v>
      </c>
      <c r="C1436" s="73">
        <f t="shared" si="685"/>
        <v>3</v>
      </c>
      <c r="D1436" s="74">
        <f t="shared" si="694"/>
        <v>14</v>
      </c>
      <c r="E1436" s="75">
        <f t="shared" si="695"/>
        <v>47</v>
      </c>
      <c r="F1436" s="79"/>
      <c r="G1436" s="82"/>
      <c r="H1436" s="68" t="str">
        <f t="shared" si="686"/>
        <v>Hyprev6_20201203_14_00</v>
      </c>
      <c r="I1436" s="69">
        <f t="shared" si="696"/>
        <v>1</v>
      </c>
      <c r="J1436" s="76" t="str">
        <f t="shared" si="696"/>
        <v>Hypericum</v>
      </c>
      <c r="K1436" s="76" t="str">
        <f t="shared" si="696"/>
        <v>revolutum</v>
      </c>
      <c r="L1436" s="77">
        <f t="shared" si="696"/>
        <v>6</v>
      </c>
      <c r="M1436" s="77">
        <f t="shared" si="696"/>
        <v>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Dec</v>
      </c>
      <c r="C1437" s="73">
        <f t="shared" si="685"/>
        <v>3</v>
      </c>
      <c r="D1437" s="74">
        <f t="shared" si="694"/>
        <v>14</v>
      </c>
      <c r="E1437" s="75">
        <f t="shared" si="695"/>
        <v>48</v>
      </c>
      <c r="F1437" s="79"/>
      <c r="G1437" s="82"/>
      <c r="H1437" s="68" t="str">
        <f t="shared" si="686"/>
        <v>Hyprev6_20201203_14_00</v>
      </c>
      <c r="I1437" s="69">
        <f t="shared" si="696"/>
        <v>1</v>
      </c>
      <c r="J1437" s="76" t="str">
        <f t="shared" si="696"/>
        <v>Hypericum</v>
      </c>
      <c r="K1437" s="76" t="str">
        <f t="shared" si="696"/>
        <v>revolutum</v>
      </c>
      <c r="L1437" s="77">
        <f t="shared" si="696"/>
        <v>6</v>
      </c>
      <c r="M1437" s="77">
        <f t="shared" si="696"/>
        <v>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Dec</v>
      </c>
      <c r="C1438" s="73">
        <f t="shared" si="685"/>
        <v>3</v>
      </c>
      <c r="D1438" s="74">
        <f t="shared" si="694"/>
        <v>14</v>
      </c>
      <c r="E1438" s="75">
        <f t="shared" si="695"/>
        <v>49</v>
      </c>
      <c r="F1438" s="79"/>
      <c r="G1438" s="82"/>
      <c r="H1438" s="68" t="str">
        <f t="shared" si="686"/>
        <v>Hyprev6_20201203_14_00</v>
      </c>
      <c r="I1438" s="69">
        <f t="shared" si="696"/>
        <v>1</v>
      </c>
      <c r="J1438" s="76" t="str">
        <f t="shared" si="696"/>
        <v>Hypericum</v>
      </c>
      <c r="K1438" s="76" t="str">
        <f t="shared" si="696"/>
        <v>revolutum</v>
      </c>
      <c r="L1438" s="77">
        <f t="shared" si="696"/>
        <v>6</v>
      </c>
      <c r="M1438" s="77">
        <f t="shared" si="696"/>
        <v>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Dec</v>
      </c>
      <c r="C1439" s="73">
        <f t="shared" si="685"/>
        <v>3</v>
      </c>
      <c r="D1439" s="74">
        <f t="shared" si="694"/>
        <v>14</v>
      </c>
      <c r="E1439" s="75">
        <f t="shared" si="695"/>
        <v>50</v>
      </c>
      <c r="F1439" s="79"/>
      <c r="G1439" s="82"/>
      <c r="H1439" s="68" t="str">
        <f t="shared" si="686"/>
        <v>Hyprev6_20201203_14_00</v>
      </c>
      <c r="I1439" s="69">
        <f t="shared" si="696"/>
        <v>1</v>
      </c>
      <c r="J1439" s="76" t="str">
        <f t="shared" si="696"/>
        <v>Hypericum</v>
      </c>
      <c r="K1439" s="76" t="str">
        <f t="shared" si="696"/>
        <v>revolutum</v>
      </c>
      <c r="L1439" s="77">
        <f t="shared" si="696"/>
        <v>6</v>
      </c>
      <c r="M1439" s="77">
        <f t="shared" si="696"/>
        <v>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t="12" hidden="1" customHeight="1" x14ac:dyDescent="0.35">
      <c r="A1440" s="72">
        <f t="shared" si="692"/>
        <v>2020</v>
      </c>
      <c r="B1440" s="72" t="str">
        <f t="shared" si="693"/>
        <v>Dec</v>
      </c>
      <c r="C1440" s="73">
        <f t="shared" si="685"/>
        <v>3</v>
      </c>
      <c r="D1440" s="74">
        <f t="shared" si="694"/>
        <v>14</v>
      </c>
      <c r="E1440" s="75">
        <f t="shared" si="695"/>
        <v>51</v>
      </c>
      <c r="F1440" s="79"/>
      <c r="G1440" s="82"/>
      <c r="H1440" s="68" t="str">
        <f t="shared" si="686"/>
        <v>Hyprev6_20201203_14_00</v>
      </c>
      <c r="I1440" s="69">
        <f t="shared" si="696"/>
        <v>1</v>
      </c>
      <c r="J1440" s="76" t="str">
        <f t="shared" si="696"/>
        <v>Hypericum</v>
      </c>
      <c r="K1440" s="76" t="str">
        <f t="shared" si="696"/>
        <v>revolutum</v>
      </c>
      <c r="L1440" s="77">
        <f t="shared" si="696"/>
        <v>6</v>
      </c>
      <c r="M1440" s="77">
        <f t="shared" si="696"/>
        <v>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t="12" hidden="1" customHeight="1" x14ac:dyDescent="0.35">
      <c r="A1441" s="72">
        <f t="shared" si="692"/>
        <v>2020</v>
      </c>
      <c r="B1441" s="72" t="str">
        <f t="shared" si="693"/>
        <v>Dec</v>
      </c>
      <c r="C1441" s="73">
        <f t="shared" si="685"/>
        <v>3</v>
      </c>
      <c r="D1441" s="74">
        <f t="shared" si="694"/>
        <v>14</v>
      </c>
      <c r="E1441" s="75">
        <f t="shared" si="695"/>
        <v>52</v>
      </c>
      <c r="F1441" s="79"/>
      <c r="G1441" s="82"/>
      <c r="H1441" s="68" t="str">
        <f t="shared" si="686"/>
        <v>Hyprev6_20201203_14_00</v>
      </c>
      <c r="I1441" s="69">
        <f t="shared" si="696"/>
        <v>1</v>
      </c>
      <c r="J1441" s="76" t="str">
        <f t="shared" si="696"/>
        <v>Hypericum</v>
      </c>
      <c r="K1441" s="76" t="str">
        <f t="shared" si="696"/>
        <v>revolutum</v>
      </c>
      <c r="L1441" s="77">
        <f t="shared" si="696"/>
        <v>6</v>
      </c>
      <c r="M1441" s="77">
        <f t="shared" si="696"/>
        <v>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2" hidden="1" customHeight="1" thickBot="1" x14ac:dyDescent="0.4">
      <c r="A1442" s="85">
        <f t="shared" si="692"/>
        <v>2020</v>
      </c>
      <c r="B1442" s="85" t="str">
        <f t="shared" si="693"/>
        <v>Dec</v>
      </c>
      <c r="C1442" s="86">
        <f t="shared" si="685"/>
        <v>3</v>
      </c>
      <c r="D1442" s="87">
        <f t="shared" si="694"/>
        <v>14</v>
      </c>
      <c r="E1442" s="88">
        <f t="shared" si="695"/>
        <v>53</v>
      </c>
      <c r="F1442" s="89"/>
      <c r="G1442" s="90"/>
      <c r="H1442" s="68" t="str">
        <f t="shared" si="686"/>
        <v>Hyprev6_20201203_14_00</v>
      </c>
      <c r="I1442" s="91">
        <f t="shared" si="696"/>
        <v>1</v>
      </c>
      <c r="J1442" s="92" t="str">
        <f t="shared" si="696"/>
        <v>Hypericum</v>
      </c>
      <c r="K1442" s="92" t="str">
        <f t="shared" si="696"/>
        <v>revolutum</v>
      </c>
      <c r="L1442" s="93">
        <f t="shared" si="696"/>
        <v>6</v>
      </c>
      <c r="M1442" s="93">
        <f t="shared" si="696"/>
        <v>1</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s="3" customFormat="1" ht="12" hidden="1" customHeight="1" x14ac:dyDescent="0.35">
      <c r="A1443" s="72">
        <f t="shared" si="692"/>
        <v>2020</v>
      </c>
      <c r="B1443" s="72" t="str">
        <f t="shared" ref="B1443:B1506" si="697">IF(C1442-C1443&gt;0, TEXT(DATE(2016,(MONTH(DATEVALUE(B1442&amp;"1"))+1),1),"mmm"), B1442)</f>
        <v>Dec</v>
      </c>
      <c r="C1443" s="73">
        <f t="shared" ref="C1443:C1506" si="698">IF(AND(D1443=0, E1443=0), IF(TEXT(C1442,"dd")=TEXT(EOMONTH(DATE(A1442,MONTH(DATEVALUE(B1442&amp;"1")),C1442),0), "dd"), 1, C1442+1), C1442)</f>
        <v>3</v>
      </c>
      <c r="D1443" s="74">
        <f t="shared" ref="D1443:D1506" si="699">IF(IF(E1442=59,D1442+1,D1442)=24,0,IF(E1442=59,D1442+1,D1442))</f>
        <v>14</v>
      </c>
      <c r="E1443" s="75">
        <f t="shared" si="695"/>
        <v>54</v>
      </c>
      <c r="F1443" s="79"/>
      <c r="G1443" s="82"/>
      <c r="H1443" s="68" t="str">
        <f t="shared" ref="H1443:H1506"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Hyprev6_20201203_14_00</v>
      </c>
      <c r="I1443" s="69">
        <f t="shared" ref="I1443:N1443" si="701">I1442</f>
        <v>1</v>
      </c>
      <c r="J1443" s="76" t="str">
        <f t="shared" si="701"/>
        <v>Hypericum</v>
      </c>
      <c r="K1443" s="76" t="str">
        <f t="shared" si="701"/>
        <v>revolutum</v>
      </c>
      <c r="L1443" s="77">
        <f t="shared" si="701"/>
        <v>6</v>
      </c>
      <c r="M1443" s="77">
        <f t="shared" si="701"/>
        <v>1</v>
      </c>
      <c r="N1443" s="71">
        <f t="shared" si="701"/>
        <v>0</v>
      </c>
      <c r="O1443" s="44"/>
      <c r="P1443" s="45" t="str">
        <f t="shared" ref="P1443:P1506" si="702">IF(F1443="","",1)</f>
        <v/>
      </c>
      <c r="Q1443" s="46" t="str">
        <f t="shared" ref="Q1443:Q1506" si="703">TEXT(IF(P1443=1,CONCATENATE($D1443,":",$E1443,":",(LEFT($F1443,2))),""),"hh:mm:ss")</f>
        <v/>
      </c>
      <c r="R1443" s="47" t="e">
        <f t="shared" ref="R1443:R1506" si="704">TEXT(Q1443-TIME(0,RIGHT($H1443,2),$G$9)+(Q1443&gt;TIME(0,RIGHT($H1443,2),$G$9)),"mm:ss")</f>
        <v>#VALUE!</v>
      </c>
      <c r="S1443" s="48" t="e">
        <f t="shared" ref="S1443:S1506" si="705">IF(T1443&lt;D1443, (T1443*3600+U1443*60+V1443)+((23*3600+59*60+60)-(D1443*3600+E1443*60+LEFT(F1443,2))), (T1443*3600+U1443*60+V1443)-(D1443*3600+E1443*60+LEFT(F1443,2)))</f>
        <v>#VALUE!</v>
      </c>
      <c r="T1443" s="47" t="str">
        <f t="shared" ref="T1443:T1506" si="706">TEXT(IF(P1443=1,D1443,""),"00")</f>
        <v/>
      </c>
      <c r="U1443" s="49"/>
      <c r="V1443" s="50"/>
      <c r="W1443" s="51" t="e">
        <f t="shared" ref="W1443:W1506" si="707">IF(O1443=0,TEXT(TIME(T1443,U1443,V1443)-TIME(D1443,E1443,RIGHT(F1443,2))+TIME(0,LEFT(R1443,2),RIGHT(R1443,2)),"mm:ss"),TEXT(TIME(T1443,U1443,V1443)-TIME(D1443,E1443,RIGHT(F1443,2))+TIME(0,LEFT(R1443,2),RIGHT(R1443,2))-TIME(0,($G$10*O1443),0),"mm:ss"))</f>
        <v>#VALUE!</v>
      </c>
      <c r="X1443" s="52"/>
      <c r="Y1443" s="52"/>
      <c r="Z1443" s="52"/>
      <c r="AA1443" s="47" t="e">
        <f>INDEX(VISITORS[INSECT ORDER], MATCH(X1443,VISITORS[NAME USED],0))</f>
        <v>#N/A</v>
      </c>
      <c r="AB1443" s="47" t="e">
        <f t="shared" ref="AB1443:AB1506" si="708">IF(AA1443&lt;&gt;0,"NA","")</f>
        <v>#N/A</v>
      </c>
      <c r="AC1443" s="53" t="e">
        <f t="shared" ref="AC1443:AC1506" si="709">IF(SUM(AH1443,AJ1443,AL1443,AN1443,AP1443,AR1443)=S1443,,"")</f>
        <v>#VALUE!</v>
      </c>
      <c r="AD1443" s="54" t="str">
        <f t="shared" ref="AD1443:AD1506" si="710">IF(P1443=1,1,"")</f>
        <v/>
      </c>
      <c r="AE1443" s="54"/>
      <c r="AF1443" s="54"/>
      <c r="AG1443" s="55" t="str">
        <f t="shared" ref="AG1443:AG1506" si="711">IF(OR(X1443="Something small"),1,"")</f>
        <v/>
      </c>
      <c r="AH1443" s="56" t="str">
        <f t="shared" ref="AH1443:AH1506" si="712">IF(AG1443=1,$S1443,"")</f>
        <v/>
      </c>
      <c r="AI1443" s="55"/>
      <c r="AJ1443" s="56" t="str">
        <f t="shared" ref="AJ1443:AJ1506" si="713">IF(AI1443=1,$S1443,"")</f>
        <v/>
      </c>
      <c r="AK1443" s="55"/>
      <c r="AL1443" s="56" t="str">
        <f t="shared" ref="AL1443:AL1506" si="714">IF(AK1443=1,$S1443,"")</f>
        <v/>
      </c>
      <c r="AM1443" s="55"/>
      <c r="AN1443" s="56" t="str">
        <f t="shared" ref="AN1443:AN1506" si="715">IF(AM1443=1,$S1443,"")</f>
        <v/>
      </c>
      <c r="AO1443" s="55"/>
      <c r="AP1443" s="56" t="str">
        <f t="shared" ref="AP1443:AP1506" si="716">IF(AO1443=1,$S1443,"")</f>
        <v/>
      </c>
      <c r="AQ1443" s="55"/>
      <c r="AR1443" s="56" t="str">
        <f t="shared" ref="AR1443:AR1506" si="717">IF(AQ1443=1,$S1443,"")</f>
        <v/>
      </c>
      <c r="AS1443" s="57"/>
      <c r="AT1443" s="58"/>
      <c r="AU1443" s="58"/>
      <c r="AV1443" s="59"/>
      <c r="AW1443" s="60" t="str">
        <f t="shared" ref="AW1443:AW1506" si="718">IF(P1443=1,0,"")</f>
        <v/>
      </c>
      <c r="AX1443" s="61" t="str">
        <f t="shared" ref="AX1443:AX1506" si="719">IF(AW1443=1,AD1443,"")</f>
        <v/>
      </c>
      <c r="AY1443" s="60" t="str">
        <f t="shared" ref="AY1443:AY1506" si="720">IF(P1443=1,0,"")</f>
        <v/>
      </c>
      <c r="AZ1443" s="61" t="str">
        <f t="shared" ref="AZ1443:AZ1506" si="721">IF(AY1443=1,AD1443,"")</f>
        <v/>
      </c>
    </row>
    <row r="1444" spans="1:52" s="3" customFormat="1" ht="12" hidden="1" customHeight="1" x14ac:dyDescent="0.35">
      <c r="A1444" s="72">
        <f t="shared" si="692"/>
        <v>2020</v>
      </c>
      <c r="B1444" s="72" t="str">
        <f t="shared" si="697"/>
        <v>Dec</v>
      </c>
      <c r="C1444" s="73">
        <f t="shared" si="698"/>
        <v>3</v>
      </c>
      <c r="D1444" s="74">
        <f t="shared" si="699"/>
        <v>14</v>
      </c>
      <c r="E1444" s="75">
        <f t="shared" si="695"/>
        <v>55</v>
      </c>
      <c r="F1444" s="79"/>
      <c r="G1444" s="82"/>
      <c r="H1444" s="68" t="str">
        <f t="shared" si="700"/>
        <v>Hyprev6_20201203_14_00</v>
      </c>
      <c r="I1444" s="69">
        <f t="shared" ref="I1444:N1444" si="722">I1443</f>
        <v>1</v>
      </c>
      <c r="J1444" s="76" t="str">
        <f t="shared" si="722"/>
        <v>Hypericum</v>
      </c>
      <c r="K1444" s="76" t="str">
        <f t="shared" si="722"/>
        <v>revolutum</v>
      </c>
      <c r="L1444" s="77">
        <f t="shared" si="722"/>
        <v>6</v>
      </c>
      <c r="M1444" s="77">
        <f t="shared" si="722"/>
        <v>1</v>
      </c>
      <c r="N1444" s="71">
        <f t="shared" si="722"/>
        <v>0</v>
      </c>
      <c r="O1444" s="44"/>
      <c r="P1444" s="45" t="str">
        <f t="shared" si="702"/>
        <v/>
      </c>
      <c r="Q1444" s="46" t="str">
        <f t="shared" si="703"/>
        <v/>
      </c>
      <c r="R1444" s="47" t="e">
        <f t="shared" si="704"/>
        <v>#VALUE!</v>
      </c>
      <c r="S1444" s="48" t="e">
        <f t="shared" si="705"/>
        <v>#VALUE!</v>
      </c>
      <c r="T1444" s="47" t="str">
        <f t="shared" si="706"/>
        <v/>
      </c>
      <c r="U1444" s="49"/>
      <c r="V1444" s="50"/>
      <c r="W1444" s="51" t="e">
        <f t="shared" si="707"/>
        <v>#VALUE!</v>
      </c>
      <c r="X1444" s="52"/>
      <c r="Y1444" s="52"/>
      <c r="Z1444" s="52"/>
      <c r="AA1444" s="47" t="e">
        <f>INDEX(VISITORS[INSECT ORDER], MATCH(X1444,VISITORS[NAME USED],0))</f>
        <v>#N/A</v>
      </c>
      <c r="AB1444" s="47" t="e">
        <f t="shared" si="708"/>
        <v>#N/A</v>
      </c>
      <c r="AC1444" s="53" t="e">
        <f t="shared" si="709"/>
        <v>#VALUE!</v>
      </c>
      <c r="AD1444" s="54" t="str">
        <f t="shared" si="710"/>
        <v/>
      </c>
      <c r="AE1444" s="54"/>
      <c r="AF1444" s="54"/>
      <c r="AG1444" s="55" t="str">
        <f t="shared" si="711"/>
        <v/>
      </c>
      <c r="AH1444" s="56" t="str">
        <f t="shared" si="712"/>
        <v/>
      </c>
      <c r="AI1444" s="55"/>
      <c r="AJ1444" s="56" t="str">
        <f t="shared" si="713"/>
        <v/>
      </c>
      <c r="AK1444" s="55"/>
      <c r="AL1444" s="56" t="str">
        <f t="shared" si="714"/>
        <v/>
      </c>
      <c r="AM1444" s="55"/>
      <c r="AN1444" s="56" t="str">
        <f t="shared" si="715"/>
        <v/>
      </c>
      <c r="AO1444" s="55"/>
      <c r="AP1444" s="56" t="str">
        <f t="shared" si="716"/>
        <v/>
      </c>
      <c r="AQ1444" s="55"/>
      <c r="AR1444" s="56" t="str">
        <f t="shared" si="717"/>
        <v/>
      </c>
      <c r="AS1444" s="57"/>
      <c r="AT1444" s="58"/>
      <c r="AU1444" s="58"/>
      <c r="AV1444" s="59"/>
      <c r="AW1444" s="60" t="str">
        <f t="shared" si="718"/>
        <v/>
      </c>
      <c r="AX1444" s="61" t="str">
        <f t="shared" si="719"/>
        <v/>
      </c>
      <c r="AY1444" s="60" t="str">
        <f t="shared" si="720"/>
        <v/>
      </c>
      <c r="AZ1444" s="61" t="str">
        <f t="shared" si="721"/>
        <v/>
      </c>
    </row>
    <row r="1445" spans="1:52" s="3" customFormat="1" ht="12" hidden="1" customHeight="1" thickBot="1" x14ac:dyDescent="0.4">
      <c r="A1445" s="85">
        <f t="shared" si="692"/>
        <v>2020</v>
      </c>
      <c r="B1445" s="85" t="str">
        <f t="shared" si="697"/>
        <v>Dec</v>
      </c>
      <c r="C1445" s="86">
        <f t="shared" si="698"/>
        <v>3</v>
      </c>
      <c r="D1445" s="87">
        <f t="shared" si="699"/>
        <v>14</v>
      </c>
      <c r="E1445" s="88">
        <f t="shared" si="695"/>
        <v>56</v>
      </c>
      <c r="F1445" s="89"/>
      <c r="G1445" s="90"/>
      <c r="H1445" s="68" t="str">
        <f t="shared" si="700"/>
        <v>Hyprev6_20201203_14_00</v>
      </c>
      <c r="I1445" s="91">
        <f t="shared" ref="I1445:N1445" si="723">I1444</f>
        <v>1</v>
      </c>
      <c r="J1445" s="92" t="str">
        <f t="shared" si="723"/>
        <v>Hypericum</v>
      </c>
      <c r="K1445" s="92" t="str">
        <f t="shared" si="723"/>
        <v>revolutum</v>
      </c>
      <c r="L1445" s="93">
        <f t="shared" si="723"/>
        <v>6</v>
      </c>
      <c r="M1445" s="93">
        <f t="shared" si="723"/>
        <v>1</v>
      </c>
      <c r="N1445" s="94">
        <f t="shared" si="723"/>
        <v>0</v>
      </c>
      <c r="O1445" s="95"/>
      <c r="P1445" s="96" t="str">
        <f t="shared" si="702"/>
        <v/>
      </c>
      <c r="Q1445" s="97" t="str">
        <f t="shared" si="703"/>
        <v/>
      </c>
      <c r="R1445" s="98" t="e">
        <f t="shared" si="704"/>
        <v>#VALUE!</v>
      </c>
      <c r="S1445" s="98" t="e">
        <f t="shared" si="705"/>
        <v>#VALUE!</v>
      </c>
      <c r="T1445" s="98" t="str">
        <f t="shared" si="706"/>
        <v/>
      </c>
      <c r="U1445" s="99"/>
      <c r="V1445" s="100"/>
      <c r="W1445" s="101" t="e">
        <f t="shared" si="707"/>
        <v>#VALUE!</v>
      </c>
      <c r="X1445" s="102"/>
      <c r="Y1445" s="141"/>
      <c r="Z1445" s="141"/>
      <c r="AA1445" s="47" t="e">
        <f>INDEX(VISITORS[INSECT ORDER], MATCH(X1445,VISITORS[NAME USED],0))</f>
        <v>#N/A</v>
      </c>
      <c r="AB1445" s="98" t="e">
        <f t="shared" si="708"/>
        <v>#N/A</v>
      </c>
      <c r="AC1445" s="53" t="e">
        <f t="shared" si="709"/>
        <v>#VALUE!</v>
      </c>
      <c r="AD1445" s="103" t="str">
        <f t="shared" si="710"/>
        <v/>
      </c>
      <c r="AE1445" s="103"/>
      <c r="AF1445" s="103"/>
      <c r="AG1445" s="104" t="str">
        <f t="shared" si="711"/>
        <v/>
      </c>
      <c r="AH1445" s="105" t="str">
        <f t="shared" si="712"/>
        <v/>
      </c>
      <c r="AI1445" s="104"/>
      <c r="AJ1445" s="105" t="str">
        <f t="shared" si="713"/>
        <v/>
      </c>
      <c r="AK1445" s="104"/>
      <c r="AL1445" s="105" t="str">
        <f t="shared" si="714"/>
        <v/>
      </c>
      <c r="AM1445" s="104"/>
      <c r="AN1445" s="105" t="str">
        <f t="shared" si="715"/>
        <v/>
      </c>
      <c r="AO1445" s="104"/>
      <c r="AP1445" s="105" t="str">
        <f t="shared" si="716"/>
        <v/>
      </c>
      <c r="AQ1445" s="104"/>
      <c r="AR1445" s="105" t="str">
        <f t="shared" si="717"/>
        <v/>
      </c>
      <c r="AS1445" s="106"/>
      <c r="AT1445" s="107"/>
      <c r="AU1445" s="107"/>
      <c r="AV1445" s="108"/>
      <c r="AW1445" s="109" t="str">
        <f t="shared" si="718"/>
        <v/>
      </c>
      <c r="AX1445" s="110" t="str">
        <f t="shared" si="719"/>
        <v/>
      </c>
      <c r="AY1445" s="109" t="str">
        <f t="shared" si="720"/>
        <v/>
      </c>
      <c r="AZ1445" s="110" t="str">
        <f t="shared" si="721"/>
        <v/>
      </c>
    </row>
    <row r="1446" spans="1:52" s="3" customFormat="1" ht="12" hidden="1" customHeight="1" x14ac:dyDescent="0.35">
      <c r="A1446" s="72">
        <f t="shared" si="692"/>
        <v>2020</v>
      </c>
      <c r="B1446" s="72" t="str">
        <f t="shared" si="697"/>
        <v>Dec</v>
      </c>
      <c r="C1446" s="73">
        <f t="shared" si="698"/>
        <v>3</v>
      </c>
      <c r="D1446" s="74">
        <f t="shared" si="699"/>
        <v>14</v>
      </c>
      <c r="E1446" s="75">
        <f t="shared" si="695"/>
        <v>57</v>
      </c>
      <c r="F1446" s="79"/>
      <c r="G1446" s="82"/>
      <c r="H1446" s="68" t="str">
        <f t="shared" si="700"/>
        <v>Hyprev6_20201203_14_00</v>
      </c>
      <c r="I1446" s="69">
        <f t="shared" ref="I1446:N1446" si="724">I1445</f>
        <v>1</v>
      </c>
      <c r="J1446" s="76" t="str">
        <f t="shared" si="724"/>
        <v>Hypericum</v>
      </c>
      <c r="K1446" s="76" t="str">
        <f t="shared" si="724"/>
        <v>revolutum</v>
      </c>
      <c r="L1446" s="77">
        <f t="shared" si="724"/>
        <v>6</v>
      </c>
      <c r="M1446" s="77">
        <f t="shared" si="724"/>
        <v>1</v>
      </c>
      <c r="N1446" s="71">
        <f t="shared" si="724"/>
        <v>0</v>
      </c>
      <c r="O1446" s="44"/>
      <c r="P1446" s="45" t="str">
        <f t="shared" si="702"/>
        <v/>
      </c>
      <c r="Q1446" s="46" t="str">
        <f t="shared" si="703"/>
        <v/>
      </c>
      <c r="R1446" s="47" t="e">
        <f t="shared" si="704"/>
        <v>#VALUE!</v>
      </c>
      <c r="S1446" s="48" t="e">
        <f t="shared" si="705"/>
        <v>#VALUE!</v>
      </c>
      <c r="T1446" s="47" t="str">
        <f t="shared" si="706"/>
        <v/>
      </c>
      <c r="U1446" s="49"/>
      <c r="V1446" s="50"/>
      <c r="W1446" s="51" t="e">
        <f t="shared" si="707"/>
        <v>#VALUE!</v>
      </c>
      <c r="X1446" s="52"/>
      <c r="Y1446" s="52"/>
      <c r="Z1446" s="52"/>
      <c r="AA1446" s="47" t="e">
        <f>INDEX(VISITORS[INSECT ORDER], MATCH(X1446,VISITORS[NAME USED],0))</f>
        <v>#N/A</v>
      </c>
      <c r="AB1446" s="47" t="e">
        <f t="shared" si="708"/>
        <v>#N/A</v>
      </c>
      <c r="AC1446" s="53" t="e">
        <f t="shared" si="709"/>
        <v>#VALUE!</v>
      </c>
      <c r="AD1446" s="54" t="str">
        <f t="shared" si="710"/>
        <v/>
      </c>
      <c r="AE1446" s="54"/>
      <c r="AF1446" s="54"/>
      <c r="AG1446" s="55" t="str">
        <f t="shared" si="711"/>
        <v/>
      </c>
      <c r="AH1446" s="56" t="str">
        <f t="shared" si="712"/>
        <v/>
      </c>
      <c r="AI1446" s="55"/>
      <c r="AJ1446" s="56" t="str">
        <f t="shared" si="713"/>
        <v/>
      </c>
      <c r="AK1446" s="55"/>
      <c r="AL1446" s="56" t="str">
        <f t="shared" si="714"/>
        <v/>
      </c>
      <c r="AM1446" s="55"/>
      <c r="AN1446" s="56" t="str">
        <f t="shared" si="715"/>
        <v/>
      </c>
      <c r="AO1446" s="55"/>
      <c r="AP1446" s="56" t="str">
        <f t="shared" si="716"/>
        <v/>
      </c>
      <c r="AQ1446" s="55"/>
      <c r="AR1446" s="56" t="str">
        <f t="shared" si="717"/>
        <v/>
      </c>
      <c r="AS1446" s="57"/>
      <c r="AT1446" s="58"/>
      <c r="AU1446" s="58"/>
      <c r="AV1446" s="59"/>
      <c r="AW1446" s="60" t="str">
        <f t="shared" si="718"/>
        <v/>
      </c>
      <c r="AX1446" s="61" t="str">
        <f t="shared" si="719"/>
        <v/>
      </c>
      <c r="AY1446" s="60" t="str">
        <f t="shared" si="720"/>
        <v/>
      </c>
      <c r="AZ1446" s="61" t="str">
        <f t="shared" si="721"/>
        <v/>
      </c>
    </row>
    <row r="1447" spans="1:52" s="3" customFormat="1" ht="12" hidden="1" customHeight="1" x14ac:dyDescent="0.35">
      <c r="A1447" s="72">
        <f t="shared" si="692"/>
        <v>2020</v>
      </c>
      <c r="B1447" s="72" t="str">
        <f t="shared" si="697"/>
        <v>Dec</v>
      </c>
      <c r="C1447" s="73">
        <f t="shared" si="698"/>
        <v>3</v>
      </c>
      <c r="D1447" s="74">
        <f t="shared" si="699"/>
        <v>14</v>
      </c>
      <c r="E1447" s="75">
        <f t="shared" si="695"/>
        <v>58</v>
      </c>
      <c r="F1447" s="79"/>
      <c r="G1447" s="82"/>
      <c r="H1447" s="68" t="str">
        <f t="shared" si="700"/>
        <v>Hyprev6_20201203_14_00</v>
      </c>
      <c r="I1447" s="69">
        <f t="shared" ref="I1447:N1447" si="725">I1446</f>
        <v>1</v>
      </c>
      <c r="J1447" s="76" t="str">
        <f t="shared" si="725"/>
        <v>Hypericum</v>
      </c>
      <c r="K1447" s="76" t="str">
        <f t="shared" si="725"/>
        <v>revolutum</v>
      </c>
      <c r="L1447" s="77">
        <f t="shared" si="725"/>
        <v>6</v>
      </c>
      <c r="M1447" s="77">
        <f t="shared" si="725"/>
        <v>1</v>
      </c>
      <c r="N1447" s="71">
        <f t="shared" si="725"/>
        <v>0</v>
      </c>
      <c r="O1447" s="44"/>
      <c r="P1447" s="45" t="str">
        <f t="shared" si="702"/>
        <v/>
      </c>
      <c r="Q1447" s="46" t="str">
        <f t="shared" si="703"/>
        <v/>
      </c>
      <c r="R1447" s="47" t="e">
        <f t="shared" si="704"/>
        <v>#VALUE!</v>
      </c>
      <c r="S1447" s="48" t="e">
        <f t="shared" si="705"/>
        <v>#VALUE!</v>
      </c>
      <c r="T1447" s="47" t="str">
        <f t="shared" si="706"/>
        <v/>
      </c>
      <c r="U1447" s="49"/>
      <c r="V1447" s="50"/>
      <c r="W1447" s="51" t="e">
        <f t="shared" si="707"/>
        <v>#VALUE!</v>
      </c>
      <c r="X1447" s="52"/>
      <c r="Y1447" s="52"/>
      <c r="Z1447" s="52"/>
      <c r="AA1447" s="47" t="e">
        <f>INDEX(VISITORS[INSECT ORDER], MATCH(X1447,VISITORS[NAME USED],0))</f>
        <v>#N/A</v>
      </c>
      <c r="AB1447" s="47" t="e">
        <f t="shared" si="708"/>
        <v>#N/A</v>
      </c>
      <c r="AC1447" s="53" t="e">
        <f t="shared" si="709"/>
        <v>#VALUE!</v>
      </c>
      <c r="AD1447" s="54" t="str">
        <f t="shared" si="710"/>
        <v/>
      </c>
      <c r="AE1447" s="54"/>
      <c r="AF1447" s="54"/>
      <c r="AG1447" s="55" t="str">
        <f t="shared" si="711"/>
        <v/>
      </c>
      <c r="AH1447" s="56" t="str">
        <f t="shared" si="712"/>
        <v/>
      </c>
      <c r="AI1447" s="55"/>
      <c r="AJ1447" s="56" t="str">
        <f t="shared" si="713"/>
        <v/>
      </c>
      <c r="AK1447" s="55"/>
      <c r="AL1447" s="56" t="str">
        <f t="shared" si="714"/>
        <v/>
      </c>
      <c r="AM1447" s="55"/>
      <c r="AN1447" s="56" t="str">
        <f t="shared" si="715"/>
        <v/>
      </c>
      <c r="AO1447" s="55"/>
      <c r="AP1447" s="56" t="str">
        <f t="shared" si="716"/>
        <v/>
      </c>
      <c r="AQ1447" s="55"/>
      <c r="AR1447" s="56" t="str">
        <f t="shared" si="717"/>
        <v/>
      </c>
      <c r="AS1447" s="57"/>
      <c r="AT1447" s="58"/>
      <c r="AU1447" s="58"/>
      <c r="AV1447" s="59"/>
      <c r="AW1447" s="60" t="str">
        <f t="shared" si="718"/>
        <v/>
      </c>
      <c r="AX1447" s="61" t="str">
        <f t="shared" si="719"/>
        <v/>
      </c>
      <c r="AY1447" s="60" t="str">
        <f t="shared" si="720"/>
        <v/>
      </c>
      <c r="AZ1447" s="61" t="str">
        <f t="shared" si="721"/>
        <v/>
      </c>
    </row>
    <row r="1448" spans="1:52" s="3" customFormat="1" ht="12" hidden="1" customHeight="1" thickBot="1" x14ac:dyDescent="0.4">
      <c r="A1448" s="85">
        <f t="shared" si="692"/>
        <v>2020</v>
      </c>
      <c r="B1448" s="85" t="str">
        <f t="shared" si="697"/>
        <v>Dec</v>
      </c>
      <c r="C1448" s="86">
        <f t="shared" si="698"/>
        <v>3</v>
      </c>
      <c r="D1448" s="87">
        <f t="shared" si="699"/>
        <v>14</v>
      </c>
      <c r="E1448" s="88">
        <f t="shared" si="695"/>
        <v>59</v>
      </c>
      <c r="F1448" s="89"/>
      <c r="G1448" s="90"/>
      <c r="H1448" s="68" t="str">
        <f t="shared" si="700"/>
        <v>Hyprev6_20201203_14_00</v>
      </c>
      <c r="I1448" s="91">
        <f t="shared" ref="I1448:N1448" si="726">I1447</f>
        <v>1</v>
      </c>
      <c r="J1448" s="92" t="str">
        <f t="shared" si="726"/>
        <v>Hypericum</v>
      </c>
      <c r="K1448" s="92" t="str">
        <f t="shared" si="726"/>
        <v>revolutum</v>
      </c>
      <c r="L1448" s="93">
        <f t="shared" si="726"/>
        <v>6</v>
      </c>
      <c r="M1448" s="93">
        <f t="shared" si="726"/>
        <v>1</v>
      </c>
      <c r="N1448" s="94">
        <f t="shared" si="726"/>
        <v>0</v>
      </c>
      <c r="O1448" s="95"/>
      <c r="P1448" s="96" t="str">
        <f t="shared" si="702"/>
        <v/>
      </c>
      <c r="Q1448" s="97" t="str">
        <f t="shared" si="703"/>
        <v/>
      </c>
      <c r="R1448" s="98" t="e">
        <f t="shared" si="704"/>
        <v>#VALUE!</v>
      </c>
      <c r="S1448" s="98" t="e">
        <f t="shared" si="705"/>
        <v>#VALUE!</v>
      </c>
      <c r="T1448" s="98" t="str">
        <f t="shared" si="706"/>
        <v/>
      </c>
      <c r="U1448" s="99"/>
      <c r="V1448" s="100"/>
      <c r="W1448" s="101" t="e">
        <f t="shared" si="707"/>
        <v>#VALUE!</v>
      </c>
      <c r="X1448" s="102"/>
      <c r="Y1448" s="141"/>
      <c r="Z1448" s="141"/>
      <c r="AA1448" s="47" t="e">
        <f>INDEX(VISITORS[INSECT ORDER], MATCH(X1448,VISITORS[NAME USED],0))</f>
        <v>#N/A</v>
      </c>
      <c r="AB1448" s="98" t="e">
        <f t="shared" si="708"/>
        <v>#N/A</v>
      </c>
      <c r="AC1448" s="53" t="e">
        <f t="shared" si="709"/>
        <v>#VALUE!</v>
      </c>
      <c r="AD1448" s="103" t="str">
        <f t="shared" si="710"/>
        <v/>
      </c>
      <c r="AE1448" s="103"/>
      <c r="AF1448" s="103"/>
      <c r="AG1448" s="104" t="str">
        <f t="shared" si="711"/>
        <v/>
      </c>
      <c r="AH1448" s="105" t="str">
        <f t="shared" si="712"/>
        <v/>
      </c>
      <c r="AI1448" s="104"/>
      <c r="AJ1448" s="105" t="str">
        <f t="shared" si="713"/>
        <v/>
      </c>
      <c r="AK1448" s="104"/>
      <c r="AL1448" s="105" t="str">
        <f t="shared" si="714"/>
        <v/>
      </c>
      <c r="AM1448" s="104"/>
      <c r="AN1448" s="105" t="str">
        <f t="shared" si="715"/>
        <v/>
      </c>
      <c r="AO1448" s="104"/>
      <c r="AP1448" s="105" t="str">
        <f t="shared" si="716"/>
        <v/>
      </c>
      <c r="AQ1448" s="104"/>
      <c r="AR1448" s="105" t="str">
        <f t="shared" si="717"/>
        <v/>
      </c>
      <c r="AS1448" s="106"/>
      <c r="AT1448" s="107"/>
      <c r="AU1448" s="107"/>
      <c r="AV1448" s="108"/>
      <c r="AW1448" s="109" t="str">
        <f t="shared" si="718"/>
        <v/>
      </c>
      <c r="AX1448" s="110" t="str">
        <f t="shared" si="719"/>
        <v/>
      </c>
      <c r="AY1448" s="109" t="str">
        <f t="shared" si="720"/>
        <v/>
      </c>
      <c r="AZ1448" s="110" t="str">
        <f t="shared" si="721"/>
        <v/>
      </c>
    </row>
    <row r="1449" spans="1:52" s="3" customFormat="1" ht="12" hidden="1" customHeight="1" x14ac:dyDescent="0.35">
      <c r="A1449" s="72">
        <f t="shared" si="692"/>
        <v>2020</v>
      </c>
      <c r="B1449" s="72" t="str">
        <f t="shared" si="697"/>
        <v>Dec</v>
      </c>
      <c r="C1449" s="73">
        <f t="shared" si="698"/>
        <v>3</v>
      </c>
      <c r="D1449" s="74">
        <f t="shared" si="699"/>
        <v>15</v>
      </c>
      <c r="E1449" s="75">
        <f t="shared" si="695"/>
        <v>0</v>
      </c>
      <c r="F1449" s="79"/>
      <c r="G1449" s="82"/>
      <c r="H1449" s="68" t="str">
        <f t="shared" si="700"/>
        <v>Hyprev6_20201203_15_00</v>
      </c>
      <c r="I1449" s="69">
        <f t="shared" ref="I1449:N1449" si="727">I1448</f>
        <v>1</v>
      </c>
      <c r="J1449" s="76" t="str">
        <f t="shared" si="727"/>
        <v>Hypericum</v>
      </c>
      <c r="K1449" s="76" t="str">
        <f t="shared" si="727"/>
        <v>revolutum</v>
      </c>
      <c r="L1449" s="77">
        <f t="shared" si="727"/>
        <v>6</v>
      </c>
      <c r="M1449" s="77">
        <f t="shared" si="727"/>
        <v>1</v>
      </c>
      <c r="N1449" s="71">
        <f t="shared" si="727"/>
        <v>0</v>
      </c>
      <c r="O1449" s="44"/>
      <c r="P1449" s="45" t="str">
        <f t="shared" si="702"/>
        <v/>
      </c>
      <c r="Q1449" s="46" t="str">
        <f t="shared" si="703"/>
        <v/>
      </c>
      <c r="R1449" s="47" t="e">
        <f t="shared" si="704"/>
        <v>#VALUE!</v>
      </c>
      <c r="S1449" s="48" t="e">
        <f t="shared" si="705"/>
        <v>#VALUE!</v>
      </c>
      <c r="T1449" s="47" t="str">
        <f t="shared" si="706"/>
        <v/>
      </c>
      <c r="U1449" s="49"/>
      <c r="V1449" s="50"/>
      <c r="W1449" s="51" t="e">
        <f t="shared" si="707"/>
        <v>#VALUE!</v>
      </c>
      <c r="X1449" s="52"/>
      <c r="Y1449" s="52"/>
      <c r="Z1449" s="52"/>
      <c r="AA1449" s="47" t="e">
        <f>INDEX(VISITORS[INSECT ORDER], MATCH(X1449,VISITORS[NAME USED],0))</f>
        <v>#N/A</v>
      </c>
      <c r="AB1449" s="47" t="e">
        <f t="shared" si="708"/>
        <v>#N/A</v>
      </c>
      <c r="AC1449" s="53" t="e">
        <f t="shared" si="709"/>
        <v>#VALUE!</v>
      </c>
      <c r="AD1449" s="54" t="str">
        <f t="shared" si="710"/>
        <v/>
      </c>
      <c r="AE1449" s="54"/>
      <c r="AF1449" s="54"/>
      <c r="AG1449" s="55" t="str">
        <f t="shared" si="711"/>
        <v/>
      </c>
      <c r="AH1449" s="56" t="str">
        <f t="shared" si="712"/>
        <v/>
      </c>
      <c r="AI1449" s="55"/>
      <c r="AJ1449" s="56" t="str">
        <f t="shared" si="713"/>
        <v/>
      </c>
      <c r="AK1449" s="55"/>
      <c r="AL1449" s="56" t="str">
        <f t="shared" si="714"/>
        <v/>
      </c>
      <c r="AM1449" s="55"/>
      <c r="AN1449" s="56" t="str">
        <f t="shared" si="715"/>
        <v/>
      </c>
      <c r="AO1449" s="55"/>
      <c r="AP1449" s="56" t="str">
        <f t="shared" si="716"/>
        <v/>
      </c>
      <c r="AQ1449" s="55"/>
      <c r="AR1449" s="56" t="str">
        <f t="shared" si="717"/>
        <v/>
      </c>
      <c r="AS1449" s="57"/>
      <c r="AT1449" s="58"/>
      <c r="AU1449" s="58"/>
      <c r="AV1449" s="59"/>
      <c r="AW1449" s="60" t="str">
        <f t="shared" si="718"/>
        <v/>
      </c>
      <c r="AX1449" s="61" t="str">
        <f t="shared" si="719"/>
        <v/>
      </c>
      <c r="AY1449" s="60" t="str">
        <f t="shared" si="720"/>
        <v/>
      </c>
      <c r="AZ1449" s="61" t="str">
        <f t="shared" si="721"/>
        <v/>
      </c>
    </row>
    <row r="1450" spans="1:52" s="3" customFormat="1" ht="12" hidden="1" customHeight="1" x14ac:dyDescent="0.35">
      <c r="A1450" s="72">
        <f t="shared" si="692"/>
        <v>2020</v>
      </c>
      <c r="B1450" s="72" t="str">
        <f t="shared" si="697"/>
        <v>Dec</v>
      </c>
      <c r="C1450" s="73">
        <f t="shared" si="698"/>
        <v>3</v>
      </c>
      <c r="D1450" s="74">
        <f t="shared" si="699"/>
        <v>15</v>
      </c>
      <c r="E1450" s="75">
        <f t="shared" si="695"/>
        <v>1</v>
      </c>
      <c r="F1450" s="79"/>
      <c r="G1450" s="82"/>
      <c r="H1450" s="68" t="str">
        <f t="shared" si="700"/>
        <v>Hyprev6_20201203_15_00</v>
      </c>
      <c r="I1450" s="69">
        <f t="shared" ref="I1450:N1450" si="728">I1449</f>
        <v>1</v>
      </c>
      <c r="J1450" s="76" t="str">
        <f t="shared" si="728"/>
        <v>Hypericum</v>
      </c>
      <c r="K1450" s="76" t="str">
        <f t="shared" si="728"/>
        <v>revolutum</v>
      </c>
      <c r="L1450" s="77">
        <f t="shared" si="728"/>
        <v>6</v>
      </c>
      <c r="M1450" s="77">
        <f t="shared" si="728"/>
        <v>1</v>
      </c>
      <c r="N1450" s="71">
        <f t="shared" si="728"/>
        <v>0</v>
      </c>
      <c r="O1450" s="44"/>
      <c r="P1450" s="45" t="str">
        <f t="shared" si="702"/>
        <v/>
      </c>
      <c r="Q1450" s="46" t="str">
        <f t="shared" si="703"/>
        <v/>
      </c>
      <c r="R1450" s="47" t="e">
        <f t="shared" si="704"/>
        <v>#VALUE!</v>
      </c>
      <c r="S1450" s="48" t="e">
        <f t="shared" si="705"/>
        <v>#VALUE!</v>
      </c>
      <c r="T1450" s="47" t="str">
        <f t="shared" si="706"/>
        <v/>
      </c>
      <c r="U1450" s="49"/>
      <c r="V1450" s="50"/>
      <c r="W1450" s="51" t="e">
        <f t="shared" si="707"/>
        <v>#VALUE!</v>
      </c>
      <c r="X1450" s="52"/>
      <c r="Y1450" s="52"/>
      <c r="Z1450" s="52"/>
      <c r="AA1450" s="47" t="e">
        <f>INDEX(VISITORS[INSECT ORDER], MATCH(X1450,VISITORS[NAME USED],0))</f>
        <v>#N/A</v>
      </c>
      <c r="AB1450" s="47" t="e">
        <f t="shared" si="708"/>
        <v>#N/A</v>
      </c>
      <c r="AC1450" s="53" t="e">
        <f t="shared" si="709"/>
        <v>#VALUE!</v>
      </c>
      <c r="AD1450" s="54" t="str">
        <f t="shared" si="710"/>
        <v/>
      </c>
      <c r="AE1450" s="54"/>
      <c r="AF1450" s="54"/>
      <c r="AG1450" s="55" t="str">
        <f t="shared" si="711"/>
        <v/>
      </c>
      <c r="AH1450" s="56" t="str">
        <f t="shared" si="712"/>
        <v/>
      </c>
      <c r="AI1450" s="55"/>
      <c r="AJ1450" s="56" t="str">
        <f t="shared" si="713"/>
        <v/>
      </c>
      <c r="AK1450" s="55"/>
      <c r="AL1450" s="56" t="str">
        <f t="shared" si="714"/>
        <v/>
      </c>
      <c r="AM1450" s="55"/>
      <c r="AN1450" s="56" t="str">
        <f t="shared" si="715"/>
        <v/>
      </c>
      <c r="AO1450" s="55"/>
      <c r="AP1450" s="56" t="str">
        <f t="shared" si="716"/>
        <v/>
      </c>
      <c r="AQ1450" s="55"/>
      <c r="AR1450" s="56" t="str">
        <f t="shared" si="717"/>
        <v/>
      </c>
      <c r="AS1450" s="57"/>
      <c r="AT1450" s="58"/>
      <c r="AU1450" s="58"/>
      <c r="AV1450" s="59"/>
      <c r="AW1450" s="60" t="str">
        <f t="shared" si="718"/>
        <v/>
      </c>
      <c r="AX1450" s="61" t="str">
        <f t="shared" si="719"/>
        <v/>
      </c>
      <c r="AY1450" s="60" t="str">
        <f t="shared" si="720"/>
        <v/>
      </c>
      <c r="AZ1450" s="61" t="str">
        <f t="shared" si="721"/>
        <v/>
      </c>
    </row>
    <row r="1451" spans="1:52" s="3" customFormat="1" ht="12" hidden="1" customHeight="1" thickBot="1" x14ac:dyDescent="0.4">
      <c r="A1451" s="85">
        <f t="shared" si="692"/>
        <v>2020</v>
      </c>
      <c r="B1451" s="85" t="str">
        <f t="shared" si="697"/>
        <v>Dec</v>
      </c>
      <c r="C1451" s="86">
        <f t="shared" si="698"/>
        <v>3</v>
      </c>
      <c r="D1451" s="87">
        <f t="shared" si="699"/>
        <v>15</v>
      </c>
      <c r="E1451" s="88">
        <f t="shared" si="695"/>
        <v>2</v>
      </c>
      <c r="F1451" s="89"/>
      <c r="G1451" s="90"/>
      <c r="H1451" s="68" t="str">
        <f t="shared" si="700"/>
        <v>Hyprev6_20201203_15_00</v>
      </c>
      <c r="I1451" s="91">
        <f t="shared" ref="I1451:N1451" si="729">I1450</f>
        <v>1</v>
      </c>
      <c r="J1451" s="92" t="str">
        <f t="shared" si="729"/>
        <v>Hypericum</v>
      </c>
      <c r="K1451" s="92" t="str">
        <f t="shared" si="729"/>
        <v>revolutum</v>
      </c>
      <c r="L1451" s="93">
        <f t="shared" si="729"/>
        <v>6</v>
      </c>
      <c r="M1451" s="93">
        <f t="shared" si="729"/>
        <v>1</v>
      </c>
      <c r="N1451" s="94">
        <f t="shared" si="729"/>
        <v>0</v>
      </c>
      <c r="O1451" s="95"/>
      <c r="P1451" s="96" t="str">
        <f t="shared" si="702"/>
        <v/>
      </c>
      <c r="Q1451" s="97" t="str">
        <f t="shared" si="703"/>
        <v/>
      </c>
      <c r="R1451" s="98" t="e">
        <f t="shared" si="704"/>
        <v>#VALUE!</v>
      </c>
      <c r="S1451" s="98" t="e">
        <f t="shared" si="705"/>
        <v>#VALUE!</v>
      </c>
      <c r="T1451" s="98" t="str">
        <f t="shared" si="706"/>
        <v/>
      </c>
      <c r="U1451" s="99"/>
      <c r="V1451" s="100"/>
      <c r="W1451" s="101" t="e">
        <f t="shared" si="707"/>
        <v>#VALUE!</v>
      </c>
      <c r="X1451" s="102"/>
      <c r="Y1451" s="141"/>
      <c r="Z1451" s="141"/>
      <c r="AA1451" s="47" t="e">
        <f>INDEX(VISITORS[INSECT ORDER], MATCH(X1451,VISITORS[NAME USED],0))</f>
        <v>#N/A</v>
      </c>
      <c r="AB1451" s="98" t="e">
        <f t="shared" si="708"/>
        <v>#N/A</v>
      </c>
      <c r="AC1451" s="53" t="e">
        <f t="shared" si="709"/>
        <v>#VALUE!</v>
      </c>
      <c r="AD1451" s="103" t="str">
        <f t="shared" si="710"/>
        <v/>
      </c>
      <c r="AE1451" s="103"/>
      <c r="AF1451" s="103"/>
      <c r="AG1451" s="104" t="str">
        <f t="shared" si="711"/>
        <v/>
      </c>
      <c r="AH1451" s="105" t="str">
        <f t="shared" si="712"/>
        <v/>
      </c>
      <c r="AI1451" s="104"/>
      <c r="AJ1451" s="105" t="str">
        <f t="shared" si="713"/>
        <v/>
      </c>
      <c r="AK1451" s="104"/>
      <c r="AL1451" s="105" t="str">
        <f t="shared" si="714"/>
        <v/>
      </c>
      <c r="AM1451" s="104"/>
      <c r="AN1451" s="105" t="str">
        <f t="shared" si="715"/>
        <v/>
      </c>
      <c r="AO1451" s="104"/>
      <c r="AP1451" s="105" t="str">
        <f t="shared" si="716"/>
        <v/>
      </c>
      <c r="AQ1451" s="104"/>
      <c r="AR1451" s="105" t="str">
        <f t="shared" si="717"/>
        <v/>
      </c>
      <c r="AS1451" s="106"/>
      <c r="AT1451" s="107"/>
      <c r="AU1451" s="107"/>
      <c r="AV1451" s="108"/>
      <c r="AW1451" s="109" t="str">
        <f t="shared" si="718"/>
        <v/>
      </c>
      <c r="AX1451" s="110" t="str">
        <f t="shared" si="719"/>
        <v/>
      </c>
      <c r="AY1451" s="109" t="str">
        <f t="shared" si="720"/>
        <v/>
      </c>
      <c r="AZ1451" s="110" t="str">
        <f t="shared" si="721"/>
        <v/>
      </c>
    </row>
    <row r="1452" spans="1:52" s="3" customFormat="1" ht="12" hidden="1" customHeight="1" x14ac:dyDescent="0.35">
      <c r="A1452" s="72">
        <f t="shared" si="692"/>
        <v>2020</v>
      </c>
      <c r="B1452" s="72" t="str">
        <f t="shared" si="697"/>
        <v>Dec</v>
      </c>
      <c r="C1452" s="73">
        <f t="shared" si="698"/>
        <v>3</v>
      </c>
      <c r="D1452" s="74">
        <f t="shared" si="699"/>
        <v>15</v>
      </c>
      <c r="E1452" s="75">
        <f t="shared" si="695"/>
        <v>3</v>
      </c>
      <c r="F1452" s="79"/>
      <c r="G1452" s="82"/>
      <c r="H1452" s="68" t="str">
        <f t="shared" si="700"/>
        <v>Hyprev6_20201203_15_00</v>
      </c>
      <c r="I1452" s="69">
        <f t="shared" ref="I1452:N1452" si="730">I1451</f>
        <v>1</v>
      </c>
      <c r="J1452" s="76" t="str">
        <f t="shared" si="730"/>
        <v>Hypericum</v>
      </c>
      <c r="K1452" s="76" t="str">
        <f t="shared" si="730"/>
        <v>revolutum</v>
      </c>
      <c r="L1452" s="77">
        <f t="shared" si="730"/>
        <v>6</v>
      </c>
      <c r="M1452" s="77">
        <f t="shared" si="730"/>
        <v>1</v>
      </c>
      <c r="N1452" s="71">
        <f t="shared" si="730"/>
        <v>0</v>
      </c>
      <c r="O1452" s="44"/>
      <c r="P1452" s="45" t="str">
        <f t="shared" si="702"/>
        <v/>
      </c>
      <c r="Q1452" s="46" t="str">
        <f t="shared" si="703"/>
        <v/>
      </c>
      <c r="R1452" s="47" t="e">
        <f t="shared" si="704"/>
        <v>#VALUE!</v>
      </c>
      <c r="S1452" s="48" t="e">
        <f t="shared" si="705"/>
        <v>#VALUE!</v>
      </c>
      <c r="T1452" s="47" t="str">
        <f t="shared" si="706"/>
        <v/>
      </c>
      <c r="U1452" s="49"/>
      <c r="V1452" s="50"/>
      <c r="W1452" s="51" t="e">
        <f t="shared" si="707"/>
        <v>#VALUE!</v>
      </c>
      <c r="X1452" s="52"/>
      <c r="Y1452" s="52"/>
      <c r="Z1452" s="52"/>
      <c r="AA1452" s="47" t="e">
        <f>INDEX(VISITORS[INSECT ORDER], MATCH(X1452,VISITORS[NAME USED],0))</f>
        <v>#N/A</v>
      </c>
      <c r="AB1452" s="47" t="e">
        <f t="shared" si="708"/>
        <v>#N/A</v>
      </c>
      <c r="AC1452" s="53" t="e">
        <f t="shared" si="709"/>
        <v>#VALUE!</v>
      </c>
      <c r="AD1452" s="54" t="str">
        <f t="shared" si="710"/>
        <v/>
      </c>
      <c r="AE1452" s="54"/>
      <c r="AF1452" s="54"/>
      <c r="AG1452" s="55" t="str">
        <f t="shared" si="711"/>
        <v/>
      </c>
      <c r="AH1452" s="56" t="str">
        <f t="shared" si="712"/>
        <v/>
      </c>
      <c r="AI1452" s="55"/>
      <c r="AJ1452" s="56" t="str">
        <f t="shared" si="713"/>
        <v/>
      </c>
      <c r="AK1452" s="55"/>
      <c r="AL1452" s="56" t="str">
        <f t="shared" si="714"/>
        <v/>
      </c>
      <c r="AM1452" s="55"/>
      <c r="AN1452" s="56" t="str">
        <f t="shared" si="715"/>
        <v/>
      </c>
      <c r="AO1452" s="55"/>
      <c r="AP1452" s="56" t="str">
        <f t="shared" si="716"/>
        <v/>
      </c>
      <c r="AQ1452" s="55"/>
      <c r="AR1452" s="56" t="str">
        <f t="shared" si="717"/>
        <v/>
      </c>
      <c r="AS1452" s="57"/>
      <c r="AT1452" s="58"/>
      <c r="AU1452" s="58"/>
      <c r="AV1452" s="59"/>
      <c r="AW1452" s="60" t="str">
        <f t="shared" si="718"/>
        <v/>
      </c>
      <c r="AX1452" s="61" t="str">
        <f t="shared" si="719"/>
        <v/>
      </c>
      <c r="AY1452" s="60" t="str">
        <f t="shared" si="720"/>
        <v/>
      </c>
      <c r="AZ1452" s="61" t="str">
        <f t="shared" si="721"/>
        <v/>
      </c>
    </row>
    <row r="1453" spans="1:52" s="3" customFormat="1" ht="12" hidden="1" customHeight="1" x14ac:dyDescent="0.35">
      <c r="A1453" s="72">
        <f t="shared" si="692"/>
        <v>2020</v>
      </c>
      <c r="B1453" s="72" t="str">
        <f t="shared" si="697"/>
        <v>Dec</v>
      </c>
      <c r="C1453" s="73">
        <f t="shared" si="698"/>
        <v>3</v>
      </c>
      <c r="D1453" s="74">
        <f t="shared" si="699"/>
        <v>15</v>
      </c>
      <c r="E1453" s="75">
        <f t="shared" si="695"/>
        <v>4</v>
      </c>
      <c r="F1453" s="79"/>
      <c r="G1453" s="82"/>
      <c r="H1453" s="68" t="str">
        <f t="shared" si="700"/>
        <v>Hyprev6_20201203_15_00</v>
      </c>
      <c r="I1453" s="69">
        <f t="shared" ref="I1453:N1453" si="731">I1452</f>
        <v>1</v>
      </c>
      <c r="J1453" s="76" t="str">
        <f t="shared" si="731"/>
        <v>Hypericum</v>
      </c>
      <c r="K1453" s="76" t="str">
        <f t="shared" si="731"/>
        <v>revolutum</v>
      </c>
      <c r="L1453" s="77">
        <f t="shared" si="731"/>
        <v>6</v>
      </c>
      <c r="M1453" s="77">
        <f t="shared" si="731"/>
        <v>1</v>
      </c>
      <c r="N1453" s="71">
        <f t="shared" si="731"/>
        <v>0</v>
      </c>
      <c r="O1453" s="44"/>
      <c r="P1453" s="45" t="str">
        <f t="shared" si="702"/>
        <v/>
      </c>
      <c r="Q1453" s="46" t="str">
        <f t="shared" si="703"/>
        <v/>
      </c>
      <c r="R1453" s="47" t="e">
        <f t="shared" si="704"/>
        <v>#VALUE!</v>
      </c>
      <c r="S1453" s="48" t="e">
        <f t="shared" si="705"/>
        <v>#VALUE!</v>
      </c>
      <c r="T1453" s="47" t="str">
        <f t="shared" si="706"/>
        <v/>
      </c>
      <c r="U1453" s="49"/>
      <c r="V1453" s="50"/>
      <c r="W1453" s="51" t="e">
        <f t="shared" si="707"/>
        <v>#VALUE!</v>
      </c>
      <c r="X1453" s="52"/>
      <c r="Y1453" s="52"/>
      <c r="Z1453" s="52"/>
      <c r="AA1453" s="47" t="e">
        <f>INDEX(VISITORS[INSECT ORDER], MATCH(X1453,VISITORS[NAME USED],0))</f>
        <v>#N/A</v>
      </c>
      <c r="AB1453" s="47" t="e">
        <f t="shared" si="708"/>
        <v>#N/A</v>
      </c>
      <c r="AC1453" s="53" t="e">
        <f t="shared" si="709"/>
        <v>#VALUE!</v>
      </c>
      <c r="AD1453" s="54" t="str">
        <f t="shared" si="710"/>
        <v/>
      </c>
      <c r="AE1453" s="54"/>
      <c r="AF1453" s="54"/>
      <c r="AG1453" s="55" t="str">
        <f t="shared" si="711"/>
        <v/>
      </c>
      <c r="AH1453" s="56" t="str">
        <f t="shared" si="712"/>
        <v/>
      </c>
      <c r="AI1453" s="55"/>
      <c r="AJ1453" s="56" t="str">
        <f t="shared" si="713"/>
        <v/>
      </c>
      <c r="AK1453" s="55"/>
      <c r="AL1453" s="56" t="str">
        <f t="shared" si="714"/>
        <v/>
      </c>
      <c r="AM1453" s="55"/>
      <c r="AN1453" s="56" t="str">
        <f t="shared" si="715"/>
        <v/>
      </c>
      <c r="AO1453" s="55"/>
      <c r="AP1453" s="56" t="str">
        <f t="shared" si="716"/>
        <v/>
      </c>
      <c r="AQ1453" s="55"/>
      <c r="AR1453" s="56" t="str">
        <f t="shared" si="717"/>
        <v/>
      </c>
      <c r="AS1453" s="57"/>
      <c r="AT1453" s="58"/>
      <c r="AU1453" s="58"/>
      <c r="AV1453" s="59"/>
      <c r="AW1453" s="60" t="str">
        <f t="shared" si="718"/>
        <v/>
      </c>
      <c r="AX1453" s="61" t="str">
        <f t="shared" si="719"/>
        <v/>
      </c>
      <c r="AY1453" s="60" t="str">
        <f t="shared" si="720"/>
        <v/>
      </c>
      <c r="AZ1453" s="61" t="str">
        <f t="shared" si="721"/>
        <v/>
      </c>
    </row>
    <row r="1454" spans="1:52" s="3" customFormat="1" ht="12" hidden="1" customHeight="1" thickBot="1" x14ac:dyDescent="0.4">
      <c r="A1454" s="85">
        <f t="shared" si="692"/>
        <v>2020</v>
      </c>
      <c r="B1454" s="85" t="str">
        <f t="shared" si="697"/>
        <v>Dec</v>
      </c>
      <c r="C1454" s="86">
        <f t="shared" si="698"/>
        <v>3</v>
      </c>
      <c r="D1454" s="87">
        <f t="shared" si="699"/>
        <v>15</v>
      </c>
      <c r="E1454" s="88">
        <f t="shared" si="695"/>
        <v>5</v>
      </c>
      <c r="F1454" s="89"/>
      <c r="G1454" s="90"/>
      <c r="H1454" s="68" t="str">
        <f t="shared" si="700"/>
        <v>Hyprev6_20201203_15_00</v>
      </c>
      <c r="I1454" s="91">
        <f t="shared" ref="I1454:N1454" si="732">I1453</f>
        <v>1</v>
      </c>
      <c r="J1454" s="92" t="str">
        <f t="shared" si="732"/>
        <v>Hypericum</v>
      </c>
      <c r="K1454" s="92" t="str">
        <f t="shared" si="732"/>
        <v>revolutum</v>
      </c>
      <c r="L1454" s="93">
        <f t="shared" si="732"/>
        <v>6</v>
      </c>
      <c r="M1454" s="93">
        <f t="shared" si="732"/>
        <v>1</v>
      </c>
      <c r="N1454" s="94">
        <f t="shared" si="732"/>
        <v>0</v>
      </c>
      <c r="O1454" s="95"/>
      <c r="P1454" s="96" t="str">
        <f t="shared" si="702"/>
        <v/>
      </c>
      <c r="Q1454" s="97" t="str">
        <f t="shared" si="703"/>
        <v/>
      </c>
      <c r="R1454" s="98" t="e">
        <f t="shared" si="704"/>
        <v>#VALUE!</v>
      </c>
      <c r="S1454" s="98" t="e">
        <f t="shared" si="705"/>
        <v>#VALUE!</v>
      </c>
      <c r="T1454" s="98" t="str">
        <f t="shared" si="706"/>
        <v/>
      </c>
      <c r="U1454" s="99"/>
      <c r="V1454" s="100"/>
      <c r="W1454" s="101" t="e">
        <f t="shared" si="707"/>
        <v>#VALUE!</v>
      </c>
      <c r="X1454" s="102"/>
      <c r="Y1454" s="141"/>
      <c r="Z1454" s="141"/>
      <c r="AA1454" s="47" t="e">
        <f>INDEX(VISITORS[INSECT ORDER], MATCH(X1454,VISITORS[NAME USED],0))</f>
        <v>#N/A</v>
      </c>
      <c r="AB1454" s="98" t="e">
        <f t="shared" si="708"/>
        <v>#N/A</v>
      </c>
      <c r="AC1454" s="53" t="e">
        <f t="shared" si="709"/>
        <v>#VALUE!</v>
      </c>
      <c r="AD1454" s="103" t="str">
        <f t="shared" si="710"/>
        <v/>
      </c>
      <c r="AE1454" s="103"/>
      <c r="AF1454" s="103"/>
      <c r="AG1454" s="104" t="str">
        <f t="shared" si="711"/>
        <v/>
      </c>
      <c r="AH1454" s="105" t="str">
        <f t="shared" si="712"/>
        <v/>
      </c>
      <c r="AI1454" s="104"/>
      <c r="AJ1454" s="105" t="str">
        <f t="shared" si="713"/>
        <v/>
      </c>
      <c r="AK1454" s="104"/>
      <c r="AL1454" s="105" t="str">
        <f t="shared" si="714"/>
        <v/>
      </c>
      <c r="AM1454" s="104"/>
      <c r="AN1454" s="105" t="str">
        <f t="shared" si="715"/>
        <v/>
      </c>
      <c r="AO1454" s="104"/>
      <c r="AP1454" s="105" t="str">
        <f t="shared" si="716"/>
        <v/>
      </c>
      <c r="AQ1454" s="104"/>
      <c r="AR1454" s="105" t="str">
        <f t="shared" si="717"/>
        <v/>
      </c>
      <c r="AS1454" s="106"/>
      <c r="AT1454" s="107"/>
      <c r="AU1454" s="107"/>
      <c r="AV1454" s="108"/>
      <c r="AW1454" s="109" t="str">
        <f t="shared" si="718"/>
        <v/>
      </c>
      <c r="AX1454" s="110" t="str">
        <f t="shared" si="719"/>
        <v/>
      </c>
      <c r="AY1454" s="109" t="str">
        <f t="shared" si="720"/>
        <v/>
      </c>
      <c r="AZ1454" s="110" t="str">
        <f t="shared" si="721"/>
        <v/>
      </c>
    </row>
    <row r="1455" spans="1:52" s="3" customFormat="1" ht="12" hidden="1" customHeight="1" x14ac:dyDescent="0.35">
      <c r="A1455" s="72">
        <f t="shared" si="692"/>
        <v>2020</v>
      </c>
      <c r="B1455" s="72" t="str">
        <f t="shared" si="697"/>
        <v>Dec</v>
      </c>
      <c r="C1455" s="73">
        <f t="shared" si="698"/>
        <v>3</v>
      </c>
      <c r="D1455" s="74">
        <f t="shared" si="699"/>
        <v>15</v>
      </c>
      <c r="E1455" s="75">
        <f t="shared" si="695"/>
        <v>6</v>
      </c>
      <c r="F1455" s="79"/>
      <c r="G1455" s="82"/>
      <c r="H1455" s="68" t="str">
        <f t="shared" si="700"/>
        <v>Hyprev6_20201203_15_00</v>
      </c>
      <c r="I1455" s="69">
        <f t="shared" ref="I1455:N1455" si="733">I1454</f>
        <v>1</v>
      </c>
      <c r="J1455" s="76" t="str">
        <f t="shared" si="733"/>
        <v>Hypericum</v>
      </c>
      <c r="K1455" s="76" t="str">
        <f t="shared" si="733"/>
        <v>revolutum</v>
      </c>
      <c r="L1455" s="77">
        <f t="shared" si="733"/>
        <v>6</v>
      </c>
      <c r="M1455" s="77">
        <f t="shared" si="733"/>
        <v>1</v>
      </c>
      <c r="N1455" s="71">
        <f t="shared" si="733"/>
        <v>0</v>
      </c>
      <c r="O1455" s="44"/>
      <c r="P1455" s="45" t="str">
        <f t="shared" si="702"/>
        <v/>
      </c>
      <c r="Q1455" s="46" t="str">
        <f t="shared" si="703"/>
        <v/>
      </c>
      <c r="R1455" s="47" t="e">
        <f t="shared" si="704"/>
        <v>#VALUE!</v>
      </c>
      <c r="S1455" s="48" t="e">
        <f t="shared" si="705"/>
        <v>#VALUE!</v>
      </c>
      <c r="T1455" s="47" t="str">
        <f t="shared" si="706"/>
        <v/>
      </c>
      <c r="U1455" s="49"/>
      <c r="V1455" s="50"/>
      <c r="W1455" s="51" t="e">
        <f t="shared" si="707"/>
        <v>#VALUE!</v>
      </c>
      <c r="X1455" s="52"/>
      <c r="Y1455" s="52"/>
      <c r="Z1455" s="52"/>
      <c r="AA1455" s="47" t="e">
        <f>INDEX(VISITORS[INSECT ORDER], MATCH(X1455,VISITORS[NAME USED],0))</f>
        <v>#N/A</v>
      </c>
      <c r="AB1455" s="47" t="e">
        <f t="shared" si="708"/>
        <v>#N/A</v>
      </c>
      <c r="AC1455" s="53" t="e">
        <f t="shared" si="709"/>
        <v>#VALUE!</v>
      </c>
      <c r="AD1455" s="54" t="str">
        <f t="shared" si="710"/>
        <v/>
      </c>
      <c r="AE1455" s="54"/>
      <c r="AF1455" s="54"/>
      <c r="AG1455" s="55" t="str">
        <f t="shared" si="711"/>
        <v/>
      </c>
      <c r="AH1455" s="56" t="str">
        <f t="shared" si="712"/>
        <v/>
      </c>
      <c r="AI1455" s="55"/>
      <c r="AJ1455" s="56" t="str">
        <f t="shared" si="713"/>
        <v/>
      </c>
      <c r="AK1455" s="55"/>
      <c r="AL1455" s="56" t="str">
        <f t="shared" si="714"/>
        <v/>
      </c>
      <c r="AM1455" s="55"/>
      <c r="AN1455" s="56" t="str">
        <f t="shared" si="715"/>
        <v/>
      </c>
      <c r="AO1455" s="55"/>
      <c r="AP1455" s="56" t="str">
        <f t="shared" si="716"/>
        <v/>
      </c>
      <c r="AQ1455" s="55"/>
      <c r="AR1455" s="56" t="str">
        <f t="shared" si="717"/>
        <v/>
      </c>
      <c r="AS1455" s="57"/>
      <c r="AT1455" s="58"/>
      <c r="AU1455" s="58"/>
      <c r="AV1455" s="59"/>
      <c r="AW1455" s="60" t="str">
        <f t="shared" si="718"/>
        <v/>
      </c>
      <c r="AX1455" s="61" t="str">
        <f t="shared" si="719"/>
        <v/>
      </c>
      <c r="AY1455" s="60" t="str">
        <f t="shared" si="720"/>
        <v/>
      </c>
      <c r="AZ1455" s="61" t="str">
        <f t="shared" si="721"/>
        <v/>
      </c>
    </row>
    <row r="1456" spans="1:52" s="3" customFormat="1" ht="12" hidden="1" customHeight="1" x14ac:dyDescent="0.35">
      <c r="A1456" s="72">
        <f t="shared" si="692"/>
        <v>2020</v>
      </c>
      <c r="B1456" s="72" t="str">
        <f t="shared" si="697"/>
        <v>Dec</v>
      </c>
      <c r="C1456" s="73">
        <f t="shared" si="698"/>
        <v>3</v>
      </c>
      <c r="D1456" s="74">
        <f t="shared" si="699"/>
        <v>15</v>
      </c>
      <c r="E1456" s="75">
        <f t="shared" si="695"/>
        <v>7</v>
      </c>
      <c r="F1456" s="79"/>
      <c r="G1456" s="82"/>
      <c r="H1456" s="68" t="str">
        <f t="shared" si="700"/>
        <v>Hyprev6_20201203_15_00</v>
      </c>
      <c r="I1456" s="69">
        <f t="shared" ref="I1456:N1456" si="734">I1455</f>
        <v>1</v>
      </c>
      <c r="J1456" s="76" t="str">
        <f t="shared" si="734"/>
        <v>Hypericum</v>
      </c>
      <c r="K1456" s="76" t="str">
        <f t="shared" si="734"/>
        <v>revolutum</v>
      </c>
      <c r="L1456" s="77">
        <f t="shared" si="734"/>
        <v>6</v>
      </c>
      <c r="M1456" s="77">
        <f t="shared" si="734"/>
        <v>1</v>
      </c>
      <c r="N1456" s="71">
        <f t="shared" si="734"/>
        <v>0</v>
      </c>
      <c r="O1456" s="44"/>
      <c r="P1456" s="45" t="str">
        <f t="shared" si="702"/>
        <v/>
      </c>
      <c r="Q1456" s="46" t="str">
        <f t="shared" si="703"/>
        <v/>
      </c>
      <c r="R1456" s="47" t="e">
        <f t="shared" si="704"/>
        <v>#VALUE!</v>
      </c>
      <c r="S1456" s="48" t="e">
        <f t="shared" si="705"/>
        <v>#VALUE!</v>
      </c>
      <c r="T1456" s="47" t="str">
        <f t="shared" si="706"/>
        <v/>
      </c>
      <c r="U1456" s="49"/>
      <c r="V1456" s="50"/>
      <c r="W1456" s="51" t="e">
        <f t="shared" si="707"/>
        <v>#VALUE!</v>
      </c>
      <c r="X1456" s="52"/>
      <c r="Y1456" s="52"/>
      <c r="Z1456" s="52"/>
      <c r="AA1456" s="47" t="e">
        <f>INDEX(VISITORS[INSECT ORDER], MATCH(X1456,VISITORS[NAME USED],0))</f>
        <v>#N/A</v>
      </c>
      <c r="AB1456" s="47" t="e">
        <f t="shared" si="708"/>
        <v>#N/A</v>
      </c>
      <c r="AC1456" s="53" t="e">
        <f t="shared" si="709"/>
        <v>#VALUE!</v>
      </c>
      <c r="AD1456" s="54" t="str">
        <f t="shared" si="710"/>
        <v/>
      </c>
      <c r="AE1456" s="54"/>
      <c r="AF1456" s="54"/>
      <c r="AG1456" s="55" t="str">
        <f t="shared" si="711"/>
        <v/>
      </c>
      <c r="AH1456" s="56" t="str">
        <f t="shared" si="712"/>
        <v/>
      </c>
      <c r="AI1456" s="55"/>
      <c r="AJ1456" s="56" t="str">
        <f t="shared" si="713"/>
        <v/>
      </c>
      <c r="AK1456" s="55"/>
      <c r="AL1456" s="56" t="str">
        <f t="shared" si="714"/>
        <v/>
      </c>
      <c r="AM1456" s="55"/>
      <c r="AN1456" s="56" t="str">
        <f t="shared" si="715"/>
        <v/>
      </c>
      <c r="AO1456" s="55"/>
      <c r="AP1456" s="56" t="str">
        <f t="shared" si="716"/>
        <v/>
      </c>
      <c r="AQ1456" s="55"/>
      <c r="AR1456" s="56" t="str">
        <f t="shared" si="717"/>
        <v/>
      </c>
      <c r="AS1456" s="57"/>
      <c r="AT1456" s="58"/>
      <c r="AU1456" s="58"/>
      <c r="AV1456" s="59"/>
      <c r="AW1456" s="60" t="str">
        <f t="shared" si="718"/>
        <v/>
      </c>
      <c r="AX1456" s="61" t="str">
        <f t="shared" si="719"/>
        <v/>
      </c>
      <c r="AY1456" s="60" t="str">
        <f t="shared" si="720"/>
        <v/>
      </c>
      <c r="AZ1456" s="61" t="str">
        <f t="shared" si="721"/>
        <v/>
      </c>
    </row>
    <row r="1457" spans="1:52" s="3" customFormat="1" ht="12" hidden="1" customHeight="1" thickBot="1" x14ac:dyDescent="0.4">
      <c r="A1457" s="85">
        <f t="shared" si="692"/>
        <v>2020</v>
      </c>
      <c r="B1457" s="85" t="str">
        <f t="shared" si="697"/>
        <v>Dec</v>
      </c>
      <c r="C1457" s="86">
        <f t="shared" si="698"/>
        <v>3</v>
      </c>
      <c r="D1457" s="87">
        <f t="shared" si="699"/>
        <v>15</v>
      </c>
      <c r="E1457" s="88">
        <f t="shared" si="695"/>
        <v>8</v>
      </c>
      <c r="F1457" s="89"/>
      <c r="G1457" s="90"/>
      <c r="H1457" s="68" t="str">
        <f t="shared" si="700"/>
        <v>Hyprev6_20201203_15_00</v>
      </c>
      <c r="I1457" s="91">
        <f t="shared" ref="I1457:N1457" si="735">I1456</f>
        <v>1</v>
      </c>
      <c r="J1457" s="92" t="str">
        <f t="shared" si="735"/>
        <v>Hypericum</v>
      </c>
      <c r="K1457" s="92" t="str">
        <f t="shared" si="735"/>
        <v>revolutum</v>
      </c>
      <c r="L1457" s="93">
        <f t="shared" si="735"/>
        <v>6</v>
      </c>
      <c r="M1457" s="93">
        <f t="shared" si="735"/>
        <v>1</v>
      </c>
      <c r="N1457" s="94">
        <f t="shared" si="735"/>
        <v>0</v>
      </c>
      <c r="O1457" s="95"/>
      <c r="P1457" s="96" t="str">
        <f t="shared" si="702"/>
        <v/>
      </c>
      <c r="Q1457" s="97" t="str">
        <f t="shared" si="703"/>
        <v/>
      </c>
      <c r="R1457" s="98" t="e">
        <f t="shared" si="704"/>
        <v>#VALUE!</v>
      </c>
      <c r="S1457" s="98" t="e">
        <f t="shared" si="705"/>
        <v>#VALUE!</v>
      </c>
      <c r="T1457" s="98" t="str">
        <f t="shared" si="706"/>
        <v/>
      </c>
      <c r="U1457" s="99"/>
      <c r="V1457" s="100"/>
      <c r="W1457" s="101" t="e">
        <f t="shared" si="707"/>
        <v>#VALUE!</v>
      </c>
      <c r="X1457" s="102"/>
      <c r="Y1457" s="141"/>
      <c r="Z1457" s="141"/>
      <c r="AA1457" s="47" t="e">
        <f>INDEX(VISITORS[INSECT ORDER], MATCH(X1457,VISITORS[NAME USED],0))</f>
        <v>#N/A</v>
      </c>
      <c r="AB1457" s="98" t="e">
        <f t="shared" si="708"/>
        <v>#N/A</v>
      </c>
      <c r="AC1457" s="53" t="e">
        <f t="shared" si="709"/>
        <v>#VALUE!</v>
      </c>
      <c r="AD1457" s="103" t="str">
        <f t="shared" si="710"/>
        <v/>
      </c>
      <c r="AE1457" s="103"/>
      <c r="AF1457" s="103"/>
      <c r="AG1457" s="104" t="str">
        <f t="shared" si="711"/>
        <v/>
      </c>
      <c r="AH1457" s="105" t="str">
        <f t="shared" si="712"/>
        <v/>
      </c>
      <c r="AI1457" s="104"/>
      <c r="AJ1457" s="105" t="str">
        <f t="shared" si="713"/>
        <v/>
      </c>
      <c r="AK1457" s="104"/>
      <c r="AL1457" s="105" t="str">
        <f t="shared" si="714"/>
        <v/>
      </c>
      <c r="AM1457" s="104"/>
      <c r="AN1457" s="105" t="str">
        <f t="shared" si="715"/>
        <v/>
      </c>
      <c r="AO1457" s="104"/>
      <c r="AP1457" s="105" t="str">
        <f t="shared" si="716"/>
        <v/>
      </c>
      <c r="AQ1457" s="104"/>
      <c r="AR1457" s="105" t="str">
        <f t="shared" si="717"/>
        <v/>
      </c>
      <c r="AS1457" s="106"/>
      <c r="AT1457" s="107"/>
      <c r="AU1457" s="107"/>
      <c r="AV1457" s="108"/>
      <c r="AW1457" s="109" t="str">
        <f t="shared" si="718"/>
        <v/>
      </c>
      <c r="AX1457" s="110" t="str">
        <f t="shared" si="719"/>
        <v/>
      </c>
      <c r="AY1457" s="109" t="str">
        <f t="shared" si="720"/>
        <v/>
      </c>
      <c r="AZ1457" s="110" t="str">
        <f t="shared" si="721"/>
        <v/>
      </c>
    </row>
    <row r="1458" spans="1:52" s="3" customFormat="1" ht="12" hidden="1" customHeight="1" x14ac:dyDescent="0.35">
      <c r="A1458" s="72">
        <f t="shared" si="692"/>
        <v>2020</v>
      </c>
      <c r="B1458" s="72" t="str">
        <f t="shared" si="697"/>
        <v>Dec</v>
      </c>
      <c r="C1458" s="73">
        <f t="shared" si="698"/>
        <v>3</v>
      </c>
      <c r="D1458" s="74">
        <f t="shared" si="699"/>
        <v>15</v>
      </c>
      <c r="E1458" s="75">
        <f t="shared" si="695"/>
        <v>9</v>
      </c>
      <c r="F1458" s="79"/>
      <c r="G1458" s="82"/>
      <c r="H1458" s="68" t="str">
        <f t="shared" si="700"/>
        <v>Hyprev6_20201203_15_00</v>
      </c>
      <c r="I1458" s="69">
        <f t="shared" ref="I1458:N1458" si="736">I1457</f>
        <v>1</v>
      </c>
      <c r="J1458" s="76" t="str">
        <f t="shared" si="736"/>
        <v>Hypericum</v>
      </c>
      <c r="K1458" s="76" t="str">
        <f t="shared" si="736"/>
        <v>revolutum</v>
      </c>
      <c r="L1458" s="77">
        <f t="shared" si="736"/>
        <v>6</v>
      </c>
      <c r="M1458" s="77">
        <f t="shared" si="736"/>
        <v>1</v>
      </c>
      <c r="N1458" s="71">
        <f t="shared" si="736"/>
        <v>0</v>
      </c>
      <c r="O1458" s="44"/>
      <c r="P1458" s="45" t="str">
        <f t="shared" si="702"/>
        <v/>
      </c>
      <c r="Q1458" s="46" t="str">
        <f t="shared" si="703"/>
        <v/>
      </c>
      <c r="R1458" s="47" t="e">
        <f t="shared" si="704"/>
        <v>#VALUE!</v>
      </c>
      <c r="S1458" s="48" t="e">
        <f t="shared" si="705"/>
        <v>#VALUE!</v>
      </c>
      <c r="T1458" s="47" t="str">
        <f t="shared" si="706"/>
        <v/>
      </c>
      <c r="U1458" s="49"/>
      <c r="V1458" s="50"/>
      <c r="W1458" s="51" t="e">
        <f t="shared" si="707"/>
        <v>#VALUE!</v>
      </c>
      <c r="X1458" s="52"/>
      <c r="Y1458" s="52"/>
      <c r="Z1458" s="52"/>
      <c r="AA1458" s="47" t="e">
        <f>INDEX(VISITORS[INSECT ORDER], MATCH(X1458,VISITORS[NAME USED],0))</f>
        <v>#N/A</v>
      </c>
      <c r="AB1458" s="47" t="e">
        <f t="shared" si="708"/>
        <v>#N/A</v>
      </c>
      <c r="AC1458" s="53" t="e">
        <f t="shared" si="709"/>
        <v>#VALUE!</v>
      </c>
      <c r="AD1458" s="54" t="str">
        <f t="shared" si="710"/>
        <v/>
      </c>
      <c r="AE1458" s="54"/>
      <c r="AF1458" s="54"/>
      <c r="AG1458" s="55" t="str">
        <f t="shared" si="711"/>
        <v/>
      </c>
      <c r="AH1458" s="56" t="str">
        <f t="shared" si="712"/>
        <v/>
      </c>
      <c r="AI1458" s="55"/>
      <c r="AJ1458" s="56" t="str">
        <f t="shared" si="713"/>
        <v/>
      </c>
      <c r="AK1458" s="55"/>
      <c r="AL1458" s="56" t="str">
        <f t="shared" si="714"/>
        <v/>
      </c>
      <c r="AM1458" s="55"/>
      <c r="AN1458" s="56" t="str">
        <f t="shared" si="715"/>
        <v/>
      </c>
      <c r="AO1458" s="55"/>
      <c r="AP1458" s="56" t="str">
        <f t="shared" si="716"/>
        <v/>
      </c>
      <c r="AQ1458" s="55"/>
      <c r="AR1458" s="56" t="str">
        <f t="shared" si="717"/>
        <v/>
      </c>
      <c r="AS1458" s="57"/>
      <c r="AT1458" s="58"/>
      <c r="AU1458" s="58"/>
      <c r="AV1458" s="59"/>
      <c r="AW1458" s="60" t="str">
        <f t="shared" si="718"/>
        <v/>
      </c>
      <c r="AX1458" s="61" t="str">
        <f t="shared" si="719"/>
        <v/>
      </c>
      <c r="AY1458" s="60" t="str">
        <f t="shared" si="720"/>
        <v/>
      </c>
      <c r="AZ1458" s="61" t="str">
        <f t="shared" si="721"/>
        <v/>
      </c>
    </row>
    <row r="1459" spans="1:52" s="3" customFormat="1" ht="12" hidden="1" customHeight="1" x14ac:dyDescent="0.35">
      <c r="A1459" s="72">
        <f t="shared" si="692"/>
        <v>2020</v>
      </c>
      <c r="B1459" s="72" t="str">
        <f t="shared" si="697"/>
        <v>Dec</v>
      </c>
      <c r="C1459" s="73">
        <f t="shared" si="698"/>
        <v>3</v>
      </c>
      <c r="D1459" s="74">
        <f t="shared" si="699"/>
        <v>15</v>
      </c>
      <c r="E1459" s="75">
        <f t="shared" si="695"/>
        <v>10</v>
      </c>
      <c r="F1459" s="79"/>
      <c r="G1459" s="82"/>
      <c r="H1459" s="68" t="str">
        <f t="shared" si="700"/>
        <v>Hyprev6_20201203_15_00</v>
      </c>
      <c r="I1459" s="69">
        <f t="shared" ref="I1459:N1459" si="737">I1458</f>
        <v>1</v>
      </c>
      <c r="J1459" s="76" t="str">
        <f t="shared" si="737"/>
        <v>Hypericum</v>
      </c>
      <c r="K1459" s="76" t="str">
        <f t="shared" si="737"/>
        <v>revolutum</v>
      </c>
      <c r="L1459" s="77">
        <f t="shared" si="737"/>
        <v>6</v>
      </c>
      <c r="M1459" s="77">
        <f t="shared" si="737"/>
        <v>1</v>
      </c>
      <c r="N1459" s="71">
        <f t="shared" si="737"/>
        <v>0</v>
      </c>
      <c r="O1459" s="44"/>
      <c r="P1459" s="45" t="str">
        <f t="shared" si="702"/>
        <v/>
      </c>
      <c r="Q1459" s="46" t="str">
        <f t="shared" si="703"/>
        <v/>
      </c>
      <c r="R1459" s="47" t="e">
        <f t="shared" si="704"/>
        <v>#VALUE!</v>
      </c>
      <c r="S1459" s="48" t="e">
        <f t="shared" si="705"/>
        <v>#VALUE!</v>
      </c>
      <c r="T1459" s="47" t="str">
        <f t="shared" si="706"/>
        <v/>
      </c>
      <c r="U1459" s="49"/>
      <c r="V1459" s="50"/>
      <c r="W1459" s="51" t="e">
        <f t="shared" si="707"/>
        <v>#VALUE!</v>
      </c>
      <c r="X1459" s="52"/>
      <c r="Y1459" s="52"/>
      <c r="Z1459" s="52"/>
      <c r="AA1459" s="47" t="e">
        <f>INDEX(VISITORS[INSECT ORDER], MATCH(X1459,VISITORS[NAME USED],0))</f>
        <v>#N/A</v>
      </c>
      <c r="AB1459" s="47" t="e">
        <f t="shared" si="708"/>
        <v>#N/A</v>
      </c>
      <c r="AC1459" s="53" t="e">
        <f t="shared" si="709"/>
        <v>#VALUE!</v>
      </c>
      <c r="AD1459" s="54" t="str">
        <f t="shared" si="710"/>
        <v/>
      </c>
      <c r="AE1459" s="54"/>
      <c r="AF1459" s="54"/>
      <c r="AG1459" s="55" t="str">
        <f t="shared" si="711"/>
        <v/>
      </c>
      <c r="AH1459" s="56" t="str">
        <f t="shared" si="712"/>
        <v/>
      </c>
      <c r="AI1459" s="55"/>
      <c r="AJ1459" s="56" t="str">
        <f t="shared" si="713"/>
        <v/>
      </c>
      <c r="AK1459" s="55"/>
      <c r="AL1459" s="56" t="str">
        <f t="shared" si="714"/>
        <v/>
      </c>
      <c r="AM1459" s="55"/>
      <c r="AN1459" s="56" t="str">
        <f t="shared" si="715"/>
        <v/>
      </c>
      <c r="AO1459" s="55"/>
      <c r="AP1459" s="56" t="str">
        <f t="shared" si="716"/>
        <v/>
      </c>
      <c r="AQ1459" s="55"/>
      <c r="AR1459" s="56" t="str">
        <f t="shared" si="717"/>
        <v/>
      </c>
      <c r="AS1459" s="57"/>
      <c r="AT1459" s="58"/>
      <c r="AU1459" s="58"/>
      <c r="AV1459" s="59"/>
      <c r="AW1459" s="60" t="str">
        <f t="shared" si="718"/>
        <v/>
      </c>
      <c r="AX1459" s="61" t="str">
        <f t="shared" si="719"/>
        <v/>
      </c>
      <c r="AY1459" s="60" t="str">
        <f t="shared" si="720"/>
        <v/>
      </c>
      <c r="AZ1459" s="61" t="str">
        <f t="shared" si="721"/>
        <v/>
      </c>
    </row>
    <row r="1460" spans="1:52" s="3" customFormat="1" ht="12" hidden="1" customHeight="1" thickBot="1" x14ac:dyDescent="0.4">
      <c r="A1460" s="85">
        <f t="shared" si="692"/>
        <v>2020</v>
      </c>
      <c r="B1460" s="85" t="str">
        <f t="shared" si="697"/>
        <v>Dec</v>
      </c>
      <c r="C1460" s="86">
        <f t="shared" si="698"/>
        <v>3</v>
      </c>
      <c r="D1460" s="87">
        <f t="shared" si="699"/>
        <v>15</v>
      </c>
      <c r="E1460" s="88">
        <f t="shared" si="695"/>
        <v>11</v>
      </c>
      <c r="F1460" s="89"/>
      <c r="G1460" s="90"/>
      <c r="H1460" s="68" t="str">
        <f t="shared" si="700"/>
        <v>Hyprev6_20201203_15_00</v>
      </c>
      <c r="I1460" s="91">
        <f t="shared" ref="I1460:N1460" si="738">I1459</f>
        <v>1</v>
      </c>
      <c r="J1460" s="92" t="str">
        <f t="shared" si="738"/>
        <v>Hypericum</v>
      </c>
      <c r="K1460" s="92" t="str">
        <f t="shared" si="738"/>
        <v>revolutum</v>
      </c>
      <c r="L1460" s="93">
        <f t="shared" si="738"/>
        <v>6</v>
      </c>
      <c r="M1460" s="93">
        <f t="shared" si="738"/>
        <v>1</v>
      </c>
      <c r="N1460" s="94">
        <f t="shared" si="738"/>
        <v>0</v>
      </c>
      <c r="O1460" s="95"/>
      <c r="P1460" s="96" t="str">
        <f t="shared" si="702"/>
        <v/>
      </c>
      <c r="Q1460" s="97" t="str">
        <f t="shared" si="703"/>
        <v/>
      </c>
      <c r="R1460" s="98" t="e">
        <f t="shared" si="704"/>
        <v>#VALUE!</v>
      </c>
      <c r="S1460" s="98" t="e">
        <f t="shared" si="705"/>
        <v>#VALUE!</v>
      </c>
      <c r="T1460" s="98" t="str">
        <f t="shared" si="706"/>
        <v/>
      </c>
      <c r="U1460" s="99"/>
      <c r="V1460" s="100"/>
      <c r="W1460" s="101" t="e">
        <f t="shared" si="707"/>
        <v>#VALUE!</v>
      </c>
      <c r="X1460" s="102"/>
      <c r="Y1460" s="141"/>
      <c r="Z1460" s="141"/>
      <c r="AA1460" s="47" t="e">
        <f>INDEX(VISITORS[INSECT ORDER], MATCH(X1460,VISITORS[NAME USED],0))</f>
        <v>#N/A</v>
      </c>
      <c r="AB1460" s="98" t="e">
        <f t="shared" si="708"/>
        <v>#N/A</v>
      </c>
      <c r="AC1460" s="53" t="e">
        <f t="shared" si="709"/>
        <v>#VALUE!</v>
      </c>
      <c r="AD1460" s="103" t="str">
        <f t="shared" si="710"/>
        <v/>
      </c>
      <c r="AE1460" s="103"/>
      <c r="AF1460" s="103"/>
      <c r="AG1460" s="104" t="str">
        <f t="shared" si="711"/>
        <v/>
      </c>
      <c r="AH1460" s="105" t="str">
        <f t="shared" si="712"/>
        <v/>
      </c>
      <c r="AI1460" s="104"/>
      <c r="AJ1460" s="105" t="str">
        <f t="shared" si="713"/>
        <v/>
      </c>
      <c r="AK1460" s="104"/>
      <c r="AL1460" s="105" t="str">
        <f t="shared" si="714"/>
        <v/>
      </c>
      <c r="AM1460" s="104"/>
      <c r="AN1460" s="105" t="str">
        <f t="shared" si="715"/>
        <v/>
      </c>
      <c r="AO1460" s="104"/>
      <c r="AP1460" s="105" t="str">
        <f t="shared" si="716"/>
        <v/>
      </c>
      <c r="AQ1460" s="104"/>
      <c r="AR1460" s="105" t="str">
        <f t="shared" si="717"/>
        <v/>
      </c>
      <c r="AS1460" s="106"/>
      <c r="AT1460" s="107"/>
      <c r="AU1460" s="107"/>
      <c r="AV1460" s="108"/>
      <c r="AW1460" s="109" t="str">
        <f t="shared" si="718"/>
        <v/>
      </c>
      <c r="AX1460" s="110" t="str">
        <f t="shared" si="719"/>
        <v/>
      </c>
      <c r="AY1460" s="109" t="str">
        <f t="shared" si="720"/>
        <v/>
      </c>
      <c r="AZ1460" s="110" t="str">
        <f t="shared" si="721"/>
        <v/>
      </c>
    </row>
    <row r="1461" spans="1:52" s="3" customFormat="1" ht="12" hidden="1" customHeight="1" x14ac:dyDescent="0.35">
      <c r="A1461" s="72">
        <f t="shared" si="692"/>
        <v>2020</v>
      </c>
      <c r="B1461" s="72" t="str">
        <f t="shared" si="697"/>
        <v>Dec</v>
      </c>
      <c r="C1461" s="73">
        <f t="shared" si="698"/>
        <v>3</v>
      </c>
      <c r="D1461" s="74">
        <f t="shared" si="699"/>
        <v>15</v>
      </c>
      <c r="E1461" s="75">
        <f t="shared" si="695"/>
        <v>12</v>
      </c>
      <c r="F1461" s="79"/>
      <c r="G1461" s="82"/>
      <c r="H1461" s="68" t="str">
        <f t="shared" si="700"/>
        <v>Hyprev6_20201203_15_00</v>
      </c>
      <c r="I1461" s="69">
        <f t="shared" ref="I1461:N1461" si="739">I1460</f>
        <v>1</v>
      </c>
      <c r="J1461" s="76" t="str">
        <f t="shared" si="739"/>
        <v>Hypericum</v>
      </c>
      <c r="K1461" s="76" t="str">
        <f t="shared" si="739"/>
        <v>revolutum</v>
      </c>
      <c r="L1461" s="77">
        <f t="shared" si="739"/>
        <v>6</v>
      </c>
      <c r="M1461" s="77">
        <f t="shared" si="739"/>
        <v>1</v>
      </c>
      <c r="N1461" s="71">
        <f t="shared" si="739"/>
        <v>0</v>
      </c>
      <c r="O1461" s="44"/>
      <c r="P1461" s="45" t="str">
        <f t="shared" si="702"/>
        <v/>
      </c>
      <c r="Q1461" s="46" t="str">
        <f t="shared" si="703"/>
        <v/>
      </c>
      <c r="R1461" s="47" t="e">
        <f t="shared" si="704"/>
        <v>#VALUE!</v>
      </c>
      <c r="S1461" s="48" t="e">
        <f t="shared" si="705"/>
        <v>#VALUE!</v>
      </c>
      <c r="T1461" s="47" t="str">
        <f t="shared" si="706"/>
        <v/>
      </c>
      <c r="U1461" s="49"/>
      <c r="V1461" s="50"/>
      <c r="W1461" s="51" t="e">
        <f t="shared" si="707"/>
        <v>#VALUE!</v>
      </c>
      <c r="X1461" s="52"/>
      <c r="Y1461" s="52"/>
      <c r="Z1461" s="52"/>
      <c r="AA1461" s="47" t="e">
        <f>INDEX(VISITORS[INSECT ORDER], MATCH(X1461,VISITORS[NAME USED],0))</f>
        <v>#N/A</v>
      </c>
      <c r="AB1461" s="47" t="e">
        <f t="shared" si="708"/>
        <v>#N/A</v>
      </c>
      <c r="AC1461" s="53" t="e">
        <f t="shared" si="709"/>
        <v>#VALUE!</v>
      </c>
      <c r="AD1461" s="54" t="str">
        <f t="shared" si="710"/>
        <v/>
      </c>
      <c r="AE1461" s="54"/>
      <c r="AF1461" s="54"/>
      <c r="AG1461" s="55" t="str">
        <f t="shared" si="711"/>
        <v/>
      </c>
      <c r="AH1461" s="56" t="str">
        <f t="shared" si="712"/>
        <v/>
      </c>
      <c r="AI1461" s="55"/>
      <c r="AJ1461" s="56" t="str">
        <f t="shared" si="713"/>
        <v/>
      </c>
      <c r="AK1461" s="55"/>
      <c r="AL1461" s="56" t="str">
        <f t="shared" si="714"/>
        <v/>
      </c>
      <c r="AM1461" s="55"/>
      <c r="AN1461" s="56" t="str">
        <f t="shared" si="715"/>
        <v/>
      </c>
      <c r="AO1461" s="55"/>
      <c r="AP1461" s="56" t="str">
        <f t="shared" si="716"/>
        <v/>
      </c>
      <c r="AQ1461" s="55"/>
      <c r="AR1461" s="56" t="str">
        <f t="shared" si="717"/>
        <v/>
      </c>
      <c r="AS1461" s="57"/>
      <c r="AT1461" s="58"/>
      <c r="AU1461" s="58"/>
      <c r="AV1461" s="59"/>
      <c r="AW1461" s="60" t="str">
        <f t="shared" si="718"/>
        <v/>
      </c>
      <c r="AX1461" s="61" t="str">
        <f t="shared" si="719"/>
        <v/>
      </c>
      <c r="AY1461" s="60" t="str">
        <f t="shared" si="720"/>
        <v/>
      </c>
      <c r="AZ1461" s="61" t="str">
        <f t="shared" si="721"/>
        <v/>
      </c>
    </row>
    <row r="1462" spans="1:52" s="3" customFormat="1" ht="12" hidden="1" customHeight="1" x14ac:dyDescent="0.35">
      <c r="A1462" s="72">
        <f t="shared" si="692"/>
        <v>2020</v>
      </c>
      <c r="B1462" s="72" t="str">
        <f t="shared" si="697"/>
        <v>Dec</v>
      </c>
      <c r="C1462" s="73">
        <f t="shared" si="698"/>
        <v>3</v>
      </c>
      <c r="D1462" s="74">
        <f t="shared" si="699"/>
        <v>15</v>
      </c>
      <c r="E1462" s="75">
        <f t="shared" si="695"/>
        <v>13</v>
      </c>
      <c r="F1462" s="79"/>
      <c r="G1462" s="82"/>
      <c r="H1462" s="68" t="str">
        <f t="shared" si="700"/>
        <v>Hyprev6_20201203_15_00</v>
      </c>
      <c r="I1462" s="69">
        <f t="shared" ref="I1462:N1462" si="740">I1461</f>
        <v>1</v>
      </c>
      <c r="J1462" s="76" t="str">
        <f t="shared" si="740"/>
        <v>Hypericum</v>
      </c>
      <c r="K1462" s="76" t="str">
        <f t="shared" si="740"/>
        <v>revolutum</v>
      </c>
      <c r="L1462" s="77">
        <f t="shared" si="740"/>
        <v>6</v>
      </c>
      <c r="M1462" s="77">
        <f t="shared" si="740"/>
        <v>1</v>
      </c>
      <c r="N1462" s="71">
        <f t="shared" si="740"/>
        <v>0</v>
      </c>
      <c r="O1462" s="44"/>
      <c r="P1462" s="45" t="str">
        <f t="shared" si="702"/>
        <v/>
      </c>
      <c r="Q1462" s="46" t="str">
        <f t="shared" si="703"/>
        <v/>
      </c>
      <c r="R1462" s="47" t="e">
        <f t="shared" si="704"/>
        <v>#VALUE!</v>
      </c>
      <c r="S1462" s="48" t="e">
        <f t="shared" si="705"/>
        <v>#VALUE!</v>
      </c>
      <c r="T1462" s="47" t="str">
        <f t="shared" si="706"/>
        <v/>
      </c>
      <c r="U1462" s="49"/>
      <c r="V1462" s="50"/>
      <c r="W1462" s="51" t="e">
        <f t="shared" si="707"/>
        <v>#VALUE!</v>
      </c>
      <c r="X1462" s="52"/>
      <c r="Y1462" s="52"/>
      <c r="Z1462" s="52"/>
      <c r="AA1462" s="47" t="e">
        <f>INDEX(VISITORS[INSECT ORDER], MATCH(X1462,VISITORS[NAME USED],0))</f>
        <v>#N/A</v>
      </c>
      <c r="AB1462" s="47" t="e">
        <f t="shared" si="708"/>
        <v>#N/A</v>
      </c>
      <c r="AC1462" s="53" t="e">
        <f t="shared" si="709"/>
        <v>#VALUE!</v>
      </c>
      <c r="AD1462" s="54" t="str">
        <f t="shared" si="710"/>
        <v/>
      </c>
      <c r="AE1462" s="54"/>
      <c r="AF1462" s="54"/>
      <c r="AG1462" s="55" t="str">
        <f t="shared" si="711"/>
        <v/>
      </c>
      <c r="AH1462" s="56" t="str">
        <f t="shared" si="712"/>
        <v/>
      </c>
      <c r="AI1462" s="55"/>
      <c r="AJ1462" s="56" t="str">
        <f t="shared" si="713"/>
        <v/>
      </c>
      <c r="AK1462" s="55"/>
      <c r="AL1462" s="56" t="str">
        <f t="shared" si="714"/>
        <v/>
      </c>
      <c r="AM1462" s="55"/>
      <c r="AN1462" s="56" t="str">
        <f t="shared" si="715"/>
        <v/>
      </c>
      <c r="AO1462" s="55"/>
      <c r="AP1462" s="56" t="str">
        <f t="shared" si="716"/>
        <v/>
      </c>
      <c r="AQ1462" s="55"/>
      <c r="AR1462" s="56" t="str">
        <f t="shared" si="717"/>
        <v/>
      </c>
      <c r="AS1462" s="57"/>
      <c r="AT1462" s="58"/>
      <c r="AU1462" s="58"/>
      <c r="AV1462" s="59"/>
      <c r="AW1462" s="60" t="str">
        <f t="shared" si="718"/>
        <v/>
      </c>
      <c r="AX1462" s="61" t="str">
        <f t="shared" si="719"/>
        <v/>
      </c>
      <c r="AY1462" s="60" t="str">
        <f t="shared" si="720"/>
        <v/>
      </c>
      <c r="AZ1462" s="61" t="str">
        <f t="shared" si="721"/>
        <v/>
      </c>
    </row>
    <row r="1463" spans="1:52" s="3" customFormat="1" ht="12" hidden="1" customHeight="1" thickBot="1" x14ac:dyDescent="0.4">
      <c r="A1463" s="85">
        <f t="shared" si="692"/>
        <v>2020</v>
      </c>
      <c r="B1463" s="85" t="str">
        <f t="shared" si="697"/>
        <v>Dec</v>
      </c>
      <c r="C1463" s="86">
        <f t="shared" si="698"/>
        <v>3</v>
      </c>
      <c r="D1463" s="87">
        <f t="shared" si="699"/>
        <v>15</v>
      </c>
      <c r="E1463" s="88">
        <f t="shared" si="695"/>
        <v>14</v>
      </c>
      <c r="F1463" s="89"/>
      <c r="G1463" s="90"/>
      <c r="H1463" s="68" t="str">
        <f t="shared" si="700"/>
        <v>Hyprev6_20201203_15_00</v>
      </c>
      <c r="I1463" s="91">
        <f t="shared" ref="I1463:N1463" si="741">I1462</f>
        <v>1</v>
      </c>
      <c r="J1463" s="92" t="str">
        <f t="shared" si="741"/>
        <v>Hypericum</v>
      </c>
      <c r="K1463" s="92" t="str">
        <f t="shared" si="741"/>
        <v>revolutum</v>
      </c>
      <c r="L1463" s="93">
        <f t="shared" si="741"/>
        <v>6</v>
      </c>
      <c r="M1463" s="93">
        <f t="shared" si="741"/>
        <v>1</v>
      </c>
      <c r="N1463" s="94">
        <f t="shared" si="741"/>
        <v>0</v>
      </c>
      <c r="O1463" s="95"/>
      <c r="P1463" s="96" t="str">
        <f t="shared" si="702"/>
        <v/>
      </c>
      <c r="Q1463" s="97" t="str">
        <f t="shared" si="703"/>
        <v/>
      </c>
      <c r="R1463" s="98" t="e">
        <f t="shared" si="704"/>
        <v>#VALUE!</v>
      </c>
      <c r="S1463" s="98" t="e">
        <f t="shared" si="705"/>
        <v>#VALUE!</v>
      </c>
      <c r="T1463" s="98" t="str">
        <f t="shared" si="706"/>
        <v/>
      </c>
      <c r="U1463" s="99"/>
      <c r="V1463" s="100"/>
      <c r="W1463" s="101" t="e">
        <f t="shared" si="707"/>
        <v>#VALUE!</v>
      </c>
      <c r="X1463" s="102"/>
      <c r="Y1463" s="141"/>
      <c r="Z1463" s="141"/>
      <c r="AA1463" s="47" t="e">
        <f>INDEX(VISITORS[INSECT ORDER], MATCH(X1463,VISITORS[NAME USED],0))</f>
        <v>#N/A</v>
      </c>
      <c r="AB1463" s="98" t="e">
        <f t="shared" si="708"/>
        <v>#N/A</v>
      </c>
      <c r="AC1463" s="53" t="e">
        <f t="shared" si="709"/>
        <v>#VALUE!</v>
      </c>
      <c r="AD1463" s="103" t="str">
        <f t="shared" si="710"/>
        <v/>
      </c>
      <c r="AE1463" s="103"/>
      <c r="AF1463" s="103"/>
      <c r="AG1463" s="104" t="str">
        <f t="shared" si="711"/>
        <v/>
      </c>
      <c r="AH1463" s="105" t="str">
        <f t="shared" si="712"/>
        <v/>
      </c>
      <c r="AI1463" s="104"/>
      <c r="AJ1463" s="105" t="str">
        <f t="shared" si="713"/>
        <v/>
      </c>
      <c r="AK1463" s="104"/>
      <c r="AL1463" s="105" t="str">
        <f t="shared" si="714"/>
        <v/>
      </c>
      <c r="AM1463" s="104"/>
      <c r="AN1463" s="105" t="str">
        <f t="shared" si="715"/>
        <v/>
      </c>
      <c r="AO1463" s="104"/>
      <c r="AP1463" s="105" t="str">
        <f t="shared" si="716"/>
        <v/>
      </c>
      <c r="AQ1463" s="104"/>
      <c r="AR1463" s="105" t="str">
        <f t="shared" si="717"/>
        <v/>
      </c>
      <c r="AS1463" s="106"/>
      <c r="AT1463" s="107"/>
      <c r="AU1463" s="107"/>
      <c r="AV1463" s="108"/>
      <c r="AW1463" s="109" t="str">
        <f t="shared" si="718"/>
        <v/>
      </c>
      <c r="AX1463" s="110" t="str">
        <f t="shared" si="719"/>
        <v/>
      </c>
      <c r="AY1463" s="109" t="str">
        <f t="shared" si="720"/>
        <v/>
      </c>
      <c r="AZ1463" s="110" t="str">
        <f t="shared" si="721"/>
        <v/>
      </c>
    </row>
    <row r="1464" spans="1:52" s="3" customFormat="1" ht="12" hidden="1" customHeight="1" x14ac:dyDescent="0.35">
      <c r="A1464" s="72">
        <f t="shared" si="692"/>
        <v>2020</v>
      </c>
      <c r="B1464" s="72" t="str">
        <f t="shared" si="697"/>
        <v>Dec</v>
      </c>
      <c r="C1464" s="73">
        <f t="shared" si="698"/>
        <v>3</v>
      </c>
      <c r="D1464" s="74">
        <f t="shared" si="699"/>
        <v>15</v>
      </c>
      <c r="E1464" s="75">
        <f t="shared" si="695"/>
        <v>15</v>
      </c>
      <c r="F1464" s="79"/>
      <c r="G1464" s="82"/>
      <c r="H1464" s="68" t="str">
        <f t="shared" si="700"/>
        <v>Hyprev6_20201203_15_00</v>
      </c>
      <c r="I1464" s="69">
        <f t="shared" ref="I1464:N1464" si="742">I1463</f>
        <v>1</v>
      </c>
      <c r="J1464" s="76" t="str">
        <f t="shared" si="742"/>
        <v>Hypericum</v>
      </c>
      <c r="K1464" s="76" t="str">
        <f t="shared" si="742"/>
        <v>revolutum</v>
      </c>
      <c r="L1464" s="77">
        <f t="shared" si="742"/>
        <v>6</v>
      </c>
      <c r="M1464" s="77">
        <f t="shared" si="742"/>
        <v>1</v>
      </c>
      <c r="N1464" s="71">
        <f t="shared" si="742"/>
        <v>0</v>
      </c>
      <c r="O1464" s="44"/>
      <c r="P1464" s="45" t="str">
        <f t="shared" si="702"/>
        <v/>
      </c>
      <c r="Q1464" s="46" t="str">
        <f t="shared" si="703"/>
        <v/>
      </c>
      <c r="R1464" s="47" t="e">
        <f t="shared" si="704"/>
        <v>#VALUE!</v>
      </c>
      <c r="S1464" s="48" t="e">
        <f t="shared" si="705"/>
        <v>#VALUE!</v>
      </c>
      <c r="T1464" s="47" t="str">
        <f t="shared" si="706"/>
        <v/>
      </c>
      <c r="U1464" s="49"/>
      <c r="V1464" s="50"/>
      <c r="W1464" s="51" t="e">
        <f t="shared" si="707"/>
        <v>#VALUE!</v>
      </c>
      <c r="X1464" s="52"/>
      <c r="Y1464" s="52"/>
      <c r="Z1464" s="52"/>
      <c r="AA1464" s="47" t="e">
        <f>INDEX(VISITORS[INSECT ORDER], MATCH(X1464,VISITORS[NAME USED],0))</f>
        <v>#N/A</v>
      </c>
      <c r="AB1464" s="47" t="e">
        <f t="shared" si="708"/>
        <v>#N/A</v>
      </c>
      <c r="AC1464" s="53" t="e">
        <f t="shared" si="709"/>
        <v>#VALUE!</v>
      </c>
      <c r="AD1464" s="54" t="str">
        <f t="shared" si="710"/>
        <v/>
      </c>
      <c r="AE1464" s="54"/>
      <c r="AF1464" s="54"/>
      <c r="AG1464" s="55" t="str">
        <f t="shared" si="711"/>
        <v/>
      </c>
      <c r="AH1464" s="56" t="str">
        <f t="shared" si="712"/>
        <v/>
      </c>
      <c r="AI1464" s="55"/>
      <c r="AJ1464" s="56" t="str">
        <f t="shared" si="713"/>
        <v/>
      </c>
      <c r="AK1464" s="55"/>
      <c r="AL1464" s="56" t="str">
        <f t="shared" si="714"/>
        <v/>
      </c>
      <c r="AM1464" s="55"/>
      <c r="AN1464" s="56" t="str">
        <f t="shared" si="715"/>
        <v/>
      </c>
      <c r="AO1464" s="55"/>
      <c r="AP1464" s="56" t="str">
        <f t="shared" si="716"/>
        <v/>
      </c>
      <c r="AQ1464" s="55"/>
      <c r="AR1464" s="56" t="str">
        <f t="shared" si="717"/>
        <v/>
      </c>
      <c r="AS1464" s="57"/>
      <c r="AT1464" s="58"/>
      <c r="AU1464" s="58"/>
      <c r="AV1464" s="59"/>
      <c r="AW1464" s="60" t="str">
        <f t="shared" si="718"/>
        <v/>
      </c>
      <c r="AX1464" s="61" t="str">
        <f t="shared" si="719"/>
        <v/>
      </c>
      <c r="AY1464" s="60" t="str">
        <f t="shared" si="720"/>
        <v/>
      </c>
      <c r="AZ1464" s="61" t="str">
        <f t="shared" si="721"/>
        <v/>
      </c>
    </row>
    <row r="1465" spans="1:52" s="3" customFormat="1" ht="12" hidden="1" customHeight="1" x14ac:dyDescent="0.35">
      <c r="A1465" s="72">
        <f t="shared" si="692"/>
        <v>2020</v>
      </c>
      <c r="B1465" s="72" t="str">
        <f t="shared" si="697"/>
        <v>Dec</v>
      </c>
      <c r="C1465" s="73">
        <f t="shared" si="698"/>
        <v>3</v>
      </c>
      <c r="D1465" s="74">
        <f t="shared" si="699"/>
        <v>15</v>
      </c>
      <c r="E1465" s="75">
        <f t="shared" si="695"/>
        <v>16</v>
      </c>
      <c r="F1465" s="79"/>
      <c r="G1465" s="82"/>
      <c r="H1465" s="68" t="str">
        <f t="shared" si="700"/>
        <v>Hyprev6_20201203_15_00</v>
      </c>
      <c r="I1465" s="69">
        <f t="shared" ref="I1465:N1465" si="743">I1464</f>
        <v>1</v>
      </c>
      <c r="J1465" s="76" t="str">
        <f t="shared" si="743"/>
        <v>Hypericum</v>
      </c>
      <c r="K1465" s="76" t="str">
        <f t="shared" si="743"/>
        <v>revolutum</v>
      </c>
      <c r="L1465" s="77">
        <f t="shared" si="743"/>
        <v>6</v>
      </c>
      <c r="M1465" s="77">
        <f t="shared" si="743"/>
        <v>1</v>
      </c>
      <c r="N1465" s="71">
        <f t="shared" si="743"/>
        <v>0</v>
      </c>
      <c r="O1465" s="44"/>
      <c r="P1465" s="45" t="str">
        <f t="shared" si="702"/>
        <v/>
      </c>
      <c r="Q1465" s="46" t="str">
        <f t="shared" si="703"/>
        <v/>
      </c>
      <c r="R1465" s="47" t="e">
        <f t="shared" si="704"/>
        <v>#VALUE!</v>
      </c>
      <c r="S1465" s="48" t="e">
        <f t="shared" si="705"/>
        <v>#VALUE!</v>
      </c>
      <c r="T1465" s="47" t="str">
        <f t="shared" si="706"/>
        <v/>
      </c>
      <c r="U1465" s="49"/>
      <c r="V1465" s="50"/>
      <c r="W1465" s="51" t="e">
        <f t="shared" si="707"/>
        <v>#VALUE!</v>
      </c>
      <c r="X1465" s="52"/>
      <c r="Y1465" s="52"/>
      <c r="Z1465" s="52"/>
      <c r="AA1465" s="47" t="e">
        <f>INDEX(VISITORS[INSECT ORDER], MATCH(X1465,VISITORS[NAME USED],0))</f>
        <v>#N/A</v>
      </c>
      <c r="AB1465" s="47" t="e">
        <f t="shared" si="708"/>
        <v>#N/A</v>
      </c>
      <c r="AC1465" s="53" t="e">
        <f t="shared" si="709"/>
        <v>#VALUE!</v>
      </c>
      <c r="AD1465" s="54" t="str">
        <f t="shared" si="710"/>
        <v/>
      </c>
      <c r="AE1465" s="54"/>
      <c r="AF1465" s="54"/>
      <c r="AG1465" s="55" t="str">
        <f t="shared" si="711"/>
        <v/>
      </c>
      <c r="AH1465" s="56" t="str">
        <f t="shared" si="712"/>
        <v/>
      </c>
      <c r="AI1465" s="55"/>
      <c r="AJ1465" s="56" t="str">
        <f t="shared" si="713"/>
        <v/>
      </c>
      <c r="AK1465" s="55"/>
      <c r="AL1465" s="56" t="str">
        <f t="shared" si="714"/>
        <v/>
      </c>
      <c r="AM1465" s="55"/>
      <c r="AN1465" s="56" t="str">
        <f t="shared" si="715"/>
        <v/>
      </c>
      <c r="AO1465" s="55"/>
      <c r="AP1465" s="56" t="str">
        <f t="shared" si="716"/>
        <v/>
      </c>
      <c r="AQ1465" s="55"/>
      <c r="AR1465" s="56" t="str">
        <f t="shared" si="717"/>
        <v/>
      </c>
      <c r="AS1465" s="57"/>
      <c r="AT1465" s="58"/>
      <c r="AU1465" s="58"/>
      <c r="AV1465" s="59"/>
      <c r="AW1465" s="60" t="str">
        <f t="shared" si="718"/>
        <v/>
      </c>
      <c r="AX1465" s="61" t="str">
        <f t="shared" si="719"/>
        <v/>
      </c>
      <c r="AY1465" s="60" t="str">
        <f t="shared" si="720"/>
        <v/>
      </c>
      <c r="AZ1465" s="61" t="str">
        <f t="shared" si="721"/>
        <v/>
      </c>
    </row>
    <row r="1466" spans="1:52" s="3" customFormat="1" ht="12" hidden="1" customHeight="1" thickBot="1" x14ac:dyDescent="0.4">
      <c r="A1466" s="85">
        <f t="shared" si="692"/>
        <v>2020</v>
      </c>
      <c r="B1466" s="85" t="str">
        <f t="shared" si="697"/>
        <v>Dec</v>
      </c>
      <c r="C1466" s="86">
        <f t="shared" si="698"/>
        <v>3</v>
      </c>
      <c r="D1466" s="87">
        <f t="shared" si="699"/>
        <v>15</v>
      </c>
      <c r="E1466" s="88">
        <f t="shared" si="695"/>
        <v>17</v>
      </c>
      <c r="F1466" s="89"/>
      <c r="G1466" s="90"/>
      <c r="H1466" s="68" t="str">
        <f t="shared" si="700"/>
        <v>Hyprev6_20201203_15_00</v>
      </c>
      <c r="I1466" s="91">
        <f t="shared" ref="I1466:N1466" si="744">I1465</f>
        <v>1</v>
      </c>
      <c r="J1466" s="92" t="str">
        <f t="shared" si="744"/>
        <v>Hypericum</v>
      </c>
      <c r="K1466" s="92" t="str">
        <f t="shared" si="744"/>
        <v>revolutum</v>
      </c>
      <c r="L1466" s="93">
        <f t="shared" si="744"/>
        <v>6</v>
      </c>
      <c r="M1466" s="93">
        <f t="shared" si="744"/>
        <v>1</v>
      </c>
      <c r="N1466" s="94">
        <f t="shared" si="744"/>
        <v>0</v>
      </c>
      <c r="O1466" s="95"/>
      <c r="P1466" s="96" t="str">
        <f t="shared" si="702"/>
        <v/>
      </c>
      <c r="Q1466" s="97" t="str">
        <f t="shared" si="703"/>
        <v/>
      </c>
      <c r="R1466" s="98" t="e">
        <f t="shared" si="704"/>
        <v>#VALUE!</v>
      </c>
      <c r="S1466" s="98" t="e">
        <f t="shared" si="705"/>
        <v>#VALUE!</v>
      </c>
      <c r="T1466" s="98" t="str">
        <f t="shared" si="706"/>
        <v/>
      </c>
      <c r="U1466" s="99"/>
      <c r="V1466" s="100"/>
      <c r="W1466" s="101" t="e">
        <f t="shared" si="707"/>
        <v>#VALUE!</v>
      </c>
      <c r="X1466" s="102"/>
      <c r="Y1466" s="141"/>
      <c r="Z1466" s="141"/>
      <c r="AA1466" s="47" t="e">
        <f>INDEX(VISITORS[INSECT ORDER], MATCH(X1466,VISITORS[NAME USED],0))</f>
        <v>#N/A</v>
      </c>
      <c r="AB1466" s="98" t="e">
        <f t="shared" si="708"/>
        <v>#N/A</v>
      </c>
      <c r="AC1466" s="53" t="e">
        <f t="shared" si="709"/>
        <v>#VALUE!</v>
      </c>
      <c r="AD1466" s="103" t="str">
        <f t="shared" si="710"/>
        <v/>
      </c>
      <c r="AE1466" s="103"/>
      <c r="AF1466" s="103"/>
      <c r="AG1466" s="104" t="str">
        <f t="shared" si="711"/>
        <v/>
      </c>
      <c r="AH1466" s="105" t="str">
        <f t="shared" si="712"/>
        <v/>
      </c>
      <c r="AI1466" s="104"/>
      <c r="AJ1466" s="105" t="str">
        <f t="shared" si="713"/>
        <v/>
      </c>
      <c r="AK1466" s="104"/>
      <c r="AL1466" s="105" t="str">
        <f t="shared" si="714"/>
        <v/>
      </c>
      <c r="AM1466" s="104"/>
      <c r="AN1466" s="105" t="str">
        <f t="shared" si="715"/>
        <v/>
      </c>
      <c r="AO1466" s="104"/>
      <c r="AP1466" s="105" t="str">
        <f t="shared" si="716"/>
        <v/>
      </c>
      <c r="AQ1466" s="104"/>
      <c r="AR1466" s="105" t="str">
        <f t="shared" si="717"/>
        <v/>
      </c>
      <c r="AS1466" s="106"/>
      <c r="AT1466" s="107"/>
      <c r="AU1466" s="107"/>
      <c r="AV1466" s="108"/>
      <c r="AW1466" s="109" t="str">
        <f t="shared" si="718"/>
        <v/>
      </c>
      <c r="AX1466" s="110" t="str">
        <f t="shared" si="719"/>
        <v/>
      </c>
      <c r="AY1466" s="109" t="str">
        <f t="shared" si="720"/>
        <v/>
      </c>
      <c r="AZ1466" s="110" t="str">
        <f t="shared" si="721"/>
        <v/>
      </c>
    </row>
    <row r="1467" spans="1:52" s="3" customFormat="1" ht="12" hidden="1" customHeight="1" x14ac:dyDescent="0.35">
      <c r="A1467" s="72">
        <f t="shared" si="692"/>
        <v>2020</v>
      </c>
      <c r="B1467" s="72" t="str">
        <f t="shared" si="697"/>
        <v>Dec</v>
      </c>
      <c r="C1467" s="73">
        <f t="shared" si="698"/>
        <v>3</v>
      </c>
      <c r="D1467" s="74">
        <f t="shared" si="699"/>
        <v>15</v>
      </c>
      <c r="E1467" s="75">
        <f t="shared" si="695"/>
        <v>18</v>
      </c>
      <c r="F1467" s="79"/>
      <c r="G1467" s="82"/>
      <c r="H1467" s="68" t="str">
        <f t="shared" si="700"/>
        <v>Hyprev6_20201203_15_00</v>
      </c>
      <c r="I1467" s="69">
        <f t="shared" ref="I1467:N1467" si="745">I1466</f>
        <v>1</v>
      </c>
      <c r="J1467" s="76" t="str">
        <f t="shared" si="745"/>
        <v>Hypericum</v>
      </c>
      <c r="K1467" s="76" t="str">
        <f t="shared" si="745"/>
        <v>revolutum</v>
      </c>
      <c r="L1467" s="77">
        <f t="shared" si="745"/>
        <v>6</v>
      </c>
      <c r="M1467" s="77">
        <f t="shared" si="745"/>
        <v>1</v>
      </c>
      <c r="N1467" s="71">
        <f t="shared" si="745"/>
        <v>0</v>
      </c>
      <c r="O1467" s="44"/>
      <c r="P1467" s="45" t="str">
        <f t="shared" si="702"/>
        <v/>
      </c>
      <c r="Q1467" s="46" t="str">
        <f t="shared" si="703"/>
        <v/>
      </c>
      <c r="R1467" s="47" t="e">
        <f t="shared" si="704"/>
        <v>#VALUE!</v>
      </c>
      <c r="S1467" s="48" t="e">
        <f t="shared" si="705"/>
        <v>#VALUE!</v>
      </c>
      <c r="T1467" s="47" t="str">
        <f t="shared" si="706"/>
        <v/>
      </c>
      <c r="U1467" s="49"/>
      <c r="V1467" s="50"/>
      <c r="W1467" s="51" t="e">
        <f t="shared" si="707"/>
        <v>#VALUE!</v>
      </c>
      <c r="X1467" s="52"/>
      <c r="Y1467" s="52"/>
      <c r="Z1467" s="52"/>
      <c r="AA1467" s="47" t="e">
        <f>INDEX(VISITORS[INSECT ORDER], MATCH(X1467,VISITORS[NAME USED],0))</f>
        <v>#N/A</v>
      </c>
      <c r="AB1467" s="47" t="e">
        <f t="shared" si="708"/>
        <v>#N/A</v>
      </c>
      <c r="AC1467" s="53" t="e">
        <f t="shared" si="709"/>
        <v>#VALUE!</v>
      </c>
      <c r="AD1467" s="54" t="str">
        <f t="shared" si="710"/>
        <v/>
      </c>
      <c r="AE1467" s="54"/>
      <c r="AF1467" s="54"/>
      <c r="AG1467" s="55" t="str">
        <f t="shared" si="711"/>
        <v/>
      </c>
      <c r="AH1467" s="56" t="str">
        <f t="shared" si="712"/>
        <v/>
      </c>
      <c r="AI1467" s="55"/>
      <c r="AJ1467" s="56" t="str">
        <f t="shared" si="713"/>
        <v/>
      </c>
      <c r="AK1467" s="55"/>
      <c r="AL1467" s="56" t="str">
        <f t="shared" si="714"/>
        <v/>
      </c>
      <c r="AM1467" s="55"/>
      <c r="AN1467" s="56" t="str">
        <f t="shared" si="715"/>
        <v/>
      </c>
      <c r="AO1467" s="55"/>
      <c r="AP1467" s="56" t="str">
        <f t="shared" si="716"/>
        <v/>
      </c>
      <c r="AQ1467" s="55"/>
      <c r="AR1467" s="56" t="str">
        <f t="shared" si="717"/>
        <v/>
      </c>
      <c r="AS1467" s="57"/>
      <c r="AT1467" s="58"/>
      <c r="AU1467" s="58"/>
      <c r="AV1467" s="59"/>
      <c r="AW1467" s="60" t="str">
        <f t="shared" si="718"/>
        <v/>
      </c>
      <c r="AX1467" s="61" t="str">
        <f t="shared" si="719"/>
        <v/>
      </c>
      <c r="AY1467" s="60" t="str">
        <f t="shared" si="720"/>
        <v/>
      </c>
      <c r="AZ1467" s="61" t="str">
        <f t="shared" si="721"/>
        <v/>
      </c>
    </row>
    <row r="1468" spans="1:52" s="3" customFormat="1" ht="12" hidden="1" customHeight="1" x14ac:dyDescent="0.35">
      <c r="A1468" s="72">
        <f t="shared" si="692"/>
        <v>2020</v>
      </c>
      <c r="B1468" s="72" t="str">
        <f t="shared" si="697"/>
        <v>Dec</v>
      </c>
      <c r="C1468" s="73">
        <f t="shared" si="698"/>
        <v>3</v>
      </c>
      <c r="D1468" s="74">
        <f t="shared" si="699"/>
        <v>15</v>
      </c>
      <c r="E1468" s="75">
        <f t="shared" si="695"/>
        <v>19</v>
      </c>
      <c r="F1468" s="79"/>
      <c r="G1468" s="82"/>
      <c r="H1468" s="68" t="str">
        <f t="shared" si="700"/>
        <v>Hyprev6_20201203_15_00</v>
      </c>
      <c r="I1468" s="69">
        <f t="shared" ref="I1468:N1468" si="746">I1467</f>
        <v>1</v>
      </c>
      <c r="J1468" s="76" t="str">
        <f t="shared" si="746"/>
        <v>Hypericum</v>
      </c>
      <c r="K1468" s="76" t="str">
        <f t="shared" si="746"/>
        <v>revolutum</v>
      </c>
      <c r="L1468" s="77">
        <f t="shared" si="746"/>
        <v>6</v>
      </c>
      <c r="M1468" s="77">
        <f t="shared" si="746"/>
        <v>1</v>
      </c>
      <c r="N1468" s="71">
        <f t="shared" si="746"/>
        <v>0</v>
      </c>
      <c r="O1468" s="44"/>
      <c r="P1468" s="45" t="str">
        <f t="shared" si="702"/>
        <v/>
      </c>
      <c r="Q1468" s="46" t="str">
        <f t="shared" si="703"/>
        <v/>
      </c>
      <c r="R1468" s="47" t="e">
        <f t="shared" si="704"/>
        <v>#VALUE!</v>
      </c>
      <c r="S1468" s="48" t="e">
        <f t="shared" si="705"/>
        <v>#VALUE!</v>
      </c>
      <c r="T1468" s="47" t="str">
        <f t="shared" si="706"/>
        <v/>
      </c>
      <c r="U1468" s="49"/>
      <c r="V1468" s="50"/>
      <c r="W1468" s="51" t="e">
        <f t="shared" si="707"/>
        <v>#VALUE!</v>
      </c>
      <c r="X1468" s="52"/>
      <c r="Y1468" s="52"/>
      <c r="Z1468" s="52"/>
      <c r="AA1468" s="47" t="e">
        <f>INDEX(VISITORS[INSECT ORDER], MATCH(X1468,VISITORS[NAME USED],0))</f>
        <v>#N/A</v>
      </c>
      <c r="AB1468" s="47" t="e">
        <f t="shared" si="708"/>
        <v>#N/A</v>
      </c>
      <c r="AC1468" s="53" t="e">
        <f t="shared" si="709"/>
        <v>#VALUE!</v>
      </c>
      <c r="AD1468" s="54" t="str">
        <f t="shared" si="710"/>
        <v/>
      </c>
      <c r="AE1468" s="54"/>
      <c r="AF1468" s="54"/>
      <c r="AG1468" s="55" t="str">
        <f t="shared" si="711"/>
        <v/>
      </c>
      <c r="AH1468" s="56" t="str">
        <f t="shared" si="712"/>
        <v/>
      </c>
      <c r="AI1468" s="55"/>
      <c r="AJ1468" s="56" t="str">
        <f t="shared" si="713"/>
        <v/>
      </c>
      <c r="AK1468" s="55"/>
      <c r="AL1468" s="56" t="str">
        <f t="shared" si="714"/>
        <v/>
      </c>
      <c r="AM1468" s="55"/>
      <c r="AN1468" s="56" t="str">
        <f t="shared" si="715"/>
        <v/>
      </c>
      <c r="AO1468" s="55"/>
      <c r="AP1468" s="56" t="str">
        <f t="shared" si="716"/>
        <v/>
      </c>
      <c r="AQ1468" s="55"/>
      <c r="AR1468" s="56" t="str">
        <f t="shared" si="717"/>
        <v/>
      </c>
      <c r="AS1468" s="57"/>
      <c r="AT1468" s="58"/>
      <c r="AU1468" s="58"/>
      <c r="AV1468" s="59"/>
      <c r="AW1468" s="60" t="str">
        <f t="shared" si="718"/>
        <v/>
      </c>
      <c r="AX1468" s="61" t="str">
        <f t="shared" si="719"/>
        <v/>
      </c>
      <c r="AY1468" s="60" t="str">
        <f t="shared" si="720"/>
        <v/>
      </c>
      <c r="AZ1468" s="61" t="str">
        <f t="shared" si="721"/>
        <v/>
      </c>
    </row>
    <row r="1469" spans="1:52" s="3" customFormat="1" ht="12" hidden="1" customHeight="1" thickBot="1" x14ac:dyDescent="0.4">
      <c r="A1469" s="85">
        <f t="shared" si="692"/>
        <v>2020</v>
      </c>
      <c r="B1469" s="85" t="str">
        <f t="shared" si="697"/>
        <v>Dec</v>
      </c>
      <c r="C1469" s="86">
        <f t="shared" si="698"/>
        <v>3</v>
      </c>
      <c r="D1469" s="87">
        <f t="shared" si="699"/>
        <v>15</v>
      </c>
      <c r="E1469" s="88">
        <f t="shared" si="695"/>
        <v>20</v>
      </c>
      <c r="F1469" s="89"/>
      <c r="G1469" s="90"/>
      <c r="H1469" s="68" t="str">
        <f t="shared" si="700"/>
        <v>Hyprev6_20201203_15_00</v>
      </c>
      <c r="I1469" s="91">
        <f t="shared" ref="I1469:N1469" si="747">I1468</f>
        <v>1</v>
      </c>
      <c r="J1469" s="92" t="str">
        <f t="shared" si="747"/>
        <v>Hypericum</v>
      </c>
      <c r="K1469" s="92" t="str">
        <f t="shared" si="747"/>
        <v>revolutum</v>
      </c>
      <c r="L1469" s="93">
        <f t="shared" si="747"/>
        <v>6</v>
      </c>
      <c r="M1469" s="93">
        <f t="shared" si="747"/>
        <v>1</v>
      </c>
      <c r="N1469" s="94">
        <f t="shared" si="747"/>
        <v>0</v>
      </c>
      <c r="O1469" s="95"/>
      <c r="P1469" s="96" t="str">
        <f t="shared" si="702"/>
        <v/>
      </c>
      <c r="Q1469" s="97" t="str">
        <f t="shared" si="703"/>
        <v/>
      </c>
      <c r="R1469" s="98" t="e">
        <f t="shared" si="704"/>
        <v>#VALUE!</v>
      </c>
      <c r="S1469" s="98" t="e">
        <f t="shared" si="705"/>
        <v>#VALUE!</v>
      </c>
      <c r="T1469" s="98" t="str">
        <f t="shared" si="706"/>
        <v/>
      </c>
      <c r="U1469" s="99"/>
      <c r="V1469" s="100"/>
      <c r="W1469" s="101" t="e">
        <f t="shared" si="707"/>
        <v>#VALUE!</v>
      </c>
      <c r="X1469" s="102"/>
      <c r="Y1469" s="141"/>
      <c r="Z1469" s="141"/>
      <c r="AA1469" s="47" t="e">
        <f>INDEX(VISITORS[INSECT ORDER], MATCH(X1469,VISITORS[NAME USED],0))</f>
        <v>#N/A</v>
      </c>
      <c r="AB1469" s="98" t="e">
        <f t="shared" si="708"/>
        <v>#N/A</v>
      </c>
      <c r="AC1469" s="53" t="e">
        <f t="shared" si="709"/>
        <v>#VALUE!</v>
      </c>
      <c r="AD1469" s="103" t="str">
        <f t="shared" si="710"/>
        <v/>
      </c>
      <c r="AE1469" s="103"/>
      <c r="AF1469" s="103"/>
      <c r="AG1469" s="104" t="str">
        <f t="shared" si="711"/>
        <v/>
      </c>
      <c r="AH1469" s="105" t="str">
        <f t="shared" si="712"/>
        <v/>
      </c>
      <c r="AI1469" s="104"/>
      <c r="AJ1469" s="105" t="str">
        <f t="shared" si="713"/>
        <v/>
      </c>
      <c r="AK1469" s="104"/>
      <c r="AL1469" s="105" t="str">
        <f t="shared" si="714"/>
        <v/>
      </c>
      <c r="AM1469" s="104"/>
      <c r="AN1469" s="105" t="str">
        <f t="shared" si="715"/>
        <v/>
      </c>
      <c r="AO1469" s="104"/>
      <c r="AP1469" s="105" t="str">
        <f t="shared" si="716"/>
        <v/>
      </c>
      <c r="AQ1469" s="104"/>
      <c r="AR1469" s="105" t="str">
        <f t="shared" si="717"/>
        <v/>
      </c>
      <c r="AS1469" s="106"/>
      <c r="AT1469" s="107"/>
      <c r="AU1469" s="107"/>
      <c r="AV1469" s="108"/>
      <c r="AW1469" s="109" t="str">
        <f t="shared" si="718"/>
        <v/>
      </c>
      <c r="AX1469" s="110" t="str">
        <f t="shared" si="719"/>
        <v/>
      </c>
      <c r="AY1469" s="109" t="str">
        <f t="shared" si="720"/>
        <v/>
      </c>
      <c r="AZ1469" s="110" t="str">
        <f t="shared" si="721"/>
        <v/>
      </c>
    </row>
    <row r="1470" spans="1:52" s="3" customFormat="1" ht="12" hidden="1" customHeight="1" x14ac:dyDescent="0.35">
      <c r="A1470" s="72">
        <f t="shared" si="692"/>
        <v>2020</v>
      </c>
      <c r="B1470" s="72" t="str">
        <f t="shared" si="697"/>
        <v>Dec</v>
      </c>
      <c r="C1470" s="73">
        <f t="shared" si="698"/>
        <v>3</v>
      </c>
      <c r="D1470" s="74">
        <f t="shared" si="699"/>
        <v>15</v>
      </c>
      <c r="E1470" s="75">
        <f t="shared" si="695"/>
        <v>21</v>
      </c>
      <c r="F1470" s="79"/>
      <c r="G1470" s="82"/>
      <c r="H1470" s="68" t="str">
        <f t="shared" si="700"/>
        <v>Hyprev6_20201203_15_00</v>
      </c>
      <c r="I1470" s="69">
        <f t="shared" ref="I1470:N1470" si="748">I1469</f>
        <v>1</v>
      </c>
      <c r="J1470" s="76" t="str">
        <f t="shared" si="748"/>
        <v>Hypericum</v>
      </c>
      <c r="K1470" s="76" t="str">
        <f t="shared" si="748"/>
        <v>revolutum</v>
      </c>
      <c r="L1470" s="77">
        <f t="shared" si="748"/>
        <v>6</v>
      </c>
      <c r="M1470" s="77">
        <f t="shared" si="748"/>
        <v>1</v>
      </c>
      <c r="N1470" s="71">
        <f t="shared" si="748"/>
        <v>0</v>
      </c>
      <c r="O1470" s="44"/>
      <c r="P1470" s="45" t="str">
        <f t="shared" si="702"/>
        <v/>
      </c>
      <c r="Q1470" s="46" t="str">
        <f t="shared" si="703"/>
        <v/>
      </c>
      <c r="R1470" s="47" t="e">
        <f t="shared" si="704"/>
        <v>#VALUE!</v>
      </c>
      <c r="S1470" s="48" t="e">
        <f t="shared" si="705"/>
        <v>#VALUE!</v>
      </c>
      <c r="T1470" s="47" t="str">
        <f t="shared" si="706"/>
        <v/>
      </c>
      <c r="U1470" s="49"/>
      <c r="V1470" s="50"/>
      <c r="W1470" s="51" t="e">
        <f t="shared" si="707"/>
        <v>#VALUE!</v>
      </c>
      <c r="X1470" s="52"/>
      <c r="Y1470" s="52"/>
      <c r="Z1470" s="52"/>
      <c r="AA1470" s="47" t="e">
        <f>INDEX(VISITORS[INSECT ORDER], MATCH(X1470,VISITORS[NAME USED],0))</f>
        <v>#N/A</v>
      </c>
      <c r="AB1470" s="47" t="e">
        <f t="shared" si="708"/>
        <v>#N/A</v>
      </c>
      <c r="AC1470" s="53" t="e">
        <f t="shared" si="709"/>
        <v>#VALUE!</v>
      </c>
      <c r="AD1470" s="54" t="str">
        <f t="shared" si="710"/>
        <v/>
      </c>
      <c r="AE1470" s="54"/>
      <c r="AF1470" s="54"/>
      <c r="AG1470" s="55" t="str">
        <f t="shared" si="711"/>
        <v/>
      </c>
      <c r="AH1470" s="56" t="str">
        <f t="shared" si="712"/>
        <v/>
      </c>
      <c r="AI1470" s="55"/>
      <c r="AJ1470" s="56" t="str">
        <f t="shared" si="713"/>
        <v/>
      </c>
      <c r="AK1470" s="55"/>
      <c r="AL1470" s="56" t="str">
        <f t="shared" si="714"/>
        <v/>
      </c>
      <c r="AM1470" s="55"/>
      <c r="AN1470" s="56" t="str">
        <f t="shared" si="715"/>
        <v/>
      </c>
      <c r="AO1470" s="55"/>
      <c r="AP1470" s="56" t="str">
        <f t="shared" si="716"/>
        <v/>
      </c>
      <c r="AQ1470" s="55"/>
      <c r="AR1470" s="56" t="str">
        <f t="shared" si="717"/>
        <v/>
      </c>
      <c r="AS1470" s="57"/>
      <c r="AT1470" s="58"/>
      <c r="AU1470" s="58"/>
      <c r="AV1470" s="59"/>
      <c r="AW1470" s="60" t="str">
        <f t="shared" si="718"/>
        <v/>
      </c>
      <c r="AX1470" s="61" t="str">
        <f t="shared" si="719"/>
        <v/>
      </c>
      <c r="AY1470" s="60" t="str">
        <f t="shared" si="720"/>
        <v/>
      </c>
      <c r="AZ1470" s="61" t="str">
        <f t="shared" si="721"/>
        <v/>
      </c>
    </row>
    <row r="1471" spans="1:52" s="3" customFormat="1" ht="12" hidden="1" customHeight="1" x14ac:dyDescent="0.35">
      <c r="A1471" s="72">
        <f t="shared" si="692"/>
        <v>2020</v>
      </c>
      <c r="B1471" s="72" t="str">
        <f t="shared" si="697"/>
        <v>Dec</v>
      </c>
      <c r="C1471" s="73">
        <f t="shared" si="698"/>
        <v>3</v>
      </c>
      <c r="D1471" s="74">
        <f t="shared" si="699"/>
        <v>15</v>
      </c>
      <c r="E1471" s="75">
        <f t="shared" si="695"/>
        <v>22</v>
      </c>
      <c r="F1471" s="79"/>
      <c r="G1471" s="82"/>
      <c r="H1471" s="68" t="str">
        <f t="shared" si="700"/>
        <v>Hyprev6_20201203_15_00</v>
      </c>
      <c r="I1471" s="69">
        <f t="shared" ref="I1471:N1471" si="749">I1470</f>
        <v>1</v>
      </c>
      <c r="J1471" s="76" t="str">
        <f t="shared" si="749"/>
        <v>Hypericum</v>
      </c>
      <c r="K1471" s="76" t="str">
        <f t="shared" si="749"/>
        <v>revolutum</v>
      </c>
      <c r="L1471" s="77">
        <f t="shared" si="749"/>
        <v>6</v>
      </c>
      <c r="M1471" s="77">
        <f t="shared" si="749"/>
        <v>1</v>
      </c>
      <c r="N1471" s="71">
        <f t="shared" si="749"/>
        <v>0</v>
      </c>
      <c r="O1471" s="44"/>
      <c r="P1471" s="45" t="str">
        <f t="shared" si="702"/>
        <v/>
      </c>
      <c r="Q1471" s="46" t="str">
        <f t="shared" si="703"/>
        <v/>
      </c>
      <c r="R1471" s="47" t="e">
        <f t="shared" si="704"/>
        <v>#VALUE!</v>
      </c>
      <c r="S1471" s="48" t="e">
        <f t="shared" si="705"/>
        <v>#VALUE!</v>
      </c>
      <c r="T1471" s="47" t="str">
        <f t="shared" si="706"/>
        <v/>
      </c>
      <c r="U1471" s="49"/>
      <c r="V1471" s="50"/>
      <c r="W1471" s="51" t="e">
        <f t="shared" si="707"/>
        <v>#VALUE!</v>
      </c>
      <c r="X1471" s="52"/>
      <c r="Y1471" s="52"/>
      <c r="Z1471" s="52"/>
      <c r="AA1471" s="47" t="e">
        <f>INDEX(VISITORS[INSECT ORDER], MATCH(X1471,VISITORS[NAME USED],0))</f>
        <v>#N/A</v>
      </c>
      <c r="AB1471" s="47" t="e">
        <f t="shared" si="708"/>
        <v>#N/A</v>
      </c>
      <c r="AC1471" s="53" t="e">
        <f t="shared" si="709"/>
        <v>#VALUE!</v>
      </c>
      <c r="AD1471" s="54" t="str">
        <f t="shared" si="710"/>
        <v/>
      </c>
      <c r="AE1471" s="54"/>
      <c r="AF1471" s="54"/>
      <c r="AG1471" s="55" t="str">
        <f t="shared" si="711"/>
        <v/>
      </c>
      <c r="AH1471" s="56" t="str">
        <f t="shared" si="712"/>
        <v/>
      </c>
      <c r="AI1471" s="55"/>
      <c r="AJ1471" s="56" t="str">
        <f t="shared" si="713"/>
        <v/>
      </c>
      <c r="AK1471" s="55"/>
      <c r="AL1471" s="56" t="str">
        <f t="shared" si="714"/>
        <v/>
      </c>
      <c r="AM1471" s="55"/>
      <c r="AN1471" s="56" t="str">
        <f t="shared" si="715"/>
        <v/>
      </c>
      <c r="AO1471" s="55"/>
      <c r="AP1471" s="56" t="str">
        <f t="shared" si="716"/>
        <v/>
      </c>
      <c r="AQ1471" s="55"/>
      <c r="AR1471" s="56" t="str">
        <f t="shared" si="717"/>
        <v/>
      </c>
      <c r="AS1471" s="57"/>
      <c r="AT1471" s="58"/>
      <c r="AU1471" s="58"/>
      <c r="AV1471" s="59"/>
      <c r="AW1471" s="60" t="str">
        <f t="shared" si="718"/>
        <v/>
      </c>
      <c r="AX1471" s="61" t="str">
        <f t="shared" si="719"/>
        <v/>
      </c>
      <c r="AY1471" s="60" t="str">
        <f t="shared" si="720"/>
        <v/>
      </c>
      <c r="AZ1471" s="61" t="str">
        <f t="shared" si="721"/>
        <v/>
      </c>
    </row>
    <row r="1472" spans="1:52" s="3" customFormat="1" ht="12" hidden="1" customHeight="1" thickBot="1" x14ac:dyDescent="0.4">
      <c r="A1472" s="85">
        <f t="shared" si="692"/>
        <v>2020</v>
      </c>
      <c r="B1472" s="85" t="str">
        <f t="shared" si="697"/>
        <v>Dec</v>
      </c>
      <c r="C1472" s="86">
        <f t="shared" si="698"/>
        <v>3</v>
      </c>
      <c r="D1472" s="87">
        <f t="shared" si="699"/>
        <v>15</v>
      </c>
      <c r="E1472" s="88">
        <f t="shared" si="695"/>
        <v>23</v>
      </c>
      <c r="F1472" s="89"/>
      <c r="G1472" s="90"/>
      <c r="H1472" s="68" t="str">
        <f t="shared" si="700"/>
        <v>Hyprev6_20201203_15_00</v>
      </c>
      <c r="I1472" s="91">
        <f t="shared" ref="I1472:N1472" si="750">I1471</f>
        <v>1</v>
      </c>
      <c r="J1472" s="92" t="str">
        <f t="shared" si="750"/>
        <v>Hypericum</v>
      </c>
      <c r="K1472" s="92" t="str">
        <f t="shared" si="750"/>
        <v>revolutum</v>
      </c>
      <c r="L1472" s="93">
        <f t="shared" si="750"/>
        <v>6</v>
      </c>
      <c r="M1472" s="93">
        <f t="shared" si="750"/>
        <v>1</v>
      </c>
      <c r="N1472" s="94">
        <f t="shared" si="750"/>
        <v>0</v>
      </c>
      <c r="O1472" s="95"/>
      <c r="P1472" s="96" t="str">
        <f t="shared" si="702"/>
        <v/>
      </c>
      <c r="Q1472" s="97" t="str">
        <f t="shared" si="703"/>
        <v/>
      </c>
      <c r="R1472" s="98" t="e">
        <f t="shared" si="704"/>
        <v>#VALUE!</v>
      </c>
      <c r="S1472" s="98" t="e">
        <f t="shared" si="705"/>
        <v>#VALUE!</v>
      </c>
      <c r="T1472" s="98" t="str">
        <f t="shared" si="706"/>
        <v/>
      </c>
      <c r="U1472" s="99"/>
      <c r="V1472" s="100"/>
      <c r="W1472" s="101" t="e">
        <f t="shared" si="707"/>
        <v>#VALUE!</v>
      </c>
      <c r="X1472" s="102"/>
      <c r="Y1472" s="141"/>
      <c r="Z1472" s="141"/>
      <c r="AA1472" s="47" t="e">
        <f>INDEX(VISITORS[INSECT ORDER], MATCH(X1472,VISITORS[NAME USED],0))</f>
        <v>#N/A</v>
      </c>
      <c r="AB1472" s="98" t="e">
        <f t="shared" si="708"/>
        <v>#N/A</v>
      </c>
      <c r="AC1472" s="53" t="e">
        <f t="shared" si="709"/>
        <v>#VALUE!</v>
      </c>
      <c r="AD1472" s="103" t="str">
        <f t="shared" si="710"/>
        <v/>
      </c>
      <c r="AE1472" s="103"/>
      <c r="AF1472" s="103"/>
      <c r="AG1472" s="104" t="str">
        <f t="shared" si="711"/>
        <v/>
      </c>
      <c r="AH1472" s="105" t="str">
        <f t="shared" si="712"/>
        <v/>
      </c>
      <c r="AI1472" s="104"/>
      <c r="AJ1472" s="105" t="str">
        <f t="shared" si="713"/>
        <v/>
      </c>
      <c r="AK1472" s="104"/>
      <c r="AL1472" s="105" t="str">
        <f t="shared" si="714"/>
        <v/>
      </c>
      <c r="AM1472" s="104"/>
      <c r="AN1472" s="105" t="str">
        <f t="shared" si="715"/>
        <v/>
      </c>
      <c r="AO1472" s="104"/>
      <c r="AP1472" s="105" t="str">
        <f t="shared" si="716"/>
        <v/>
      </c>
      <c r="AQ1472" s="104"/>
      <c r="AR1472" s="105" t="str">
        <f t="shared" si="717"/>
        <v/>
      </c>
      <c r="AS1472" s="106"/>
      <c r="AT1472" s="107"/>
      <c r="AU1472" s="107"/>
      <c r="AV1472" s="108"/>
      <c r="AW1472" s="109" t="str">
        <f t="shared" si="718"/>
        <v/>
      </c>
      <c r="AX1472" s="110" t="str">
        <f t="shared" si="719"/>
        <v/>
      </c>
      <c r="AY1472" s="109" t="str">
        <f t="shared" si="720"/>
        <v/>
      </c>
      <c r="AZ1472" s="110" t="str">
        <f t="shared" si="721"/>
        <v/>
      </c>
    </row>
    <row r="1473" spans="1:52" s="3" customFormat="1" ht="12" hidden="1" customHeight="1" x14ac:dyDescent="0.35">
      <c r="A1473" s="72">
        <f t="shared" si="692"/>
        <v>2020</v>
      </c>
      <c r="B1473" s="72" t="str">
        <f t="shared" si="697"/>
        <v>Dec</v>
      </c>
      <c r="C1473" s="73">
        <f t="shared" si="698"/>
        <v>3</v>
      </c>
      <c r="D1473" s="74">
        <f t="shared" si="699"/>
        <v>15</v>
      </c>
      <c r="E1473" s="75">
        <f t="shared" si="695"/>
        <v>24</v>
      </c>
      <c r="F1473" s="79"/>
      <c r="G1473" s="82"/>
      <c r="H1473" s="68" t="str">
        <f t="shared" si="700"/>
        <v>Hyprev6_20201203_15_00</v>
      </c>
      <c r="I1473" s="69">
        <f t="shared" ref="I1473:N1473" si="751">I1472</f>
        <v>1</v>
      </c>
      <c r="J1473" s="76" t="str">
        <f t="shared" si="751"/>
        <v>Hypericum</v>
      </c>
      <c r="K1473" s="76" t="str">
        <f t="shared" si="751"/>
        <v>revolutum</v>
      </c>
      <c r="L1473" s="77">
        <f t="shared" si="751"/>
        <v>6</v>
      </c>
      <c r="M1473" s="77">
        <f t="shared" si="751"/>
        <v>1</v>
      </c>
      <c r="N1473" s="71">
        <f t="shared" si="751"/>
        <v>0</v>
      </c>
      <c r="O1473" s="44"/>
      <c r="P1473" s="45" t="str">
        <f t="shared" si="702"/>
        <v/>
      </c>
      <c r="Q1473" s="46" t="str">
        <f t="shared" si="703"/>
        <v/>
      </c>
      <c r="R1473" s="47" t="e">
        <f t="shared" si="704"/>
        <v>#VALUE!</v>
      </c>
      <c r="S1473" s="48" t="e">
        <f t="shared" si="705"/>
        <v>#VALUE!</v>
      </c>
      <c r="T1473" s="47" t="str">
        <f t="shared" si="706"/>
        <v/>
      </c>
      <c r="U1473" s="49"/>
      <c r="V1473" s="50"/>
      <c r="W1473" s="51" t="e">
        <f t="shared" si="707"/>
        <v>#VALUE!</v>
      </c>
      <c r="X1473" s="52"/>
      <c r="Y1473" s="52"/>
      <c r="Z1473" s="52"/>
      <c r="AA1473" s="47" t="e">
        <f>INDEX(VISITORS[INSECT ORDER], MATCH(X1473,VISITORS[NAME USED],0))</f>
        <v>#N/A</v>
      </c>
      <c r="AB1473" s="47" t="e">
        <f t="shared" si="708"/>
        <v>#N/A</v>
      </c>
      <c r="AC1473" s="53" t="e">
        <f t="shared" si="709"/>
        <v>#VALUE!</v>
      </c>
      <c r="AD1473" s="54" t="str">
        <f t="shared" si="710"/>
        <v/>
      </c>
      <c r="AE1473" s="54"/>
      <c r="AF1473" s="54"/>
      <c r="AG1473" s="55" t="str">
        <f t="shared" si="711"/>
        <v/>
      </c>
      <c r="AH1473" s="56" t="str">
        <f t="shared" si="712"/>
        <v/>
      </c>
      <c r="AI1473" s="55"/>
      <c r="AJ1473" s="56" t="str">
        <f t="shared" si="713"/>
        <v/>
      </c>
      <c r="AK1473" s="55"/>
      <c r="AL1473" s="56" t="str">
        <f t="shared" si="714"/>
        <v/>
      </c>
      <c r="AM1473" s="55"/>
      <c r="AN1473" s="56" t="str">
        <f t="shared" si="715"/>
        <v/>
      </c>
      <c r="AO1473" s="55"/>
      <c r="AP1473" s="56" t="str">
        <f t="shared" si="716"/>
        <v/>
      </c>
      <c r="AQ1473" s="55"/>
      <c r="AR1473" s="56" t="str">
        <f t="shared" si="717"/>
        <v/>
      </c>
      <c r="AS1473" s="57"/>
      <c r="AT1473" s="58"/>
      <c r="AU1473" s="58"/>
      <c r="AV1473" s="59"/>
      <c r="AW1473" s="60" t="str">
        <f t="shared" si="718"/>
        <v/>
      </c>
      <c r="AX1473" s="61" t="str">
        <f t="shared" si="719"/>
        <v/>
      </c>
      <c r="AY1473" s="60" t="str">
        <f t="shared" si="720"/>
        <v/>
      </c>
      <c r="AZ1473" s="61" t="str">
        <f t="shared" si="721"/>
        <v/>
      </c>
    </row>
    <row r="1474" spans="1:52" s="3" customFormat="1" ht="12" hidden="1" customHeight="1" x14ac:dyDescent="0.35">
      <c r="A1474" s="72">
        <f t="shared" si="692"/>
        <v>2020</v>
      </c>
      <c r="B1474" s="72" t="str">
        <f t="shared" si="697"/>
        <v>Dec</v>
      </c>
      <c r="C1474" s="73">
        <f t="shared" si="698"/>
        <v>3</v>
      </c>
      <c r="D1474" s="74">
        <f t="shared" si="699"/>
        <v>15</v>
      </c>
      <c r="E1474" s="75">
        <f t="shared" si="695"/>
        <v>25</v>
      </c>
      <c r="F1474" s="79"/>
      <c r="G1474" s="82"/>
      <c r="H1474" s="68" t="str">
        <f t="shared" si="700"/>
        <v>Hyprev6_20201203_15_00</v>
      </c>
      <c r="I1474" s="69">
        <f t="shared" ref="I1474:N1474" si="752">I1473</f>
        <v>1</v>
      </c>
      <c r="J1474" s="76" t="str">
        <f t="shared" si="752"/>
        <v>Hypericum</v>
      </c>
      <c r="K1474" s="76" t="str">
        <f t="shared" si="752"/>
        <v>revolutum</v>
      </c>
      <c r="L1474" s="77">
        <f t="shared" si="752"/>
        <v>6</v>
      </c>
      <c r="M1474" s="77">
        <f t="shared" si="752"/>
        <v>1</v>
      </c>
      <c r="N1474" s="71">
        <f t="shared" si="752"/>
        <v>0</v>
      </c>
      <c r="O1474" s="44"/>
      <c r="P1474" s="45" t="str">
        <f t="shared" si="702"/>
        <v/>
      </c>
      <c r="Q1474" s="46" t="str">
        <f t="shared" si="703"/>
        <v/>
      </c>
      <c r="R1474" s="47" t="e">
        <f t="shared" si="704"/>
        <v>#VALUE!</v>
      </c>
      <c r="S1474" s="48" t="e">
        <f t="shared" si="705"/>
        <v>#VALUE!</v>
      </c>
      <c r="T1474" s="47" t="str">
        <f t="shared" si="706"/>
        <v/>
      </c>
      <c r="U1474" s="49"/>
      <c r="V1474" s="50"/>
      <c r="W1474" s="51" t="e">
        <f t="shared" si="707"/>
        <v>#VALUE!</v>
      </c>
      <c r="X1474" s="52"/>
      <c r="Y1474" s="52"/>
      <c r="Z1474" s="52"/>
      <c r="AA1474" s="47" t="e">
        <f>INDEX(VISITORS[INSECT ORDER], MATCH(X1474,VISITORS[NAME USED],0))</f>
        <v>#N/A</v>
      </c>
      <c r="AB1474" s="47" t="e">
        <f t="shared" si="708"/>
        <v>#N/A</v>
      </c>
      <c r="AC1474" s="53" t="e">
        <f t="shared" si="709"/>
        <v>#VALUE!</v>
      </c>
      <c r="AD1474" s="54" t="str">
        <f t="shared" si="710"/>
        <v/>
      </c>
      <c r="AE1474" s="54"/>
      <c r="AF1474" s="54"/>
      <c r="AG1474" s="55" t="str">
        <f t="shared" si="711"/>
        <v/>
      </c>
      <c r="AH1474" s="56" t="str">
        <f t="shared" si="712"/>
        <v/>
      </c>
      <c r="AI1474" s="55"/>
      <c r="AJ1474" s="56" t="str">
        <f t="shared" si="713"/>
        <v/>
      </c>
      <c r="AK1474" s="55"/>
      <c r="AL1474" s="56" t="str">
        <f t="shared" si="714"/>
        <v/>
      </c>
      <c r="AM1474" s="55"/>
      <c r="AN1474" s="56" t="str">
        <f t="shared" si="715"/>
        <v/>
      </c>
      <c r="AO1474" s="55"/>
      <c r="AP1474" s="56" t="str">
        <f t="shared" si="716"/>
        <v/>
      </c>
      <c r="AQ1474" s="55"/>
      <c r="AR1474" s="56" t="str">
        <f t="shared" si="717"/>
        <v/>
      </c>
      <c r="AS1474" s="57"/>
      <c r="AT1474" s="58"/>
      <c r="AU1474" s="58"/>
      <c r="AV1474" s="59"/>
      <c r="AW1474" s="60" t="str">
        <f t="shared" si="718"/>
        <v/>
      </c>
      <c r="AX1474" s="61" t="str">
        <f t="shared" si="719"/>
        <v/>
      </c>
      <c r="AY1474" s="60" t="str">
        <f t="shared" si="720"/>
        <v/>
      </c>
      <c r="AZ1474" s="61" t="str">
        <f t="shared" si="721"/>
        <v/>
      </c>
    </row>
    <row r="1475" spans="1:52" s="3" customFormat="1" ht="12" hidden="1" customHeight="1" thickBot="1" x14ac:dyDescent="0.4">
      <c r="A1475" s="85">
        <f t="shared" si="692"/>
        <v>2020</v>
      </c>
      <c r="B1475" s="85" t="str">
        <f t="shared" si="697"/>
        <v>Dec</v>
      </c>
      <c r="C1475" s="86">
        <f t="shared" si="698"/>
        <v>3</v>
      </c>
      <c r="D1475" s="87">
        <f t="shared" si="699"/>
        <v>15</v>
      </c>
      <c r="E1475" s="88">
        <f t="shared" si="695"/>
        <v>26</v>
      </c>
      <c r="F1475" s="89"/>
      <c r="G1475" s="90"/>
      <c r="H1475" s="68" t="str">
        <f t="shared" si="700"/>
        <v>Hyprev6_20201203_15_00</v>
      </c>
      <c r="I1475" s="91">
        <f t="shared" ref="I1475:N1475" si="753">I1474</f>
        <v>1</v>
      </c>
      <c r="J1475" s="92" t="str">
        <f t="shared" si="753"/>
        <v>Hypericum</v>
      </c>
      <c r="K1475" s="92" t="str">
        <f t="shared" si="753"/>
        <v>revolutum</v>
      </c>
      <c r="L1475" s="93">
        <f t="shared" si="753"/>
        <v>6</v>
      </c>
      <c r="M1475" s="93">
        <f t="shared" si="753"/>
        <v>1</v>
      </c>
      <c r="N1475" s="94">
        <f t="shared" si="753"/>
        <v>0</v>
      </c>
      <c r="O1475" s="95"/>
      <c r="P1475" s="96" t="str">
        <f t="shared" si="702"/>
        <v/>
      </c>
      <c r="Q1475" s="97" t="str">
        <f t="shared" si="703"/>
        <v/>
      </c>
      <c r="R1475" s="98" t="e">
        <f t="shared" si="704"/>
        <v>#VALUE!</v>
      </c>
      <c r="S1475" s="98" t="e">
        <f t="shared" si="705"/>
        <v>#VALUE!</v>
      </c>
      <c r="T1475" s="98" t="str">
        <f t="shared" si="706"/>
        <v/>
      </c>
      <c r="U1475" s="99"/>
      <c r="V1475" s="100"/>
      <c r="W1475" s="101" t="e">
        <f t="shared" si="707"/>
        <v>#VALUE!</v>
      </c>
      <c r="X1475" s="102"/>
      <c r="Y1475" s="141"/>
      <c r="Z1475" s="141"/>
      <c r="AA1475" s="47" t="e">
        <f>INDEX(VISITORS[INSECT ORDER], MATCH(X1475,VISITORS[NAME USED],0))</f>
        <v>#N/A</v>
      </c>
      <c r="AB1475" s="98" t="e">
        <f t="shared" si="708"/>
        <v>#N/A</v>
      </c>
      <c r="AC1475" s="53" t="e">
        <f t="shared" si="709"/>
        <v>#VALUE!</v>
      </c>
      <c r="AD1475" s="103" t="str">
        <f t="shared" si="710"/>
        <v/>
      </c>
      <c r="AE1475" s="103"/>
      <c r="AF1475" s="103"/>
      <c r="AG1475" s="104" t="str">
        <f t="shared" si="711"/>
        <v/>
      </c>
      <c r="AH1475" s="105" t="str">
        <f t="shared" si="712"/>
        <v/>
      </c>
      <c r="AI1475" s="104"/>
      <c r="AJ1475" s="105" t="str">
        <f t="shared" si="713"/>
        <v/>
      </c>
      <c r="AK1475" s="104"/>
      <c r="AL1475" s="105" t="str">
        <f t="shared" si="714"/>
        <v/>
      </c>
      <c r="AM1475" s="104"/>
      <c r="AN1475" s="105" t="str">
        <f t="shared" si="715"/>
        <v/>
      </c>
      <c r="AO1475" s="104"/>
      <c r="AP1475" s="105" t="str">
        <f t="shared" si="716"/>
        <v/>
      </c>
      <c r="AQ1475" s="104"/>
      <c r="AR1475" s="105" t="str">
        <f t="shared" si="717"/>
        <v/>
      </c>
      <c r="AS1475" s="106"/>
      <c r="AT1475" s="107"/>
      <c r="AU1475" s="107"/>
      <c r="AV1475" s="108"/>
      <c r="AW1475" s="109" t="str">
        <f t="shared" si="718"/>
        <v/>
      </c>
      <c r="AX1475" s="110" t="str">
        <f t="shared" si="719"/>
        <v/>
      </c>
      <c r="AY1475" s="109" t="str">
        <f t="shared" si="720"/>
        <v/>
      </c>
      <c r="AZ1475" s="110" t="str">
        <f t="shared" si="721"/>
        <v/>
      </c>
    </row>
    <row r="1476" spans="1:52" s="3" customFormat="1" ht="12" hidden="1" customHeight="1" x14ac:dyDescent="0.35">
      <c r="A1476" s="72">
        <f t="shared" si="692"/>
        <v>2020</v>
      </c>
      <c r="B1476" s="72" t="str">
        <f t="shared" si="697"/>
        <v>Dec</v>
      </c>
      <c r="C1476" s="73">
        <f t="shared" si="698"/>
        <v>3</v>
      </c>
      <c r="D1476" s="74">
        <f t="shared" si="699"/>
        <v>15</v>
      </c>
      <c r="E1476" s="75">
        <f t="shared" si="695"/>
        <v>27</v>
      </c>
      <c r="F1476" s="79"/>
      <c r="G1476" s="82"/>
      <c r="H1476" s="68" t="str">
        <f t="shared" si="700"/>
        <v>Hyprev6_20201203_15_00</v>
      </c>
      <c r="I1476" s="69">
        <f t="shared" ref="I1476:N1476" si="754">I1475</f>
        <v>1</v>
      </c>
      <c r="J1476" s="76" t="str">
        <f t="shared" si="754"/>
        <v>Hypericum</v>
      </c>
      <c r="K1476" s="76" t="str">
        <f t="shared" si="754"/>
        <v>revolutum</v>
      </c>
      <c r="L1476" s="77">
        <f t="shared" si="754"/>
        <v>6</v>
      </c>
      <c r="M1476" s="77">
        <f t="shared" si="754"/>
        <v>1</v>
      </c>
      <c r="N1476" s="71">
        <f t="shared" si="754"/>
        <v>0</v>
      </c>
      <c r="O1476" s="44"/>
      <c r="P1476" s="45" t="str">
        <f t="shared" si="702"/>
        <v/>
      </c>
      <c r="Q1476" s="46" t="str">
        <f t="shared" si="703"/>
        <v/>
      </c>
      <c r="R1476" s="47" t="e">
        <f t="shared" si="704"/>
        <v>#VALUE!</v>
      </c>
      <c r="S1476" s="48" t="e">
        <f t="shared" si="705"/>
        <v>#VALUE!</v>
      </c>
      <c r="T1476" s="47" t="str">
        <f t="shared" si="706"/>
        <v/>
      </c>
      <c r="U1476" s="49"/>
      <c r="V1476" s="50"/>
      <c r="W1476" s="51" t="e">
        <f t="shared" si="707"/>
        <v>#VALUE!</v>
      </c>
      <c r="X1476" s="52"/>
      <c r="Y1476" s="52"/>
      <c r="Z1476" s="52"/>
      <c r="AA1476" s="47" t="e">
        <f>INDEX(VISITORS[INSECT ORDER], MATCH(X1476,VISITORS[NAME USED],0))</f>
        <v>#N/A</v>
      </c>
      <c r="AB1476" s="47" t="e">
        <f t="shared" si="708"/>
        <v>#N/A</v>
      </c>
      <c r="AC1476" s="53" t="e">
        <f t="shared" si="709"/>
        <v>#VALUE!</v>
      </c>
      <c r="AD1476" s="54" t="str">
        <f t="shared" si="710"/>
        <v/>
      </c>
      <c r="AE1476" s="54"/>
      <c r="AF1476" s="54"/>
      <c r="AG1476" s="55" t="str">
        <f t="shared" si="711"/>
        <v/>
      </c>
      <c r="AH1476" s="56" t="str">
        <f t="shared" si="712"/>
        <v/>
      </c>
      <c r="AI1476" s="55"/>
      <c r="AJ1476" s="56" t="str">
        <f t="shared" si="713"/>
        <v/>
      </c>
      <c r="AK1476" s="55"/>
      <c r="AL1476" s="56" t="str">
        <f t="shared" si="714"/>
        <v/>
      </c>
      <c r="AM1476" s="55"/>
      <c r="AN1476" s="56" t="str">
        <f t="shared" si="715"/>
        <v/>
      </c>
      <c r="AO1476" s="55"/>
      <c r="AP1476" s="56" t="str">
        <f t="shared" si="716"/>
        <v/>
      </c>
      <c r="AQ1476" s="55"/>
      <c r="AR1476" s="56" t="str">
        <f t="shared" si="717"/>
        <v/>
      </c>
      <c r="AS1476" s="57"/>
      <c r="AT1476" s="58"/>
      <c r="AU1476" s="58"/>
      <c r="AV1476" s="59"/>
      <c r="AW1476" s="60" t="str">
        <f t="shared" si="718"/>
        <v/>
      </c>
      <c r="AX1476" s="61" t="str">
        <f t="shared" si="719"/>
        <v/>
      </c>
      <c r="AY1476" s="60" t="str">
        <f t="shared" si="720"/>
        <v/>
      </c>
      <c r="AZ1476" s="61" t="str">
        <f t="shared" si="721"/>
        <v/>
      </c>
    </row>
    <row r="1477" spans="1:52" s="3" customFormat="1" ht="12" hidden="1" customHeight="1" x14ac:dyDescent="0.35">
      <c r="A1477" s="72">
        <f t="shared" si="692"/>
        <v>2020</v>
      </c>
      <c r="B1477" s="72" t="str">
        <f t="shared" si="697"/>
        <v>Dec</v>
      </c>
      <c r="C1477" s="73">
        <f t="shared" si="698"/>
        <v>3</v>
      </c>
      <c r="D1477" s="74">
        <f t="shared" si="699"/>
        <v>15</v>
      </c>
      <c r="E1477" s="75">
        <f t="shared" si="695"/>
        <v>28</v>
      </c>
      <c r="F1477" s="79"/>
      <c r="G1477" s="82"/>
      <c r="H1477" s="68" t="str">
        <f t="shared" si="700"/>
        <v>Hyprev6_20201203_15_00</v>
      </c>
      <c r="I1477" s="69">
        <f t="shared" ref="I1477:N1477" si="755">I1476</f>
        <v>1</v>
      </c>
      <c r="J1477" s="76" t="str">
        <f t="shared" si="755"/>
        <v>Hypericum</v>
      </c>
      <c r="K1477" s="76" t="str">
        <f t="shared" si="755"/>
        <v>revolutum</v>
      </c>
      <c r="L1477" s="77">
        <f t="shared" si="755"/>
        <v>6</v>
      </c>
      <c r="M1477" s="77">
        <f t="shared" si="755"/>
        <v>1</v>
      </c>
      <c r="N1477" s="71">
        <f t="shared" si="755"/>
        <v>0</v>
      </c>
      <c r="O1477" s="44"/>
      <c r="P1477" s="45" t="str">
        <f t="shared" si="702"/>
        <v/>
      </c>
      <c r="Q1477" s="46" t="str">
        <f t="shared" si="703"/>
        <v/>
      </c>
      <c r="R1477" s="47" t="e">
        <f t="shared" si="704"/>
        <v>#VALUE!</v>
      </c>
      <c r="S1477" s="48" t="e">
        <f t="shared" si="705"/>
        <v>#VALUE!</v>
      </c>
      <c r="T1477" s="47" t="str">
        <f t="shared" si="706"/>
        <v/>
      </c>
      <c r="U1477" s="49"/>
      <c r="V1477" s="50"/>
      <c r="W1477" s="51" t="e">
        <f t="shared" si="707"/>
        <v>#VALUE!</v>
      </c>
      <c r="X1477" s="52"/>
      <c r="Y1477" s="52"/>
      <c r="Z1477" s="52"/>
      <c r="AA1477" s="47" t="e">
        <f>INDEX(VISITORS[INSECT ORDER], MATCH(X1477,VISITORS[NAME USED],0))</f>
        <v>#N/A</v>
      </c>
      <c r="AB1477" s="47" t="e">
        <f t="shared" si="708"/>
        <v>#N/A</v>
      </c>
      <c r="AC1477" s="53" t="e">
        <f t="shared" si="709"/>
        <v>#VALUE!</v>
      </c>
      <c r="AD1477" s="54" t="str">
        <f t="shared" si="710"/>
        <v/>
      </c>
      <c r="AE1477" s="54"/>
      <c r="AF1477" s="54"/>
      <c r="AG1477" s="55" t="str">
        <f t="shared" si="711"/>
        <v/>
      </c>
      <c r="AH1477" s="56" t="str">
        <f t="shared" si="712"/>
        <v/>
      </c>
      <c r="AI1477" s="55"/>
      <c r="AJ1477" s="56" t="str">
        <f t="shared" si="713"/>
        <v/>
      </c>
      <c r="AK1477" s="55"/>
      <c r="AL1477" s="56" t="str">
        <f t="shared" si="714"/>
        <v/>
      </c>
      <c r="AM1477" s="55"/>
      <c r="AN1477" s="56" t="str">
        <f t="shared" si="715"/>
        <v/>
      </c>
      <c r="AO1477" s="55"/>
      <c r="AP1477" s="56" t="str">
        <f t="shared" si="716"/>
        <v/>
      </c>
      <c r="AQ1477" s="55"/>
      <c r="AR1477" s="56" t="str">
        <f t="shared" si="717"/>
        <v/>
      </c>
      <c r="AS1477" s="57"/>
      <c r="AT1477" s="58"/>
      <c r="AU1477" s="58"/>
      <c r="AV1477" s="59"/>
      <c r="AW1477" s="60" t="str">
        <f t="shared" si="718"/>
        <v/>
      </c>
      <c r="AX1477" s="61" t="str">
        <f t="shared" si="719"/>
        <v/>
      </c>
      <c r="AY1477" s="60" t="str">
        <f t="shared" si="720"/>
        <v/>
      </c>
      <c r="AZ1477" s="61" t="str">
        <f t="shared" si="721"/>
        <v/>
      </c>
    </row>
    <row r="1478" spans="1:52" s="3" customFormat="1" ht="12" hidden="1" customHeight="1" thickBot="1" x14ac:dyDescent="0.4">
      <c r="A1478" s="85">
        <f t="shared" si="692"/>
        <v>2020</v>
      </c>
      <c r="B1478" s="85" t="str">
        <f t="shared" si="697"/>
        <v>Dec</v>
      </c>
      <c r="C1478" s="86">
        <f t="shared" si="698"/>
        <v>3</v>
      </c>
      <c r="D1478" s="87">
        <f t="shared" si="699"/>
        <v>15</v>
      </c>
      <c r="E1478" s="88">
        <f t="shared" si="695"/>
        <v>29</v>
      </c>
      <c r="F1478" s="89"/>
      <c r="G1478" s="90"/>
      <c r="H1478" s="68" t="str">
        <f t="shared" si="700"/>
        <v>Hyprev6_20201203_15_00</v>
      </c>
      <c r="I1478" s="91">
        <f t="shared" ref="I1478:N1478" si="756">I1477</f>
        <v>1</v>
      </c>
      <c r="J1478" s="92" t="str">
        <f t="shared" si="756"/>
        <v>Hypericum</v>
      </c>
      <c r="K1478" s="92" t="str">
        <f t="shared" si="756"/>
        <v>revolutum</v>
      </c>
      <c r="L1478" s="93">
        <f t="shared" si="756"/>
        <v>6</v>
      </c>
      <c r="M1478" s="93">
        <f t="shared" si="756"/>
        <v>1</v>
      </c>
      <c r="N1478" s="94">
        <f t="shared" si="756"/>
        <v>0</v>
      </c>
      <c r="O1478" s="95"/>
      <c r="P1478" s="96" t="str">
        <f t="shared" si="702"/>
        <v/>
      </c>
      <c r="Q1478" s="97" t="str">
        <f t="shared" si="703"/>
        <v/>
      </c>
      <c r="R1478" s="98" t="e">
        <f t="shared" si="704"/>
        <v>#VALUE!</v>
      </c>
      <c r="S1478" s="98" t="e">
        <f t="shared" si="705"/>
        <v>#VALUE!</v>
      </c>
      <c r="T1478" s="98" t="str">
        <f t="shared" si="706"/>
        <v/>
      </c>
      <c r="U1478" s="99"/>
      <c r="V1478" s="100"/>
      <c r="W1478" s="101" t="e">
        <f t="shared" si="707"/>
        <v>#VALUE!</v>
      </c>
      <c r="X1478" s="102"/>
      <c r="Y1478" s="141"/>
      <c r="Z1478" s="141"/>
      <c r="AA1478" s="47" t="e">
        <f>INDEX(VISITORS[INSECT ORDER], MATCH(X1478,VISITORS[NAME USED],0))</f>
        <v>#N/A</v>
      </c>
      <c r="AB1478" s="98" t="e">
        <f t="shared" si="708"/>
        <v>#N/A</v>
      </c>
      <c r="AC1478" s="53" t="e">
        <f t="shared" si="709"/>
        <v>#VALUE!</v>
      </c>
      <c r="AD1478" s="103" t="str">
        <f t="shared" si="710"/>
        <v/>
      </c>
      <c r="AE1478" s="103"/>
      <c r="AF1478" s="103"/>
      <c r="AG1478" s="104" t="str">
        <f t="shared" si="711"/>
        <v/>
      </c>
      <c r="AH1478" s="105" t="str">
        <f t="shared" si="712"/>
        <v/>
      </c>
      <c r="AI1478" s="104"/>
      <c r="AJ1478" s="105" t="str">
        <f t="shared" si="713"/>
        <v/>
      </c>
      <c r="AK1478" s="104"/>
      <c r="AL1478" s="105" t="str">
        <f t="shared" si="714"/>
        <v/>
      </c>
      <c r="AM1478" s="104"/>
      <c r="AN1478" s="105" t="str">
        <f t="shared" si="715"/>
        <v/>
      </c>
      <c r="AO1478" s="104"/>
      <c r="AP1478" s="105" t="str">
        <f t="shared" si="716"/>
        <v/>
      </c>
      <c r="AQ1478" s="104"/>
      <c r="AR1478" s="105" t="str">
        <f t="shared" si="717"/>
        <v/>
      </c>
      <c r="AS1478" s="106"/>
      <c r="AT1478" s="107"/>
      <c r="AU1478" s="107"/>
      <c r="AV1478" s="108"/>
      <c r="AW1478" s="109" t="str">
        <f t="shared" si="718"/>
        <v/>
      </c>
      <c r="AX1478" s="110" t="str">
        <f t="shared" si="719"/>
        <v/>
      </c>
      <c r="AY1478" s="109" t="str">
        <f t="shared" si="720"/>
        <v/>
      </c>
      <c r="AZ1478" s="110" t="str">
        <f t="shared" si="721"/>
        <v/>
      </c>
    </row>
    <row r="1479" spans="1:52" s="3" customFormat="1" ht="12" hidden="1" customHeight="1" x14ac:dyDescent="0.35">
      <c r="A1479" s="72">
        <f t="shared" si="692"/>
        <v>2020</v>
      </c>
      <c r="B1479" s="72" t="str">
        <f t="shared" si="697"/>
        <v>Dec</v>
      </c>
      <c r="C1479" s="73">
        <f t="shared" si="698"/>
        <v>3</v>
      </c>
      <c r="D1479" s="74">
        <f t="shared" si="699"/>
        <v>15</v>
      </c>
      <c r="E1479" s="75">
        <f t="shared" si="695"/>
        <v>30</v>
      </c>
      <c r="F1479" s="79"/>
      <c r="G1479" s="82"/>
      <c r="H1479" s="68" t="str">
        <f t="shared" si="700"/>
        <v>Hyprev6_20201203_15_00</v>
      </c>
      <c r="I1479" s="69">
        <f t="shared" ref="I1479:N1479" si="757">I1478</f>
        <v>1</v>
      </c>
      <c r="J1479" s="76" t="str">
        <f t="shared" si="757"/>
        <v>Hypericum</v>
      </c>
      <c r="K1479" s="76" t="str">
        <f t="shared" si="757"/>
        <v>revolutum</v>
      </c>
      <c r="L1479" s="77">
        <f t="shared" si="757"/>
        <v>6</v>
      </c>
      <c r="M1479" s="77">
        <f t="shared" si="757"/>
        <v>1</v>
      </c>
      <c r="N1479" s="71">
        <f t="shared" si="757"/>
        <v>0</v>
      </c>
      <c r="O1479" s="44"/>
      <c r="P1479" s="45" t="str">
        <f t="shared" si="702"/>
        <v/>
      </c>
      <c r="Q1479" s="46" t="str">
        <f t="shared" si="703"/>
        <v/>
      </c>
      <c r="R1479" s="47" t="e">
        <f t="shared" si="704"/>
        <v>#VALUE!</v>
      </c>
      <c r="S1479" s="48" t="e">
        <f t="shared" si="705"/>
        <v>#VALUE!</v>
      </c>
      <c r="T1479" s="47" t="str">
        <f t="shared" si="706"/>
        <v/>
      </c>
      <c r="U1479" s="49"/>
      <c r="V1479" s="50"/>
      <c r="W1479" s="51" t="e">
        <f t="shared" si="707"/>
        <v>#VALUE!</v>
      </c>
      <c r="X1479" s="52"/>
      <c r="Y1479" s="52"/>
      <c r="Z1479" s="52"/>
      <c r="AA1479" s="47" t="e">
        <f>INDEX(VISITORS[INSECT ORDER], MATCH(X1479,VISITORS[NAME USED],0))</f>
        <v>#N/A</v>
      </c>
      <c r="AB1479" s="47" t="e">
        <f t="shared" si="708"/>
        <v>#N/A</v>
      </c>
      <c r="AC1479" s="53" t="e">
        <f t="shared" si="709"/>
        <v>#VALUE!</v>
      </c>
      <c r="AD1479" s="54" t="str">
        <f t="shared" si="710"/>
        <v/>
      </c>
      <c r="AE1479" s="54"/>
      <c r="AF1479" s="54"/>
      <c r="AG1479" s="55" t="str">
        <f t="shared" si="711"/>
        <v/>
      </c>
      <c r="AH1479" s="56" t="str">
        <f t="shared" si="712"/>
        <v/>
      </c>
      <c r="AI1479" s="55"/>
      <c r="AJ1479" s="56" t="str">
        <f t="shared" si="713"/>
        <v/>
      </c>
      <c r="AK1479" s="55"/>
      <c r="AL1479" s="56" t="str">
        <f t="shared" si="714"/>
        <v/>
      </c>
      <c r="AM1479" s="55"/>
      <c r="AN1479" s="56" t="str">
        <f t="shared" si="715"/>
        <v/>
      </c>
      <c r="AO1479" s="55"/>
      <c r="AP1479" s="56" t="str">
        <f t="shared" si="716"/>
        <v/>
      </c>
      <c r="AQ1479" s="55"/>
      <c r="AR1479" s="56" t="str">
        <f t="shared" si="717"/>
        <v/>
      </c>
      <c r="AS1479" s="57"/>
      <c r="AT1479" s="58"/>
      <c r="AU1479" s="58"/>
      <c r="AV1479" s="59"/>
      <c r="AW1479" s="60" t="str">
        <f t="shared" si="718"/>
        <v/>
      </c>
      <c r="AX1479" s="61" t="str">
        <f t="shared" si="719"/>
        <v/>
      </c>
      <c r="AY1479" s="60" t="str">
        <f t="shared" si="720"/>
        <v/>
      </c>
      <c r="AZ1479" s="61" t="str">
        <f t="shared" si="721"/>
        <v/>
      </c>
    </row>
    <row r="1480" spans="1:52" s="3" customFormat="1" ht="12" hidden="1" customHeight="1" x14ac:dyDescent="0.35">
      <c r="A1480" s="72">
        <f t="shared" si="692"/>
        <v>2020</v>
      </c>
      <c r="B1480" s="72" t="str">
        <f t="shared" si="697"/>
        <v>Dec</v>
      </c>
      <c r="C1480" s="73">
        <f t="shared" si="698"/>
        <v>3</v>
      </c>
      <c r="D1480" s="74">
        <f t="shared" si="699"/>
        <v>15</v>
      </c>
      <c r="E1480" s="75">
        <f t="shared" si="695"/>
        <v>31</v>
      </c>
      <c r="F1480" s="79"/>
      <c r="G1480" s="82"/>
      <c r="H1480" s="68" t="str">
        <f t="shared" si="700"/>
        <v>Hyprev6_20201203_15_00</v>
      </c>
      <c r="I1480" s="69">
        <f t="shared" ref="I1480:N1480" si="758">I1479</f>
        <v>1</v>
      </c>
      <c r="J1480" s="76" t="str">
        <f t="shared" si="758"/>
        <v>Hypericum</v>
      </c>
      <c r="K1480" s="76" t="str">
        <f t="shared" si="758"/>
        <v>revolutum</v>
      </c>
      <c r="L1480" s="77">
        <f t="shared" si="758"/>
        <v>6</v>
      </c>
      <c r="M1480" s="77">
        <f t="shared" si="758"/>
        <v>1</v>
      </c>
      <c r="N1480" s="71">
        <f t="shared" si="758"/>
        <v>0</v>
      </c>
      <c r="O1480" s="44"/>
      <c r="P1480" s="45" t="str">
        <f t="shared" si="702"/>
        <v/>
      </c>
      <c r="Q1480" s="46" t="str">
        <f t="shared" si="703"/>
        <v/>
      </c>
      <c r="R1480" s="47" t="e">
        <f t="shared" si="704"/>
        <v>#VALUE!</v>
      </c>
      <c r="S1480" s="48" t="e">
        <f t="shared" si="705"/>
        <v>#VALUE!</v>
      </c>
      <c r="T1480" s="47" t="str">
        <f t="shared" si="706"/>
        <v/>
      </c>
      <c r="U1480" s="49"/>
      <c r="V1480" s="50"/>
      <c r="W1480" s="51" t="e">
        <f t="shared" si="707"/>
        <v>#VALUE!</v>
      </c>
      <c r="X1480" s="52"/>
      <c r="Y1480" s="52"/>
      <c r="Z1480" s="52"/>
      <c r="AA1480" s="47" t="e">
        <f>INDEX(VISITORS[INSECT ORDER], MATCH(X1480,VISITORS[NAME USED],0))</f>
        <v>#N/A</v>
      </c>
      <c r="AB1480" s="47" t="e">
        <f t="shared" si="708"/>
        <v>#N/A</v>
      </c>
      <c r="AC1480" s="53" t="e">
        <f t="shared" si="709"/>
        <v>#VALUE!</v>
      </c>
      <c r="AD1480" s="54" t="str">
        <f t="shared" si="710"/>
        <v/>
      </c>
      <c r="AE1480" s="54"/>
      <c r="AF1480" s="54"/>
      <c r="AG1480" s="55" t="str">
        <f t="shared" si="711"/>
        <v/>
      </c>
      <c r="AH1480" s="56" t="str">
        <f t="shared" si="712"/>
        <v/>
      </c>
      <c r="AI1480" s="55"/>
      <c r="AJ1480" s="56" t="str">
        <f t="shared" si="713"/>
        <v/>
      </c>
      <c r="AK1480" s="55"/>
      <c r="AL1480" s="56" t="str">
        <f t="shared" si="714"/>
        <v/>
      </c>
      <c r="AM1480" s="55"/>
      <c r="AN1480" s="56" t="str">
        <f t="shared" si="715"/>
        <v/>
      </c>
      <c r="AO1480" s="55"/>
      <c r="AP1480" s="56" t="str">
        <f t="shared" si="716"/>
        <v/>
      </c>
      <c r="AQ1480" s="55"/>
      <c r="AR1480" s="56" t="str">
        <f t="shared" si="717"/>
        <v/>
      </c>
      <c r="AS1480" s="57"/>
      <c r="AT1480" s="58"/>
      <c r="AU1480" s="58"/>
      <c r="AV1480" s="59"/>
      <c r="AW1480" s="60" t="str">
        <f t="shared" si="718"/>
        <v/>
      </c>
      <c r="AX1480" s="61" t="str">
        <f t="shared" si="719"/>
        <v/>
      </c>
      <c r="AY1480" s="60" t="str">
        <f t="shared" si="720"/>
        <v/>
      </c>
      <c r="AZ1480" s="61" t="str">
        <f t="shared" si="721"/>
        <v/>
      </c>
    </row>
    <row r="1481" spans="1:52" s="3" customFormat="1" ht="12" hidden="1" customHeight="1" thickBot="1" x14ac:dyDescent="0.4">
      <c r="A1481" s="85">
        <f t="shared" si="692"/>
        <v>2020</v>
      </c>
      <c r="B1481" s="85" t="str">
        <f t="shared" si="697"/>
        <v>Dec</v>
      </c>
      <c r="C1481" s="86">
        <f t="shared" si="698"/>
        <v>3</v>
      </c>
      <c r="D1481" s="87">
        <f t="shared" si="699"/>
        <v>15</v>
      </c>
      <c r="E1481" s="88">
        <f t="shared" si="695"/>
        <v>32</v>
      </c>
      <c r="F1481" s="89"/>
      <c r="G1481" s="90"/>
      <c r="H1481" s="68" t="str">
        <f t="shared" si="700"/>
        <v>Hyprev6_20201203_15_00</v>
      </c>
      <c r="I1481" s="91">
        <f t="shared" ref="I1481:N1481" si="759">I1480</f>
        <v>1</v>
      </c>
      <c r="J1481" s="92" t="str">
        <f t="shared" si="759"/>
        <v>Hypericum</v>
      </c>
      <c r="K1481" s="92" t="str">
        <f t="shared" si="759"/>
        <v>revolutum</v>
      </c>
      <c r="L1481" s="93">
        <f t="shared" si="759"/>
        <v>6</v>
      </c>
      <c r="M1481" s="93">
        <f t="shared" si="759"/>
        <v>1</v>
      </c>
      <c r="N1481" s="94">
        <f t="shared" si="759"/>
        <v>0</v>
      </c>
      <c r="O1481" s="95"/>
      <c r="P1481" s="96" t="str">
        <f t="shared" si="702"/>
        <v/>
      </c>
      <c r="Q1481" s="97" t="str">
        <f t="shared" si="703"/>
        <v/>
      </c>
      <c r="R1481" s="98" t="e">
        <f t="shared" si="704"/>
        <v>#VALUE!</v>
      </c>
      <c r="S1481" s="98" t="e">
        <f t="shared" si="705"/>
        <v>#VALUE!</v>
      </c>
      <c r="T1481" s="98" t="str">
        <f t="shared" si="706"/>
        <v/>
      </c>
      <c r="U1481" s="99"/>
      <c r="V1481" s="100"/>
      <c r="W1481" s="101" t="e">
        <f t="shared" si="707"/>
        <v>#VALUE!</v>
      </c>
      <c r="X1481" s="102"/>
      <c r="Y1481" s="141"/>
      <c r="Z1481" s="141"/>
      <c r="AA1481" s="47" t="e">
        <f>INDEX(VISITORS[INSECT ORDER], MATCH(X1481,VISITORS[NAME USED],0))</f>
        <v>#N/A</v>
      </c>
      <c r="AB1481" s="98" t="e">
        <f t="shared" si="708"/>
        <v>#N/A</v>
      </c>
      <c r="AC1481" s="53" t="e">
        <f t="shared" si="709"/>
        <v>#VALUE!</v>
      </c>
      <c r="AD1481" s="103" t="str">
        <f t="shared" si="710"/>
        <v/>
      </c>
      <c r="AE1481" s="103"/>
      <c r="AF1481" s="103"/>
      <c r="AG1481" s="104" t="str">
        <f t="shared" si="711"/>
        <v/>
      </c>
      <c r="AH1481" s="105" t="str">
        <f t="shared" si="712"/>
        <v/>
      </c>
      <c r="AI1481" s="104"/>
      <c r="AJ1481" s="105" t="str">
        <f t="shared" si="713"/>
        <v/>
      </c>
      <c r="AK1481" s="104"/>
      <c r="AL1481" s="105" t="str">
        <f t="shared" si="714"/>
        <v/>
      </c>
      <c r="AM1481" s="104"/>
      <c r="AN1481" s="105" t="str">
        <f t="shared" si="715"/>
        <v/>
      </c>
      <c r="AO1481" s="104"/>
      <c r="AP1481" s="105" t="str">
        <f t="shared" si="716"/>
        <v/>
      </c>
      <c r="AQ1481" s="104"/>
      <c r="AR1481" s="105" t="str">
        <f t="shared" si="717"/>
        <v/>
      </c>
      <c r="AS1481" s="106"/>
      <c r="AT1481" s="107"/>
      <c r="AU1481" s="107"/>
      <c r="AV1481" s="108"/>
      <c r="AW1481" s="109" t="str">
        <f t="shared" si="718"/>
        <v/>
      </c>
      <c r="AX1481" s="110" t="str">
        <f t="shared" si="719"/>
        <v/>
      </c>
      <c r="AY1481" s="109" t="str">
        <f t="shared" si="720"/>
        <v/>
      </c>
      <c r="AZ1481" s="110" t="str">
        <f t="shared" si="721"/>
        <v/>
      </c>
    </row>
    <row r="1482" spans="1:52" s="3" customFormat="1" ht="12" hidden="1" customHeight="1" x14ac:dyDescent="0.35">
      <c r="A1482" s="72">
        <f t="shared" si="692"/>
        <v>2020</v>
      </c>
      <c r="B1482" s="72" t="str">
        <f t="shared" si="697"/>
        <v>Dec</v>
      </c>
      <c r="C1482" s="73">
        <f t="shared" si="698"/>
        <v>3</v>
      </c>
      <c r="D1482" s="74">
        <f t="shared" si="699"/>
        <v>15</v>
      </c>
      <c r="E1482" s="75">
        <f t="shared" si="695"/>
        <v>33</v>
      </c>
      <c r="F1482" s="79"/>
      <c r="G1482" s="82"/>
      <c r="H1482" s="68" t="str">
        <f t="shared" si="700"/>
        <v>Hyprev6_20201203_15_00</v>
      </c>
      <c r="I1482" s="69">
        <f t="shared" ref="I1482:N1482" si="760">I1481</f>
        <v>1</v>
      </c>
      <c r="J1482" s="76" t="str">
        <f t="shared" si="760"/>
        <v>Hypericum</v>
      </c>
      <c r="K1482" s="76" t="str">
        <f t="shared" si="760"/>
        <v>revolutum</v>
      </c>
      <c r="L1482" s="77">
        <f t="shared" si="760"/>
        <v>6</v>
      </c>
      <c r="M1482" s="77">
        <f t="shared" si="760"/>
        <v>1</v>
      </c>
      <c r="N1482" s="71">
        <f t="shared" si="760"/>
        <v>0</v>
      </c>
      <c r="O1482" s="44"/>
      <c r="P1482" s="45" t="str">
        <f t="shared" si="702"/>
        <v/>
      </c>
      <c r="Q1482" s="46" t="str">
        <f t="shared" si="703"/>
        <v/>
      </c>
      <c r="R1482" s="47" t="e">
        <f t="shared" si="704"/>
        <v>#VALUE!</v>
      </c>
      <c r="S1482" s="48" t="e">
        <f t="shared" si="705"/>
        <v>#VALUE!</v>
      </c>
      <c r="T1482" s="47" t="str">
        <f t="shared" si="706"/>
        <v/>
      </c>
      <c r="U1482" s="49"/>
      <c r="V1482" s="50"/>
      <c r="W1482" s="51" t="e">
        <f t="shared" si="707"/>
        <v>#VALUE!</v>
      </c>
      <c r="X1482" s="52"/>
      <c r="Y1482" s="52"/>
      <c r="Z1482" s="52"/>
      <c r="AA1482" s="47" t="e">
        <f>INDEX(VISITORS[INSECT ORDER], MATCH(X1482,VISITORS[NAME USED],0))</f>
        <v>#N/A</v>
      </c>
      <c r="AB1482" s="47" t="e">
        <f t="shared" si="708"/>
        <v>#N/A</v>
      </c>
      <c r="AC1482" s="53" t="e">
        <f t="shared" si="709"/>
        <v>#VALUE!</v>
      </c>
      <c r="AD1482" s="54" t="str">
        <f t="shared" si="710"/>
        <v/>
      </c>
      <c r="AE1482" s="54"/>
      <c r="AF1482" s="54"/>
      <c r="AG1482" s="55" t="str">
        <f t="shared" si="711"/>
        <v/>
      </c>
      <c r="AH1482" s="56" t="str">
        <f t="shared" si="712"/>
        <v/>
      </c>
      <c r="AI1482" s="55"/>
      <c r="AJ1482" s="56" t="str">
        <f t="shared" si="713"/>
        <v/>
      </c>
      <c r="AK1482" s="55"/>
      <c r="AL1482" s="56" t="str">
        <f t="shared" si="714"/>
        <v/>
      </c>
      <c r="AM1482" s="55"/>
      <c r="AN1482" s="56" t="str">
        <f t="shared" si="715"/>
        <v/>
      </c>
      <c r="AO1482" s="55"/>
      <c r="AP1482" s="56" t="str">
        <f t="shared" si="716"/>
        <v/>
      </c>
      <c r="AQ1482" s="55"/>
      <c r="AR1482" s="56" t="str">
        <f t="shared" si="717"/>
        <v/>
      </c>
      <c r="AS1482" s="57"/>
      <c r="AT1482" s="58"/>
      <c r="AU1482" s="58"/>
      <c r="AV1482" s="59"/>
      <c r="AW1482" s="60" t="str">
        <f t="shared" si="718"/>
        <v/>
      </c>
      <c r="AX1482" s="61" t="str">
        <f t="shared" si="719"/>
        <v/>
      </c>
      <c r="AY1482" s="60" t="str">
        <f t="shared" si="720"/>
        <v/>
      </c>
      <c r="AZ1482" s="61" t="str">
        <f t="shared" si="721"/>
        <v/>
      </c>
    </row>
    <row r="1483" spans="1:52" s="3" customFormat="1" ht="12" hidden="1" customHeight="1" x14ac:dyDescent="0.35">
      <c r="A1483" s="72">
        <f t="shared" si="692"/>
        <v>2020</v>
      </c>
      <c r="B1483" s="72" t="str">
        <f t="shared" si="697"/>
        <v>Dec</v>
      </c>
      <c r="C1483" s="73">
        <f t="shared" si="698"/>
        <v>3</v>
      </c>
      <c r="D1483" s="74">
        <f t="shared" si="699"/>
        <v>15</v>
      </c>
      <c r="E1483" s="75">
        <f t="shared" si="695"/>
        <v>34</v>
      </c>
      <c r="F1483" s="79"/>
      <c r="G1483" s="82"/>
      <c r="H1483" s="68" t="str">
        <f t="shared" si="700"/>
        <v>Hyprev6_20201203_15_00</v>
      </c>
      <c r="I1483" s="69">
        <f t="shared" ref="I1483:N1483" si="761">I1482</f>
        <v>1</v>
      </c>
      <c r="J1483" s="76" t="str">
        <f t="shared" si="761"/>
        <v>Hypericum</v>
      </c>
      <c r="K1483" s="76" t="str">
        <f t="shared" si="761"/>
        <v>revolutum</v>
      </c>
      <c r="L1483" s="77">
        <f t="shared" si="761"/>
        <v>6</v>
      </c>
      <c r="M1483" s="77">
        <f t="shared" si="761"/>
        <v>1</v>
      </c>
      <c r="N1483" s="71">
        <f t="shared" si="761"/>
        <v>0</v>
      </c>
      <c r="O1483" s="44"/>
      <c r="P1483" s="45" t="str">
        <f t="shared" si="702"/>
        <v/>
      </c>
      <c r="Q1483" s="46" t="str">
        <f t="shared" si="703"/>
        <v/>
      </c>
      <c r="R1483" s="47" t="e">
        <f t="shared" si="704"/>
        <v>#VALUE!</v>
      </c>
      <c r="S1483" s="48" t="e">
        <f t="shared" si="705"/>
        <v>#VALUE!</v>
      </c>
      <c r="T1483" s="47" t="str">
        <f t="shared" si="706"/>
        <v/>
      </c>
      <c r="U1483" s="49"/>
      <c r="V1483" s="50"/>
      <c r="W1483" s="51" t="e">
        <f t="shared" si="707"/>
        <v>#VALUE!</v>
      </c>
      <c r="X1483" s="52"/>
      <c r="Y1483" s="52"/>
      <c r="Z1483" s="52"/>
      <c r="AA1483" s="47" t="e">
        <f>INDEX(VISITORS[INSECT ORDER], MATCH(X1483,VISITORS[NAME USED],0))</f>
        <v>#N/A</v>
      </c>
      <c r="AB1483" s="47" t="e">
        <f t="shared" si="708"/>
        <v>#N/A</v>
      </c>
      <c r="AC1483" s="53" t="e">
        <f t="shared" si="709"/>
        <v>#VALUE!</v>
      </c>
      <c r="AD1483" s="54" t="str">
        <f t="shared" si="710"/>
        <v/>
      </c>
      <c r="AE1483" s="54"/>
      <c r="AF1483" s="54"/>
      <c r="AG1483" s="55" t="str">
        <f t="shared" si="711"/>
        <v/>
      </c>
      <c r="AH1483" s="56" t="str">
        <f t="shared" si="712"/>
        <v/>
      </c>
      <c r="AI1483" s="55"/>
      <c r="AJ1483" s="56" t="str">
        <f t="shared" si="713"/>
        <v/>
      </c>
      <c r="AK1483" s="55"/>
      <c r="AL1483" s="56" t="str">
        <f t="shared" si="714"/>
        <v/>
      </c>
      <c r="AM1483" s="55"/>
      <c r="AN1483" s="56" t="str">
        <f t="shared" si="715"/>
        <v/>
      </c>
      <c r="AO1483" s="55"/>
      <c r="AP1483" s="56" t="str">
        <f t="shared" si="716"/>
        <v/>
      </c>
      <c r="AQ1483" s="55"/>
      <c r="AR1483" s="56" t="str">
        <f t="shared" si="717"/>
        <v/>
      </c>
      <c r="AS1483" s="57"/>
      <c r="AT1483" s="58"/>
      <c r="AU1483" s="58"/>
      <c r="AV1483" s="59"/>
      <c r="AW1483" s="60" t="str">
        <f t="shared" si="718"/>
        <v/>
      </c>
      <c r="AX1483" s="61" t="str">
        <f t="shared" si="719"/>
        <v/>
      </c>
      <c r="AY1483" s="60" t="str">
        <f t="shared" si="720"/>
        <v/>
      </c>
      <c r="AZ1483" s="61" t="str">
        <f t="shared" si="721"/>
        <v/>
      </c>
    </row>
    <row r="1484" spans="1:52" s="3" customFormat="1" ht="12" hidden="1" customHeight="1" thickBot="1" x14ac:dyDescent="0.4">
      <c r="A1484" s="85">
        <f t="shared" si="692"/>
        <v>2020</v>
      </c>
      <c r="B1484" s="85" t="str">
        <f t="shared" si="697"/>
        <v>Dec</v>
      </c>
      <c r="C1484" s="86">
        <f t="shared" si="698"/>
        <v>3</v>
      </c>
      <c r="D1484" s="87">
        <f t="shared" si="699"/>
        <v>15</v>
      </c>
      <c r="E1484" s="88">
        <f t="shared" si="695"/>
        <v>35</v>
      </c>
      <c r="F1484" s="89"/>
      <c r="G1484" s="90"/>
      <c r="H1484" s="68" t="str">
        <f t="shared" si="700"/>
        <v>Hyprev6_20201203_15_00</v>
      </c>
      <c r="I1484" s="91">
        <f t="shared" ref="I1484:N1484" si="762">I1483</f>
        <v>1</v>
      </c>
      <c r="J1484" s="92" t="str">
        <f t="shared" si="762"/>
        <v>Hypericum</v>
      </c>
      <c r="K1484" s="92" t="str">
        <f t="shared" si="762"/>
        <v>revolutum</v>
      </c>
      <c r="L1484" s="93">
        <f t="shared" si="762"/>
        <v>6</v>
      </c>
      <c r="M1484" s="93">
        <f t="shared" si="762"/>
        <v>1</v>
      </c>
      <c r="N1484" s="94">
        <f t="shared" si="762"/>
        <v>0</v>
      </c>
      <c r="O1484" s="95"/>
      <c r="P1484" s="96" t="str">
        <f t="shared" si="702"/>
        <v/>
      </c>
      <c r="Q1484" s="97" t="str">
        <f t="shared" si="703"/>
        <v/>
      </c>
      <c r="R1484" s="98" t="e">
        <f t="shared" si="704"/>
        <v>#VALUE!</v>
      </c>
      <c r="S1484" s="98" t="e">
        <f t="shared" si="705"/>
        <v>#VALUE!</v>
      </c>
      <c r="T1484" s="98" t="str">
        <f t="shared" si="706"/>
        <v/>
      </c>
      <c r="U1484" s="99"/>
      <c r="V1484" s="100"/>
      <c r="W1484" s="101" t="e">
        <f t="shared" si="707"/>
        <v>#VALUE!</v>
      </c>
      <c r="X1484" s="102"/>
      <c r="Y1484" s="141"/>
      <c r="Z1484" s="141"/>
      <c r="AA1484" s="47" t="e">
        <f>INDEX(VISITORS[INSECT ORDER], MATCH(X1484,VISITORS[NAME USED],0))</f>
        <v>#N/A</v>
      </c>
      <c r="AB1484" s="98" t="e">
        <f t="shared" si="708"/>
        <v>#N/A</v>
      </c>
      <c r="AC1484" s="53" t="e">
        <f t="shared" si="709"/>
        <v>#VALUE!</v>
      </c>
      <c r="AD1484" s="103" t="str">
        <f t="shared" si="710"/>
        <v/>
      </c>
      <c r="AE1484" s="103"/>
      <c r="AF1484" s="103"/>
      <c r="AG1484" s="104" t="str">
        <f t="shared" si="711"/>
        <v/>
      </c>
      <c r="AH1484" s="105" t="str">
        <f t="shared" si="712"/>
        <v/>
      </c>
      <c r="AI1484" s="104"/>
      <c r="AJ1484" s="105" t="str">
        <f t="shared" si="713"/>
        <v/>
      </c>
      <c r="AK1484" s="104"/>
      <c r="AL1484" s="105" t="str">
        <f t="shared" si="714"/>
        <v/>
      </c>
      <c r="AM1484" s="104"/>
      <c r="AN1484" s="105" t="str">
        <f t="shared" si="715"/>
        <v/>
      </c>
      <c r="AO1484" s="104"/>
      <c r="AP1484" s="105" t="str">
        <f t="shared" si="716"/>
        <v/>
      </c>
      <c r="AQ1484" s="104"/>
      <c r="AR1484" s="105" t="str">
        <f t="shared" si="717"/>
        <v/>
      </c>
      <c r="AS1484" s="106"/>
      <c r="AT1484" s="107"/>
      <c r="AU1484" s="107"/>
      <c r="AV1484" s="108"/>
      <c r="AW1484" s="109" t="str">
        <f t="shared" si="718"/>
        <v/>
      </c>
      <c r="AX1484" s="110" t="str">
        <f t="shared" si="719"/>
        <v/>
      </c>
      <c r="AY1484" s="109" t="str">
        <f t="shared" si="720"/>
        <v/>
      </c>
      <c r="AZ1484" s="110" t="str">
        <f t="shared" si="721"/>
        <v/>
      </c>
    </row>
    <row r="1485" spans="1:52" s="3" customFormat="1" ht="12" hidden="1" customHeight="1" x14ac:dyDescent="0.35">
      <c r="A1485" s="72">
        <f t="shared" si="692"/>
        <v>2020</v>
      </c>
      <c r="B1485" s="72" t="str">
        <f t="shared" si="697"/>
        <v>Dec</v>
      </c>
      <c r="C1485" s="73">
        <f t="shared" si="698"/>
        <v>3</v>
      </c>
      <c r="D1485" s="74">
        <f t="shared" si="699"/>
        <v>15</v>
      </c>
      <c r="E1485" s="75">
        <f t="shared" si="695"/>
        <v>36</v>
      </c>
      <c r="F1485" s="79"/>
      <c r="G1485" s="82"/>
      <c r="H1485" s="68" t="str">
        <f t="shared" si="700"/>
        <v>Hyprev6_20201203_15_00</v>
      </c>
      <c r="I1485" s="69">
        <f t="shared" ref="I1485:N1485" si="763">I1484</f>
        <v>1</v>
      </c>
      <c r="J1485" s="76" t="str">
        <f t="shared" si="763"/>
        <v>Hypericum</v>
      </c>
      <c r="K1485" s="76" t="str">
        <f t="shared" si="763"/>
        <v>revolutum</v>
      </c>
      <c r="L1485" s="77">
        <f t="shared" si="763"/>
        <v>6</v>
      </c>
      <c r="M1485" s="77">
        <f t="shared" si="763"/>
        <v>1</v>
      </c>
      <c r="N1485" s="71">
        <f t="shared" si="763"/>
        <v>0</v>
      </c>
      <c r="O1485" s="44"/>
      <c r="P1485" s="45" t="str">
        <f t="shared" si="702"/>
        <v/>
      </c>
      <c r="Q1485" s="46" t="str">
        <f t="shared" si="703"/>
        <v/>
      </c>
      <c r="R1485" s="47" t="e">
        <f t="shared" si="704"/>
        <v>#VALUE!</v>
      </c>
      <c r="S1485" s="48" t="e">
        <f t="shared" si="705"/>
        <v>#VALUE!</v>
      </c>
      <c r="T1485" s="47" t="str">
        <f t="shared" si="706"/>
        <v/>
      </c>
      <c r="U1485" s="49"/>
      <c r="V1485" s="50"/>
      <c r="W1485" s="51" t="e">
        <f t="shared" si="707"/>
        <v>#VALUE!</v>
      </c>
      <c r="X1485" s="52"/>
      <c r="Y1485" s="52"/>
      <c r="Z1485" s="52"/>
      <c r="AA1485" s="47" t="e">
        <f>INDEX(VISITORS[INSECT ORDER], MATCH(X1485,VISITORS[NAME USED],0))</f>
        <v>#N/A</v>
      </c>
      <c r="AB1485" s="47" t="e">
        <f t="shared" si="708"/>
        <v>#N/A</v>
      </c>
      <c r="AC1485" s="53" t="e">
        <f t="shared" si="709"/>
        <v>#VALUE!</v>
      </c>
      <c r="AD1485" s="54" t="str">
        <f t="shared" si="710"/>
        <v/>
      </c>
      <c r="AE1485" s="54"/>
      <c r="AF1485" s="54"/>
      <c r="AG1485" s="55" t="str">
        <f t="shared" si="711"/>
        <v/>
      </c>
      <c r="AH1485" s="56" t="str">
        <f t="shared" si="712"/>
        <v/>
      </c>
      <c r="AI1485" s="55"/>
      <c r="AJ1485" s="56" t="str">
        <f t="shared" si="713"/>
        <v/>
      </c>
      <c r="AK1485" s="55"/>
      <c r="AL1485" s="56" t="str">
        <f t="shared" si="714"/>
        <v/>
      </c>
      <c r="AM1485" s="55"/>
      <c r="AN1485" s="56" t="str">
        <f t="shared" si="715"/>
        <v/>
      </c>
      <c r="AO1485" s="55"/>
      <c r="AP1485" s="56" t="str">
        <f t="shared" si="716"/>
        <v/>
      </c>
      <c r="AQ1485" s="55"/>
      <c r="AR1485" s="56" t="str">
        <f t="shared" si="717"/>
        <v/>
      </c>
      <c r="AS1485" s="57"/>
      <c r="AT1485" s="58"/>
      <c r="AU1485" s="58"/>
      <c r="AV1485" s="59"/>
      <c r="AW1485" s="60" t="str">
        <f t="shared" si="718"/>
        <v/>
      </c>
      <c r="AX1485" s="61" t="str">
        <f t="shared" si="719"/>
        <v/>
      </c>
      <c r="AY1485" s="60" t="str">
        <f t="shared" si="720"/>
        <v/>
      </c>
      <c r="AZ1485" s="61" t="str">
        <f t="shared" si="721"/>
        <v/>
      </c>
    </row>
    <row r="1486" spans="1:52" s="3" customFormat="1" ht="12" hidden="1" customHeight="1" x14ac:dyDescent="0.35">
      <c r="A1486" s="72">
        <f t="shared" si="692"/>
        <v>2020</v>
      </c>
      <c r="B1486" s="72" t="str">
        <f t="shared" si="697"/>
        <v>Dec</v>
      </c>
      <c r="C1486" s="73">
        <f t="shared" si="698"/>
        <v>3</v>
      </c>
      <c r="D1486" s="74">
        <f t="shared" si="699"/>
        <v>15</v>
      </c>
      <c r="E1486" s="75">
        <f t="shared" si="695"/>
        <v>37</v>
      </c>
      <c r="F1486" s="79"/>
      <c r="G1486" s="82"/>
      <c r="H1486" s="68" t="str">
        <f t="shared" si="700"/>
        <v>Hyprev6_20201203_15_00</v>
      </c>
      <c r="I1486" s="69">
        <f t="shared" ref="I1486:N1486" si="764">I1485</f>
        <v>1</v>
      </c>
      <c r="J1486" s="76" t="str">
        <f t="shared" si="764"/>
        <v>Hypericum</v>
      </c>
      <c r="K1486" s="76" t="str">
        <f t="shared" si="764"/>
        <v>revolutum</v>
      </c>
      <c r="L1486" s="77">
        <f t="shared" si="764"/>
        <v>6</v>
      </c>
      <c r="M1486" s="77">
        <f t="shared" si="764"/>
        <v>1</v>
      </c>
      <c r="N1486" s="71">
        <f t="shared" si="764"/>
        <v>0</v>
      </c>
      <c r="O1486" s="44"/>
      <c r="P1486" s="45" t="str">
        <f t="shared" si="702"/>
        <v/>
      </c>
      <c r="Q1486" s="46" t="str">
        <f t="shared" si="703"/>
        <v/>
      </c>
      <c r="R1486" s="47" t="e">
        <f t="shared" si="704"/>
        <v>#VALUE!</v>
      </c>
      <c r="S1486" s="48" t="e">
        <f t="shared" si="705"/>
        <v>#VALUE!</v>
      </c>
      <c r="T1486" s="47" t="str">
        <f t="shared" si="706"/>
        <v/>
      </c>
      <c r="U1486" s="49"/>
      <c r="V1486" s="50"/>
      <c r="W1486" s="51" t="e">
        <f t="shared" si="707"/>
        <v>#VALUE!</v>
      </c>
      <c r="X1486" s="52"/>
      <c r="Y1486" s="52"/>
      <c r="Z1486" s="52"/>
      <c r="AA1486" s="47" t="e">
        <f>INDEX(VISITORS[INSECT ORDER], MATCH(X1486,VISITORS[NAME USED],0))</f>
        <v>#N/A</v>
      </c>
      <c r="AB1486" s="47" t="e">
        <f t="shared" si="708"/>
        <v>#N/A</v>
      </c>
      <c r="AC1486" s="53" t="e">
        <f t="shared" si="709"/>
        <v>#VALUE!</v>
      </c>
      <c r="AD1486" s="54" t="str">
        <f t="shared" si="710"/>
        <v/>
      </c>
      <c r="AE1486" s="54"/>
      <c r="AF1486" s="54"/>
      <c r="AG1486" s="55" t="str">
        <f t="shared" si="711"/>
        <v/>
      </c>
      <c r="AH1486" s="56" t="str">
        <f t="shared" si="712"/>
        <v/>
      </c>
      <c r="AI1486" s="55"/>
      <c r="AJ1486" s="56" t="str">
        <f t="shared" si="713"/>
        <v/>
      </c>
      <c r="AK1486" s="55"/>
      <c r="AL1486" s="56" t="str">
        <f t="shared" si="714"/>
        <v/>
      </c>
      <c r="AM1486" s="55"/>
      <c r="AN1486" s="56" t="str">
        <f t="shared" si="715"/>
        <v/>
      </c>
      <c r="AO1486" s="55"/>
      <c r="AP1486" s="56" t="str">
        <f t="shared" si="716"/>
        <v/>
      </c>
      <c r="AQ1486" s="55"/>
      <c r="AR1486" s="56" t="str">
        <f t="shared" si="717"/>
        <v/>
      </c>
      <c r="AS1486" s="57"/>
      <c r="AT1486" s="58"/>
      <c r="AU1486" s="58"/>
      <c r="AV1486" s="59"/>
      <c r="AW1486" s="60" t="str">
        <f t="shared" si="718"/>
        <v/>
      </c>
      <c r="AX1486" s="61" t="str">
        <f t="shared" si="719"/>
        <v/>
      </c>
      <c r="AY1486" s="60" t="str">
        <f t="shared" si="720"/>
        <v/>
      </c>
      <c r="AZ1486" s="61" t="str">
        <f t="shared" si="721"/>
        <v/>
      </c>
    </row>
    <row r="1487" spans="1:52" s="3" customFormat="1" ht="12" hidden="1" customHeight="1" thickBot="1" x14ac:dyDescent="0.4">
      <c r="A1487" s="85">
        <f t="shared" si="692"/>
        <v>2020</v>
      </c>
      <c r="B1487" s="85" t="str">
        <f t="shared" si="697"/>
        <v>Dec</v>
      </c>
      <c r="C1487" s="86">
        <f t="shared" si="698"/>
        <v>3</v>
      </c>
      <c r="D1487" s="87">
        <f t="shared" si="699"/>
        <v>15</v>
      </c>
      <c r="E1487" s="88">
        <f t="shared" si="695"/>
        <v>38</v>
      </c>
      <c r="F1487" s="89"/>
      <c r="G1487" s="90"/>
      <c r="H1487" s="68" t="str">
        <f t="shared" si="700"/>
        <v>Hyprev6_20201203_15_00</v>
      </c>
      <c r="I1487" s="91">
        <f t="shared" ref="I1487:N1487" si="765">I1486</f>
        <v>1</v>
      </c>
      <c r="J1487" s="92" t="str">
        <f t="shared" si="765"/>
        <v>Hypericum</v>
      </c>
      <c r="K1487" s="92" t="str">
        <f t="shared" si="765"/>
        <v>revolutum</v>
      </c>
      <c r="L1487" s="93">
        <f t="shared" si="765"/>
        <v>6</v>
      </c>
      <c r="M1487" s="93">
        <f t="shared" si="765"/>
        <v>1</v>
      </c>
      <c r="N1487" s="94">
        <f t="shared" si="765"/>
        <v>0</v>
      </c>
      <c r="O1487" s="95"/>
      <c r="P1487" s="96" t="str">
        <f t="shared" si="702"/>
        <v/>
      </c>
      <c r="Q1487" s="97" t="str">
        <f t="shared" si="703"/>
        <v/>
      </c>
      <c r="R1487" s="98" t="e">
        <f t="shared" si="704"/>
        <v>#VALUE!</v>
      </c>
      <c r="S1487" s="98" t="e">
        <f t="shared" si="705"/>
        <v>#VALUE!</v>
      </c>
      <c r="T1487" s="98" t="str">
        <f t="shared" si="706"/>
        <v/>
      </c>
      <c r="U1487" s="99"/>
      <c r="V1487" s="100"/>
      <c r="W1487" s="101" t="e">
        <f t="shared" si="707"/>
        <v>#VALUE!</v>
      </c>
      <c r="X1487" s="102"/>
      <c r="Y1487" s="141"/>
      <c r="Z1487" s="141"/>
      <c r="AA1487" s="47" t="e">
        <f>INDEX(VISITORS[INSECT ORDER], MATCH(X1487,VISITORS[NAME USED],0))</f>
        <v>#N/A</v>
      </c>
      <c r="AB1487" s="98" t="e">
        <f t="shared" si="708"/>
        <v>#N/A</v>
      </c>
      <c r="AC1487" s="53" t="e">
        <f t="shared" si="709"/>
        <v>#VALUE!</v>
      </c>
      <c r="AD1487" s="103" t="str">
        <f t="shared" si="710"/>
        <v/>
      </c>
      <c r="AE1487" s="103"/>
      <c r="AF1487" s="103"/>
      <c r="AG1487" s="104" t="str">
        <f t="shared" si="711"/>
        <v/>
      </c>
      <c r="AH1487" s="105" t="str">
        <f t="shared" si="712"/>
        <v/>
      </c>
      <c r="AI1487" s="104"/>
      <c r="AJ1487" s="105" t="str">
        <f t="shared" si="713"/>
        <v/>
      </c>
      <c r="AK1487" s="104"/>
      <c r="AL1487" s="105" t="str">
        <f t="shared" si="714"/>
        <v/>
      </c>
      <c r="AM1487" s="104"/>
      <c r="AN1487" s="105" t="str">
        <f t="shared" si="715"/>
        <v/>
      </c>
      <c r="AO1487" s="104"/>
      <c r="AP1487" s="105" t="str">
        <f t="shared" si="716"/>
        <v/>
      </c>
      <c r="AQ1487" s="104"/>
      <c r="AR1487" s="105" t="str">
        <f t="shared" si="717"/>
        <v/>
      </c>
      <c r="AS1487" s="106"/>
      <c r="AT1487" s="107"/>
      <c r="AU1487" s="107"/>
      <c r="AV1487" s="108"/>
      <c r="AW1487" s="109" t="str">
        <f t="shared" si="718"/>
        <v/>
      </c>
      <c r="AX1487" s="110" t="str">
        <f t="shared" si="719"/>
        <v/>
      </c>
      <c r="AY1487" s="109" t="str">
        <f t="shared" si="720"/>
        <v/>
      </c>
      <c r="AZ1487" s="110" t="str">
        <f t="shared" si="721"/>
        <v/>
      </c>
    </row>
    <row r="1488" spans="1:52" s="3" customFormat="1" ht="12" hidden="1" customHeight="1" x14ac:dyDescent="0.35">
      <c r="A1488" s="72">
        <f t="shared" si="692"/>
        <v>2020</v>
      </c>
      <c r="B1488" s="72" t="str">
        <f t="shared" si="697"/>
        <v>Dec</v>
      </c>
      <c r="C1488" s="73">
        <f t="shared" si="698"/>
        <v>3</v>
      </c>
      <c r="D1488" s="74">
        <f t="shared" si="699"/>
        <v>15</v>
      </c>
      <c r="E1488" s="75">
        <f t="shared" si="695"/>
        <v>39</v>
      </c>
      <c r="F1488" s="79"/>
      <c r="G1488" s="82"/>
      <c r="H1488" s="68" t="str">
        <f t="shared" si="700"/>
        <v>Hyprev6_20201203_15_00</v>
      </c>
      <c r="I1488" s="69">
        <f t="shared" ref="I1488:N1488" si="766">I1487</f>
        <v>1</v>
      </c>
      <c r="J1488" s="76" t="str">
        <f t="shared" si="766"/>
        <v>Hypericum</v>
      </c>
      <c r="K1488" s="76" t="str">
        <f t="shared" si="766"/>
        <v>revolutum</v>
      </c>
      <c r="L1488" s="77">
        <f t="shared" si="766"/>
        <v>6</v>
      </c>
      <c r="M1488" s="77">
        <f t="shared" si="766"/>
        <v>1</v>
      </c>
      <c r="N1488" s="71">
        <f t="shared" si="766"/>
        <v>0</v>
      </c>
      <c r="O1488" s="44"/>
      <c r="P1488" s="45" t="str">
        <f t="shared" si="702"/>
        <v/>
      </c>
      <c r="Q1488" s="46" t="str">
        <f t="shared" si="703"/>
        <v/>
      </c>
      <c r="R1488" s="47" t="e">
        <f t="shared" si="704"/>
        <v>#VALUE!</v>
      </c>
      <c r="S1488" s="48" t="e">
        <f t="shared" si="705"/>
        <v>#VALUE!</v>
      </c>
      <c r="T1488" s="47" t="str">
        <f t="shared" si="706"/>
        <v/>
      </c>
      <c r="U1488" s="49"/>
      <c r="V1488" s="50"/>
      <c r="W1488" s="51" t="e">
        <f t="shared" si="707"/>
        <v>#VALUE!</v>
      </c>
      <c r="X1488" s="52"/>
      <c r="Y1488" s="52"/>
      <c r="Z1488" s="52"/>
      <c r="AA1488" s="47" t="e">
        <f>INDEX(VISITORS[INSECT ORDER], MATCH(X1488,VISITORS[NAME USED],0))</f>
        <v>#N/A</v>
      </c>
      <c r="AB1488" s="47" t="e">
        <f t="shared" si="708"/>
        <v>#N/A</v>
      </c>
      <c r="AC1488" s="53" t="e">
        <f t="shared" si="709"/>
        <v>#VALUE!</v>
      </c>
      <c r="AD1488" s="54" t="str">
        <f t="shared" si="710"/>
        <v/>
      </c>
      <c r="AE1488" s="54"/>
      <c r="AF1488" s="54"/>
      <c r="AG1488" s="55" t="str">
        <f t="shared" si="711"/>
        <v/>
      </c>
      <c r="AH1488" s="56" t="str">
        <f t="shared" si="712"/>
        <v/>
      </c>
      <c r="AI1488" s="55"/>
      <c r="AJ1488" s="56" t="str">
        <f t="shared" si="713"/>
        <v/>
      </c>
      <c r="AK1488" s="55"/>
      <c r="AL1488" s="56" t="str">
        <f t="shared" si="714"/>
        <v/>
      </c>
      <c r="AM1488" s="55"/>
      <c r="AN1488" s="56" t="str">
        <f t="shared" si="715"/>
        <v/>
      </c>
      <c r="AO1488" s="55"/>
      <c r="AP1488" s="56" t="str">
        <f t="shared" si="716"/>
        <v/>
      </c>
      <c r="AQ1488" s="55"/>
      <c r="AR1488" s="56" t="str">
        <f t="shared" si="717"/>
        <v/>
      </c>
      <c r="AS1488" s="57"/>
      <c r="AT1488" s="58"/>
      <c r="AU1488" s="58"/>
      <c r="AV1488" s="59"/>
      <c r="AW1488" s="60" t="str">
        <f t="shared" si="718"/>
        <v/>
      </c>
      <c r="AX1488" s="61" t="str">
        <f t="shared" si="719"/>
        <v/>
      </c>
      <c r="AY1488" s="60" t="str">
        <f t="shared" si="720"/>
        <v/>
      </c>
      <c r="AZ1488" s="61" t="str">
        <f t="shared" si="721"/>
        <v/>
      </c>
    </row>
    <row r="1489" spans="1:52" s="3" customFormat="1" ht="12" hidden="1" customHeight="1" x14ac:dyDescent="0.35">
      <c r="A1489" s="72">
        <f t="shared" si="692"/>
        <v>2020</v>
      </c>
      <c r="B1489" s="72" t="str">
        <f t="shared" si="697"/>
        <v>Dec</v>
      </c>
      <c r="C1489" s="73">
        <f t="shared" si="698"/>
        <v>3</v>
      </c>
      <c r="D1489" s="74">
        <f t="shared" si="699"/>
        <v>15</v>
      </c>
      <c r="E1489" s="75">
        <f t="shared" si="695"/>
        <v>40</v>
      </c>
      <c r="F1489" s="79"/>
      <c r="G1489" s="82"/>
      <c r="H1489" s="68" t="str">
        <f t="shared" si="700"/>
        <v>Hyprev6_20201203_15_00</v>
      </c>
      <c r="I1489" s="69">
        <f t="shared" ref="I1489:N1489" si="767">I1488</f>
        <v>1</v>
      </c>
      <c r="J1489" s="76" t="str">
        <f t="shared" si="767"/>
        <v>Hypericum</v>
      </c>
      <c r="K1489" s="76" t="str">
        <f t="shared" si="767"/>
        <v>revolutum</v>
      </c>
      <c r="L1489" s="77">
        <f t="shared" si="767"/>
        <v>6</v>
      </c>
      <c r="M1489" s="77">
        <f t="shared" si="767"/>
        <v>1</v>
      </c>
      <c r="N1489" s="71">
        <f t="shared" si="767"/>
        <v>0</v>
      </c>
      <c r="O1489" s="44"/>
      <c r="P1489" s="45" t="str">
        <f t="shared" si="702"/>
        <v/>
      </c>
      <c r="Q1489" s="46" t="str">
        <f t="shared" si="703"/>
        <v/>
      </c>
      <c r="R1489" s="47" t="e">
        <f t="shared" si="704"/>
        <v>#VALUE!</v>
      </c>
      <c r="S1489" s="48" t="e">
        <f t="shared" si="705"/>
        <v>#VALUE!</v>
      </c>
      <c r="T1489" s="47" t="str">
        <f t="shared" si="706"/>
        <v/>
      </c>
      <c r="U1489" s="49"/>
      <c r="V1489" s="50"/>
      <c r="W1489" s="51" t="e">
        <f t="shared" si="707"/>
        <v>#VALUE!</v>
      </c>
      <c r="X1489" s="52"/>
      <c r="Y1489" s="52"/>
      <c r="Z1489" s="52"/>
      <c r="AA1489" s="47" t="e">
        <f>INDEX(VISITORS[INSECT ORDER], MATCH(X1489,VISITORS[NAME USED],0))</f>
        <v>#N/A</v>
      </c>
      <c r="AB1489" s="47" t="e">
        <f t="shared" si="708"/>
        <v>#N/A</v>
      </c>
      <c r="AC1489" s="53" t="e">
        <f t="shared" si="709"/>
        <v>#VALUE!</v>
      </c>
      <c r="AD1489" s="54" t="str">
        <f t="shared" si="710"/>
        <v/>
      </c>
      <c r="AE1489" s="54"/>
      <c r="AF1489" s="54"/>
      <c r="AG1489" s="55" t="str">
        <f t="shared" si="711"/>
        <v/>
      </c>
      <c r="AH1489" s="56" t="str">
        <f t="shared" si="712"/>
        <v/>
      </c>
      <c r="AI1489" s="55"/>
      <c r="AJ1489" s="56" t="str">
        <f t="shared" si="713"/>
        <v/>
      </c>
      <c r="AK1489" s="55"/>
      <c r="AL1489" s="56" t="str">
        <f t="shared" si="714"/>
        <v/>
      </c>
      <c r="AM1489" s="55"/>
      <c r="AN1489" s="56" t="str">
        <f t="shared" si="715"/>
        <v/>
      </c>
      <c r="AO1489" s="55"/>
      <c r="AP1489" s="56" t="str">
        <f t="shared" si="716"/>
        <v/>
      </c>
      <c r="AQ1489" s="55"/>
      <c r="AR1489" s="56" t="str">
        <f t="shared" si="717"/>
        <v/>
      </c>
      <c r="AS1489" s="57"/>
      <c r="AT1489" s="58"/>
      <c r="AU1489" s="58"/>
      <c r="AV1489" s="59"/>
      <c r="AW1489" s="60" t="str">
        <f t="shared" si="718"/>
        <v/>
      </c>
      <c r="AX1489" s="61" t="str">
        <f t="shared" si="719"/>
        <v/>
      </c>
      <c r="AY1489" s="60" t="str">
        <f t="shared" si="720"/>
        <v/>
      </c>
      <c r="AZ1489" s="61" t="str">
        <f t="shared" si="721"/>
        <v/>
      </c>
    </row>
    <row r="1490" spans="1:52" s="3" customFormat="1" ht="12" hidden="1" customHeight="1" thickBot="1" x14ac:dyDescent="0.4">
      <c r="A1490" s="85">
        <f t="shared" ref="A1490:A1553" si="768">A1489</f>
        <v>2020</v>
      </c>
      <c r="B1490" s="85" t="str">
        <f t="shared" si="697"/>
        <v>Dec</v>
      </c>
      <c r="C1490" s="86">
        <f t="shared" si="698"/>
        <v>3</v>
      </c>
      <c r="D1490" s="87">
        <f t="shared" si="699"/>
        <v>15</v>
      </c>
      <c r="E1490" s="88">
        <f t="shared" ref="E1490:E1553" si="769">IF(E1489&lt;59,E1489+1,0)</f>
        <v>41</v>
      </c>
      <c r="F1490" s="89"/>
      <c r="G1490" s="90"/>
      <c r="H1490" s="68" t="str">
        <f t="shared" si="700"/>
        <v>Hyprev6_20201203_15_00</v>
      </c>
      <c r="I1490" s="91">
        <f t="shared" ref="I1490:N1490" si="770">I1489</f>
        <v>1</v>
      </c>
      <c r="J1490" s="92" t="str">
        <f t="shared" si="770"/>
        <v>Hypericum</v>
      </c>
      <c r="K1490" s="92" t="str">
        <f t="shared" si="770"/>
        <v>revolutum</v>
      </c>
      <c r="L1490" s="93">
        <f t="shared" si="770"/>
        <v>6</v>
      </c>
      <c r="M1490" s="93">
        <f t="shared" si="770"/>
        <v>1</v>
      </c>
      <c r="N1490" s="94">
        <f t="shared" si="770"/>
        <v>0</v>
      </c>
      <c r="O1490" s="95"/>
      <c r="P1490" s="96" t="str">
        <f t="shared" si="702"/>
        <v/>
      </c>
      <c r="Q1490" s="97" t="str">
        <f t="shared" si="703"/>
        <v/>
      </c>
      <c r="R1490" s="98" t="e">
        <f t="shared" si="704"/>
        <v>#VALUE!</v>
      </c>
      <c r="S1490" s="98" t="e">
        <f t="shared" si="705"/>
        <v>#VALUE!</v>
      </c>
      <c r="T1490" s="98" t="str">
        <f t="shared" si="706"/>
        <v/>
      </c>
      <c r="U1490" s="99"/>
      <c r="V1490" s="100"/>
      <c r="W1490" s="101" t="e">
        <f t="shared" si="707"/>
        <v>#VALUE!</v>
      </c>
      <c r="X1490" s="102"/>
      <c r="Y1490" s="141"/>
      <c r="Z1490" s="141"/>
      <c r="AA1490" s="47" t="e">
        <f>INDEX(VISITORS[INSECT ORDER], MATCH(X1490,VISITORS[NAME USED],0))</f>
        <v>#N/A</v>
      </c>
      <c r="AB1490" s="98" t="e">
        <f t="shared" si="708"/>
        <v>#N/A</v>
      </c>
      <c r="AC1490" s="53" t="e">
        <f t="shared" si="709"/>
        <v>#VALUE!</v>
      </c>
      <c r="AD1490" s="103" t="str">
        <f t="shared" si="710"/>
        <v/>
      </c>
      <c r="AE1490" s="103"/>
      <c r="AF1490" s="103"/>
      <c r="AG1490" s="104" t="str">
        <f t="shared" si="711"/>
        <v/>
      </c>
      <c r="AH1490" s="105" t="str">
        <f t="shared" si="712"/>
        <v/>
      </c>
      <c r="AI1490" s="104"/>
      <c r="AJ1490" s="105" t="str">
        <f t="shared" si="713"/>
        <v/>
      </c>
      <c r="AK1490" s="104"/>
      <c r="AL1490" s="105" t="str">
        <f t="shared" si="714"/>
        <v/>
      </c>
      <c r="AM1490" s="104"/>
      <c r="AN1490" s="105" t="str">
        <f t="shared" si="715"/>
        <v/>
      </c>
      <c r="AO1490" s="104"/>
      <c r="AP1490" s="105" t="str">
        <f t="shared" si="716"/>
        <v/>
      </c>
      <c r="AQ1490" s="104"/>
      <c r="AR1490" s="105" t="str">
        <f t="shared" si="717"/>
        <v/>
      </c>
      <c r="AS1490" s="106"/>
      <c r="AT1490" s="107"/>
      <c r="AU1490" s="107"/>
      <c r="AV1490" s="108"/>
      <c r="AW1490" s="109" t="str">
        <f t="shared" si="718"/>
        <v/>
      </c>
      <c r="AX1490" s="110" t="str">
        <f t="shared" si="719"/>
        <v/>
      </c>
      <c r="AY1490" s="109" t="str">
        <f t="shared" si="720"/>
        <v/>
      </c>
      <c r="AZ1490" s="110" t="str">
        <f t="shared" si="721"/>
        <v/>
      </c>
    </row>
    <row r="1491" spans="1:52" s="3" customFormat="1" ht="12" hidden="1" customHeight="1" x14ac:dyDescent="0.35">
      <c r="A1491" s="72">
        <f t="shared" si="768"/>
        <v>2020</v>
      </c>
      <c r="B1491" s="72" t="str">
        <f t="shared" si="697"/>
        <v>Dec</v>
      </c>
      <c r="C1491" s="73">
        <f t="shared" si="698"/>
        <v>3</v>
      </c>
      <c r="D1491" s="74">
        <f t="shared" si="699"/>
        <v>15</v>
      </c>
      <c r="E1491" s="75">
        <f t="shared" si="769"/>
        <v>42</v>
      </c>
      <c r="F1491" s="79"/>
      <c r="G1491" s="82"/>
      <c r="H1491" s="68" t="str">
        <f t="shared" si="700"/>
        <v>Hyprev6_20201203_15_00</v>
      </c>
      <c r="I1491" s="69">
        <f t="shared" ref="I1491:N1491" si="771">I1490</f>
        <v>1</v>
      </c>
      <c r="J1491" s="76" t="str">
        <f t="shared" si="771"/>
        <v>Hypericum</v>
      </c>
      <c r="K1491" s="76" t="str">
        <f t="shared" si="771"/>
        <v>revolutum</v>
      </c>
      <c r="L1491" s="77">
        <f t="shared" si="771"/>
        <v>6</v>
      </c>
      <c r="M1491" s="77">
        <f t="shared" si="771"/>
        <v>1</v>
      </c>
      <c r="N1491" s="71">
        <f t="shared" si="771"/>
        <v>0</v>
      </c>
      <c r="O1491" s="44"/>
      <c r="P1491" s="45" t="str">
        <f t="shared" si="702"/>
        <v/>
      </c>
      <c r="Q1491" s="46" t="str">
        <f t="shared" si="703"/>
        <v/>
      </c>
      <c r="R1491" s="47" t="e">
        <f t="shared" si="704"/>
        <v>#VALUE!</v>
      </c>
      <c r="S1491" s="48" t="e">
        <f t="shared" si="705"/>
        <v>#VALUE!</v>
      </c>
      <c r="T1491" s="47" t="str">
        <f t="shared" si="706"/>
        <v/>
      </c>
      <c r="U1491" s="49"/>
      <c r="V1491" s="50"/>
      <c r="W1491" s="51" t="e">
        <f t="shared" si="707"/>
        <v>#VALUE!</v>
      </c>
      <c r="X1491" s="52"/>
      <c r="Y1491" s="52"/>
      <c r="Z1491" s="52"/>
      <c r="AA1491" s="47" t="e">
        <f>INDEX(VISITORS[INSECT ORDER], MATCH(X1491,VISITORS[NAME USED],0))</f>
        <v>#N/A</v>
      </c>
      <c r="AB1491" s="47" t="e">
        <f t="shared" si="708"/>
        <v>#N/A</v>
      </c>
      <c r="AC1491" s="53" t="e">
        <f t="shared" si="709"/>
        <v>#VALUE!</v>
      </c>
      <c r="AD1491" s="54" t="str">
        <f t="shared" si="710"/>
        <v/>
      </c>
      <c r="AE1491" s="54"/>
      <c r="AF1491" s="54"/>
      <c r="AG1491" s="55" t="str">
        <f t="shared" si="711"/>
        <v/>
      </c>
      <c r="AH1491" s="56" t="str">
        <f t="shared" si="712"/>
        <v/>
      </c>
      <c r="AI1491" s="55"/>
      <c r="AJ1491" s="56" t="str">
        <f t="shared" si="713"/>
        <v/>
      </c>
      <c r="AK1491" s="55"/>
      <c r="AL1491" s="56" t="str">
        <f t="shared" si="714"/>
        <v/>
      </c>
      <c r="AM1491" s="55"/>
      <c r="AN1491" s="56" t="str">
        <f t="shared" si="715"/>
        <v/>
      </c>
      <c r="AO1491" s="55"/>
      <c r="AP1491" s="56" t="str">
        <f t="shared" si="716"/>
        <v/>
      </c>
      <c r="AQ1491" s="55"/>
      <c r="AR1491" s="56" t="str">
        <f t="shared" si="717"/>
        <v/>
      </c>
      <c r="AS1491" s="57"/>
      <c r="AT1491" s="58"/>
      <c r="AU1491" s="58"/>
      <c r="AV1491" s="59"/>
      <c r="AW1491" s="60" t="str">
        <f t="shared" si="718"/>
        <v/>
      </c>
      <c r="AX1491" s="61" t="str">
        <f t="shared" si="719"/>
        <v/>
      </c>
      <c r="AY1491" s="60" t="str">
        <f t="shared" si="720"/>
        <v/>
      </c>
      <c r="AZ1491" s="61" t="str">
        <f t="shared" si="721"/>
        <v/>
      </c>
    </row>
    <row r="1492" spans="1:52" s="3" customFormat="1" ht="12" hidden="1" customHeight="1" x14ac:dyDescent="0.35">
      <c r="A1492" s="72">
        <f t="shared" si="768"/>
        <v>2020</v>
      </c>
      <c r="B1492" s="72" t="str">
        <f t="shared" si="697"/>
        <v>Dec</v>
      </c>
      <c r="C1492" s="73">
        <f t="shared" si="698"/>
        <v>3</v>
      </c>
      <c r="D1492" s="74">
        <f t="shared" si="699"/>
        <v>15</v>
      </c>
      <c r="E1492" s="75">
        <f t="shared" si="769"/>
        <v>43</v>
      </c>
      <c r="F1492" s="79"/>
      <c r="G1492" s="82"/>
      <c r="H1492" s="68" t="str">
        <f t="shared" si="700"/>
        <v>Hyprev6_20201203_15_00</v>
      </c>
      <c r="I1492" s="69">
        <f t="shared" ref="I1492:N1492" si="772">I1491</f>
        <v>1</v>
      </c>
      <c r="J1492" s="76" t="str">
        <f t="shared" si="772"/>
        <v>Hypericum</v>
      </c>
      <c r="K1492" s="76" t="str">
        <f t="shared" si="772"/>
        <v>revolutum</v>
      </c>
      <c r="L1492" s="77">
        <f t="shared" si="772"/>
        <v>6</v>
      </c>
      <c r="M1492" s="77">
        <f t="shared" si="772"/>
        <v>1</v>
      </c>
      <c r="N1492" s="71">
        <f t="shared" si="772"/>
        <v>0</v>
      </c>
      <c r="O1492" s="44"/>
      <c r="P1492" s="45" t="str">
        <f t="shared" si="702"/>
        <v/>
      </c>
      <c r="Q1492" s="46" t="str">
        <f t="shared" si="703"/>
        <v/>
      </c>
      <c r="R1492" s="47" t="e">
        <f t="shared" si="704"/>
        <v>#VALUE!</v>
      </c>
      <c r="S1492" s="48" t="e">
        <f t="shared" si="705"/>
        <v>#VALUE!</v>
      </c>
      <c r="T1492" s="47" t="str">
        <f t="shared" si="706"/>
        <v/>
      </c>
      <c r="U1492" s="49"/>
      <c r="V1492" s="50"/>
      <c r="W1492" s="51" t="e">
        <f t="shared" si="707"/>
        <v>#VALUE!</v>
      </c>
      <c r="X1492" s="52"/>
      <c r="Y1492" s="52"/>
      <c r="Z1492" s="52"/>
      <c r="AA1492" s="47" t="e">
        <f>INDEX(VISITORS[INSECT ORDER], MATCH(X1492,VISITORS[NAME USED],0))</f>
        <v>#N/A</v>
      </c>
      <c r="AB1492" s="47" t="e">
        <f t="shared" si="708"/>
        <v>#N/A</v>
      </c>
      <c r="AC1492" s="53" t="e">
        <f t="shared" si="709"/>
        <v>#VALUE!</v>
      </c>
      <c r="AD1492" s="54" t="str">
        <f t="shared" si="710"/>
        <v/>
      </c>
      <c r="AE1492" s="54"/>
      <c r="AF1492" s="54"/>
      <c r="AG1492" s="55" t="str">
        <f t="shared" si="711"/>
        <v/>
      </c>
      <c r="AH1492" s="56" t="str">
        <f t="shared" si="712"/>
        <v/>
      </c>
      <c r="AI1492" s="55"/>
      <c r="AJ1492" s="56" t="str">
        <f t="shared" si="713"/>
        <v/>
      </c>
      <c r="AK1492" s="55"/>
      <c r="AL1492" s="56" t="str">
        <f t="shared" si="714"/>
        <v/>
      </c>
      <c r="AM1492" s="55"/>
      <c r="AN1492" s="56" t="str">
        <f t="shared" si="715"/>
        <v/>
      </c>
      <c r="AO1492" s="55"/>
      <c r="AP1492" s="56" t="str">
        <f t="shared" si="716"/>
        <v/>
      </c>
      <c r="AQ1492" s="55"/>
      <c r="AR1492" s="56" t="str">
        <f t="shared" si="717"/>
        <v/>
      </c>
      <c r="AS1492" s="57"/>
      <c r="AT1492" s="58"/>
      <c r="AU1492" s="58"/>
      <c r="AV1492" s="59"/>
      <c r="AW1492" s="60" t="str">
        <f t="shared" si="718"/>
        <v/>
      </c>
      <c r="AX1492" s="61" t="str">
        <f t="shared" si="719"/>
        <v/>
      </c>
      <c r="AY1492" s="60" t="str">
        <f t="shared" si="720"/>
        <v/>
      </c>
      <c r="AZ1492" s="61" t="str">
        <f t="shared" si="721"/>
        <v/>
      </c>
    </row>
    <row r="1493" spans="1:52" s="3" customFormat="1" ht="12" hidden="1" customHeight="1" thickBot="1" x14ac:dyDescent="0.4">
      <c r="A1493" s="85">
        <f t="shared" si="768"/>
        <v>2020</v>
      </c>
      <c r="B1493" s="85" t="str">
        <f t="shared" si="697"/>
        <v>Dec</v>
      </c>
      <c r="C1493" s="86">
        <f t="shared" si="698"/>
        <v>3</v>
      </c>
      <c r="D1493" s="87">
        <f t="shared" si="699"/>
        <v>15</v>
      </c>
      <c r="E1493" s="88">
        <f t="shared" si="769"/>
        <v>44</v>
      </c>
      <c r="F1493" s="89"/>
      <c r="G1493" s="90"/>
      <c r="H1493" s="68" t="str">
        <f t="shared" si="700"/>
        <v>Hyprev6_20201203_15_00</v>
      </c>
      <c r="I1493" s="91">
        <f t="shared" ref="I1493:N1493" si="773">I1492</f>
        <v>1</v>
      </c>
      <c r="J1493" s="92" t="str">
        <f t="shared" si="773"/>
        <v>Hypericum</v>
      </c>
      <c r="K1493" s="92" t="str">
        <f t="shared" si="773"/>
        <v>revolutum</v>
      </c>
      <c r="L1493" s="93">
        <f t="shared" si="773"/>
        <v>6</v>
      </c>
      <c r="M1493" s="93">
        <f t="shared" si="773"/>
        <v>1</v>
      </c>
      <c r="N1493" s="94">
        <f t="shared" si="773"/>
        <v>0</v>
      </c>
      <c r="O1493" s="95"/>
      <c r="P1493" s="96" t="str">
        <f t="shared" si="702"/>
        <v/>
      </c>
      <c r="Q1493" s="97" t="str">
        <f t="shared" si="703"/>
        <v/>
      </c>
      <c r="R1493" s="98" t="e">
        <f t="shared" si="704"/>
        <v>#VALUE!</v>
      </c>
      <c r="S1493" s="98" t="e">
        <f t="shared" si="705"/>
        <v>#VALUE!</v>
      </c>
      <c r="T1493" s="98" t="str">
        <f t="shared" si="706"/>
        <v/>
      </c>
      <c r="U1493" s="99"/>
      <c r="V1493" s="100"/>
      <c r="W1493" s="101" t="e">
        <f t="shared" si="707"/>
        <v>#VALUE!</v>
      </c>
      <c r="X1493" s="102"/>
      <c r="Y1493" s="141"/>
      <c r="Z1493" s="141"/>
      <c r="AA1493" s="47" t="e">
        <f>INDEX(VISITORS[INSECT ORDER], MATCH(X1493,VISITORS[NAME USED],0))</f>
        <v>#N/A</v>
      </c>
      <c r="AB1493" s="98" t="e">
        <f t="shared" si="708"/>
        <v>#N/A</v>
      </c>
      <c r="AC1493" s="53" t="e">
        <f t="shared" si="709"/>
        <v>#VALUE!</v>
      </c>
      <c r="AD1493" s="103" t="str">
        <f t="shared" si="710"/>
        <v/>
      </c>
      <c r="AE1493" s="103"/>
      <c r="AF1493" s="103"/>
      <c r="AG1493" s="104" t="str">
        <f t="shared" si="711"/>
        <v/>
      </c>
      <c r="AH1493" s="105" t="str">
        <f t="shared" si="712"/>
        <v/>
      </c>
      <c r="AI1493" s="104"/>
      <c r="AJ1493" s="105" t="str">
        <f t="shared" si="713"/>
        <v/>
      </c>
      <c r="AK1493" s="104"/>
      <c r="AL1493" s="105" t="str">
        <f t="shared" si="714"/>
        <v/>
      </c>
      <c r="AM1493" s="104"/>
      <c r="AN1493" s="105" t="str">
        <f t="shared" si="715"/>
        <v/>
      </c>
      <c r="AO1493" s="104"/>
      <c r="AP1493" s="105" t="str">
        <f t="shared" si="716"/>
        <v/>
      </c>
      <c r="AQ1493" s="104"/>
      <c r="AR1493" s="105" t="str">
        <f t="shared" si="717"/>
        <v/>
      </c>
      <c r="AS1493" s="106"/>
      <c r="AT1493" s="107"/>
      <c r="AU1493" s="107"/>
      <c r="AV1493" s="108"/>
      <c r="AW1493" s="109" t="str">
        <f t="shared" si="718"/>
        <v/>
      </c>
      <c r="AX1493" s="110" t="str">
        <f t="shared" si="719"/>
        <v/>
      </c>
      <c r="AY1493" s="109" t="str">
        <f t="shared" si="720"/>
        <v/>
      </c>
      <c r="AZ1493" s="110" t="str">
        <f t="shared" si="721"/>
        <v/>
      </c>
    </row>
    <row r="1494" spans="1:52" s="3" customFormat="1" ht="12" hidden="1" customHeight="1" x14ac:dyDescent="0.35">
      <c r="A1494" s="72">
        <f t="shared" si="768"/>
        <v>2020</v>
      </c>
      <c r="B1494" s="72" t="str">
        <f t="shared" si="697"/>
        <v>Dec</v>
      </c>
      <c r="C1494" s="73">
        <f t="shared" si="698"/>
        <v>3</v>
      </c>
      <c r="D1494" s="74">
        <f t="shared" si="699"/>
        <v>15</v>
      </c>
      <c r="E1494" s="75">
        <f t="shared" si="769"/>
        <v>45</v>
      </c>
      <c r="F1494" s="79"/>
      <c r="G1494" s="82"/>
      <c r="H1494" s="68" t="str">
        <f t="shared" si="700"/>
        <v>Hyprev6_20201203_15_00</v>
      </c>
      <c r="I1494" s="69">
        <f t="shared" ref="I1494:N1494" si="774">I1493</f>
        <v>1</v>
      </c>
      <c r="J1494" s="76" t="str">
        <f t="shared" si="774"/>
        <v>Hypericum</v>
      </c>
      <c r="K1494" s="76" t="str">
        <f t="shared" si="774"/>
        <v>revolutum</v>
      </c>
      <c r="L1494" s="77">
        <f t="shared" si="774"/>
        <v>6</v>
      </c>
      <c r="M1494" s="77">
        <f t="shared" si="774"/>
        <v>1</v>
      </c>
      <c r="N1494" s="71">
        <f t="shared" si="774"/>
        <v>0</v>
      </c>
      <c r="O1494" s="44"/>
      <c r="P1494" s="45" t="str">
        <f t="shared" si="702"/>
        <v/>
      </c>
      <c r="Q1494" s="46" t="str">
        <f t="shared" si="703"/>
        <v/>
      </c>
      <c r="R1494" s="47" t="e">
        <f t="shared" si="704"/>
        <v>#VALUE!</v>
      </c>
      <c r="S1494" s="48" t="e">
        <f t="shared" si="705"/>
        <v>#VALUE!</v>
      </c>
      <c r="T1494" s="47" t="str">
        <f t="shared" si="706"/>
        <v/>
      </c>
      <c r="U1494" s="49"/>
      <c r="V1494" s="50"/>
      <c r="W1494" s="51" t="e">
        <f t="shared" si="707"/>
        <v>#VALUE!</v>
      </c>
      <c r="X1494" s="52"/>
      <c r="Y1494" s="52"/>
      <c r="Z1494" s="52"/>
      <c r="AA1494" s="47" t="e">
        <f>INDEX(VISITORS[INSECT ORDER], MATCH(X1494,VISITORS[NAME USED],0))</f>
        <v>#N/A</v>
      </c>
      <c r="AB1494" s="47" t="e">
        <f t="shared" si="708"/>
        <v>#N/A</v>
      </c>
      <c r="AC1494" s="53" t="e">
        <f t="shared" si="709"/>
        <v>#VALUE!</v>
      </c>
      <c r="AD1494" s="54" t="str">
        <f t="shared" si="710"/>
        <v/>
      </c>
      <c r="AE1494" s="54"/>
      <c r="AF1494" s="54"/>
      <c r="AG1494" s="55" t="str">
        <f t="shared" si="711"/>
        <v/>
      </c>
      <c r="AH1494" s="56" t="str">
        <f t="shared" si="712"/>
        <v/>
      </c>
      <c r="AI1494" s="55"/>
      <c r="AJ1494" s="56" t="str">
        <f t="shared" si="713"/>
        <v/>
      </c>
      <c r="AK1494" s="55"/>
      <c r="AL1494" s="56" t="str">
        <f t="shared" si="714"/>
        <v/>
      </c>
      <c r="AM1494" s="55"/>
      <c r="AN1494" s="56" t="str">
        <f t="shared" si="715"/>
        <v/>
      </c>
      <c r="AO1494" s="55"/>
      <c r="AP1494" s="56" t="str">
        <f t="shared" si="716"/>
        <v/>
      </c>
      <c r="AQ1494" s="55"/>
      <c r="AR1494" s="56" t="str">
        <f t="shared" si="717"/>
        <v/>
      </c>
      <c r="AS1494" s="57"/>
      <c r="AT1494" s="58"/>
      <c r="AU1494" s="58"/>
      <c r="AV1494" s="59"/>
      <c r="AW1494" s="60" t="str">
        <f t="shared" si="718"/>
        <v/>
      </c>
      <c r="AX1494" s="61" t="str">
        <f t="shared" si="719"/>
        <v/>
      </c>
      <c r="AY1494" s="60" t="str">
        <f t="shared" si="720"/>
        <v/>
      </c>
      <c r="AZ1494" s="61" t="str">
        <f t="shared" si="721"/>
        <v/>
      </c>
    </row>
    <row r="1495" spans="1:52" s="3" customFormat="1" ht="12" hidden="1" customHeight="1" x14ac:dyDescent="0.35">
      <c r="A1495" s="72">
        <f t="shared" si="768"/>
        <v>2020</v>
      </c>
      <c r="B1495" s="72" t="str">
        <f t="shared" si="697"/>
        <v>Dec</v>
      </c>
      <c r="C1495" s="73">
        <f t="shared" si="698"/>
        <v>3</v>
      </c>
      <c r="D1495" s="74">
        <f t="shared" si="699"/>
        <v>15</v>
      </c>
      <c r="E1495" s="75">
        <f t="shared" si="769"/>
        <v>46</v>
      </c>
      <c r="F1495" s="79"/>
      <c r="G1495" s="82"/>
      <c r="H1495" s="68" t="str">
        <f t="shared" si="700"/>
        <v>Hyprev6_20201203_15_00</v>
      </c>
      <c r="I1495" s="69">
        <f t="shared" ref="I1495:N1495" si="775">I1494</f>
        <v>1</v>
      </c>
      <c r="J1495" s="76" t="str">
        <f t="shared" si="775"/>
        <v>Hypericum</v>
      </c>
      <c r="K1495" s="76" t="str">
        <f t="shared" si="775"/>
        <v>revolutum</v>
      </c>
      <c r="L1495" s="77">
        <f t="shared" si="775"/>
        <v>6</v>
      </c>
      <c r="M1495" s="77">
        <f t="shared" si="775"/>
        <v>1</v>
      </c>
      <c r="N1495" s="71">
        <f t="shared" si="775"/>
        <v>0</v>
      </c>
      <c r="O1495" s="44"/>
      <c r="P1495" s="45" t="str">
        <f t="shared" si="702"/>
        <v/>
      </c>
      <c r="Q1495" s="46" t="str">
        <f t="shared" si="703"/>
        <v/>
      </c>
      <c r="R1495" s="47" t="e">
        <f t="shared" si="704"/>
        <v>#VALUE!</v>
      </c>
      <c r="S1495" s="48" t="e">
        <f t="shared" si="705"/>
        <v>#VALUE!</v>
      </c>
      <c r="T1495" s="47" t="str">
        <f t="shared" si="706"/>
        <v/>
      </c>
      <c r="U1495" s="49"/>
      <c r="V1495" s="50"/>
      <c r="W1495" s="51" t="e">
        <f t="shared" si="707"/>
        <v>#VALUE!</v>
      </c>
      <c r="X1495" s="52"/>
      <c r="Y1495" s="52"/>
      <c r="Z1495" s="52"/>
      <c r="AA1495" s="47" t="e">
        <f>INDEX(VISITORS[INSECT ORDER], MATCH(X1495,VISITORS[NAME USED],0))</f>
        <v>#N/A</v>
      </c>
      <c r="AB1495" s="47" t="e">
        <f t="shared" si="708"/>
        <v>#N/A</v>
      </c>
      <c r="AC1495" s="53" t="e">
        <f t="shared" si="709"/>
        <v>#VALUE!</v>
      </c>
      <c r="AD1495" s="54" t="str">
        <f t="shared" si="710"/>
        <v/>
      </c>
      <c r="AE1495" s="54"/>
      <c r="AF1495" s="54"/>
      <c r="AG1495" s="55" t="str">
        <f t="shared" si="711"/>
        <v/>
      </c>
      <c r="AH1495" s="56" t="str">
        <f t="shared" si="712"/>
        <v/>
      </c>
      <c r="AI1495" s="55"/>
      <c r="AJ1495" s="56" t="str">
        <f t="shared" si="713"/>
        <v/>
      </c>
      <c r="AK1495" s="55"/>
      <c r="AL1495" s="56" t="str">
        <f t="shared" si="714"/>
        <v/>
      </c>
      <c r="AM1495" s="55"/>
      <c r="AN1495" s="56" t="str">
        <f t="shared" si="715"/>
        <v/>
      </c>
      <c r="AO1495" s="55"/>
      <c r="AP1495" s="56" t="str">
        <f t="shared" si="716"/>
        <v/>
      </c>
      <c r="AQ1495" s="55"/>
      <c r="AR1495" s="56" t="str">
        <f t="shared" si="717"/>
        <v/>
      </c>
      <c r="AS1495" s="57"/>
      <c r="AT1495" s="58"/>
      <c r="AU1495" s="58"/>
      <c r="AV1495" s="59"/>
      <c r="AW1495" s="60" t="str">
        <f t="shared" si="718"/>
        <v/>
      </c>
      <c r="AX1495" s="61" t="str">
        <f t="shared" si="719"/>
        <v/>
      </c>
      <c r="AY1495" s="60" t="str">
        <f t="shared" si="720"/>
        <v/>
      </c>
      <c r="AZ1495" s="61" t="str">
        <f t="shared" si="721"/>
        <v/>
      </c>
    </row>
    <row r="1496" spans="1:52" s="3" customFormat="1" ht="12" hidden="1" customHeight="1" thickBot="1" x14ac:dyDescent="0.4">
      <c r="A1496" s="85">
        <f t="shared" si="768"/>
        <v>2020</v>
      </c>
      <c r="B1496" s="85" t="str">
        <f t="shared" si="697"/>
        <v>Dec</v>
      </c>
      <c r="C1496" s="86">
        <f t="shared" si="698"/>
        <v>3</v>
      </c>
      <c r="D1496" s="87">
        <f t="shared" si="699"/>
        <v>15</v>
      </c>
      <c r="E1496" s="88">
        <f t="shared" si="769"/>
        <v>47</v>
      </c>
      <c r="F1496" s="89"/>
      <c r="G1496" s="90"/>
      <c r="H1496" s="68" t="str">
        <f t="shared" si="700"/>
        <v>Hyprev6_20201203_15_00</v>
      </c>
      <c r="I1496" s="91">
        <f t="shared" ref="I1496:N1496" si="776">I1495</f>
        <v>1</v>
      </c>
      <c r="J1496" s="92" t="str">
        <f t="shared" si="776"/>
        <v>Hypericum</v>
      </c>
      <c r="K1496" s="92" t="str">
        <f t="shared" si="776"/>
        <v>revolutum</v>
      </c>
      <c r="L1496" s="93">
        <f t="shared" si="776"/>
        <v>6</v>
      </c>
      <c r="M1496" s="93">
        <f t="shared" si="776"/>
        <v>1</v>
      </c>
      <c r="N1496" s="94">
        <f t="shared" si="776"/>
        <v>0</v>
      </c>
      <c r="O1496" s="95"/>
      <c r="P1496" s="96" t="str">
        <f t="shared" si="702"/>
        <v/>
      </c>
      <c r="Q1496" s="97" t="str">
        <f t="shared" si="703"/>
        <v/>
      </c>
      <c r="R1496" s="98" t="e">
        <f t="shared" si="704"/>
        <v>#VALUE!</v>
      </c>
      <c r="S1496" s="98" t="e">
        <f t="shared" si="705"/>
        <v>#VALUE!</v>
      </c>
      <c r="T1496" s="98" t="str">
        <f t="shared" si="706"/>
        <v/>
      </c>
      <c r="U1496" s="99"/>
      <c r="V1496" s="100"/>
      <c r="W1496" s="101" t="e">
        <f t="shared" si="707"/>
        <v>#VALUE!</v>
      </c>
      <c r="X1496" s="102"/>
      <c r="Y1496" s="141"/>
      <c r="Z1496" s="141"/>
      <c r="AA1496" s="47" t="e">
        <f>INDEX(VISITORS[INSECT ORDER], MATCH(X1496,VISITORS[NAME USED],0))</f>
        <v>#N/A</v>
      </c>
      <c r="AB1496" s="98" t="e">
        <f t="shared" si="708"/>
        <v>#N/A</v>
      </c>
      <c r="AC1496" s="53" t="e">
        <f t="shared" si="709"/>
        <v>#VALUE!</v>
      </c>
      <c r="AD1496" s="103" t="str">
        <f t="shared" si="710"/>
        <v/>
      </c>
      <c r="AE1496" s="103"/>
      <c r="AF1496" s="103"/>
      <c r="AG1496" s="104" t="str">
        <f t="shared" si="711"/>
        <v/>
      </c>
      <c r="AH1496" s="105" t="str">
        <f t="shared" si="712"/>
        <v/>
      </c>
      <c r="AI1496" s="104"/>
      <c r="AJ1496" s="105" t="str">
        <f t="shared" si="713"/>
        <v/>
      </c>
      <c r="AK1496" s="104"/>
      <c r="AL1496" s="105" t="str">
        <f t="shared" si="714"/>
        <v/>
      </c>
      <c r="AM1496" s="104"/>
      <c r="AN1496" s="105" t="str">
        <f t="shared" si="715"/>
        <v/>
      </c>
      <c r="AO1496" s="104"/>
      <c r="AP1496" s="105" t="str">
        <f t="shared" si="716"/>
        <v/>
      </c>
      <c r="AQ1496" s="104"/>
      <c r="AR1496" s="105" t="str">
        <f t="shared" si="717"/>
        <v/>
      </c>
      <c r="AS1496" s="106"/>
      <c r="AT1496" s="107"/>
      <c r="AU1496" s="107"/>
      <c r="AV1496" s="108"/>
      <c r="AW1496" s="109" t="str">
        <f t="shared" si="718"/>
        <v/>
      </c>
      <c r="AX1496" s="110" t="str">
        <f t="shared" si="719"/>
        <v/>
      </c>
      <c r="AY1496" s="109" t="str">
        <f t="shared" si="720"/>
        <v/>
      </c>
      <c r="AZ1496" s="110" t="str">
        <f t="shared" si="721"/>
        <v/>
      </c>
    </row>
    <row r="1497" spans="1:52" s="3" customFormat="1" ht="12" hidden="1" customHeight="1" x14ac:dyDescent="0.35">
      <c r="A1497" s="72">
        <f t="shared" si="768"/>
        <v>2020</v>
      </c>
      <c r="B1497" s="72" t="str">
        <f t="shared" si="697"/>
        <v>Dec</v>
      </c>
      <c r="C1497" s="73">
        <f t="shared" si="698"/>
        <v>3</v>
      </c>
      <c r="D1497" s="74">
        <f t="shared" si="699"/>
        <v>15</v>
      </c>
      <c r="E1497" s="75">
        <f t="shared" si="769"/>
        <v>48</v>
      </c>
      <c r="F1497" s="79"/>
      <c r="G1497" s="82"/>
      <c r="H1497" s="68" t="str">
        <f t="shared" si="700"/>
        <v>Hyprev6_20201203_15_00</v>
      </c>
      <c r="I1497" s="69">
        <f t="shared" ref="I1497:N1497" si="777">I1496</f>
        <v>1</v>
      </c>
      <c r="J1497" s="76" t="str">
        <f t="shared" si="777"/>
        <v>Hypericum</v>
      </c>
      <c r="K1497" s="76" t="str">
        <f t="shared" si="777"/>
        <v>revolutum</v>
      </c>
      <c r="L1497" s="77">
        <f t="shared" si="777"/>
        <v>6</v>
      </c>
      <c r="M1497" s="77">
        <f t="shared" si="777"/>
        <v>1</v>
      </c>
      <c r="N1497" s="71">
        <f t="shared" si="777"/>
        <v>0</v>
      </c>
      <c r="O1497" s="44"/>
      <c r="P1497" s="45" t="str">
        <f t="shared" si="702"/>
        <v/>
      </c>
      <c r="Q1497" s="46" t="str">
        <f t="shared" si="703"/>
        <v/>
      </c>
      <c r="R1497" s="47" t="e">
        <f t="shared" si="704"/>
        <v>#VALUE!</v>
      </c>
      <c r="S1497" s="48" t="e">
        <f t="shared" si="705"/>
        <v>#VALUE!</v>
      </c>
      <c r="T1497" s="47" t="str">
        <f t="shared" si="706"/>
        <v/>
      </c>
      <c r="U1497" s="49"/>
      <c r="V1497" s="50"/>
      <c r="W1497" s="51" t="e">
        <f t="shared" si="707"/>
        <v>#VALUE!</v>
      </c>
      <c r="X1497" s="52"/>
      <c r="Y1497" s="52"/>
      <c r="Z1497" s="52"/>
      <c r="AA1497" s="47" t="e">
        <f>INDEX(VISITORS[INSECT ORDER], MATCH(X1497,VISITORS[NAME USED],0))</f>
        <v>#N/A</v>
      </c>
      <c r="AB1497" s="47" t="e">
        <f t="shared" si="708"/>
        <v>#N/A</v>
      </c>
      <c r="AC1497" s="53" t="e">
        <f t="shared" si="709"/>
        <v>#VALUE!</v>
      </c>
      <c r="AD1497" s="54" t="str">
        <f t="shared" si="710"/>
        <v/>
      </c>
      <c r="AE1497" s="54"/>
      <c r="AF1497" s="54"/>
      <c r="AG1497" s="55" t="str">
        <f t="shared" si="711"/>
        <v/>
      </c>
      <c r="AH1497" s="56" t="str">
        <f t="shared" si="712"/>
        <v/>
      </c>
      <c r="AI1497" s="55"/>
      <c r="AJ1497" s="56" t="str">
        <f t="shared" si="713"/>
        <v/>
      </c>
      <c r="AK1497" s="55"/>
      <c r="AL1497" s="56" t="str">
        <f t="shared" si="714"/>
        <v/>
      </c>
      <c r="AM1497" s="55"/>
      <c r="AN1497" s="56" t="str">
        <f t="shared" si="715"/>
        <v/>
      </c>
      <c r="AO1497" s="55"/>
      <c r="AP1497" s="56" t="str">
        <f t="shared" si="716"/>
        <v/>
      </c>
      <c r="AQ1497" s="55"/>
      <c r="AR1497" s="56" t="str">
        <f t="shared" si="717"/>
        <v/>
      </c>
      <c r="AS1497" s="57"/>
      <c r="AT1497" s="58"/>
      <c r="AU1497" s="58"/>
      <c r="AV1497" s="59"/>
      <c r="AW1497" s="60" t="str">
        <f t="shared" si="718"/>
        <v/>
      </c>
      <c r="AX1497" s="61" t="str">
        <f t="shared" si="719"/>
        <v/>
      </c>
      <c r="AY1497" s="60" t="str">
        <f t="shared" si="720"/>
        <v/>
      </c>
      <c r="AZ1497" s="61" t="str">
        <f t="shared" si="721"/>
        <v/>
      </c>
    </row>
    <row r="1498" spans="1:52" s="3" customFormat="1" ht="12" hidden="1" customHeight="1" x14ac:dyDescent="0.35">
      <c r="A1498" s="72">
        <f t="shared" si="768"/>
        <v>2020</v>
      </c>
      <c r="B1498" s="72" t="str">
        <f t="shared" si="697"/>
        <v>Dec</v>
      </c>
      <c r="C1498" s="73">
        <f t="shared" si="698"/>
        <v>3</v>
      </c>
      <c r="D1498" s="74">
        <f t="shared" si="699"/>
        <v>15</v>
      </c>
      <c r="E1498" s="75">
        <f t="shared" si="769"/>
        <v>49</v>
      </c>
      <c r="F1498" s="79"/>
      <c r="G1498" s="82"/>
      <c r="H1498" s="68" t="str">
        <f t="shared" si="700"/>
        <v>Hyprev6_20201203_15_00</v>
      </c>
      <c r="I1498" s="69">
        <f t="shared" ref="I1498:N1498" si="778">I1497</f>
        <v>1</v>
      </c>
      <c r="J1498" s="76" t="str">
        <f t="shared" si="778"/>
        <v>Hypericum</v>
      </c>
      <c r="K1498" s="76" t="str">
        <f t="shared" si="778"/>
        <v>revolutum</v>
      </c>
      <c r="L1498" s="77">
        <f t="shared" si="778"/>
        <v>6</v>
      </c>
      <c r="M1498" s="77">
        <f t="shared" si="778"/>
        <v>1</v>
      </c>
      <c r="N1498" s="71">
        <f t="shared" si="778"/>
        <v>0</v>
      </c>
      <c r="O1498" s="44"/>
      <c r="P1498" s="45" t="str">
        <f t="shared" si="702"/>
        <v/>
      </c>
      <c r="Q1498" s="46" t="str">
        <f t="shared" si="703"/>
        <v/>
      </c>
      <c r="R1498" s="47" t="e">
        <f t="shared" si="704"/>
        <v>#VALUE!</v>
      </c>
      <c r="S1498" s="48" t="e">
        <f t="shared" si="705"/>
        <v>#VALUE!</v>
      </c>
      <c r="T1498" s="47" t="str">
        <f t="shared" si="706"/>
        <v/>
      </c>
      <c r="U1498" s="49"/>
      <c r="V1498" s="50"/>
      <c r="W1498" s="51" t="e">
        <f t="shared" si="707"/>
        <v>#VALUE!</v>
      </c>
      <c r="X1498" s="52"/>
      <c r="Y1498" s="52"/>
      <c r="Z1498" s="52"/>
      <c r="AA1498" s="47" t="e">
        <f>INDEX(VISITORS[INSECT ORDER], MATCH(X1498,VISITORS[NAME USED],0))</f>
        <v>#N/A</v>
      </c>
      <c r="AB1498" s="47" t="e">
        <f t="shared" si="708"/>
        <v>#N/A</v>
      </c>
      <c r="AC1498" s="53" t="e">
        <f t="shared" si="709"/>
        <v>#VALUE!</v>
      </c>
      <c r="AD1498" s="54" t="str">
        <f t="shared" si="710"/>
        <v/>
      </c>
      <c r="AE1498" s="54"/>
      <c r="AF1498" s="54"/>
      <c r="AG1498" s="55" t="str">
        <f t="shared" si="711"/>
        <v/>
      </c>
      <c r="AH1498" s="56" t="str">
        <f t="shared" si="712"/>
        <v/>
      </c>
      <c r="AI1498" s="55"/>
      <c r="AJ1498" s="56" t="str">
        <f t="shared" si="713"/>
        <v/>
      </c>
      <c r="AK1498" s="55"/>
      <c r="AL1498" s="56" t="str">
        <f t="shared" si="714"/>
        <v/>
      </c>
      <c r="AM1498" s="55"/>
      <c r="AN1498" s="56" t="str">
        <f t="shared" si="715"/>
        <v/>
      </c>
      <c r="AO1498" s="55"/>
      <c r="AP1498" s="56" t="str">
        <f t="shared" si="716"/>
        <v/>
      </c>
      <c r="AQ1498" s="55"/>
      <c r="AR1498" s="56" t="str">
        <f t="shared" si="717"/>
        <v/>
      </c>
      <c r="AS1498" s="57"/>
      <c r="AT1498" s="58"/>
      <c r="AU1498" s="58"/>
      <c r="AV1498" s="59"/>
      <c r="AW1498" s="60" t="str">
        <f t="shared" si="718"/>
        <v/>
      </c>
      <c r="AX1498" s="61" t="str">
        <f t="shared" si="719"/>
        <v/>
      </c>
      <c r="AY1498" s="60" t="str">
        <f t="shared" si="720"/>
        <v/>
      </c>
      <c r="AZ1498" s="61" t="str">
        <f t="shared" si="721"/>
        <v/>
      </c>
    </row>
    <row r="1499" spans="1:52" s="3" customFormat="1" ht="12" hidden="1" customHeight="1" thickBot="1" x14ac:dyDescent="0.4">
      <c r="A1499" s="85">
        <f t="shared" si="768"/>
        <v>2020</v>
      </c>
      <c r="B1499" s="85" t="str">
        <f t="shared" si="697"/>
        <v>Dec</v>
      </c>
      <c r="C1499" s="86">
        <f t="shared" si="698"/>
        <v>3</v>
      </c>
      <c r="D1499" s="87">
        <f t="shared" si="699"/>
        <v>15</v>
      </c>
      <c r="E1499" s="88">
        <f t="shared" si="769"/>
        <v>50</v>
      </c>
      <c r="F1499" s="89"/>
      <c r="G1499" s="90"/>
      <c r="H1499" s="68" t="str">
        <f t="shared" si="700"/>
        <v>Hyprev6_20201203_15_00</v>
      </c>
      <c r="I1499" s="91">
        <f t="shared" ref="I1499:N1499" si="779">I1498</f>
        <v>1</v>
      </c>
      <c r="J1499" s="92" t="str">
        <f t="shared" si="779"/>
        <v>Hypericum</v>
      </c>
      <c r="K1499" s="92" t="str">
        <f t="shared" si="779"/>
        <v>revolutum</v>
      </c>
      <c r="L1499" s="93">
        <f t="shared" si="779"/>
        <v>6</v>
      </c>
      <c r="M1499" s="93">
        <f t="shared" si="779"/>
        <v>1</v>
      </c>
      <c r="N1499" s="94">
        <f t="shared" si="779"/>
        <v>0</v>
      </c>
      <c r="O1499" s="95"/>
      <c r="P1499" s="96" t="str">
        <f t="shared" si="702"/>
        <v/>
      </c>
      <c r="Q1499" s="97" t="str">
        <f t="shared" si="703"/>
        <v/>
      </c>
      <c r="R1499" s="98" t="e">
        <f t="shared" si="704"/>
        <v>#VALUE!</v>
      </c>
      <c r="S1499" s="98" t="e">
        <f t="shared" si="705"/>
        <v>#VALUE!</v>
      </c>
      <c r="T1499" s="98" t="str">
        <f t="shared" si="706"/>
        <v/>
      </c>
      <c r="U1499" s="99"/>
      <c r="V1499" s="100"/>
      <c r="W1499" s="101" t="e">
        <f t="shared" si="707"/>
        <v>#VALUE!</v>
      </c>
      <c r="X1499" s="102"/>
      <c r="Y1499" s="141"/>
      <c r="Z1499" s="141"/>
      <c r="AA1499" s="47" t="e">
        <f>INDEX(VISITORS[INSECT ORDER], MATCH(X1499,VISITORS[NAME USED],0))</f>
        <v>#N/A</v>
      </c>
      <c r="AB1499" s="98" t="e">
        <f t="shared" si="708"/>
        <v>#N/A</v>
      </c>
      <c r="AC1499" s="53" t="e">
        <f t="shared" si="709"/>
        <v>#VALUE!</v>
      </c>
      <c r="AD1499" s="103" t="str">
        <f t="shared" si="710"/>
        <v/>
      </c>
      <c r="AE1499" s="103"/>
      <c r="AF1499" s="103"/>
      <c r="AG1499" s="104" t="str">
        <f t="shared" si="711"/>
        <v/>
      </c>
      <c r="AH1499" s="105" t="str">
        <f t="shared" si="712"/>
        <v/>
      </c>
      <c r="AI1499" s="104"/>
      <c r="AJ1499" s="105" t="str">
        <f t="shared" si="713"/>
        <v/>
      </c>
      <c r="AK1499" s="104"/>
      <c r="AL1499" s="105" t="str">
        <f t="shared" si="714"/>
        <v/>
      </c>
      <c r="AM1499" s="104"/>
      <c r="AN1499" s="105" t="str">
        <f t="shared" si="715"/>
        <v/>
      </c>
      <c r="AO1499" s="104"/>
      <c r="AP1499" s="105" t="str">
        <f t="shared" si="716"/>
        <v/>
      </c>
      <c r="AQ1499" s="104"/>
      <c r="AR1499" s="105" t="str">
        <f t="shared" si="717"/>
        <v/>
      </c>
      <c r="AS1499" s="106"/>
      <c r="AT1499" s="107"/>
      <c r="AU1499" s="107"/>
      <c r="AV1499" s="108"/>
      <c r="AW1499" s="109" t="str">
        <f t="shared" si="718"/>
        <v/>
      </c>
      <c r="AX1499" s="110" t="str">
        <f t="shared" si="719"/>
        <v/>
      </c>
      <c r="AY1499" s="109" t="str">
        <f t="shared" si="720"/>
        <v/>
      </c>
      <c r="AZ1499" s="110" t="str">
        <f t="shared" si="721"/>
        <v/>
      </c>
    </row>
    <row r="1500" spans="1:52" s="3" customFormat="1" ht="12" hidden="1" customHeight="1" x14ac:dyDescent="0.35">
      <c r="A1500" s="72">
        <f t="shared" si="768"/>
        <v>2020</v>
      </c>
      <c r="B1500" s="72" t="str">
        <f t="shared" si="697"/>
        <v>Dec</v>
      </c>
      <c r="C1500" s="73">
        <f t="shared" si="698"/>
        <v>3</v>
      </c>
      <c r="D1500" s="74">
        <f t="shared" si="699"/>
        <v>15</v>
      </c>
      <c r="E1500" s="75">
        <f t="shared" si="769"/>
        <v>51</v>
      </c>
      <c r="F1500" s="79"/>
      <c r="G1500" s="82"/>
      <c r="H1500" s="68" t="str">
        <f t="shared" si="700"/>
        <v>Hyprev6_20201203_15_00</v>
      </c>
      <c r="I1500" s="69">
        <f t="shared" ref="I1500:N1500" si="780">I1499</f>
        <v>1</v>
      </c>
      <c r="J1500" s="76" t="str">
        <f t="shared" si="780"/>
        <v>Hypericum</v>
      </c>
      <c r="K1500" s="76" t="str">
        <f t="shared" si="780"/>
        <v>revolutum</v>
      </c>
      <c r="L1500" s="77">
        <f t="shared" si="780"/>
        <v>6</v>
      </c>
      <c r="M1500" s="77">
        <f t="shared" si="780"/>
        <v>1</v>
      </c>
      <c r="N1500" s="71">
        <f t="shared" si="780"/>
        <v>0</v>
      </c>
      <c r="O1500" s="44"/>
      <c r="P1500" s="45" t="str">
        <f t="shared" si="702"/>
        <v/>
      </c>
      <c r="Q1500" s="46" t="str">
        <f t="shared" si="703"/>
        <v/>
      </c>
      <c r="R1500" s="47" t="e">
        <f t="shared" si="704"/>
        <v>#VALUE!</v>
      </c>
      <c r="S1500" s="48" t="e">
        <f t="shared" si="705"/>
        <v>#VALUE!</v>
      </c>
      <c r="T1500" s="47" t="str">
        <f t="shared" si="706"/>
        <v/>
      </c>
      <c r="U1500" s="49"/>
      <c r="V1500" s="50"/>
      <c r="W1500" s="51" t="e">
        <f t="shared" si="707"/>
        <v>#VALUE!</v>
      </c>
      <c r="X1500" s="52"/>
      <c r="Y1500" s="52"/>
      <c r="Z1500" s="52"/>
      <c r="AA1500" s="47" t="e">
        <f>INDEX(VISITORS[INSECT ORDER], MATCH(X1500,VISITORS[NAME USED],0))</f>
        <v>#N/A</v>
      </c>
      <c r="AB1500" s="47" t="e">
        <f t="shared" si="708"/>
        <v>#N/A</v>
      </c>
      <c r="AC1500" s="53" t="e">
        <f t="shared" si="709"/>
        <v>#VALUE!</v>
      </c>
      <c r="AD1500" s="54" t="str">
        <f t="shared" si="710"/>
        <v/>
      </c>
      <c r="AE1500" s="54"/>
      <c r="AF1500" s="54"/>
      <c r="AG1500" s="55" t="str">
        <f t="shared" si="711"/>
        <v/>
      </c>
      <c r="AH1500" s="56" t="str">
        <f t="shared" si="712"/>
        <v/>
      </c>
      <c r="AI1500" s="55"/>
      <c r="AJ1500" s="56" t="str">
        <f t="shared" si="713"/>
        <v/>
      </c>
      <c r="AK1500" s="55"/>
      <c r="AL1500" s="56" t="str">
        <f t="shared" si="714"/>
        <v/>
      </c>
      <c r="AM1500" s="55"/>
      <c r="AN1500" s="56" t="str">
        <f t="shared" si="715"/>
        <v/>
      </c>
      <c r="AO1500" s="55"/>
      <c r="AP1500" s="56" t="str">
        <f t="shared" si="716"/>
        <v/>
      </c>
      <c r="AQ1500" s="55"/>
      <c r="AR1500" s="56" t="str">
        <f t="shared" si="717"/>
        <v/>
      </c>
      <c r="AS1500" s="57"/>
      <c r="AT1500" s="58"/>
      <c r="AU1500" s="58"/>
      <c r="AV1500" s="59"/>
      <c r="AW1500" s="60" t="str">
        <f t="shared" si="718"/>
        <v/>
      </c>
      <c r="AX1500" s="61" t="str">
        <f t="shared" si="719"/>
        <v/>
      </c>
      <c r="AY1500" s="60" t="str">
        <f t="shared" si="720"/>
        <v/>
      </c>
      <c r="AZ1500" s="61" t="str">
        <f t="shared" si="721"/>
        <v/>
      </c>
    </row>
    <row r="1501" spans="1:52" s="3" customFormat="1" ht="12" hidden="1" customHeight="1" x14ac:dyDescent="0.35">
      <c r="A1501" s="72">
        <f t="shared" si="768"/>
        <v>2020</v>
      </c>
      <c r="B1501" s="72" t="str">
        <f t="shared" si="697"/>
        <v>Dec</v>
      </c>
      <c r="C1501" s="73">
        <f t="shared" si="698"/>
        <v>3</v>
      </c>
      <c r="D1501" s="74">
        <f t="shared" si="699"/>
        <v>15</v>
      </c>
      <c r="E1501" s="75">
        <f t="shared" si="769"/>
        <v>52</v>
      </c>
      <c r="F1501" s="79"/>
      <c r="G1501" s="82"/>
      <c r="H1501" s="68" t="str">
        <f t="shared" si="700"/>
        <v>Hyprev6_20201203_15_00</v>
      </c>
      <c r="I1501" s="69">
        <f t="shared" ref="I1501:N1501" si="781">I1500</f>
        <v>1</v>
      </c>
      <c r="J1501" s="76" t="str">
        <f t="shared" si="781"/>
        <v>Hypericum</v>
      </c>
      <c r="K1501" s="76" t="str">
        <f t="shared" si="781"/>
        <v>revolutum</v>
      </c>
      <c r="L1501" s="77">
        <f t="shared" si="781"/>
        <v>6</v>
      </c>
      <c r="M1501" s="77">
        <f t="shared" si="781"/>
        <v>1</v>
      </c>
      <c r="N1501" s="71">
        <f t="shared" si="781"/>
        <v>0</v>
      </c>
      <c r="O1501" s="44"/>
      <c r="P1501" s="45" t="str">
        <f t="shared" si="702"/>
        <v/>
      </c>
      <c r="Q1501" s="46" t="str">
        <f t="shared" si="703"/>
        <v/>
      </c>
      <c r="R1501" s="47" t="e">
        <f t="shared" si="704"/>
        <v>#VALUE!</v>
      </c>
      <c r="S1501" s="48" t="e">
        <f t="shared" si="705"/>
        <v>#VALUE!</v>
      </c>
      <c r="T1501" s="47" t="str">
        <f t="shared" si="706"/>
        <v/>
      </c>
      <c r="U1501" s="49"/>
      <c r="V1501" s="50"/>
      <c r="W1501" s="51" t="e">
        <f t="shared" si="707"/>
        <v>#VALUE!</v>
      </c>
      <c r="X1501" s="52"/>
      <c r="Y1501" s="52"/>
      <c r="Z1501" s="52"/>
      <c r="AA1501" s="47" t="e">
        <f>INDEX(VISITORS[INSECT ORDER], MATCH(X1501,VISITORS[NAME USED],0))</f>
        <v>#N/A</v>
      </c>
      <c r="AB1501" s="47" t="e">
        <f t="shared" si="708"/>
        <v>#N/A</v>
      </c>
      <c r="AC1501" s="53" t="e">
        <f t="shared" si="709"/>
        <v>#VALUE!</v>
      </c>
      <c r="AD1501" s="54" t="str">
        <f t="shared" si="710"/>
        <v/>
      </c>
      <c r="AE1501" s="54"/>
      <c r="AF1501" s="54"/>
      <c r="AG1501" s="55" t="str">
        <f t="shared" si="711"/>
        <v/>
      </c>
      <c r="AH1501" s="56" t="str">
        <f t="shared" si="712"/>
        <v/>
      </c>
      <c r="AI1501" s="55"/>
      <c r="AJ1501" s="56" t="str">
        <f t="shared" si="713"/>
        <v/>
      </c>
      <c r="AK1501" s="55"/>
      <c r="AL1501" s="56" t="str">
        <f t="shared" si="714"/>
        <v/>
      </c>
      <c r="AM1501" s="55"/>
      <c r="AN1501" s="56" t="str">
        <f t="shared" si="715"/>
        <v/>
      </c>
      <c r="AO1501" s="55"/>
      <c r="AP1501" s="56" t="str">
        <f t="shared" si="716"/>
        <v/>
      </c>
      <c r="AQ1501" s="55"/>
      <c r="AR1501" s="56" t="str">
        <f t="shared" si="717"/>
        <v/>
      </c>
      <c r="AS1501" s="57"/>
      <c r="AT1501" s="58"/>
      <c r="AU1501" s="58"/>
      <c r="AV1501" s="59"/>
      <c r="AW1501" s="60" t="str">
        <f t="shared" si="718"/>
        <v/>
      </c>
      <c r="AX1501" s="61" t="str">
        <f t="shared" si="719"/>
        <v/>
      </c>
      <c r="AY1501" s="60" t="str">
        <f t="shared" si="720"/>
        <v/>
      </c>
      <c r="AZ1501" s="61" t="str">
        <f t="shared" si="721"/>
        <v/>
      </c>
    </row>
    <row r="1502" spans="1:52" s="3" customFormat="1" ht="12" hidden="1" customHeight="1" thickBot="1" x14ac:dyDescent="0.4">
      <c r="A1502" s="85">
        <f t="shared" si="768"/>
        <v>2020</v>
      </c>
      <c r="B1502" s="85" t="str">
        <f t="shared" si="697"/>
        <v>Dec</v>
      </c>
      <c r="C1502" s="86">
        <f t="shared" si="698"/>
        <v>3</v>
      </c>
      <c r="D1502" s="87">
        <f t="shared" si="699"/>
        <v>15</v>
      </c>
      <c r="E1502" s="88">
        <f t="shared" si="769"/>
        <v>53</v>
      </c>
      <c r="F1502" s="89"/>
      <c r="G1502" s="90"/>
      <c r="H1502" s="68" t="str">
        <f t="shared" si="700"/>
        <v>Hyprev6_20201203_15_00</v>
      </c>
      <c r="I1502" s="91">
        <f t="shared" ref="I1502:N1502" si="782">I1501</f>
        <v>1</v>
      </c>
      <c r="J1502" s="92" t="str">
        <f t="shared" si="782"/>
        <v>Hypericum</v>
      </c>
      <c r="K1502" s="92" t="str">
        <f t="shared" si="782"/>
        <v>revolutum</v>
      </c>
      <c r="L1502" s="93">
        <f t="shared" si="782"/>
        <v>6</v>
      </c>
      <c r="M1502" s="93">
        <f t="shared" si="782"/>
        <v>1</v>
      </c>
      <c r="N1502" s="94">
        <f t="shared" si="782"/>
        <v>0</v>
      </c>
      <c r="O1502" s="95"/>
      <c r="P1502" s="96" t="str">
        <f t="shared" si="702"/>
        <v/>
      </c>
      <c r="Q1502" s="97" t="str">
        <f t="shared" si="703"/>
        <v/>
      </c>
      <c r="R1502" s="98" t="e">
        <f t="shared" si="704"/>
        <v>#VALUE!</v>
      </c>
      <c r="S1502" s="98" t="e">
        <f t="shared" si="705"/>
        <v>#VALUE!</v>
      </c>
      <c r="T1502" s="98" t="str">
        <f t="shared" si="706"/>
        <v/>
      </c>
      <c r="U1502" s="99"/>
      <c r="V1502" s="100"/>
      <c r="W1502" s="101" t="e">
        <f t="shared" si="707"/>
        <v>#VALUE!</v>
      </c>
      <c r="X1502" s="102"/>
      <c r="Y1502" s="141"/>
      <c r="Z1502" s="141"/>
      <c r="AA1502" s="47" t="e">
        <f>INDEX(VISITORS[INSECT ORDER], MATCH(X1502,VISITORS[NAME USED],0))</f>
        <v>#N/A</v>
      </c>
      <c r="AB1502" s="98" t="e">
        <f t="shared" si="708"/>
        <v>#N/A</v>
      </c>
      <c r="AC1502" s="53" t="e">
        <f t="shared" si="709"/>
        <v>#VALUE!</v>
      </c>
      <c r="AD1502" s="103" t="str">
        <f t="shared" si="710"/>
        <v/>
      </c>
      <c r="AE1502" s="103"/>
      <c r="AF1502" s="103"/>
      <c r="AG1502" s="104" t="str">
        <f t="shared" si="711"/>
        <v/>
      </c>
      <c r="AH1502" s="105" t="str">
        <f t="shared" si="712"/>
        <v/>
      </c>
      <c r="AI1502" s="104"/>
      <c r="AJ1502" s="105" t="str">
        <f t="shared" si="713"/>
        <v/>
      </c>
      <c r="AK1502" s="104"/>
      <c r="AL1502" s="105" t="str">
        <f t="shared" si="714"/>
        <v/>
      </c>
      <c r="AM1502" s="104"/>
      <c r="AN1502" s="105" t="str">
        <f t="shared" si="715"/>
        <v/>
      </c>
      <c r="AO1502" s="104"/>
      <c r="AP1502" s="105" t="str">
        <f t="shared" si="716"/>
        <v/>
      </c>
      <c r="AQ1502" s="104"/>
      <c r="AR1502" s="105" t="str">
        <f t="shared" si="717"/>
        <v/>
      </c>
      <c r="AS1502" s="106"/>
      <c r="AT1502" s="107"/>
      <c r="AU1502" s="107"/>
      <c r="AV1502" s="108"/>
      <c r="AW1502" s="109" t="str">
        <f t="shared" si="718"/>
        <v/>
      </c>
      <c r="AX1502" s="110" t="str">
        <f t="shared" si="719"/>
        <v/>
      </c>
      <c r="AY1502" s="109" t="str">
        <f t="shared" si="720"/>
        <v/>
      </c>
      <c r="AZ1502" s="110" t="str">
        <f t="shared" si="721"/>
        <v/>
      </c>
    </row>
    <row r="1503" spans="1:52" s="3" customFormat="1" ht="12" hidden="1" customHeight="1" x14ac:dyDescent="0.35">
      <c r="A1503" s="72">
        <f t="shared" si="768"/>
        <v>2020</v>
      </c>
      <c r="B1503" s="72" t="str">
        <f t="shared" si="697"/>
        <v>Dec</v>
      </c>
      <c r="C1503" s="73">
        <f t="shared" si="698"/>
        <v>3</v>
      </c>
      <c r="D1503" s="74">
        <f t="shared" si="699"/>
        <v>15</v>
      </c>
      <c r="E1503" s="75">
        <f t="shared" si="769"/>
        <v>54</v>
      </c>
      <c r="F1503" s="79"/>
      <c r="G1503" s="82"/>
      <c r="H1503" s="68" t="str">
        <f t="shared" si="700"/>
        <v>Hyprev6_20201203_15_00</v>
      </c>
      <c r="I1503" s="69">
        <f t="shared" ref="I1503:N1503" si="783">I1502</f>
        <v>1</v>
      </c>
      <c r="J1503" s="76" t="str">
        <f t="shared" si="783"/>
        <v>Hypericum</v>
      </c>
      <c r="K1503" s="76" t="str">
        <f t="shared" si="783"/>
        <v>revolutum</v>
      </c>
      <c r="L1503" s="77">
        <f t="shared" si="783"/>
        <v>6</v>
      </c>
      <c r="M1503" s="77">
        <f t="shared" si="783"/>
        <v>1</v>
      </c>
      <c r="N1503" s="71">
        <f t="shared" si="783"/>
        <v>0</v>
      </c>
      <c r="O1503" s="44"/>
      <c r="P1503" s="45" t="str">
        <f t="shared" si="702"/>
        <v/>
      </c>
      <c r="Q1503" s="46" t="str">
        <f t="shared" si="703"/>
        <v/>
      </c>
      <c r="R1503" s="47" t="e">
        <f t="shared" si="704"/>
        <v>#VALUE!</v>
      </c>
      <c r="S1503" s="48" t="e">
        <f t="shared" si="705"/>
        <v>#VALUE!</v>
      </c>
      <c r="T1503" s="47" t="str">
        <f t="shared" si="706"/>
        <v/>
      </c>
      <c r="U1503" s="49"/>
      <c r="V1503" s="50"/>
      <c r="W1503" s="51" t="e">
        <f t="shared" si="707"/>
        <v>#VALUE!</v>
      </c>
      <c r="X1503" s="52"/>
      <c r="Y1503" s="52"/>
      <c r="Z1503" s="52"/>
      <c r="AA1503" s="47" t="e">
        <f>INDEX(VISITORS[INSECT ORDER], MATCH(X1503,VISITORS[NAME USED],0))</f>
        <v>#N/A</v>
      </c>
      <c r="AB1503" s="47" t="e">
        <f t="shared" si="708"/>
        <v>#N/A</v>
      </c>
      <c r="AC1503" s="53" t="e">
        <f t="shared" si="709"/>
        <v>#VALUE!</v>
      </c>
      <c r="AD1503" s="54" t="str">
        <f t="shared" si="710"/>
        <v/>
      </c>
      <c r="AE1503" s="54"/>
      <c r="AF1503" s="54"/>
      <c r="AG1503" s="55" t="str">
        <f t="shared" si="711"/>
        <v/>
      </c>
      <c r="AH1503" s="56" t="str">
        <f t="shared" si="712"/>
        <v/>
      </c>
      <c r="AI1503" s="55"/>
      <c r="AJ1503" s="56" t="str">
        <f t="shared" si="713"/>
        <v/>
      </c>
      <c r="AK1503" s="55"/>
      <c r="AL1503" s="56" t="str">
        <f t="shared" si="714"/>
        <v/>
      </c>
      <c r="AM1503" s="55"/>
      <c r="AN1503" s="56" t="str">
        <f t="shared" si="715"/>
        <v/>
      </c>
      <c r="AO1503" s="55"/>
      <c r="AP1503" s="56" t="str">
        <f t="shared" si="716"/>
        <v/>
      </c>
      <c r="AQ1503" s="55"/>
      <c r="AR1503" s="56" t="str">
        <f t="shared" si="717"/>
        <v/>
      </c>
      <c r="AS1503" s="57"/>
      <c r="AT1503" s="58"/>
      <c r="AU1503" s="58"/>
      <c r="AV1503" s="59"/>
      <c r="AW1503" s="60" t="str">
        <f t="shared" si="718"/>
        <v/>
      </c>
      <c r="AX1503" s="61" t="str">
        <f t="shared" si="719"/>
        <v/>
      </c>
      <c r="AY1503" s="60" t="str">
        <f t="shared" si="720"/>
        <v/>
      </c>
      <c r="AZ1503" s="61" t="str">
        <f t="shared" si="721"/>
        <v/>
      </c>
    </row>
    <row r="1504" spans="1:52" s="3" customFormat="1" ht="12" hidden="1" customHeight="1" x14ac:dyDescent="0.35">
      <c r="A1504" s="72">
        <f t="shared" si="768"/>
        <v>2020</v>
      </c>
      <c r="B1504" s="72" t="str">
        <f t="shared" si="697"/>
        <v>Dec</v>
      </c>
      <c r="C1504" s="73">
        <f t="shared" si="698"/>
        <v>3</v>
      </c>
      <c r="D1504" s="74">
        <f t="shared" si="699"/>
        <v>15</v>
      </c>
      <c r="E1504" s="75">
        <f t="shared" si="769"/>
        <v>55</v>
      </c>
      <c r="F1504" s="79"/>
      <c r="G1504" s="82"/>
      <c r="H1504" s="68" t="str">
        <f t="shared" si="700"/>
        <v>Hyprev6_20201203_15_00</v>
      </c>
      <c r="I1504" s="69">
        <f t="shared" ref="I1504:N1504" si="784">I1503</f>
        <v>1</v>
      </c>
      <c r="J1504" s="76" t="str">
        <f t="shared" si="784"/>
        <v>Hypericum</v>
      </c>
      <c r="K1504" s="76" t="str">
        <f t="shared" si="784"/>
        <v>revolutum</v>
      </c>
      <c r="L1504" s="77">
        <f t="shared" si="784"/>
        <v>6</v>
      </c>
      <c r="M1504" s="77">
        <f t="shared" si="784"/>
        <v>1</v>
      </c>
      <c r="N1504" s="71">
        <f t="shared" si="784"/>
        <v>0</v>
      </c>
      <c r="O1504" s="44"/>
      <c r="P1504" s="45" t="str">
        <f t="shared" si="702"/>
        <v/>
      </c>
      <c r="Q1504" s="46" t="str">
        <f t="shared" si="703"/>
        <v/>
      </c>
      <c r="R1504" s="47" t="e">
        <f t="shared" si="704"/>
        <v>#VALUE!</v>
      </c>
      <c r="S1504" s="48" t="e">
        <f t="shared" si="705"/>
        <v>#VALUE!</v>
      </c>
      <c r="T1504" s="47" t="str">
        <f t="shared" si="706"/>
        <v/>
      </c>
      <c r="U1504" s="49"/>
      <c r="V1504" s="50"/>
      <c r="W1504" s="51" t="e">
        <f t="shared" si="707"/>
        <v>#VALUE!</v>
      </c>
      <c r="X1504" s="52"/>
      <c r="Y1504" s="52"/>
      <c r="Z1504" s="52"/>
      <c r="AA1504" s="47" t="e">
        <f>INDEX(VISITORS[INSECT ORDER], MATCH(X1504,VISITORS[NAME USED],0))</f>
        <v>#N/A</v>
      </c>
      <c r="AB1504" s="47" t="e">
        <f t="shared" si="708"/>
        <v>#N/A</v>
      </c>
      <c r="AC1504" s="53" t="e">
        <f t="shared" si="709"/>
        <v>#VALUE!</v>
      </c>
      <c r="AD1504" s="54" t="str">
        <f t="shared" si="710"/>
        <v/>
      </c>
      <c r="AE1504" s="54"/>
      <c r="AF1504" s="54"/>
      <c r="AG1504" s="55" t="str">
        <f t="shared" si="711"/>
        <v/>
      </c>
      <c r="AH1504" s="56" t="str">
        <f t="shared" si="712"/>
        <v/>
      </c>
      <c r="AI1504" s="55"/>
      <c r="AJ1504" s="56" t="str">
        <f t="shared" si="713"/>
        <v/>
      </c>
      <c r="AK1504" s="55"/>
      <c r="AL1504" s="56" t="str">
        <f t="shared" si="714"/>
        <v/>
      </c>
      <c r="AM1504" s="55"/>
      <c r="AN1504" s="56" t="str">
        <f t="shared" si="715"/>
        <v/>
      </c>
      <c r="AO1504" s="55"/>
      <c r="AP1504" s="56" t="str">
        <f t="shared" si="716"/>
        <v/>
      </c>
      <c r="AQ1504" s="55"/>
      <c r="AR1504" s="56" t="str">
        <f t="shared" si="717"/>
        <v/>
      </c>
      <c r="AS1504" s="57"/>
      <c r="AT1504" s="58"/>
      <c r="AU1504" s="58"/>
      <c r="AV1504" s="59"/>
      <c r="AW1504" s="60" t="str">
        <f t="shared" si="718"/>
        <v/>
      </c>
      <c r="AX1504" s="61" t="str">
        <f t="shared" si="719"/>
        <v/>
      </c>
      <c r="AY1504" s="60" t="str">
        <f t="shared" si="720"/>
        <v/>
      </c>
      <c r="AZ1504" s="61" t="str">
        <f t="shared" si="721"/>
        <v/>
      </c>
    </row>
    <row r="1505" spans="1:52" s="3" customFormat="1" ht="12" hidden="1" customHeight="1" thickBot="1" x14ac:dyDescent="0.4">
      <c r="A1505" s="85">
        <f t="shared" si="768"/>
        <v>2020</v>
      </c>
      <c r="B1505" s="85" t="str">
        <f t="shared" si="697"/>
        <v>Dec</v>
      </c>
      <c r="C1505" s="86">
        <f t="shared" si="698"/>
        <v>3</v>
      </c>
      <c r="D1505" s="87">
        <f t="shared" si="699"/>
        <v>15</v>
      </c>
      <c r="E1505" s="88">
        <f t="shared" si="769"/>
        <v>56</v>
      </c>
      <c r="F1505" s="89"/>
      <c r="G1505" s="90"/>
      <c r="H1505" s="68" t="str">
        <f t="shared" si="700"/>
        <v>Hyprev6_20201203_15_00</v>
      </c>
      <c r="I1505" s="91">
        <f t="shared" ref="I1505:N1505" si="785">I1504</f>
        <v>1</v>
      </c>
      <c r="J1505" s="92" t="str">
        <f t="shared" si="785"/>
        <v>Hypericum</v>
      </c>
      <c r="K1505" s="92" t="str">
        <f t="shared" si="785"/>
        <v>revolutum</v>
      </c>
      <c r="L1505" s="93">
        <f t="shared" si="785"/>
        <v>6</v>
      </c>
      <c r="M1505" s="93">
        <f t="shared" si="785"/>
        <v>1</v>
      </c>
      <c r="N1505" s="94">
        <f t="shared" si="785"/>
        <v>0</v>
      </c>
      <c r="O1505" s="95"/>
      <c r="P1505" s="96" t="str">
        <f t="shared" si="702"/>
        <v/>
      </c>
      <c r="Q1505" s="97" t="str">
        <f t="shared" si="703"/>
        <v/>
      </c>
      <c r="R1505" s="98" t="e">
        <f t="shared" si="704"/>
        <v>#VALUE!</v>
      </c>
      <c r="S1505" s="98" t="e">
        <f t="shared" si="705"/>
        <v>#VALUE!</v>
      </c>
      <c r="T1505" s="98" t="str">
        <f t="shared" si="706"/>
        <v/>
      </c>
      <c r="U1505" s="99"/>
      <c r="V1505" s="100"/>
      <c r="W1505" s="101" t="e">
        <f t="shared" si="707"/>
        <v>#VALUE!</v>
      </c>
      <c r="X1505" s="102"/>
      <c r="Y1505" s="141"/>
      <c r="Z1505" s="141"/>
      <c r="AA1505" s="47" t="e">
        <f>INDEX(VISITORS[INSECT ORDER], MATCH(X1505,VISITORS[NAME USED],0))</f>
        <v>#N/A</v>
      </c>
      <c r="AB1505" s="98" t="e">
        <f t="shared" si="708"/>
        <v>#N/A</v>
      </c>
      <c r="AC1505" s="53" t="e">
        <f t="shared" si="709"/>
        <v>#VALUE!</v>
      </c>
      <c r="AD1505" s="103" t="str">
        <f t="shared" si="710"/>
        <v/>
      </c>
      <c r="AE1505" s="103"/>
      <c r="AF1505" s="103"/>
      <c r="AG1505" s="104" t="str">
        <f t="shared" si="711"/>
        <v/>
      </c>
      <c r="AH1505" s="105" t="str">
        <f t="shared" si="712"/>
        <v/>
      </c>
      <c r="AI1505" s="104"/>
      <c r="AJ1505" s="105" t="str">
        <f t="shared" si="713"/>
        <v/>
      </c>
      <c r="AK1505" s="104"/>
      <c r="AL1505" s="105" t="str">
        <f t="shared" si="714"/>
        <v/>
      </c>
      <c r="AM1505" s="104"/>
      <c r="AN1505" s="105" t="str">
        <f t="shared" si="715"/>
        <v/>
      </c>
      <c r="AO1505" s="104"/>
      <c r="AP1505" s="105" t="str">
        <f t="shared" si="716"/>
        <v/>
      </c>
      <c r="AQ1505" s="104"/>
      <c r="AR1505" s="105" t="str">
        <f t="shared" si="717"/>
        <v/>
      </c>
      <c r="AS1505" s="106"/>
      <c r="AT1505" s="107"/>
      <c r="AU1505" s="107"/>
      <c r="AV1505" s="108"/>
      <c r="AW1505" s="109" t="str">
        <f t="shared" si="718"/>
        <v/>
      </c>
      <c r="AX1505" s="110" t="str">
        <f t="shared" si="719"/>
        <v/>
      </c>
      <c r="AY1505" s="109" t="str">
        <f t="shared" si="720"/>
        <v/>
      </c>
      <c r="AZ1505" s="110" t="str">
        <f t="shared" si="721"/>
        <v/>
      </c>
    </row>
    <row r="1506" spans="1:52" s="3" customFormat="1" ht="12" hidden="1" customHeight="1" x14ac:dyDescent="0.35">
      <c r="A1506" s="72">
        <f t="shared" si="768"/>
        <v>2020</v>
      </c>
      <c r="B1506" s="72" t="str">
        <f t="shared" si="697"/>
        <v>Dec</v>
      </c>
      <c r="C1506" s="73">
        <f t="shared" si="698"/>
        <v>3</v>
      </c>
      <c r="D1506" s="74">
        <f t="shared" si="699"/>
        <v>15</v>
      </c>
      <c r="E1506" s="75">
        <f t="shared" si="769"/>
        <v>57</v>
      </c>
      <c r="F1506" s="79"/>
      <c r="G1506" s="82"/>
      <c r="H1506" s="68" t="str">
        <f t="shared" si="700"/>
        <v>Hyprev6_20201203_15_00</v>
      </c>
      <c r="I1506" s="69">
        <f t="shared" ref="I1506:N1506" si="786">I1505</f>
        <v>1</v>
      </c>
      <c r="J1506" s="76" t="str">
        <f t="shared" si="786"/>
        <v>Hypericum</v>
      </c>
      <c r="K1506" s="76" t="str">
        <f t="shared" si="786"/>
        <v>revolutum</v>
      </c>
      <c r="L1506" s="77">
        <f t="shared" si="786"/>
        <v>6</v>
      </c>
      <c r="M1506" s="77">
        <f t="shared" si="786"/>
        <v>1</v>
      </c>
      <c r="N1506" s="71">
        <f t="shared" si="786"/>
        <v>0</v>
      </c>
      <c r="O1506" s="44"/>
      <c r="P1506" s="45" t="str">
        <f t="shared" si="702"/>
        <v/>
      </c>
      <c r="Q1506" s="46" t="str">
        <f t="shared" si="703"/>
        <v/>
      </c>
      <c r="R1506" s="47" t="e">
        <f t="shared" si="704"/>
        <v>#VALUE!</v>
      </c>
      <c r="S1506" s="48" t="e">
        <f t="shared" si="705"/>
        <v>#VALUE!</v>
      </c>
      <c r="T1506" s="47" t="str">
        <f t="shared" si="706"/>
        <v/>
      </c>
      <c r="U1506" s="49"/>
      <c r="V1506" s="50"/>
      <c r="W1506" s="51" t="e">
        <f t="shared" si="707"/>
        <v>#VALUE!</v>
      </c>
      <c r="X1506" s="52"/>
      <c r="Y1506" s="52"/>
      <c r="Z1506" s="52"/>
      <c r="AA1506" s="47" t="e">
        <f>INDEX(VISITORS[INSECT ORDER], MATCH(X1506,VISITORS[NAME USED],0))</f>
        <v>#N/A</v>
      </c>
      <c r="AB1506" s="47" t="e">
        <f t="shared" si="708"/>
        <v>#N/A</v>
      </c>
      <c r="AC1506" s="53" t="e">
        <f t="shared" si="709"/>
        <v>#VALUE!</v>
      </c>
      <c r="AD1506" s="54" t="str">
        <f t="shared" si="710"/>
        <v/>
      </c>
      <c r="AE1506" s="54"/>
      <c r="AF1506" s="54"/>
      <c r="AG1506" s="55" t="str">
        <f t="shared" si="711"/>
        <v/>
      </c>
      <c r="AH1506" s="56" t="str">
        <f t="shared" si="712"/>
        <v/>
      </c>
      <c r="AI1506" s="55"/>
      <c r="AJ1506" s="56" t="str">
        <f t="shared" si="713"/>
        <v/>
      </c>
      <c r="AK1506" s="55"/>
      <c r="AL1506" s="56" t="str">
        <f t="shared" si="714"/>
        <v/>
      </c>
      <c r="AM1506" s="55"/>
      <c r="AN1506" s="56" t="str">
        <f t="shared" si="715"/>
        <v/>
      </c>
      <c r="AO1506" s="55"/>
      <c r="AP1506" s="56" t="str">
        <f t="shared" si="716"/>
        <v/>
      </c>
      <c r="AQ1506" s="55"/>
      <c r="AR1506" s="56" t="str">
        <f t="shared" si="717"/>
        <v/>
      </c>
      <c r="AS1506" s="57"/>
      <c r="AT1506" s="58"/>
      <c r="AU1506" s="58"/>
      <c r="AV1506" s="59"/>
      <c r="AW1506" s="60" t="str">
        <f t="shared" si="718"/>
        <v/>
      </c>
      <c r="AX1506" s="61" t="str">
        <f t="shared" si="719"/>
        <v/>
      </c>
      <c r="AY1506" s="60" t="str">
        <f t="shared" si="720"/>
        <v/>
      </c>
      <c r="AZ1506" s="61" t="str">
        <f t="shared" si="721"/>
        <v/>
      </c>
    </row>
    <row r="1507" spans="1:52" s="3" customFormat="1" ht="12" hidden="1" customHeight="1" x14ac:dyDescent="0.35">
      <c r="A1507" s="72">
        <f t="shared" si="768"/>
        <v>2020</v>
      </c>
      <c r="B1507" s="72" t="str">
        <f t="shared" ref="B1507:B1570" si="787">IF(C1506-C1507&gt;0, TEXT(DATE(2016,(MONTH(DATEVALUE(B1506&amp;"1"))+1),1),"mmm"), B1506)</f>
        <v>Dec</v>
      </c>
      <c r="C1507" s="73">
        <f t="shared" ref="C1507:C1570" si="788">IF(AND(D1507=0, E1507=0), IF(TEXT(C1506,"dd")=TEXT(EOMONTH(DATE(A1506,MONTH(DATEVALUE(B1506&amp;"1")),C1506),0), "dd"), 1, C1506+1), C1506)</f>
        <v>3</v>
      </c>
      <c r="D1507" s="74">
        <f t="shared" ref="D1507:D1570" si="789">IF(IF(E1506=59,D1506+1,D1506)=24,0,IF(E1506=59,D1506+1,D1506))</f>
        <v>15</v>
      </c>
      <c r="E1507" s="75">
        <f t="shared" si="769"/>
        <v>58</v>
      </c>
      <c r="F1507" s="79"/>
      <c r="G1507" s="82"/>
      <c r="H1507" s="68" t="str">
        <f t="shared" ref="H1507:H1570" si="790">IF(AND(OR(E1506=$G$3,E1506=$G$4,E1506=$G$5,E1506=$G$6,E1506=$G$7,E1506=$G$8),E1506&lt;&gt;RIGHT(H1506,2)),CONCATENATE(LEFT(J1507,3),LEFT(K1507,3),L1507,"_",A1507,TEXT(MONTH(DATEVALUE(B1507&amp;"1")),"00"),TEXT(C1507,"00"),"_",TEXT(D1507,"00"),"_",TEXT(E1506,"00")),IF(AND(OR(E1507=$G$3,E1507=$G$4,E1507=$G$5,E1507=$G$6,E1507=$G$7,E1507=$G$8),OR(F1507="",F1507&gt;$G$9-1)),CONCATENATE(LEFT(J1507,3),LEFT(K1507,3),L1507,"_",A1507,TEXT(MONTH(DATEVALUE(B1507&amp;"1")),"00"),TEXT(C1507,"00"),"_",TEXT(D1507,"00"),"_",TEXT(E1507,"00")),H1506))</f>
        <v>Hyprev6_20201203_15_00</v>
      </c>
      <c r="I1507" s="69">
        <f t="shared" ref="I1507:N1507" si="791">I1506</f>
        <v>1</v>
      </c>
      <c r="J1507" s="76" t="str">
        <f t="shared" si="791"/>
        <v>Hypericum</v>
      </c>
      <c r="K1507" s="76" t="str">
        <f t="shared" si="791"/>
        <v>revolutum</v>
      </c>
      <c r="L1507" s="77">
        <f t="shared" si="791"/>
        <v>6</v>
      </c>
      <c r="M1507" s="77">
        <f t="shared" si="791"/>
        <v>1</v>
      </c>
      <c r="N1507" s="71">
        <f t="shared" si="791"/>
        <v>0</v>
      </c>
      <c r="O1507" s="44"/>
      <c r="P1507" s="45" t="str">
        <f t="shared" ref="P1507:P1570" si="792">IF(F1507="","",1)</f>
        <v/>
      </c>
      <c r="Q1507" s="46" t="str">
        <f t="shared" ref="Q1507:Q1570" si="793">TEXT(IF(P1507=1,CONCATENATE($D1507,":",$E1507,":",(LEFT($F1507,2))),""),"hh:mm:ss")</f>
        <v/>
      </c>
      <c r="R1507" s="47" t="e">
        <f t="shared" ref="R1507:R1570" si="794">TEXT(Q1507-TIME(0,RIGHT($H1507,2),$G$9)+(Q1507&gt;TIME(0,RIGHT($H1507,2),$G$9)),"mm:ss")</f>
        <v>#VALUE!</v>
      </c>
      <c r="S1507" s="48" t="e">
        <f t="shared" ref="S1507:S1537" si="795">IF(T1507&lt;D1507, (T1507*3600+U1507*60+V1507)+((23*3600+59*60+60)-(D1507*3600+E1507*60+LEFT(F1507,2))), (T1507*3600+U1507*60+V1507)-(D1507*3600+E1507*60+LEFT(F1507,2)))</f>
        <v>#VALUE!</v>
      </c>
      <c r="T1507" s="47" t="str">
        <f t="shared" ref="T1507:T1570" si="796">TEXT(IF(P1507=1,D1507,""),"00")</f>
        <v/>
      </c>
      <c r="U1507" s="49"/>
      <c r="V1507" s="50"/>
      <c r="W1507" s="51" t="e">
        <f t="shared" ref="W1507:W1570" si="797">IF(O1507=0,TEXT(TIME(T1507,U1507,V1507)-TIME(D1507,E1507,RIGHT(F1507,2))+TIME(0,LEFT(R1507,2),RIGHT(R1507,2)),"mm:ss"),TEXT(TIME(T1507,U1507,V1507)-TIME(D1507,E1507,RIGHT(F1507,2))+TIME(0,LEFT(R1507,2),RIGHT(R1507,2))-TIME(0,($G$10*O1507),0),"mm:ss"))</f>
        <v>#VALUE!</v>
      </c>
      <c r="X1507" s="52"/>
      <c r="Y1507" s="52"/>
      <c r="Z1507" s="52"/>
      <c r="AA1507" s="47" t="e">
        <f>INDEX(VISITORS[INSECT ORDER], MATCH(X1507,VISITORS[NAME USED],0))</f>
        <v>#N/A</v>
      </c>
      <c r="AB1507" s="47" t="e">
        <f t="shared" ref="AB1507:AB1570" si="798">IF(AA1507&lt;&gt;0,"NA","")</f>
        <v>#N/A</v>
      </c>
      <c r="AC1507" s="53" t="e">
        <f t="shared" ref="AC1507:AC1570" si="799">IF(SUM(AH1507,AJ1507,AL1507,AN1507,AP1507,AR1507)=S1507,,"")</f>
        <v>#VALUE!</v>
      </c>
      <c r="AD1507" s="54" t="str">
        <f t="shared" ref="AD1507:AD1570" si="800">IF(P1507=1,1,"")</f>
        <v/>
      </c>
      <c r="AE1507" s="54"/>
      <c r="AF1507" s="54"/>
      <c r="AG1507" s="55" t="str">
        <f t="shared" ref="AG1507:AG1570" si="801">IF(OR(X1507="Something small"),1,"")</f>
        <v/>
      </c>
      <c r="AH1507" s="56" t="str">
        <f t="shared" ref="AH1507:AH1570" si="802">IF(AG1507=1,$S1507,"")</f>
        <v/>
      </c>
      <c r="AI1507" s="55"/>
      <c r="AJ1507" s="56" t="str">
        <f t="shared" ref="AJ1507:AJ1570" si="803">IF(AI1507=1,$S1507,"")</f>
        <v/>
      </c>
      <c r="AK1507" s="55"/>
      <c r="AL1507" s="56" t="str">
        <f t="shared" ref="AL1507:AL1570" si="804">IF(AK1507=1,$S1507,"")</f>
        <v/>
      </c>
      <c r="AM1507" s="55"/>
      <c r="AN1507" s="56" t="str">
        <f t="shared" ref="AN1507:AN1570" si="805">IF(AM1507=1,$S1507,"")</f>
        <v/>
      </c>
      <c r="AO1507" s="55"/>
      <c r="AP1507" s="56" t="str">
        <f t="shared" ref="AP1507:AP1570" si="806">IF(AO1507=1,$S1507,"")</f>
        <v/>
      </c>
      <c r="AQ1507" s="55"/>
      <c r="AR1507" s="56" t="str">
        <f t="shared" ref="AR1507:AR1570" si="807">IF(AQ1507=1,$S1507,"")</f>
        <v/>
      </c>
      <c r="AS1507" s="57"/>
      <c r="AT1507" s="58"/>
      <c r="AU1507" s="58"/>
      <c r="AV1507" s="59"/>
      <c r="AW1507" s="60" t="str">
        <f t="shared" ref="AW1507:AW1570" si="808">IF(P1507=1,0,"")</f>
        <v/>
      </c>
      <c r="AX1507" s="61" t="str">
        <f t="shared" ref="AX1507:AX1570" si="809">IF(AW1507=1,AD1507,"")</f>
        <v/>
      </c>
      <c r="AY1507" s="60" t="str">
        <f t="shared" ref="AY1507:AY1570" si="810">IF(P1507=1,0,"")</f>
        <v/>
      </c>
      <c r="AZ1507" s="61" t="str">
        <f t="shared" ref="AZ1507:AZ1570" si="811">IF(AY1507=1,AD1507,"")</f>
        <v/>
      </c>
    </row>
    <row r="1508" spans="1:52" s="3" customFormat="1" ht="12" hidden="1" customHeight="1" thickBot="1" x14ac:dyDescent="0.4">
      <c r="A1508" s="85">
        <f t="shared" si="768"/>
        <v>2020</v>
      </c>
      <c r="B1508" s="85" t="str">
        <f t="shared" si="787"/>
        <v>Dec</v>
      </c>
      <c r="C1508" s="86">
        <f t="shared" si="788"/>
        <v>3</v>
      </c>
      <c r="D1508" s="87">
        <f t="shared" si="789"/>
        <v>15</v>
      </c>
      <c r="E1508" s="88">
        <f t="shared" si="769"/>
        <v>59</v>
      </c>
      <c r="F1508" s="89"/>
      <c r="G1508" s="90"/>
      <c r="H1508" s="68" t="str">
        <f t="shared" si="790"/>
        <v>Hyprev6_20201203_15_00</v>
      </c>
      <c r="I1508" s="91">
        <f t="shared" ref="I1508:N1508" si="812">I1507</f>
        <v>1</v>
      </c>
      <c r="J1508" s="92" t="str">
        <f t="shared" si="812"/>
        <v>Hypericum</v>
      </c>
      <c r="K1508" s="92" t="str">
        <f t="shared" si="812"/>
        <v>revolutum</v>
      </c>
      <c r="L1508" s="93">
        <f t="shared" si="812"/>
        <v>6</v>
      </c>
      <c r="M1508" s="93">
        <f t="shared" si="812"/>
        <v>1</v>
      </c>
      <c r="N1508" s="94">
        <f t="shared" si="812"/>
        <v>0</v>
      </c>
      <c r="O1508" s="95"/>
      <c r="P1508" s="96" t="str">
        <f t="shared" si="792"/>
        <v/>
      </c>
      <c r="Q1508" s="97" t="str">
        <f t="shared" si="793"/>
        <v/>
      </c>
      <c r="R1508" s="98" t="e">
        <f t="shared" si="794"/>
        <v>#VALUE!</v>
      </c>
      <c r="S1508" s="98" t="e">
        <f t="shared" si="795"/>
        <v>#VALUE!</v>
      </c>
      <c r="T1508" s="98" t="str">
        <f t="shared" si="796"/>
        <v/>
      </c>
      <c r="U1508" s="99"/>
      <c r="V1508" s="100"/>
      <c r="W1508" s="101" t="e">
        <f t="shared" si="797"/>
        <v>#VALUE!</v>
      </c>
      <c r="X1508" s="102"/>
      <c r="Y1508" s="141"/>
      <c r="Z1508" s="141"/>
      <c r="AA1508" s="47" t="e">
        <f>INDEX(VISITORS[INSECT ORDER], MATCH(X1508,VISITORS[NAME USED],0))</f>
        <v>#N/A</v>
      </c>
      <c r="AB1508" s="98" t="e">
        <f t="shared" si="798"/>
        <v>#N/A</v>
      </c>
      <c r="AC1508" s="53" t="e">
        <f t="shared" si="799"/>
        <v>#VALUE!</v>
      </c>
      <c r="AD1508" s="103" t="str">
        <f t="shared" si="800"/>
        <v/>
      </c>
      <c r="AE1508" s="103"/>
      <c r="AF1508" s="103"/>
      <c r="AG1508" s="104" t="str">
        <f t="shared" si="801"/>
        <v/>
      </c>
      <c r="AH1508" s="105" t="str">
        <f t="shared" si="802"/>
        <v/>
      </c>
      <c r="AI1508" s="104"/>
      <c r="AJ1508" s="105" t="str">
        <f t="shared" si="803"/>
        <v/>
      </c>
      <c r="AK1508" s="104"/>
      <c r="AL1508" s="105" t="str">
        <f t="shared" si="804"/>
        <v/>
      </c>
      <c r="AM1508" s="104"/>
      <c r="AN1508" s="105" t="str">
        <f t="shared" si="805"/>
        <v/>
      </c>
      <c r="AO1508" s="104"/>
      <c r="AP1508" s="105" t="str">
        <f t="shared" si="806"/>
        <v/>
      </c>
      <c r="AQ1508" s="104"/>
      <c r="AR1508" s="105" t="str">
        <f t="shared" si="807"/>
        <v/>
      </c>
      <c r="AS1508" s="106"/>
      <c r="AT1508" s="107"/>
      <c r="AU1508" s="107"/>
      <c r="AV1508" s="108"/>
      <c r="AW1508" s="109" t="str">
        <f t="shared" si="808"/>
        <v/>
      </c>
      <c r="AX1508" s="110" t="str">
        <f t="shared" si="809"/>
        <v/>
      </c>
      <c r="AY1508" s="109" t="str">
        <f t="shared" si="810"/>
        <v/>
      </c>
      <c r="AZ1508" s="110" t="str">
        <f t="shared" si="811"/>
        <v/>
      </c>
    </row>
    <row r="1509" spans="1:52" s="3" customFormat="1" ht="12" hidden="1" customHeight="1" x14ac:dyDescent="0.35">
      <c r="A1509" s="72">
        <f t="shared" si="768"/>
        <v>2020</v>
      </c>
      <c r="B1509" s="72" t="str">
        <f t="shared" si="787"/>
        <v>Dec</v>
      </c>
      <c r="C1509" s="73">
        <f t="shared" si="788"/>
        <v>3</v>
      </c>
      <c r="D1509" s="74">
        <f t="shared" si="789"/>
        <v>16</v>
      </c>
      <c r="E1509" s="75">
        <f t="shared" si="769"/>
        <v>0</v>
      </c>
      <c r="F1509" s="79"/>
      <c r="G1509" s="82"/>
      <c r="H1509" s="68" t="str">
        <f t="shared" si="790"/>
        <v>Hyprev6_20201203_16_00</v>
      </c>
      <c r="I1509" s="69">
        <f t="shared" ref="I1509:N1509" si="813">I1508</f>
        <v>1</v>
      </c>
      <c r="J1509" s="76" t="str">
        <f t="shared" si="813"/>
        <v>Hypericum</v>
      </c>
      <c r="K1509" s="76" t="str">
        <f t="shared" si="813"/>
        <v>revolutum</v>
      </c>
      <c r="L1509" s="77">
        <f t="shared" si="813"/>
        <v>6</v>
      </c>
      <c r="M1509" s="77">
        <f t="shared" si="813"/>
        <v>1</v>
      </c>
      <c r="N1509" s="71">
        <f t="shared" si="813"/>
        <v>0</v>
      </c>
      <c r="O1509" s="44"/>
      <c r="P1509" s="45" t="str">
        <f t="shared" si="792"/>
        <v/>
      </c>
      <c r="Q1509" s="46" t="str">
        <f t="shared" si="793"/>
        <v/>
      </c>
      <c r="R1509" s="47" t="e">
        <f t="shared" si="794"/>
        <v>#VALUE!</v>
      </c>
      <c r="S1509" s="48" t="e">
        <f t="shared" si="795"/>
        <v>#VALUE!</v>
      </c>
      <c r="T1509" s="47" t="str">
        <f t="shared" si="796"/>
        <v/>
      </c>
      <c r="U1509" s="49"/>
      <c r="V1509" s="50"/>
      <c r="W1509" s="51" t="e">
        <f t="shared" si="797"/>
        <v>#VALUE!</v>
      </c>
      <c r="X1509" s="52"/>
      <c r="Y1509" s="52"/>
      <c r="Z1509" s="52"/>
      <c r="AA1509" s="47" t="e">
        <f>INDEX(VISITORS[INSECT ORDER], MATCH(X1509,VISITORS[NAME USED],0))</f>
        <v>#N/A</v>
      </c>
      <c r="AB1509" s="47" t="e">
        <f t="shared" si="798"/>
        <v>#N/A</v>
      </c>
      <c r="AC1509" s="53" t="e">
        <f t="shared" si="799"/>
        <v>#VALUE!</v>
      </c>
      <c r="AD1509" s="54" t="str">
        <f t="shared" si="800"/>
        <v/>
      </c>
      <c r="AE1509" s="54"/>
      <c r="AF1509" s="54"/>
      <c r="AG1509" s="55" t="str">
        <f t="shared" si="801"/>
        <v/>
      </c>
      <c r="AH1509" s="56" t="str">
        <f t="shared" si="802"/>
        <v/>
      </c>
      <c r="AI1509" s="55"/>
      <c r="AJ1509" s="56" t="str">
        <f t="shared" si="803"/>
        <v/>
      </c>
      <c r="AK1509" s="55"/>
      <c r="AL1509" s="56" t="str">
        <f t="shared" si="804"/>
        <v/>
      </c>
      <c r="AM1509" s="55"/>
      <c r="AN1509" s="56" t="str">
        <f t="shared" si="805"/>
        <v/>
      </c>
      <c r="AO1509" s="55"/>
      <c r="AP1509" s="56" t="str">
        <f t="shared" si="806"/>
        <v/>
      </c>
      <c r="AQ1509" s="55"/>
      <c r="AR1509" s="56" t="str">
        <f t="shared" si="807"/>
        <v/>
      </c>
      <c r="AS1509" s="57"/>
      <c r="AT1509" s="58"/>
      <c r="AU1509" s="58"/>
      <c r="AV1509" s="59"/>
      <c r="AW1509" s="60" t="str">
        <f t="shared" si="808"/>
        <v/>
      </c>
      <c r="AX1509" s="61" t="str">
        <f t="shared" si="809"/>
        <v/>
      </c>
      <c r="AY1509" s="60" t="str">
        <f t="shared" si="810"/>
        <v/>
      </c>
      <c r="AZ1509" s="61" t="str">
        <f t="shared" si="811"/>
        <v/>
      </c>
    </row>
    <row r="1510" spans="1:52" s="3" customFormat="1" ht="12" hidden="1" customHeight="1" x14ac:dyDescent="0.35">
      <c r="A1510" s="72">
        <f t="shared" si="768"/>
        <v>2020</v>
      </c>
      <c r="B1510" s="72" t="str">
        <f t="shared" si="787"/>
        <v>Dec</v>
      </c>
      <c r="C1510" s="73">
        <f t="shared" si="788"/>
        <v>3</v>
      </c>
      <c r="D1510" s="74">
        <f t="shared" si="789"/>
        <v>16</v>
      </c>
      <c r="E1510" s="75">
        <f t="shared" si="769"/>
        <v>1</v>
      </c>
      <c r="F1510" s="79"/>
      <c r="G1510" s="82"/>
      <c r="H1510" s="68" t="str">
        <f t="shared" si="790"/>
        <v>Hyprev6_20201203_16_00</v>
      </c>
      <c r="I1510" s="69">
        <f t="shared" ref="I1510:N1510" si="814">I1509</f>
        <v>1</v>
      </c>
      <c r="J1510" s="76" t="str">
        <f t="shared" si="814"/>
        <v>Hypericum</v>
      </c>
      <c r="K1510" s="76" t="str">
        <f t="shared" si="814"/>
        <v>revolutum</v>
      </c>
      <c r="L1510" s="77">
        <f t="shared" si="814"/>
        <v>6</v>
      </c>
      <c r="M1510" s="77">
        <f t="shared" si="814"/>
        <v>1</v>
      </c>
      <c r="N1510" s="71">
        <f t="shared" si="814"/>
        <v>0</v>
      </c>
      <c r="O1510" s="44"/>
      <c r="P1510" s="45" t="str">
        <f t="shared" si="792"/>
        <v/>
      </c>
      <c r="Q1510" s="46" t="str">
        <f t="shared" si="793"/>
        <v/>
      </c>
      <c r="R1510" s="47" t="e">
        <f t="shared" si="794"/>
        <v>#VALUE!</v>
      </c>
      <c r="S1510" s="48" t="e">
        <f t="shared" si="795"/>
        <v>#VALUE!</v>
      </c>
      <c r="T1510" s="47" t="str">
        <f t="shared" si="796"/>
        <v/>
      </c>
      <c r="U1510" s="49"/>
      <c r="V1510" s="50"/>
      <c r="W1510" s="51" t="e">
        <f t="shared" si="797"/>
        <v>#VALUE!</v>
      </c>
      <c r="X1510" s="52"/>
      <c r="Y1510" s="52"/>
      <c r="Z1510" s="52"/>
      <c r="AA1510" s="47" t="e">
        <f>INDEX(VISITORS[INSECT ORDER], MATCH(X1510,VISITORS[NAME USED],0))</f>
        <v>#N/A</v>
      </c>
      <c r="AB1510" s="47" t="e">
        <f t="shared" si="798"/>
        <v>#N/A</v>
      </c>
      <c r="AC1510" s="53" t="e">
        <f t="shared" si="799"/>
        <v>#VALUE!</v>
      </c>
      <c r="AD1510" s="54" t="str">
        <f t="shared" si="800"/>
        <v/>
      </c>
      <c r="AE1510" s="54"/>
      <c r="AF1510" s="54"/>
      <c r="AG1510" s="55" t="str">
        <f t="shared" si="801"/>
        <v/>
      </c>
      <c r="AH1510" s="56" t="str">
        <f t="shared" si="802"/>
        <v/>
      </c>
      <c r="AI1510" s="55"/>
      <c r="AJ1510" s="56" t="str">
        <f t="shared" si="803"/>
        <v/>
      </c>
      <c r="AK1510" s="55"/>
      <c r="AL1510" s="56" t="str">
        <f t="shared" si="804"/>
        <v/>
      </c>
      <c r="AM1510" s="55"/>
      <c r="AN1510" s="56" t="str">
        <f t="shared" si="805"/>
        <v/>
      </c>
      <c r="AO1510" s="55"/>
      <c r="AP1510" s="56" t="str">
        <f t="shared" si="806"/>
        <v/>
      </c>
      <c r="AQ1510" s="55"/>
      <c r="AR1510" s="56" t="str">
        <f t="shared" si="807"/>
        <v/>
      </c>
      <c r="AS1510" s="57"/>
      <c r="AT1510" s="58"/>
      <c r="AU1510" s="58"/>
      <c r="AV1510" s="59"/>
      <c r="AW1510" s="60" t="str">
        <f t="shared" si="808"/>
        <v/>
      </c>
      <c r="AX1510" s="61" t="str">
        <f t="shared" si="809"/>
        <v/>
      </c>
      <c r="AY1510" s="60" t="str">
        <f t="shared" si="810"/>
        <v/>
      </c>
      <c r="AZ1510" s="61" t="str">
        <f t="shared" si="811"/>
        <v/>
      </c>
    </row>
    <row r="1511" spans="1:52" s="3" customFormat="1" ht="12" hidden="1" customHeight="1" thickBot="1" x14ac:dyDescent="0.4">
      <c r="A1511" s="85">
        <f t="shared" si="768"/>
        <v>2020</v>
      </c>
      <c r="B1511" s="85" t="str">
        <f t="shared" si="787"/>
        <v>Dec</v>
      </c>
      <c r="C1511" s="86">
        <f t="shared" si="788"/>
        <v>3</v>
      </c>
      <c r="D1511" s="87">
        <f t="shared" si="789"/>
        <v>16</v>
      </c>
      <c r="E1511" s="88">
        <f t="shared" si="769"/>
        <v>2</v>
      </c>
      <c r="F1511" s="89"/>
      <c r="G1511" s="90"/>
      <c r="H1511" s="68" t="str">
        <f t="shared" si="790"/>
        <v>Hyprev6_20201203_16_00</v>
      </c>
      <c r="I1511" s="91">
        <f t="shared" ref="I1511:N1511" si="815">I1510</f>
        <v>1</v>
      </c>
      <c r="J1511" s="92" t="str">
        <f t="shared" si="815"/>
        <v>Hypericum</v>
      </c>
      <c r="K1511" s="92" t="str">
        <f t="shared" si="815"/>
        <v>revolutum</v>
      </c>
      <c r="L1511" s="93">
        <f t="shared" si="815"/>
        <v>6</v>
      </c>
      <c r="M1511" s="93">
        <f t="shared" si="815"/>
        <v>1</v>
      </c>
      <c r="N1511" s="94">
        <f t="shared" si="815"/>
        <v>0</v>
      </c>
      <c r="O1511" s="95"/>
      <c r="P1511" s="96" t="str">
        <f t="shared" si="792"/>
        <v/>
      </c>
      <c r="Q1511" s="97" t="str">
        <f t="shared" si="793"/>
        <v/>
      </c>
      <c r="R1511" s="98" t="e">
        <f t="shared" si="794"/>
        <v>#VALUE!</v>
      </c>
      <c r="S1511" s="98" t="e">
        <f t="shared" si="795"/>
        <v>#VALUE!</v>
      </c>
      <c r="T1511" s="98" t="str">
        <f t="shared" si="796"/>
        <v/>
      </c>
      <c r="U1511" s="99"/>
      <c r="V1511" s="100"/>
      <c r="W1511" s="101" t="e">
        <f t="shared" si="797"/>
        <v>#VALUE!</v>
      </c>
      <c r="X1511" s="102"/>
      <c r="Y1511" s="141"/>
      <c r="Z1511" s="141"/>
      <c r="AA1511" s="47" t="e">
        <f>INDEX(VISITORS[INSECT ORDER], MATCH(X1511,VISITORS[NAME USED],0))</f>
        <v>#N/A</v>
      </c>
      <c r="AB1511" s="98" t="e">
        <f t="shared" si="798"/>
        <v>#N/A</v>
      </c>
      <c r="AC1511" s="53" t="e">
        <f t="shared" si="799"/>
        <v>#VALUE!</v>
      </c>
      <c r="AD1511" s="103" t="str">
        <f t="shared" si="800"/>
        <v/>
      </c>
      <c r="AE1511" s="103"/>
      <c r="AF1511" s="103"/>
      <c r="AG1511" s="104" t="str">
        <f t="shared" si="801"/>
        <v/>
      </c>
      <c r="AH1511" s="105" t="str">
        <f t="shared" si="802"/>
        <v/>
      </c>
      <c r="AI1511" s="104"/>
      <c r="AJ1511" s="105" t="str">
        <f t="shared" si="803"/>
        <v/>
      </c>
      <c r="AK1511" s="104"/>
      <c r="AL1511" s="105" t="str">
        <f t="shared" si="804"/>
        <v/>
      </c>
      <c r="AM1511" s="104"/>
      <c r="AN1511" s="105" t="str">
        <f t="shared" si="805"/>
        <v/>
      </c>
      <c r="AO1511" s="104"/>
      <c r="AP1511" s="105" t="str">
        <f t="shared" si="806"/>
        <v/>
      </c>
      <c r="AQ1511" s="104"/>
      <c r="AR1511" s="105" t="str">
        <f t="shared" si="807"/>
        <v/>
      </c>
      <c r="AS1511" s="106"/>
      <c r="AT1511" s="107"/>
      <c r="AU1511" s="107"/>
      <c r="AV1511" s="108"/>
      <c r="AW1511" s="109" t="str">
        <f t="shared" si="808"/>
        <v/>
      </c>
      <c r="AX1511" s="110" t="str">
        <f t="shared" si="809"/>
        <v/>
      </c>
      <c r="AY1511" s="109" t="str">
        <f t="shared" si="810"/>
        <v/>
      </c>
      <c r="AZ1511" s="110" t="str">
        <f t="shared" si="811"/>
        <v/>
      </c>
    </row>
    <row r="1512" spans="1:52" s="3" customFormat="1" ht="12" hidden="1" customHeight="1" x14ac:dyDescent="0.35">
      <c r="A1512" s="72">
        <f t="shared" si="768"/>
        <v>2020</v>
      </c>
      <c r="B1512" s="72" t="str">
        <f t="shared" si="787"/>
        <v>Dec</v>
      </c>
      <c r="C1512" s="73">
        <f t="shared" si="788"/>
        <v>3</v>
      </c>
      <c r="D1512" s="74">
        <f t="shared" si="789"/>
        <v>16</v>
      </c>
      <c r="E1512" s="75">
        <f t="shared" si="769"/>
        <v>3</v>
      </c>
      <c r="F1512" s="79"/>
      <c r="G1512" s="82"/>
      <c r="H1512" s="68" t="str">
        <f t="shared" si="790"/>
        <v>Hyprev6_20201203_16_00</v>
      </c>
      <c r="I1512" s="69">
        <f t="shared" ref="I1512:N1512" si="816">I1511</f>
        <v>1</v>
      </c>
      <c r="J1512" s="76" t="str">
        <f t="shared" si="816"/>
        <v>Hypericum</v>
      </c>
      <c r="K1512" s="76" t="str">
        <f t="shared" si="816"/>
        <v>revolutum</v>
      </c>
      <c r="L1512" s="77">
        <f t="shared" si="816"/>
        <v>6</v>
      </c>
      <c r="M1512" s="77">
        <f t="shared" si="816"/>
        <v>1</v>
      </c>
      <c r="N1512" s="71">
        <f t="shared" si="816"/>
        <v>0</v>
      </c>
      <c r="O1512" s="44"/>
      <c r="P1512" s="45" t="str">
        <f t="shared" si="792"/>
        <v/>
      </c>
      <c r="Q1512" s="46" t="str">
        <f t="shared" si="793"/>
        <v/>
      </c>
      <c r="R1512" s="47" t="e">
        <f t="shared" si="794"/>
        <v>#VALUE!</v>
      </c>
      <c r="S1512" s="48" t="e">
        <f t="shared" si="795"/>
        <v>#VALUE!</v>
      </c>
      <c r="T1512" s="47" t="str">
        <f t="shared" si="796"/>
        <v/>
      </c>
      <c r="U1512" s="49"/>
      <c r="V1512" s="50"/>
      <c r="W1512" s="51" t="e">
        <f t="shared" si="797"/>
        <v>#VALUE!</v>
      </c>
      <c r="X1512" s="52"/>
      <c r="Y1512" s="52"/>
      <c r="Z1512" s="52"/>
      <c r="AA1512" s="47" t="e">
        <f>INDEX(VISITORS[INSECT ORDER], MATCH(X1512,VISITORS[NAME USED],0))</f>
        <v>#N/A</v>
      </c>
      <c r="AB1512" s="47" t="e">
        <f t="shared" si="798"/>
        <v>#N/A</v>
      </c>
      <c r="AC1512" s="53" t="e">
        <f t="shared" si="799"/>
        <v>#VALUE!</v>
      </c>
      <c r="AD1512" s="54" t="str">
        <f t="shared" si="800"/>
        <v/>
      </c>
      <c r="AE1512" s="54"/>
      <c r="AF1512" s="54"/>
      <c r="AG1512" s="55" t="str">
        <f t="shared" si="801"/>
        <v/>
      </c>
      <c r="AH1512" s="56" t="str">
        <f t="shared" si="802"/>
        <v/>
      </c>
      <c r="AI1512" s="55"/>
      <c r="AJ1512" s="56" t="str">
        <f t="shared" si="803"/>
        <v/>
      </c>
      <c r="AK1512" s="55"/>
      <c r="AL1512" s="56" t="str">
        <f t="shared" si="804"/>
        <v/>
      </c>
      <c r="AM1512" s="55"/>
      <c r="AN1512" s="56" t="str">
        <f t="shared" si="805"/>
        <v/>
      </c>
      <c r="AO1512" s="55"/>
      <c r="AP1512" s="56" t="str">
        <f t="shared" si="806"/>
        <v/>
      </c>
      <c r="AQ1512" s="55"/>
      <c r="AR1512" s="56" t="str">
        <f t="shared" si="807"/>
        <v/>
      </c>
      <c r="AS1512" s="57"/>
      <c r="AT1512" s="58"/>
      <c r="AU1512" s="58"/>
      <c r="AV1512" s="59"/>
      <c r="AW1512" s="60" t="str">
        <f t="shared" si="808"/>
        <v/>
      </c>
      <c r="AX1512" s="61" t="str">
        <f t="shared" si="809"/>
        <v/>
      </c>
      <c r="AY1512" s="60" t="str">
        <f t="shared" si="810"/>
        <v/>
      </c>
      <c r="AZ1512" s="61" t="str">
        <f t="shared" si="811"/>
        <v/>
      </c>
    </row>
    <row r="1513" spans="1:52" s="3" customFormat="1" ht="12" hidden="1" customHeight="1" x14ac:dyDescent="0.35">
      <c r="A1513" s="72">
        <f t="shared" si="768"/>
        <v>2020</v>
      </c>
      <c r="B1513" s="72" t="str">
        <f t="shared" si="787"/>
        <v>Dec</v>
      </c>
      <c r="C1513" s="73">
        <f t="shared" si="788"/>
        <v>3</v>
      </c>
      <c r="D1513" s="74">
        <f t="shared" si="789"/>
        <v>16</v>
      </c>
      <c r="E1513" s="75">
        <f t="shared" si="769"/>
        <v>4</v>
      </c>
      <c r="F1513" s="79"/>
      <c r="G1513" s="82"/>
      <c r="H1513" s="68" t="str">
        <f t="shared" si="790"/>
        <v>Hyprev6_20201203_16_00</v>
      </c>
      <c r="I1513" s="69">
        <f t="shared" ref="I1513:N1513" si="817">I1512</f>
        <v>1</v>
      </c>
      <c r="J1513" s="76" t="str">
        <f t="shared" si="817"/>
        <v>Hypericum</v>
      </c>
      <c r="K1513" s="76" t="str">
        <f t="shared" si="817"/>
        <v>revolutum</v>
      </c>
      <c r="L1513" s="77">
        <f t="shared" si="817"/>
        <v>6</v>
      </c>
      <c r="M1513" s="77">
        <f t="shared" si="817"/>
        <v>1</v>
      </c>
      <c r="N1513" s="71">
        <f t="shared" si="817"/>
        <v>0</v>
      </c>
      <c r="O1513" s="44"/>
      <c r="P1513" s="45" t="str">
        <f t="shared" si="792"/>
        <v/>
      </c>
      <c r="Q1513" s="46" t="str">
        <f t="shared" si="793"/>
        <v/>
      </c>
      <c r="R1513" s="47" t="e">
        <f t="shared" si="794"/>
        <v>#VALUE!</v>
      </c>
      <c r="S1513" s="48" t="e">
        <f t="shared" si="795"/>
        <v>#VALUE!</v>
      </c>
      <c r="T1513" s="47" t="str">
        <f t="shared" si="796"/>
        <v/>
      </c>
      <c r="U1513" s="49"/>
      <c r="V1513" s="50"/>
      <c r="W1513" s="51" t="e">
        <f t="shared" si="797"/>
        <v>#VALUE!</v>
      </c>
      <c r="X1513" s="52"/>
      <c r="Y1513" s="52"/>
      <c r="Z1513" s="52"/>
      <c r="AA1513" s="47" t="e">
        <f>INDEX(VISITORS[INSECT ORDER], MATCH(X1513,VISITORS[NAME USED],0))</f>
        <v>#N/A</v>
      </c>
      <c r="AB1513" s="47" t="e">
        <f t="shared" si="798"/>
        <v>#N/A</v>
      </c>
      <c r="AC1513" s="53" t="e">
        <f t="shared" si="799"/>
        <v>#VALUE!</v>
      </c>
      <c r="AD1513" s="54" t="str">
        <f t="shared" si="800"/>
        <v/>
      </c>
      <c r="AE1513" s="54"/>
      <c r="AF1513" s="54"/>
      <c r="AG1513" s="55" t="str">
        <f t="shared" si="801"/>
        <v/>
      </c>
      <c r="AH1513" s="56" t="str">
        <f t="shared" si="802"/>
        <v/>
      </c>
      <c r="AI1513" s="55"/>
      <c r="AJ1513" s="56" t="str">
        <f t="shared" si="803"/>
        <v/>
      </c>
      <c r="AK1513" s="55"/>
      <c r="AL1513" s="56" t="str">
        <f t="shared" si="804"/>
        <v/>
      </c>
      <c r="AM1513" s="55"/>
      <c r="AN1513" s="56" t="str">
        <f t="shared" si="805"/>
        <v/>
      </c>
      <c r="AO1513" s="55"/>
      <c r="AP1513" s="56" t="str">
        <f t="shared" si="806"/>
        <v/>
      </c>
      <c r="AQ1513" s="55"/>
      <c r="AR1513" s="56" t="str">
        <f t="shared" si="807"/>
        <v/>
      </c>
      <c r="AS1513" s="57"/>
      <c r="AT1513" s="58"/>
      <c r="AU1513" s="58"/>
      <c r="AV1513" s="59"/>
      <c r="AW1513" s="60" t="str">
        <f t="shared" si="808"/>
        <v/>
      </c>
      <c r="AX1513" s="61" t="str">
        <f t="shared" si="809"/>
        <v/>
      </c>
      <c r="AY1513" s="60" t="str">
        <f t="shared" si="810"/>
        <v/>
      </c>
      <c r="AZ1513" s="61" t="str">
        <f t="shared" si="811"/>
        <v/>
      </c>
    </row>
    <row r="1514" spans="1:52" s="3" customFormat="1" ht="12" hidden="1" customHeight="1" thickBot="1" x14ac:dyDescent="0.4">
      <c r="A1514" s="85">
        <f t="shared" si="768"/>
        <v>2020</v>
      </c>
      <c r="B1514" s="85" t="str">
        <f t="shared" si="787"/>
        <v>Dec</v>
      </c>
      <c r="C1514" s="86">
        <f t="shared" si="788"/>
        <v>3</v>
      </c>
      <c r="D1514" s="87">
        <f t="shared" si="789"/>
        <v>16</v>
      </c>
      <c r="E1514" s="88">
        <f t="shared" si="769"/>
        <v>5</v>
      </c>
      <c r="F1514" s="89"/>
      <c r="G1514" s="90"/>
      <c r="H1514" s="68" t="str">
        <f t="shared" si="790"/>
        <v>Hyprev6_20201203_16_00</v>
      </c>
      <c r="I1514" s="91">
        <f t="shared" ref="I1514:N1514" si="818">I1513</f>
        <v>1</v>
      </c>
      <c r="J1514" s="92" t="str">
        <f t="shared" si="818"/>
        <v>Hypericum</v>
      </c>
      <c r="K1514" s="92" t="str">
        <f t="shared" si="818"/>
        <v>revolutum</v>
      </c>
      <c r="L1514" s="93">
        <f t="shared" si="818"/>
        <v>6</v>
      </c>
      <c r="M1514" s="93">
        <f t="shared" si="818"/>
        <v>1</v>
      </c>
      <c r="N1514" s="94">
        <f t="shared" si="818"/>
        <v>0</v>
      </c>
      <c r="O1514" s="95"/>
      <c r="P1514" s="96" t="str">
        <f t="shared" si="792"/>
        <v/>
      </c>
      <c r="Q1514" s="97" t="str">
        <f t="shared" si="793"/>
        <v/>
      </c>
      <c r="R1514" s="98" t="e">
        <f t="shared" si="794"/>
        <v>#VALUE!</v>
      </c>
      <c r="S1514" s="98" t="e">
        <f t="shared" si="795"/>
        <v>#VALUE!</v>
      </c>
      <c r="T1514" s="98" t="str">
        <f t="shared" si="796"/>
        <v/>
      </c>
      <c r="U1514" s="99"/>
      <c r="V1514" s="100"/>
      <c r="W1514" s="101" t="e">
        <f t="shared" si="797"/>
        <v>#VALUE!</v>
      </c>
      <c r="X1514" s="102"/>
      <c r="Y1514" s="141"/>
      <c r="Z1514" s="141"/>
      <c r="AA1514" s="47" t="e">
        <f>INDEX(VISITORS[INSECT ORDER], MATCH(X1514,VISITORS[NAME USED],0))</f>
        <v>#N/A</v>
      </c>
      <c r="AB1514" s="98" t="e">
        <f t="shared" si="798"/>
        <v>#N/A</v>
      </c>
      <c r="AC1514" s="53" t="e">
        <f t="shared" si="799"/>
        <v>#VALUE!</v>
      </c>
      <c r="AD1514" s="103" t="str">
        <f t="shared" si="800"/>
        <v/>
      </c>
      <c r="AE1514" s="103"/>
      <c r="AF1514" s="103"/>
      <c r="AG1514" s="104" t="str">
        <f t="shared" si="801"/>
        <v/>
      </c>
      <c r="AH1514" s="105" t="str">
        <f t="shared" si="802"/>
        <v/>
      </c>
      <c r="AI1514" s="104"/>
      <c r="AJ1514" s="105" t="str">
        <f t="shared" si="803"/>
        <v/>
      </c>
      <c r="AK1514" s="104"/>
      <c r="AL1514" s="105" t="str">
        <f t="shared" si="804"/>
        <v/>
      </c>
      <c r="AM1514" s="104"/>
      <c r="AN1514" s="105" t="str">
        <f t="shared" si="805"/>
        <v/>
      </c>
      <c r="AO1514" s="104"/>
      <c r="AP1514" s="105" t="str">
        <f t="shared" si="806"/>
        <v/>
      </c>
      <c r="AQ1514" s="104"/>
      <c r="AR1514" s="105" t="str">
        <f t="shared" si="807"/>
        <v/>
      </c>
      <c r="AS1514" s="106"/>
      <c r="AT1514" s="107"/>
      <c r="AU1514" s="107"/>
      <c r="AV1514" s="108"/>
      <c r="AW1514" s="109" t="str">
        <f t="shared" si="808"/>
        <v/>
      </c>
      <c r="AX1514" s="110" t="str">
        <f t="shared" si="809"/>
        <v/>
      </c>
      <c r="AY1514" s="109" t="str">
        <f t="shared" si="810"/>
        <v/>
      </c>
      <c r="AZ1514" s="110" t="str">
        <f t="shared" si="811"/>
        <v/>
      </c>
    </row>
    <row r="1515" spans="1:52" s="3" customFormat="1" ht="12" hidden="1" customHeight="1" x14ac:dyDescent="0.35">
      <c r="A1515" s="72">
        <f t="shared" si="768"/>
        <v>2020</v>
      </c>
      <c r="B1515" s="72" t="str">
        <f t="shared" si="787"/>
        <v>Dec</v>
      </c>
      <c r="C1515" s="73">
        <f t="shared" si="788"/>
        <v>3</v>
      </c>
      <c r="D1515" s="74">
        <f t="shared" si="789"/>
        <v>16</v>
      </c>
      <c r="E1515" s="75">
        <f t="shared" si="769"/>
        <v>6</v>
      </c>
      <c r="F1515" s="79"/>
      <c r="G1515" s="82"/>
      <c r="H1515" s="68" t="str">
        <f t="shared" si="790"/>
        <v>Hyprev6_20201203_16_00</v>
      </c>
      <c r="I1515" s="69">
        <f t="shared" ref="I1515:N1515" si="819">I1514</f>
        <v>1</v>
      </c>
      <c r="J1515" s="76" t="str">
        <f t="shared" si="819"/>
        <v>Hypericum</v>
      </c>
      <c r="K1515" s="76" t="str">
        <f t="shared" si="819"/>
        <v>revolutum</v>
      </c>
      <c r="L1515" s="77">
        <f t="shared" si="819"/>
        <v>6</v>
      </c>
      <c r="M1515" s="77">
        <f t="shared" si="819"/>
        <v>1</v>
      </c>
      <c r="N1515" s="71">
        <f t="shared" si="819"/>
        <v>0</v>
      </c>
      <c r="O1515" s="44"/>
      <c r="P1515" s="45" t="str">
        <f t="shared" si="792"/>
        <v/>
      </c>
      <c r="Q1515" s="46" t="str">
        <f t="shared" si="793"/>
        <v/>
      </c>
      <c r="R1515" s="47" t="e">
        <f t="shared" si="794"/>
        <v>#VALUE!</v>
      </c>
      <c r="S1515" s="48" t="e">
        <f t="shared" si="795"/>
        <v>#VALUE!</v>
      </c>
      <c r="T1515" s="47" t="str">
        <f t="shared" si="796"/>
        <v/>
      </c>
      <c r="U1515" s="49"/>
      <c r="V1515" s="50"/>
      <c r="W1515" s="51" t="e">
        <f t="shared" si="797"/>
        <v>#VALUE!</v>
      </c>
      <c r="X1515" s="52"/>
      <c r="Y1515" s="52"/>
      <c r="Z1515" s="52"/>
      <c r="AA1515" s="47" t="e">
        <f>INDEX(VISITORS[INSECT ORDER], MATCH(X1515,VISITORS[NAME USED],0))</f>
        <v>#N/A</v>
      </c>
      <c r="AB1515" s="47" t="e">
        <f t="shared" si="798"/>
        <v>#N/A</v>
      </c>
      <c r="AC1515" s="53" t="e">
        <f t="shared" si="799"/>
        <v>#VALUE!</v>
      </c>
      <c r="AD1515" s="54" t="str">
        <f t="shared" si="800"/>
        <v/>
      </c>
      <c r="AE1515" s="54"/>
      <c r="AF1515" s="54"/>
      <c r="AG1515" s="55" t="str">
        <f t="shared" si="801"/>
        <v/>
      </c>
      <c r="AH1515" s="56" t="str">
        <f t="shared" si="802"/>
        <v/>
      </c>
      <c r="AI1515" s="55"/>
      <c r="AJ1515" s="56" t="str">
        <f t="shared" si="803"/>
        <v/>
      </c>
      <c r="AK1515" s="55"/>
      <c r="AL1515" s="56" t="str">
        <f t="shared" si="804"/>
        <v/>
      </c>
      <c r="AM1515" s="55"/>
      <c r="AN1515" s="56" t="str">
        <f t="shared" si="805"/>
        <v/>
      </c>
      <c r="AO1515" s="55"/>
      <c r="AP1515" s="56" t="str">
        <f t="shared" si="806"/>
        <v/>
      </c>
      <c r="AQ1515" s="55"/>
      <c r="AR1515" s="56" t="str">
        <f t="shared" si="807"/>
        <v/>
      </c>
      <c r="AS1515" s="57"/>
      <c r="AT1515" s="58"/>
      <c r="AU1515" s="58"/>
      <c r="AV1515" s="59"/>
      <c r="AW1515" s="60" t="str">
        <f t="shared" si="808"/>
        <v/>
      </c>
      <c r="AX1515" s="61" t="str">
        <f t="shared" si="809"/>
        <v/>
      </c>
      <c r="AY1515" s="60" t="str">
        <f t="shared" si="810"/>
        <v/>
      </c>
      <c r="AZ1515" s="61" t="str">
        <f t="shared" si="811"/>
        <v/>
      </c>
    </row>
    <row r="1516" spans="1:52" s="3" customFormat="1" ht="12" hidden="1" customHeight="1" x14ac:dyDescent="0.35">
      <c r="A1516" s="72">
        <f t="shared" si="768"/>
        <v>2020</v>
      </c>
      <c r="B1516" s="72" t="str">
        <f t="shared" si="787"/>
        <v>Dec</v>
      </c>
      <c r="C1516" s="73">
        <f t="shared" si="788"/>
        <v>3</v>
      </c>
      <c r="D1516" s="74">
        <f t="shared" si="789"/>
        <v>16</v>
      </c>
      <c r="E1516" s="75">
        <f t="shared" si="769"/>
        <v>7</v>
      </c>
      <c r="F1516" s="79"/>
      <c r="G1516" s="82"/>
      <c r="H1516" s="68" t="str">
        <f t="shared" si="790"/>
        <v>Hyprev6_20201203_16_00</v>
      </c>
      <c r="I1516" s="69">
        <f t="shared" ref="I1516:N1516" si="820">I1515</f>
        <v>1</v>
      </c>
      <c r="J1516" s="76" t="str">
        <f t="shared" si="820"/>
        <v>Hypericum</v>
      </c>
      <c r="K1516" s="76" t="str">
        <f t="shared" si="820"/>
        <v>revolutum</v>
      </c>
      <c r="L1516" s="77">
        <f t="shared" si="820"/>
        <v>6</v>
      </c>
      <c r="M1516" s="77">
        <f t="shared" si="820"/>
        <v>1</v>
      </c>
      <c r="N1516" s="71">
        <f t="shared" si="820"/>
        <v>0</v>
      </c>
      <c r="O1516" s="44"/>
      <c r="P1516" s="45" t="str">
        <f t="shared" si="792"/>
        <v/>
      </c>
      <c r="Q1516" s="46" t="str">
        <f t="shared" si="793"/>
        <v/>
      </c>
      <c r="R1516" s="47" t="e">
        <f t="shared" si="794"/>
        <v>#VALUE!</v>
      </c>
      <c r="S1516" s="48" t="e">
        <f t="shared" si="795"/>
        <v>#VALUE!</v>
      </c>
      <c r="T1516" s="47" t="str">
        <f t="shared" si="796"/>
        <v/>
      </c>
      <c r="U1516" s="49"/>
      <c r="V1516" s="50"/>
      <c r="W1516" s="51" t="e">
        <f t="shared" si="797"/>
        <v>#VALUE!</v>
      </c>
      <c r="X1516" s="52"/>
      <c r="Y1516" s="52"/>
      <c r="Z1516" s="52"/>
      <c r="AA1516" s="47" t="e">
        <f>INDEX(VISITORS[INSECT ORDER], MATCH(X1516,VISITORS[NAME USED],0))</f>
        <v>#N/A</v>
      </c>
      <c r="AB1516" s="47" t="e">
        <f t="shared" si="798"/>
        <v>#N/A</v>
      </c>
      <c r="AC1516" s="53" t="e">
        <f t="shared" si="799"/>
        <v>#VALUE!</v>
      </c>
      <c r="AD1516" s="54" t="str">
        <f t="shared" si="800"/>
        <v/>
      </c>
      <c r="AE1516" s="54"/>
      <c r="AF1516" s="54"/>
      <c r="AG1516" s="55" t="str">
        <f t="shared" si="801"/>
        <v/>
      </c>
      <c r="AH1516" s="56" t="str">
        <f t="shared" si="802"/>
        <v/>
      </c>
      <c r="AI1516" s="55"/>
      <c r="AJ1516" s="56" t="str">
        <f t="shared" si="803"/>
        <v/>
      </c>
      <c r="AK1516" s="55"/>
      <c r="AL1516" s="56" t="str">
        <f t="shared" si="804"/>
        <v/>
      </c>
      <c r="AM1516" s="55"/>
      <c r="AN1516" s="56" t="str">
        <f t="shared" si="805"/>
        <v/>
      </c>
      <c r="AO1516" s="55"/>
      <c r="AP1516" s="56" t="str">
        <f t="shared" si="806"/>
        <v/>
      </c>
      <c r="AQ1516" s="55"/>
      <c r="AR1516" s="56" t="str">
        <f t="shared" si="807"/>
        <v/>
      </c>
      <c r="AS1516" s="57"/>
      <c r="AT1516" s="58"/>
      <c r="AU1516" s="58"/>
      <c r="AV1516" s="59"/>
      <c r="AW1516" s="60" t="str">
        <f t="shared" si="808"/>
        <v/>
      </c>
      <c r="AX1516" s="61" t="str">
        <f t="shared" si="809"/>
        <v/>
      </c>
      <c r="AY1516" s="60" t="str">
        <f t="shared" si="810"/>
        <v/>
      </c>
      <c r="AZ1516" s="61" t="str">
        <f t="shared" si="811"/>
        <v/>
      </c>
    </row>
    <row r="1517" spans="1:52" s="3" customFormat="1" ht="12" hidden="1" customHeight="1" thickBot="1" x14ac:dyDescent="0.4">
      <c r="A1517" s="85">
        <f t="shared" si="768"/>
        <v>2020</v>
      </c>
      <c r="B1517" s="85" t="str">
        <f t="shared" si="787"/>
        <v>Dec</v>
      </c>
      <c r="C1517" s="86">
        <f t="shared" si="788"/>
        <v>3</v>
      </c>
      <c r="D1517" s="87">
        <f t="shared" si="789"/>
        <v>16</v>
      </c>
      <c r="E1517" s="88">
        <f t="shared" si="769"/>
        <v>8</v>
      </c>
      <c r="F1517" s="89"/>
      <c r="G1517" s="90"/>
      <c r="H1517" s="68" t="str">
        <f t="shared" si="790"/>
        <v>Hyprev6_20201203_16_00</v>
      </c>
      <c r="I1517" s="91">
        <f t="shared" ref="I1517:N1517" si="821">I1516</f>
        <v>1</v>
      </c>
      <c r="J1517" s="92" t="str">
        <f t="shared" si="821"/>
        <v>Hypericum</v>
      </c>
      <c r="K1517" s="92" t="str">
        <f t="shared" si="821"/>
        <v>revolutum</v>
      </c>
      <c r="L1517" s="93">
        <f t="shared" si="821"/>
        <v>6</v>
      </c>
      <c r="M1517" s="93">
        <f t="shared" si="821"/>
        <v>1</v>
      </c>
      <c r="N1517" s="94">
        <f t="shared" si="821"/>
        <v>0</v>
      </c>
      <c r="O1517" s="95"/>
      <c r="P1517" s="96" t="str">
        <f t="shared" si="792"/>
        <v/>
      </c>
      <c r="Q1517" s="97" t="str">
        <f t="shared" si="793"/>
        <v/>
      </c>
      <c r="R1517" s="98" t="e">
        <f t="shared" si="794"/>
        <v>#VALUE!</v>
      </c>
      <c r="S1517" s="98" t="e">
        <f t="shared" si="795"/>
        <v>#VALUE!</v>
      </c>
      <c r="T1517" s="98" t="str">
        <f t="shared" si="796"/>
        <v/>
      </c>
      <c r="U1517" s="99"/>
      <c r="V1517" s="100"/>
      <c r="W1517" s="101" t="e">
        <f t="shared" si="797"/>
        <v>#VALUE!</v>
      </c>
      <c r="X1517" s="102"/>
      <c r="Y1517" s="141"/>
      <c r="Z1517" s="141"/>
      <c r="AA1517" s="47" t="e">
        <f>INDEX(VISITORS[INSECT ORDER], MATCH(X1517,VISITORS[NAME USED],0))</f>
        <v>#N/A</v>
      </c>
      <c r="AB1517" s="98" t="e">
        <f t="shared" si="798"/>
        <v>#N/A</v>
      </c>
      <c r="AC1517" s="53" t="e">
        <f t="shared" si="799"/>
        <v>#VALUE!</v>
      </c>
      <c r="AD1517" s="103" t="str">
        <f t="shared" si="800"/>
        <v/>
      </c>
      <c r="AE1517" s="103"/>
      <c r="AF1517" s="103"/>
      <c r="AG1517" s="104" t="str">
        <f t="shared" si="801"/>
        <v/>
      </c>
      <c r="AH1517" s="105" t="str">
        <f t="shared" si="802"/>
        <v/>
      </c>
      <c r="AI1517" s="104"/>
      <c r="AJ1517" s="105" t="str">
        <f t="shared" si="803"/>
        <v/>
      </c>
      <c r="AK1517" s="104"/>
      <c r="AL1517" s="105" t="str">
        <f t="shared" si="804"/>
        <v/>
      </c>
      <c r="AM1517" s="104"/>
      <c r="AN1517" s="105" t="str">
        <f t="shared" si="805"/>
        <v/>
      </c>
      <c r="AO1517" s="104"/>
      <c r="AP1517" s="105" t="str">
        <f t="shared" si="806"/>
        <v/>
      </c>
      <c r="AQ1517" s="104"/>
      <c r="AR1517" s="105" t="str">
        <f t="shared" si="807"/>
        <v/>
      </c>
      <c r="AS1517" s="106"/>
      <c r="AT1517" s="107"/>
      <c r="AU1517" s="107"/>
      <c r="AV1517" s="108"/>
      <c r="AW1517" s="109" t="str">
        <f t="shared" si="808"/>
        <v/>
      </c>
      <c r="AX1517" s="110" t="str">
        <f t="shared" si="809"/>
        <v/>
      </c>
      <c r="AY1517" s="109" t="str">
        <f t="shared" si="810"/>
        <v/>
      </c>
      <c r="AZ1517" s="110" t="str">
        <f t="shared" si="811"/>
        <v/>
      </c>
    </row>
    <row r="1518" spans="1:52" s="3" customFormat="1" ht="12" hidden="1" customHeight="1" x14ac:dyDescent="0.35">
      <c r="A1518" s="72">
        <f t="shared" si="768"/>
        <v>2020</v>
      </c>
      <c r="B1518" s="72" t="str">
        <f t="shared" si="787"/>
        <v>Dec</v>
      </c>
      <c r="C1518" s="73">
        <f t="shared" si="788"/>
        <v>3</v>
      </c>
      <c r="D1518" s="74">
        <f t="shared" si="789"/>
        <v>16</v>
      </c>
      <c r="E1518" s="75">
        <f t="shared" si="769"/>
        <v>9</v>
      </c>
      <c r="F1518" s="79"/>
      <c r="G1518" s="82"/>
      <c r="H1518" s="68" t="str">
        <f t="shared" si="790"/>
        <v>Hyprev6_20201203_16_00</v>
      </c>
      <c r="I1518" s="69">
        <f t="shared" ref="I1518:N1518" si="822">I1517</f>
        <v>1</v>
      </c>
      <c r="J1518" s="76" t="str">
        <f t="shared" si="822"/>
        <v>Hypericum</v>
      </c>
      <c r="K1518" s="76" t="str">
        <f t="shared" si="822"/>
        <v>revolutum</v>
      </c>
      <c r="L1518" s="77">
        <f t="shared" si="822"/>
        <v>6</v>
      </c>
      <c r="M1518" s="77">
        <f t="shared" si="822"/>
        <v>1</v>
      </c>
      <c r="N1518" s="71">
        <f t="shared" si="822"/>
        <v>0</v>
      </c>
      <c r="O1518" s="44"/>
      <c r="P1518" s="45" t="str">
        <f t="shared" si="792"/>
        <v/>
      </c>
      <c r="Q1518" s="46" t="str">
        <f t="shared" si="793"/>
        <v/>
      </c>
      <c r="R1518" s="47" t="e">
        <f t="shared" si="794"/>
        <v>#VALUE!</v>
      </c>
      <c r="S1518" s="48" t="e">
        <f t="shared" si="795"/>
        <v>#VALUE!</v>
      </c>
      <c r="T1518" s="47" t="str">
        <f t="shared" si="796"/>
        <v/>
      </c>
      <c r="U1518" s="49"/>
      <c r="V1518" s="50"/>
      <c r="W1518" s="51" t="e">
        <f t="shared" si="797"/>
        <v>#VALUE!</v>
      </c>
      <c r="X1518" s="52"/>
      <c r="Y1518" s="52"/>
      <c r="Z1518" s="52"/>
      <c r="AA1518" s="47" t="e">
        <f>INDEX(VISITORS[INSECT ORDER], MATCH(X1518,VISITORS[NAME USED],0))</f>
        <v>#N/A</v>
      </c>
      <c r="AB1518" s="47" t="e">
        <f t="shared" si="798"/>
        <v>#N/A</v>
      </c>
      <c r="AC1518" s="53" t="e">
        <f t="shared" si="799"/>
        <v>#VALUE!</v>
      </c>
      <c r="AD1518" s="54" t="str">
        <f t="shared" si="800"/>
        <v/>
      </c>
      <c r="AE1518" s="54"/>
      <c r="AF1518" s="54"/>
      <c r="AG1518" s="55" t="str">
        <f t="shared" si="801"/>
        <v/>
      </c>
      <c r="AH1518" s="56" t="str">
        <f t="shared" si="802"/>
        <v/>
      </c>
      <c r="AI1518" s="55"/>
      <c r="AJ1518" s="56" t="str">
        <f t="shared" si="803"/>
        <v/>
      </c>
      <c r="AK1518" s="55"/>
      <c r="AL1518" s="56" t="str">
        <f t="shared" si="804"/>
        <v/>
      </c>
      <c r="AM1518" s="55"/>
      <c r="AN1518" s="56" t="str">
        <f t="shared" si="805"/>
        <v/>
      </c>
      <c r="AO1518" s="55"/>
      <c r="AP1518" s="56" t="str">
        <f t="shared" si="806"/>
        <v/>
      </c>
      <c r="AQ1518" s="55"/>
      <c r="AR1518" s="56" t="str">
        <f t="shared" si="807"/>
        <v/>
      </c>
      <c r="AS1518" s="57"/>
      <c r="AT1518" s="58"/>
      <c r="AU1518" s="58"/>
      <c r="AV1518" s="59"/>
      <c r="AW1518" s="60" t="str">
        <f t="shared" si="808"/>
        <v/>
      </c>
      <c r="AX1518" s="61" t="str">
        <f t="shared" si="809"/>
        <v/>
      </c>
      <c r="AY1518" s="60" t="str">
        <f t="shared" si="810"/>
        <v/>
      </c>
      <c r="AZ1518" s="61" t="str">
        <f t="shared" si="811"/>
        <v/>
      </c>
    </row>
    <row r="1519" spans="1:52" s="3" customFormat="1" ht="12" hidden="1" customHeight="1" x14ac:dyDescent="0.35">
      <c r="A1519" s="72">
        <f t="shared" si="768"/>
        <v>2020</v>
      </c>
      <c r="B1519" s="72" t="str">
        <f t="shared" si="787"/>
        <v>Dec</v>
      </c>
      <c r="C1519" s="73">
        <f t="shared" si="788"/>
        <v>3</v>
      </c>
      <c r="D1519" s="74">
        <f t="shared" si="789"/>
        <v>16</v>
      </c>
      <c r="E1519" s="75">
        <f t="shared" si="769"/>
        <v>10</v>
      </c>
      <c r="F1519" s="79"/>
      <c r="G1519" s="82"/>
      <c r="H1519" s="68" t="str">
        <f t="shared" si="790"/>
        <v>Hyprev6_20201203_16_00</v>
      </c>
      <c r="I1519" s="69">
        <f t="shared" ref="I1519:N1519" si="823">I1518</f>
        <v>1</v>
      </c>
      <c r="J1519" s="76" t="str">
        <f t="shared" si="823"/>
        <v>Hypericum</v>
      </c>
      <c r="K1519" s="76" t="str">
        <f t="shared" si="823"/>
        <v>revolutum</v>
      </c>
      <c r="L1519" s="77">
        <f t="shared" si="823"/>
        <v>6</v>
      </c>
      <c r="M1519" s="77">
        <f t="shared" si="823"/>
        <v>1</v>
      </c>
      <c r="N1519" s="71">
        <f t="shared" si="823"/>
        <v>0</v>
      </c>
      <c r="O1519" s="44"/>
      <c r="P1519" s="45" t="str">
        <f t="shared" si="792"/>
        <v/>
      </c>
      <c r="Q1519" s="46" t="str">
        <f t="shared" si="793"/>
        <v/>
      </c>
      <c r="R1519" s="47" t="e">
        <f t="shared" si="794"/>
        <v>#VALUE!</v>
      </c>
      <c r="S1519" s="48" t="e">
        <f t="shared" si="795"/>
        <v>#VALUE!</v>
      </c>
      <c r="T1519" s="47" t="str">
        <f t="shared" si="796"/>
        <v/>
      </c>
      <c r="U1519" s="49"/>
      <c r="V1519" s="50"/>
      <c r="W1519" s="51" t="e">
        <f t="shared" si="797"/>
        <v>#VALUE!</v>
      </c>
      <c r="X1519" s="52"/>
      <c r="Y1519" s="52"/>
      <c r="Z1519" s="52"/>
      <c r="AA1519" s="47" t="e">
        <f>INDEX(VISITORS[INSECT ORDER], MATCH(X1519,VISITORS[NAME USED],0))</f>
        <v>#N/A</v>
      </c>
      <c r="AB1519" s="47" t="e">
        <f t="shared" si="798"/>
        <v>#N/A</v>
      </c>
      <c r="AC1519" s="53" t="e">
        <f t="shared" si="799"/>
        <v>#VALUE!</v>
      </c>
      <c r="AD1519" s="54" t="str">
        <f t="shared" si="800"/>
        <v/>
      </c>
      <c r="AE1519" s="54"/>
      <c r="AF1519" s="54"/>
      <c r="AG1519" s="55" t="str">
        <f t="shared" si="801"/>
        <v/>
      </c>
      <c r="AH1519" s="56" t="str">
        <f t="shared" si="802"/>
        <v/>
      </c>
      <c r="AI1519" s="55"/>
      <c r="AJ1519" s="56" t="str">
        <f t="shared" si="803"/>
        <v/>
      </c>
      <c r="AK1519" s="55"/>
      <c r="AL1519" s="56" t="str">
        <f t="shared" si="804"/>
        <v/>
      </c>
      <c r="AM1519" s="55"/>
      <c r="AN1519" s="56" t="str">
        <f t="shared" si="805"/>
        <v/>
      </c>
      <c r="AO1519" s="55"/>
      <c r="AP1519" s="56" t="str">
        <f t="shared" si="806"/>
        <v/>
      </c>
      <c r="AQ1519" s="55"/>
      <c r="AR1519" s="56" t="str">
        <f t="shared" si="807"/>
        <v/>
      </c>
      <c r="AS1519" s="57"/>
      <c r="AT1519" s="58"/>
      <c r="AU1519" s="58"/>
      <c r="AV1519" s="59"/>
      <c r="AW1519" s="60" t="str">
        <f t="shared" si="808"/>
        <v/>
      </c>
      <c r="AX1519" s="61" t="str">
        <f t="shared" si="809"/>
        <v/>
      </c>
      <c r="AY1519" s="60" t="str">
        <f t="shared" si="810"/>
        <v/>
      </c>
      <c r="AZ1519" s="61" t="str">
        <f t="shared" si="811"/>
        <v/>
      </c>
    </row>
    <row r="1520" spans="1:52" s="3" customFormat="1" ht="12" hidden="1" customHeight="1" thickBot="1" x14ac:dyDescent="0.4">
      <c r="A1520" s="85">
        <f t="shared" si="768"/>
        <v>2020</v>
      </c>
      <c r="B1520" s="85" t="str">
        <f t="shared" si="787"/>
        <v>Dec</v>
      </c>
      <c r="C1520" s="86">
        <f t="shared" si="788"/>
        <v>3</v>
      </c>
      <c r="D1520" s="87">
        <f t="shared" si="789"/>
        <v>16</v>
      </c>
      <c r="E1520" s="88">
        <f t="shared" si="769"/>
        <v>11</v>
      </c>
      <c r="F1520" s="89"/>
      <c r="G1520" s="90"/>
      <c r="H1520" s="68" t="str">
        <f t="shared" si="790"/>
        <v>Hyprev6_20201203_16_00</v>
      </c>
      <c r="I1520" s="91">
        <f t="shared" ref="I1520:N1520" si="824">I1519</f>
        <v>1</v>
      </c>
      <c r="J1520" s="92" t="str">
        <f t="shared" si="824"/>
        <v>Hypericum</v>
      </c>
      <c r="K1520" s="92" t="str">
        <f t="shared" si="824"/>
        <v>revolutum</v>
      </c>
      <c r="L1520" s="93">
        <f t="shared" si="824"/>
        <v>6</v>
      </c>
      <c r="M1520" s="93">
        <f t="shared" si="824"/>
        <v>1</v>
      </c>
      <c r="N1520" s="94">
        <f t="shared" si="824"/>
        <v>0</v>
      </c>
      <c r="O1520" s="95"/>
      <c r="P1520" s="96" t="str">
        <f t="shared" si="792"/>
        <v/>
      </c>
      <c r="Q1520" s="97" t="str">
        <f t="shared" si="793"/>
        <v/>
      </c>
      <c r="R1520" s="98" t="e">
        <f t="shared" si="794"/>
        <v>#VALUE!</v>
      </c>
      <c r="S1520" s="98" t="e">
        <f t="shared" si="795"/>
        <v>#VALUE!</v>
      </c>
      <c r="T1520" s="98" t="str">
        <f t="shared" si="796"/>
        <v/>
      </c>
      <c r="U1520" s="99"/>
      <c r="V1520" s="100"/>
      <c r="W1520" s="101" t="e">
        <f t="shared" si="797"/>
        <v>#VALUE!</v>
      </c>
      <c r="X1520" s="102"/>
      <c r="Y1520" s="141"/>
      <c r="Z1520" s="141"/>
      <c r="AA1520" s="47" t="e">
        <f>INDEX(VISITORS[INSECT ORDER], MATCH(X1520,VISITORS[NAME USED],0))</f>
        <v>#N/A</v>
      </c>
      <c r="AB1520" s="98" t="e">
        <f t="shared" si="798"/>
        <v>#N/A</v>
      </c>
      <c r="AC1520" s="53" t="e">
        <f t="shared" si="799"/>
        <v>#VALUE!</v>
      </c>
      <c r="AD1520" s="103" t="str">
        <f t="shared" si="800"/>
        <v/>
      </c>
      <c r="AE1520" s="103"/>
      <c r="AF1520" s="103"/>
      <c r="AG1520" s="104" t="str">
        <f t="shared" si="801"/>
        <v/>
      </c>
      <c r="AH1520" s="105" t="str">
        <f t="shared" si="802"/>
        <v/>
      </c>
      <c r="AI1520" s="104"/>
      <c r="AJ1520" s="105" t="str">
        <f t="shared" si="803"/>
        <v/>
      </c>
      <c r="AK1520" s="104"/>
      <c r="AL1520" s="105" t="str">
        <f t="shared" si="804"/>
        <v/>
      </c>
      <c r="AM1520" s="104"/>
      <c r="AN1520" s="105" t="str">
        <f t="shared" si="805"/>
        <v/>
      </c>
      <c r="AO1520" s="104"/>
      <c r="AP1520" s="105" t="str">
        <f t="shared" si="806"/>
        <v/>
      </c>
      <c r="AQ1520" s="104"/>
      <c r="AR1520" s="105" t="str">
        <f t="shared" si="807"/>
        <v/>
      </c>
      <c r="AS1520" s="106"/>
      <c r="AT1520" s="107"/>
      <c r="AU1520" s="107"/>
      <c r="AV1520" s="108"/>
      <c r="AW1520" s="109" t="str">
        <f t="shared" si="808"/>
        <v/>
      </c>
      <c r="AX1520" s="110" t="str">
        <f t="shared" si="809"/>
        <v/>
      </c>
      <c r="AY1520" s="109" t="str">
        <f t="shared" si="810"/>
        <v/>
      </c>
      <c r="AZ1520" s="110" t="str">
        <f t="shared" si="811"/>
        <v/>
      </c>
    </row>
    <row r="1521" spans="1:52" s="3" customFormat="1" ht="12" hidden="1" customHeight="1" x14ac:dyDescent="0.35">
      <c r="A1521" s="72">
        <f t="shared" si="768"/>
        <v>2020</v>
      </c>
      <c r="B1521" s="72" t="str">
        <f t="shared" si="787"/>
        <v>Dec</v>
      </c>
      <c r="C1521" s="73">
        <f t="shared" si="788"/>
        <v>3</v>
      </c>
      <c r="D1521" s="74">
        <f t="shared" si="789"/>
        <v>16</v>
      </c>
      <c r="E1521" s="75">
        <f t="shared" si="769"/>
        <v>12</v>
      </c>
      <c r="F1521" s="79"/>
      <c r="G1521" s="82"/>
      <c r="H1521" s="68" t="str">
        <f t="shared" si="790"/>
        <v>Hyprev6_20201203_16_00</v>
      </c>
      <c r="I1521" s="69">
        <f t="shared" ref="I1521:N1521" si="825">I1520</f>
        <v>1</v>
      </c>
      <c r="J1521" s="76" t="str">
        <f t="shared" si="825"/>
        <v>Hypericum</v>
      </c>
      <c r="K1521" s="76" t="str">
        <f t="shared" si="825"/>
        <v>revolutum</v>
      </c>
      <c r="L1521" s="77">
        <f t="shared" si="825"/>
        <v>6</v>
      </c>
      <c r="M1521" s="77">
        <f t="shared" si="825"/>
        <v>1</v>
      </c>
      <c r="N1521" s="71">
        <f t="shared" si="825"/>
        <v>0</v>
      </c>
      <c r="O1521" s="44"/>
      <c r="P1521" s="45" t="str">
        <f t="shared" si="792"/>
        <v/>
      </c>
      <c r="Q1521" s="46" t="str">
        <f t="shared" si="793"/>
        <v/>
      </c>
      <c r="R1521" s="47" t="e">
        <f t="shared" si="794"/>
        <v>#VALUE!</v>
      </c>
      <c r="S1521" s="48" t="e">
        <f t="shared" si="795"/>
        <v>#VALUE!</v>
      </c>
      <c r="T1521" s="47" t="str">
        <f t="shared" si="796"/>
        <v/>
      </c>
      <c r="U1521" s="49"/>
      <c r="V1521" s="50"/>
      <c r="W1521" s="51" t="e">
        <f t="shared" si="797"/>
        <v>#VALUE!</v>
      </c>
      <c r="X1521" s="52"/>
      <c r="Y1521" s="52"/>
      <c r="Z1521" s="52"/>
      <c r="AA1521" s="47" t="e">
        <f>INDEX(VISITORS[INSECT ORDER], MATCH(X1521,VISITORS[NAME USED],0))</f>
        <v>#N/A</v>
      </c>
      <c r="AB1521" s="47" t="e">
        <f t="shared" si="798"/>
        <v>#N/A</v>
      </c>
      <c r="AC1521" s="53" t="e">
        <f t="shared" si="799"/>
        <v>#VALUE!</v>
      </c>
      <c r="AD1521" s="54" t="str">
        <f t="shared" si="800"/>
        <v/>
      </c>
      <c r="AE1521" s="54"/>
      <c r="AF1521" s="54"/>
      <c r="AG1521" s="55" t="str">
        <f t="shared" si="801"/>
        <v/>
      </c>
      <c r="AH1521" s="56" t="str">
        <f t="shared" si="802"/>
        <v/>
      </c>
      <c r="AI1521" s="55"/>
      <c r="AJ1521" s="56" t="str">
        <f t="shared" si="803"/>
        <v/>
      </c>
      <c r="AK1521" s="55"/>
      <c r="AL1521" s="56" t="str">
        <f t="shared" si="804"/>
        <v/>
      </c>
      <c r="AM1521" s="55"/>
      <c r="AN1521" s="56" t="str">
        <f t="shared" si="805"/>
        <v/>
      </c>
      <c r="AO1521" s="55"/>
      <c r="AP1521" s="56" t="str">
        <f t="shared" si="806"/>
        <v/>
      </c>
      <c r="AQ1521" s="55"/>
      <c r="AR1521" s="56" t="str">
        <f t="shared" si="807"/>
        <v/>
      </c>
      <c r="AS1521" s="57"/>
      <c r="AT1521" s="58"/>
      <c r="AU1521" s="58"/>
      <c r="AV1521" s="59"/>
      <c r="AW1521" s="60" t="str">
        <f t="shared" si="808"/>
        <v/>
      </c>
      <c r="AX1521" s="61" t="str">
        <f t="shared" si="809"/>
        <v/>
      </c>
      <c r="AY1521" s="60" t="str">
        <f t="shared" si="810"/>
        <v/>
      </c>
      <c r="AZ1521" s="61" t="str">
        <f t="shared" si="811"/>
        <v/>
      </c>
    </row>
    <row r="1522" spans="1:52" s="3" customFormat="1" ht="12" hidden="1" customHeight="1" x14ac:dyDescent="0.35">
      <c r="A1522" s="72">
        <f t="shared" si="768"/>
        <v>2020</v>
      </c>
      <c r="B1522" s="72" t="str">
        <f t="shared" si="787"/>
        <v>Dec</v>
      </c>
      <c r="C1522" s="73">
        <f t="shared" si="788"/>
        <v>3</v>
      </c>
      <c r="D1522" s="74">
        <f t="shared" si="789"/>
        <v>16</v>
      </c>
      <c r="E1522" s="75">
        <f t="shared" si="769"/>
        <v>13</v>
      </c>
      <c r="F1522" s="79"/>
      <c r="G1522" s="82"/>
      <c r="H1522" s="68" t="str">
        <f t="shared" si="790"/>
        <v>Hyprev6_20201203_16_00</v>
      </c>
      <c r="I1522" s="69">
        <f t="shared" ref="I1522:N1522" si="826">I1521</f>
        <v>1</v>
      </c>
      <c r="J1522" s="76" t="str">
        <f t="shared" si="826"/>
        <v>Hypericum</v>
      </c>
      <c r="K1522" s="76" t="str">
        <f t="shared" si="826"/>
        <v>revolutum</v>
      </c>
      <c r="L1522" s="77">
        <f t="shared" si="826"/>
        <v>6</v>
      </c>
      <c r="M1522" s="77">
        <f t="shared" si="826"/>
        <v>1</v>
      </c>
      <c r="N1522" s="71">
        <f t="shared" si="826"/>
        <v>0</v>
      </c>
      <c r="O1522" s="44"/>
      <c r="P1522" s="45" t="str">
        <f t="shared" si="792"/>
        <v/>
      </c>
      <c r="Q1522" s="46" t="str">
        <f t="shared" si="793"/>
        <v/>
      </c>
      <c r="R1522" s="47" t="e">
        <f t="shared" si="794"/>
        <v>#VALUE!</v>
      </c>
      <c r="S1522" s="48" t="e">
        <f t="shared" si="795"/>
        <v>#VALUE!</v>
      </c>
      <c r="T1522" s="47" t="str">
        <f t="shared" si="796"/>
        <v/>
      </c>
      <c r="U1522" s="49"/>
      <c r="V1522" s="50"/>
      <c r="W1522" s="51" t="e">
        <f t="shared" si="797"/>
        <v>#VALUE!</v>
      </c>
      <c r="X1522" s="52"/>
      <c r="Y1522" s="52"/>
      <c r="Z1522" s="52"/>
      <c r="AA1522" s="47" t="e">
        <f>INDEX(VISITORS[INSECT ORDER], MATCH(X1522,VISITORS[NAME USED],0))</f>
        <v>#N/A</v>
      </c>
      <c r="AB1522" s="47" t="e">
        <f t="shared" si="798"/>
        <v>#N/A</v>
      </c>
      <c r="AC1522" s="53" t="e">
        <f t="shared" si="799"/>
        <v>#VALUE!</v>
      </c>
      <c r="AD1522" s="54" t="str">
        <f t="shared" si="800"/>
        <v/>
      </c>
      <c r="AE1522" s="54"/>
      <c r="AF1522" s="54"/>
      <c r="AG1522" s="55" t="str">
        <f t="shared" si="801"/>
        <v/>
      </c>
      <c r="AH1522" s="56" t="str">
        <f t="shared" si="802"/>
        <v/>
      </c>
      <c r="AI1522" s="55"/>
      <c r="AJ1522" s="56" t="str">
        <f t="shared" si="803"/>
        <v/>
      </c>
      <c r="AK1522" s="55"/>
      <c r="AL1522" s="56" t="str">
        <f t="shared" si="804"/>
        <v/>
      </c>
      <c r="AM1522" s="55"/>
      <c r="AN1522" s="56" t="str">
        <f t="shared" si="805"/>
        <v/>
      </c>
      <c r="AO1522" s="55"/>
      <c r="AP1522" s="56" t="str">
        <f t="shared" si="806"/>
        <v/>
      </c>
      <c r="AQ1522" s="55"/>
      <c r="AR1522" s="56" t="str">
        <f t="shared" si="807"/>
        <v/>
      </c>
      <c r="AS1522" s="57"/>
      <c r="AT1522" s="58"/>
      <c r="AU1522" s="58"/>
      <c r="AV1522" s="59"/>
      <c r="AW1522" s="60" t="str">
        <f t="shared" si="808"/>
        <v/>
      </c>
      <c r="AX1522" s="61" t="str">
        <f t="shared" si="809"/>
        <v/>
      </c>
      <c r="AY1522" s="60" t="str">
        <f t="shared" si="810"/>
        <v/>
      </c>
      <c r="AZ1522" s="61" t="str">
        <f t="shared" si="811"/>
        <v/>
      </c>
    </row>
    <row r="1523" spans="1:52" s="3" customFormat="1" ht="12" hidden="1" customHeight="1" thickBot="1" x14ac:dyDescent="0.4">
      <c r="A1523" s="85">
        <f t="shared" si="768"/>
        <v>2020</v>
      </c>
      <c r="B1523" s="85" t="str">
        <f t="shared" si="787"/>
        <v>Dec</v>
      </c>
      <c r="C1523" s="86">
        <f t="shared" si="788"/>
        <v>3</v>
      </c>
      <c r="D1523" s="87">
        <f t="shared" si="789"/>
        <v>16</v>
      </c>
      <c r="E1523" s="88">
        <f t="shared" si="769"/>
        <v>14</v>
      </c>
      <c r="F1523" s="89"/>
      <c r="G1523" s="90"/>
      <c r="H1523" s="68" t="str">
        <f t="shared" si="790"/>
        <v>Hyprev6_20201203_16_00</v>
      </c>
      <c r="I1523" s="91">
        <f t="shared" ref="I1523:N1523" si="827">I1522</f>
        <v>1</v>
      </c>
      <c r="J1523" s="92" t="str">
        <f t="shared" si="827"/>
        <v>Hypericum</v>
      </c>
      <c r="K1523" s="92" t="str">
        <f t="shared" si="827"/>
        <v>revolutum</v>
      </c>
      <c r="L1523" s="93">
        <f t="shared" si="827"/>
        <v>6</v>
      </c>
      <c r="M1523" s="93">
        <f t="shared" si="827"/>
        <v>1</v>
      </c>
      <c r="N1523" s="94">
        <f t="shared" si="827"/>
        <v>0</v>
      </c>
      <c r="O1523" s="95"/>
      <c r="P1523" s="96" t="str">
        <f t="shared" si="792"/>
        <v/>
      </c>
      <c r="Q1523" s="97" t="str">
        <f t="shared" si="793"/>
        <v/>
      </c>
      <c r="R1523" s="98" t="e">
        <f t="shared" si="794"/>
        <v>#VALUE!</v>
      </c>
      <c r="S1523" s="98" t="e">
        <f t="shared" si="795"/>
        <v>#VALUE!</v>
      </c>
      <c r="T1523" s="98" t="str">
        <f t="shared" si="796"/>
        <v/>
      </c>
      <c r="U1523" s="99"/>
      <c r="V1523" s="100"/>
      <c r="W1523" s="101" t="e">
        <f t="shared" si="797"/>
        <v>#VALUE!</v>
      </c>
      <c r="X1523" s="102"/>
      <c r="Y1523" s="141"/>
      <c r="Z1523" s="141"/>
      <c r="AA1523" s="47" t="e">
        <f>INDEX(VISITORS[INSECT ORDER], MATCH(X1523,VISITORS[NAME USED],0))</f>
        <v>#N/A</v>
      </c>
      <c r="AB1523" s="98" t="e">
        <f t="shared" si="798"/>
        <v>#N/A</v>
      </c>
      <c r="AC1523" s="53" t="e">
        <f t="shared" si="799"/>
        <v>#VALUE!</v>
      </c>
      <c r="AD1523" s="103" t="str">
        <f t="shared" si="800"/>
        <v/>
      </c>
      <c r="AE1523" s="103"/>
      <c r="AF1523" s="103"/>
      <c r="AG1523" s="104" t="str">
        <f t="shared" si="801"/>
        <v/>
      </c>
      <c r="AH1523" s="105" t="str">
        <f t="shared" si="802"/>
        <v/>
      </c>
      <c r="AI1523" s="104"/>
      <c r="AJ1523" s="105" t="str">
        <f t="shared" si="803"/>
        <v/>
      </c>
      <c r="AK1523" s="104"/>
      <c r="AL1523" s="105" t="str">
        <f t="shared" si="804"/>
        <v/>
      </c>
      <c r="AM1523" s="104"/>
      <c r="AN1523" s="105" t="str">
        <f t="shared" si="805"/>
        <v/>
      </c>
      <c r="AO1523" s="104"/>
      <c r="AP1523" s="105" t="str">
        <f t="shared" si="806"/>
        <v/>
      </c>
      <c r="AQ1523" s="104"/>
      <c r="AR1523" s="105" t="str">
        <f t="shared" si="807"/>
        <v/>
      </c>
      <c r="AS1523" s="106"/>
      <c r="AT1523" s="107"/>
      <c r="AU1523" s="107"/>
      <c r="AV1523" s="108"/>
      <c r="AW1523" s="109" t="str">
        <f t="shared" si="808"/>
        <v/>
      </c>
      <c r="AX1523" s="110" t="str">
        <f t="shared" si="809"/>
        <v/>
      </c>
      <c r="AY1523" s="109" t="str">
        <f t="shared" si="810"/>
        <v/>
      </c>
      <c r="AZ1523" s="110" t="str">
        <f t="shared" si="811"/>
        <v/>
      </c>
    </row>
    <row r="1524" spans="1:52" s="3" customFormat="1" ht="12" hidden="1" customHeight="1" x14ac:dyDescent="0.35">
      <c r="A1524" s="72">
        <f t="shared" si="768"/>
        <v>2020</v>
      </c>
      <c r="B1524" s="72" t="str">
        <f t="shared" si="787"/>
        <v>Dec</v>
      </c>
      <c r="C1524" s="73">
        <f t="shared" si="788"/>
        <v>3</v>
      </c>
      <c r="D1524" s="74">
        <f t="shared" si="789"/>
        <v>16</v>
      </c>
      <c r="E1524" s="75">
        <f t="shared" si="769"/>
        <v>15</v>
      </c>
      <c r="F1524" s="79"/>
      <c r="G1524" s="82"/>
      <c r="H1524" s="68" t="str">
        <f t="shared" si="790"/>
        <v>Hyprev6_20201203_16_00</v>
      </c>
      <c r="I1524" s="69">
        <f t="shared" ref="I1524:N1524" si="828">I1523</f>
        <v>1</v>
      </c>
      <c r="J1524" s="76" t="str">
        <f t="shared" si="828"/>
        <v>Hypericum</v>
      </c>
      <c r="K1524" s="76" t="str">
        <f t="shared" si="828"/>
        <v>revolutum</v>
      </c>
      <c r="L1524" s="77">
        <f t="shared" si="828"/>
        <v>6</v>
      </c>
      <c r="M1524" s="77">
        <f t="shared" si="828"/>
        <v>1</v>
      </c>
      <c r="N1524" s="71">
        <f t="shared" si="828"/>
        <v>0</v>
      </c>
      <c r="O1524" s="44"/>
      <c r="P1524" s="45" t="str">
        <f t="shared" si="792"/>
        <v/>
      </c>
      <c r="Q1524" s="46" t="str">
        <f t="shared" si="793"/>
        <v/>
      </c>
      <c r="R1524" s="47" t="e">
        <f t="shared" si="794"/>
        <v>#VALUE!</v>
      </c>
      <c r="S1524" s="48" t="e">
        <f t="shared" si="795"/>
        <v>#VALUE!</v>
      </c>
      <c r="T1524" s="47" t="str">
        <f t="shared" si="796"/>
        <v/>
      </c>
      <c r="U1524" s="49"/>
      <c r="V1524" s="50"/>
      <c r="W1524" s="51" t="e">
        <f t="shared" si="797"/>
        <v>#VALUE!</v>
      </c>
      <c r="X1524" s="52"/>
      <c r="Y1524" s="52"/>
      <c r="Z1524" s="52"/>
      <c r="AA1524" s="47" t="e">
        <f>INDEX(VISITORS[INSECT ORDER], MATCH(X1524,VISITORS[NAME USED],0))</f>
        <v>#N/A</v>
      </c>
      <c r="AB1524" s="47" t="e">
        <f t="shared" si="798"/>
        <v>#N/A</v>
      </c>
      <c r="AC1524" s="53" t="e">
        <f t="shared" si="799"/>
        <v>#VALUE!</v>
      </c>
      <c r="AD1524" s="54" t="str">
        <f t="shared" si="800"/>
        <v/>
      </c>
      <c r="AE1524" s="54"/>
      <c r="AF1524" s="54"/>
      <c r="AG1524" s="55" t="str">
        <f t="shared" si="801"/>
        <v/>
      </c>
      <c r="AH1524" s="56" t="str">
        <f t="shared" si="802"/>
        <v/>
      </c>
      <c r="AI1524" s="55"/>
      <c r="AJ1524" s="56" t="str">
        <f t="shared" si="803"/>
        <v/>
      </c>
      <c r="AK1524" s="55"/>
      <c r="AL1524" s="56" t="str">
        <f t="shared" si="804"/>
        <v/>
      </c>
      <c r="AM1524" s="55"/>
      <c r="AN1524" s="56" t="str">
        <f t="shared" si="805"/>
        <v/>
      </c>
      <c r="AO1524" s="55"/>
      <c r="AP1524" s="56" t="str">
        <f t="shared" si="806"/>
        <v/>
      </c>
      <c r="AQ1524" s="55"/>
      <c r="AR1524" s="56" t="str">
        <f t="shared" si="807"/>
        <v/>
      </c>
      <c r="AS1524" s="57"/>
      <c r="AT1524" s="58"/>
      <c r="AU1524" s="58"/>
      <c r="AV1524" s="59"/>
      <c r="AW1524" s="60" t="str">
        <f t="shared" si="808"/>
        <v/>
      </c>
      <c r="AX1524" s="61" t="str">
        <f t="shared" si="809"/>
        <v/>
      </c>
      <c r="AY1524" s="60" t="str">
        <f t="shared" si="810"/>
        <v/>
      </c>
      <c r="AZ1524" s="61" t="str">
        <f t="shared" si="811"/>
        <v/>
      </c>
    </row>
    <row r="1525" spans="1:52" s="3" customFormat="1" ht="12" hidden="1" customHeight="1" x14ac:dyDescent="0.35">
      <c r="A1525" s="72">
        <f t="shared" si="768"/>
        <v>2020</v>
      </c>
      <c r="B1525" s="72" t="str">
        <f t="shared" si="787"/>
        <v>Dec</v>
      </c>
      <c r="C1525" s="73">
        <f t="shared" si="788"/>
        <v>3</v>
      </c>
      <c r="D1525" s="74">
        <f t="shared" si="789"/>
        <v>16</v>
      </c>
      <c r="E1525" s="75">
        <f t="shared" si="769"/>
        <v>16</v>
      </c>
      <c r="F1525" s="79"/>
      <c r="G1525" s="82"/>
      <c r="H1525" s="68" t="str">
        <f t="shared" si="790"/>
        <v>Hyprev6_20201203_16_00</v>
      </c>
      <c r="I1525" s="69">
        <f t="shared" ref="I1525:N1525" si="829">I1524</f>
        <v>1</v>
      </c>
      <c r="J1525" s="76" t="str">
        <f t="shared" si="829"/>
        <v>Hypericum</v>
      </c>
      <c r="K1525" s="76" t="str">
        <f t="shared" si="829"/>
        <v>revolutum</v>
      </c>
      <c r="L1525" s="77">
        <f t="shared" si="829"/>
        <v>6</v>
      </c>
      <c r="M1525" s="77">
        <f t="shared" si="829"/>
        <v>1</v>
      </c>
      <c r="N1525" s="71">
        <f t="shared" si="829"/>
        <v>0</v>
      </c>
      <c r="O1525" s="44"/>
      <c r="P1525" s="45" t="str">
        <f t="shared" si="792"/>
        <v/>
      </c>
      <c r="Q1525" s="46" t="str">
        <f t="shared" si="793"/>
        <v/>
      </c>
      <c r="R1525" s="47" t="e">
        <f t="shared" si="794"/>
        <v>#VALUE!</v>
      </c>
      <c r="S1525" s="48" t="e">
        <f t="shared" si="795"/>
        <v>#VALUE!</v>
      </c>
      <c r="T1525" s="47" t="str">
        <f t="shared" si="796"/>
        <v/>
      </c>
      <c r="U1525" s="49"/>
      <c r="V1525" s="50"/>
      <c r="W1525" s="51" t="e">
        <f t="shared" si="797"/>
        <v>#VALUE!</v>
      </c>
      <c r="X1525" s="52"/>
      <c r="Y1525" s="52"/>
      <c r="Z1525" s="52"/>
      <c r="AA1525" s="47" t="e">
        <f>INDEX(VISITORS[INSECT ORDER], MATCH(X1525,VISITORS[NAME USED],0))</f>
        <v>#N/A</v>
      </c>
      <c r="AB1525" s="47" t="e">
        <f t="shared" si="798"/>
        <v>#N/A</v>
      </c>
      <c r="AC1525" s="53" t="e">
        <f t="shared" si="799"/>
        <v>#VALUE!</v>
      </c>
      <c r="AD1525" s="54" t="str">
        <f t="shared" si="800"/>
        <v/>
      </c>
      <c r="AE1525" s="54"/>
      <c r="AF1525" s="54"/>
      <c r="AG1525" s="55" t="str">
        <f t="shared" si="801"/>
        <v/>
      </c>
      <c r="AH1525" s="56" t="str">
        <f t="shared" si="802"/>
        <v/>
      </c>
      <c r="AI1525" s="55"/>
      <c r="AJ1525" s="56" t="str">
        <f t="shared" si="803"/>
        <v/>
      </c>
      <c r="AK1525" s="55"/>
      <c r="AL1525" s="56" t="str">
        <f t="shared" si="804"/>
        <v/>
      </c>
      <c r="AM1525" s="55"/>
      <c r="AN1525" s="56" t="str">
        <f t="shared" si="805"/>
        <v/>
      </c>
      <c r="AO1525" s="55"/>
      <c r="AP1525" s="56" t="str">
        <f t="shared" si="806"/>
        <v/>
      </c>
      <c r="AQ1525" s="55"/>
      <c r="AR1525" s="56" t="str">
        <f t="shared" si="807"/>
        <v/>
      </c>
      <c r="AS1525" s="57"/>
      <c r="AT1525" s="58"/>
      <c r="AU1525" s="58"/>
      <c r="AV1525" s="59"/>
      <c r="AW1525" s="60" t="str">
        <f t="shared" si="808"/>
        <v/>
      </c>
      <c r="AX1525" s="61" t="str">
        <f t="shared" si="809"/>
        <v/>
      </c>
      <c r="AY1525" s="60" t="str">
        <f t="shared" si="810"/>
        <v/>
      </c>
      <c r="AZ1525" s="61" t="str">
        <f t="shared" si="811"/>
        <v/>
      </c>
    </row>
    <row r="1526" spans="1:52" s="3" customFormat="1" ht="12" hidden="1" customHeight="1" thickBot="1" x14ac:dyDescent="0.4">
      <c r="A1526" s="85">
        <f t="shared" si="768"/>
        <v>2020</v>
      </c>
      <c r="B1526" s="85" t="str">
        <f t="shared" si="787"/>
        <v>Dec</v>
      </c>
      <c r="C1526" s="86">
        <f t="shared" si="788"/>
        <v>3</v>
      </c>
      <c r="D1526" s="87">
        <f t="shared" si="789"/>
        <v>16</v>
      </c>
      <c r="E1526" s="88">
        <f t="shared" si="769"/>
        <v>17</v>
      </c>
      <c r="F1526" s="89"/>
      <c r="G1526" s="90"/>
      <c r="H1526" s="68" t="str">
        <f t="shared" si="790"/>
        <v>Hyprev6_20201203_16_00</v>
      </c>
      <c r="I1526" s="91">
        <f t="shared" ref="I1526:N1526" si="830">I1525</f>
        <v>1</v>
      </c>
      <c r="J1526" s="92" t="str">
        <f t="shared" si="830"/>
        <v>Hypericum</v>
      </c>
      <c r="K1526" s="92" t="str">
        <f t="shared" si="830"/>
        <v>revolutum</v>
      </c>
      <c r="L1526" s="93">
        <f t="shared" si="830"/>
        <v>6</v>
      </c>
      <c r="M1526" s="93">
        <f t="shared" si="830"/>
        <v>1</v>
      </c>
      <c r="N1526" s="94">
        <f t="shared" si="830"/>
        <v>0</v>
      </c>
      <c r="O1526" s="95"/>
      <c r="P1526" s="96" t="str">
        <f t="shared" si="792"/>
        <v/>
      </c>
      <c r="Q1526" s="97" t="str">
        <f t="shared" si="793"/>
        <v/>
      </c>
      <c r="R1526" s="98" t="e">
        <f t="shared" si="794"/>
        <v>#VALUE!</v>
      </c>
      <c r="S1526" s="98" t="e">
        <f t="shared" si="795"/>
        <v>#VALUE!</v>
      </c>
      <c r="T1526" s="98" t="str">
        <f t="shared" si="796"/>
        <v/>
      </c>
      <c r="U1526" s="99"/>
      <c r="V1526" s="100"/>
      <c r="W1526" s="101" t="e">
        <f t="shared" si="797"/>
        <v>#VALUE!</v>
      </c>
      <c r="X1526" s="102"/>
      <c r="Y1526" s="141"/>
      <c r="Z1526" s="141"/>
      <c r="AA1526" s="47" t="e">
        <f>INDEX(VISITORS[INSECT ORDER], MATCH(X1526,VISITORS[NAME USED],0))</f>
        <v>#N/A</v>
      </c>
      <c r="AB1526" s="98" t="e">
        <f t="shared" si="798"/>
        <v>#N/A</v>
      </c>
      <c r="AC1526" s="53" t="e">
        <f t="shared" si="799"/>
        <v>#VALUE!</v>
      </c>
      <c r="AD1526" s="103" t="str">
        <f t="shared" si="800"/>
        <v/>
      </c>
      <c r="AE1526" s="103"/>
      <c r="AF1526" s="103"/>
      <c r="AG1526" s="104" t="str">
        <f t="shared" si="801"/>
        <v/>
      </c>
      <c r="AH1526" s="105" t="str">
        <f t="shared" si="802"/>
        <v/>
      </c>
      <c r="AI1526" s="104"/>
      <c r="AJ1526" s="105" t="str">
        <f t="shared" si="803"/>
        <v/>
      </c>
      <c r="AK1526" s="104"/>
      <c r="AL1526" s="105" t="str">
        <f t="shared" si="804"/>
        <v/>
      </c>
      <c r="AM1526" s="104"/>
      <c r="AN1526" s="105" t="str">
        <f t="shared" si="805"/>
        <v/>
      </c>
      <c r="AO1526" s="104"/>
      <c r="AP1526" s="105" t="str">
        <f t="shared" si="806"/>
        <v/>
      </c>
      <c r="AQ1526" s="104"/>
      <c r="AR1526" s="105" t="str">
        <f t="shared" si="807"/>
        <v/>
      </c>
      <c r="AS1526" s="106"/>
      <c r="AT1526" s="107"/>
      <c r="AU1526" s="107"/>
      <c r="AV1526" s="108"/>
      <c r="AW1526" s="109" t="str">
        <f t="shared" si="808"/>
        <v/>
      </c>
      <c r="AX1526" s="110" t="str">
        <f t="shared" si="809"/>
        <v/>
      </c>
      <c r="AY1526" s="109" t="str">
        <f t="shared" si="810"/>
        <v/>
      </c>
      <c r="AZ1526" s="110" t="str">
        <f t="shared" si="811"/>
        <v/>
      </c>
    </row>
    <row r="1527" spans="1:52" s="3" customFormat="1" ht="12" hidden="1" customHeight="1" x14ac:dyDescent="0.35">
      <c r="A1527" s="72">
        <f t="shared" si="768"/>
        <v>2020</v>
      </c>
      <c r="B1527" s="72" t="str">
        <f t="shared" si="787"/>
        <v>Dec</v>
      </c>
      <c r="C1527" s="73">
        <f t="shared" si="788"/>
        <v>3</v>
      </c>
      <c r="D1527" s="74">
        <f t="shared" si="789"/>
        <v>16</v>
      </c>
      <c r="E1527" s="75">
        <f t="shared" si="769"/>
        <v>18</v>
      </c>
      <c r="F1527" s="79"/>
      <c r="G1527" s="82"/>
      <c r="H1527" s="68" t="str">
        <f t="shared" si="790"/>
        <v>Hyprev6_20201203_16_00</v>
      </c>
      <c r="I1527" s="69">
        <f t="shared" ref="I1527:N1527" si="831">I1526</f>
        <v>1</v>
      </c>
      <c r="J1527" s="76" t="str">
        <f t="shared" si="831"/>
        <v>Hypericum</v>
      </c>
      <c r="K1527" s="76" t="str">
        <f t="shared" si="831"/>
        <v>revolutum</v>
      </c>
      <c r="L1527" s="77">
        <f t="shared" si="831"/>
        <v>6</v>
      </c>
      <c r="M1527" s="77">
        <f t="shared" si="831"/>
        <v>1</v>
      </c>
      <c r="N1527" s="71">
        <f t="shared" si="831"/>
        <v>0</v>
      </c>
      <c r="O1527" s="44"/>
      <c r="P1527" s="45" t="str">
        <f t="shared" si="792"/>
        <v/>
      </c>
      <c r="Q1527" s="46" t="str">
        <f t="shared" si="793"/>
        <v/>
      </c>
      <c r="R1527" s="47" t="e">
        <f t="shared" si="794"/>
        <v>#VALUE!</v>
      </c>
      <c r="S1527" s="48" t="e">
        <f t="shared" si="795"/>
        <v>#VALUE!</v>
      </c>
      <c r="T1527" s="47" t="str">
        <f t="shared" si="796"/>
        <v/>
      </c>
      <c r="U1527" s="49"/>
      <c r="V1527" s="50"/>
      <c r="W1527" s="51" t="e">
        <f t="shared" si="797"/>
        <v>#VALUE!</v>
      </c>
      <c r="X1527" s="52"/>
      <c r="Y1527" s="52"/>
      <c r="Z1527" s="52"/>
      <c r="AA1527" s="47" t="e">
        <f>INDEX(VISITORS[INSECT ORDER], MATCH(X1527,VISITORS[NAME USED],0))</f>
        <v>#N/A</v>
      </c>
      <c r="AB1527" s="47" t="e">
        <f t="shared" si="798"/>
        <v>#N/A</v>
      </c>
      <c r="AC1527" s="53" t="e">
        <f t="shared" si="799"/>
        <v>#VALUE!</v>
      </c>
      <c r="AD1527" s="54" t="str">
        <f t="shared" si="800"/>
        <v/>
      </c>
      <c r="AE1527" s="54"/>
      <c r="AF1527" s="54"/>
      <c r="AG1527" s="55" t="str">
        <f t="shared" si="801"/>
        <v/>
      </c>
      <c r="AH1527" s="56" t="str">
        <f t="shared" si="802"/>
        <v/>
      </c>
      <c r="AI1527" s="55"/>
      <c r="AJ1527" s="56" t="str">
        <f t="shared" si="803"/>
        <v/>
      </c>
      <c r="AK1527" s="55"/>
      <c r="AL1527" s="56" t="str">
        <f t="shared" si="804"/>
        <v/>
      </c>
      <c r="AM1527" s="55"/>
      <c r="AN1527" s="56" t="str">
        <f t="shared" si="805"/>
        <v/>
      </c>
      <c r="AO1527" s="55"/>
      <c r="AP1527" s="56" t="str">
        <f t="shared" si="806"/>
        <v/>
      </c>
      <c r="AQ1527" s="55"/>
      <c r="AR1527" s="56" t="str">
        <f t="shared" si="807"/>
        <v/>
      </c>
      <c r="AS1527" s="57"/>
      <c r="AT1527" s="58"/>
      <c r="AU1527" s="58"/>
      <c r="AV1527" s="59"/>
      <c r="AW1527" s="60" t="str">
        <f t="shared" si="808"/>
        <v/>
      </c>
      <c r="AX1527" s="61" t="str">
        <f t="shared" si="809"/>
        <v/>
      </c>
      <c r="AY1527" s="60" t="str">
        <f t="shared" si="810"/>
        <v/>
      </c>
      <c r="AZ1527" s="61" t="str">
        <f t="shared" si="811"/>
        <v/>
      </c>
    </row>
    <row r="1528" spans="1:52" s="3" customFormat="1" ht="12" hidden="1" customHeight="1" x14ac:dyDescent="0.35">
      <c r="A1528" s="72">
        <f t="shared" si="768"/>
        <v>2020</v>
      </c>
      <c r="B1528" s="72" t="str">
        <f t="shared" si="787"/>
        <v>Dec</v>
      </c>
      <c r="C1528" s="73">
        <f t="shared" si="788"/>
        <v>3</v>
      </c>
      <c r="D1528" s="74">
        <f t="shared" si="789"/>
        <v>16</v>
      </c>
      <c r="E1528" s="75">
        <f t="shared" si="769"/>
        <v>19</v>
      </c>
      <c r="F1528" s="79"/>
      <c r="G1528" s="82"/>
      <c r="H1528" s="68" t="str">
        <f t="shared" si="790"/>
        <v>Hyprev6_20201203_16_00</v>
      </c>
      <c r="I1528" s="69">
        <f t="shared" ref="I1528:N1528" si="832">I1527</f>
        <v>1</v>
      </c>
      <c r="J1528" s="76" t="str">
        <f t="shared" si="832"/>
        <v>Hypericum</v>
      </c>
      <c r="K1528" s="76" t="str">
        <f t="shared" si="832"/>
        <v>revolutum</v>
      </c>
      <c r="L1528" s="77">
        <f t="shared" si="832"/>
        <v>6</v>
      </c>
      <c r="M1528" s="77">
        <f t="shared" si="832"/>
        <v>1</v>
      </c>
      <c r="N1528" s="71">
        <f t="shared" si="832"/>
        <v>0</v>
      </c>
      <c r="O1528" s="44"/>
      <c r="P1528" s="45" t="str">
        <f t="shared" si="792"/>
        <v/>
      </c>
      <c r="Q1528" s="46" t="str">
        <f t="shared" si="793"/>
        <v/>
      </c>
      <c r="R1528" s="47" t="e">
        <f t="shared" si="794"/>
        <v>#VALUE!</v>
      </c>
      <c r="S1528" s="48" t="e">
        <f t="shared" si="795"/>
        <v>#VALUE!</v>
      </c>
      <c r="T1528" s="47" t="str">
        <f t="shared" si="796"/>
        <v/>
      </c>
      <c r="U1528" s="49"/>
      <c r="V1528" s="50"/>
      <c r="W1528" s="51" t="e">
        <f t="shared" si="797"/>
        <v>#VALUE!</v>
      </c>
      <c r="X1528" s="52"/>
      <c r="Y1528" s="52"/>
      <c r="Z1528" s="52"/>
      <c r="AA1528" s="47" t="e">
        <f>INDEX(VISITORS[INSECT ORDER], MATCH(X1528,VISITORS[NAME USED],0))</f>
        <v>#N/A</v>
      </c>
      <c r="AB1528" s="47" t="e">
        <f t="shared" si="798"/>
        <v>#N/A</v>
      </c>
      <c r="AC1528" s="53" t="e">
        <f t="shared" si="799"/>
        <v>#VALUE!</v>
      </c>
      <c r="AD1528" s="54" t="str">
        <f t="shared" si="800"/>
        <v/>
      </c>
      <c r="AE1528" s="54"/>
      <c r="AF1528" s="54"/>
      <c r="AG1528" s="55" t="str">
        <f t="shared" si="801"/>
        <v/>
      </c>
      <c r="AH1528" s="56" t="str">
        <f t="shared" si="802"/>
        <v/>
      </c>
      <c r="AI1528" s="55"/>
      <c r="AJ1528" s="56" t="str">
        <f t="shared" si="803"/>
        <v/>
      </c>
      <c r="AK1528" s="55"/>
      <c r="AL1528" s="56" t="str">
        <f t="shared" si="804"/>
        <v/>
      </c>
      <c r="AM1528" s="55"/>
      <c r="AN1528" s="56" t="str">
        <f t="shared" si="805"/>
        <v/>
      </c>
      <c r="AO1528" s="55"/>
      <c r="AP1528" s="56" t="str">
        <f t="shared" si="806"/>
        <v/>
      </c>
      <c r="AQ1528" s="55"/>
      <c r="AR1528" s="56" t="str">
        <f t="shared" si="807"/>
        <v/>
      </c>
      <c r="AS1528" s="57"/>
      <c r="AT1528" s="58"/>
      <c r="AU1528" s="58"/>
      <c r="AV1528" s="59"/>
      <c r="AW1528" s="60" t="str">
        <f t="shared" si="808"/>
        <v/>
      </c>
      <c r="AX1528" s="61" t="str">
        <f t="shared" si="809"/>
        <v/>
      </c>
      <c r="AY1528" s="60" t="str">
        <f t="shared" si="810"/>
        <v/>
      </c>
      <c r="AZ1528" s="61" t="str">
        <f t="shared" si="811"/>
        <v/>
      </c>
    </row>
    <row r="1529" spans="1:52" s="3" customFormat="1" ht="12" hidden="1" customHeight="1" thickBot="1" x14ac:dyDescent="0.4">
      <c r="A1529" s="85">
        <f t="shared" si="768"/>
        <v>2020</v>
      </c>
      <c r="B1529" s="85" t="str">
        <f t="shared" si="787"/>
        <v>Dec</v>
      </c>
      <c r="C1529" s="86">
        <f t="shared" si="788"/>
        <v>3</v>
      </c>
      <c r="D1529" s="87">
        <f t="shared" si="789"/>
        <v>16</v>
      </c>
      <c r="E1529" s="88">
        <f t="shared" si="769"/>
        <v>20</v>
      </c>
      <c r="F1529" s="89"/>
      <c r="G1529" s="90"/>
      <c r="H1529" s="68" t="str">
        <f t="shared" si="790"/>
        <v>Hyprev6_20201203_16_00</v>
      </c>
      <c r="I1529" s="91">
        <f t="shared" ref="I1529:N1529" si="833">I1528</f>
        <v>1</v>
      </c>
      <c r="J1529" s="92" t="str">
        <f t="shared" si="833"/>
        <v>Hypericum</v>
      </c>
      <c r="K1529" s="92" t="str">
        <f t="shared" si="833"/>
        <v>revolutum</v>
      </c>
      <c r="L1529" s="93">
        <f t="shared" si="833"/>
        <v>6</v>
      </c>
      <c r="M1529" s="93">
        <f t="shared" si="833"/>
        <v>1</v>
      </c>
      <c r="N1529" s="94">
        <f t="shared" si="833"/>
        <v>0</v>
      </c>
      <c r="O1529" s="95"/>
      <c r="P1529" s="96" t="str">
        <f t="shared" si="792"/>
        <v/>
      </c>
      <c r="Q1529" s="97" t="str">
        <f t="shared" si="793"/>
        <v/>
      </c>
      <c r="R1529" s="98" t="e">
        <f t="shared" si="794"/>
        <v>#VALUE!</v>
      </c>
      <c r="S1529" s="98" t="e">
        <f t="shared" si="795"/>
        <v>#VALUE!</v>
      </c>
      <c r="T1529" s="98" t="str">
        <f t="shared" si="796"/>
        <v/>
      </c>
      <c r="U1529" s="99"/>
      <c r="V1529" s="100"/>
      <c r="W1529" s="101" t="e">
        <f t="shared" si="797"/>
        <v>#VALUE!</v>
      </c>
      <c r="X1529" s="102"/>
      <c r="Y1529" s="141"/>
      <c r="Z1529" s="141"/>
      <c r="AA1529" s="47" t="e">
        <f>INDEX(VISITORS[INSECT ORDER], MATCH(X1529,VISITORS[NAME USED],0))</f>
        <v>#N/A</v>
      </c>
      <c r="AB1529" s="98" t="e">
        <f t="shared" si="798"/>
        <v>#N/A</v>
      </c>
      <c r="AC1529" s="53" t="e">
        <f t="shared" si="799"/>
        <v>#VALUE!</v>
      </c>
      <c r="AD1529" s="103" t="str">
        <f t="shared" si="800"/>
        <v/>
      </c>
      <c r="AE1529" s="103"/>
      <c r="AF1529" s="103"/>
      <c r="AG1529" s="104" t="str">
        <f t="shared" si="801"/>
        <v/>
      </c>
      <c r="AH1529" s="105" t="str">
        <f t="shared" si="802"/>
        <v/>
      </c>
      <c r="AI1529" s="104"/>
      <c r="AJ1529" s="105" t="str">
        <f t="shared" si="803"/>
        <v/>
      </c>
      <c r="AK1529" s="104"/>
      <c r="AL1529" s="105" t="str">
        <f t="shared" si="804"/>
        <v/>
      </c>
      <c r="AM1529" s="104"/>
      <c r="AN1529" s="105" t="str">
        <f t="shared" si="805"/>
        <v/>
      </c>
      <c r="AO1529" s="104"/>
      <c r="AP1529" s="105" t="str">
        <f t="shared" si="806"/>
        <v/>
      </c>
      <c r="AQ1529" s="104"/>
      <c r="AR1529" s="105" t="str">
        <f t="shared" si="807"/>
        <v/>
      </c>
      <c r="AS1529" s="106"/>
      <c r="AT1529" s="107"/>
      <c r="AU1529" s="107"/>
      <c r="AV1529" s="108"/>
      <c r="AW1529" s="109" t="str">
        <f t="shared" si="808"/>
        <v/>
      </c>
      <c r="AX1529" s="110" t="str">
        <f t="shared" si="809"/>
        <v/>
      </c>
      <c r="AY1529" s="109" t="str">
        <f t="shared" si="810"/>
        <v/>
      </c>
      <c r="AZ1529" s="110" t="str">
        <f t="shared" si="811"/>
        <v/>
      </c>
    </row>
    <row r="1530" spans="1:52" s="3" customFormat="1" ht="12" hidden="1" customHeight="1" x14ac:dyDescent="0.35">
      <c r="A1530" s="72">
        <f t="shared" si="768"/>
        <v>2020</v>
      </c>
      <c r="B1530" s="72" t="str">
        <f t="shared" si="787"/>
        <v>Dec</v>
      </c>
      <c r="C1530" s="73">
        <f t="shared" si="788"/>
        <v>3</v>
      </c>
      <c r="D1530" s="74">
        <f t="shared" si="789"/>
        <v>16</v>
      </c>
      <c r="E1530" s="75">
        <f t="shared" si="769"/>
        <v>21</v>
      </c>
      <c r="F1530" s="79"/>
      <c r="G1530" s="82"/>
      <c r="H1530" s="68" t="str">
        <f t="shared" si="790"/>
        <v>Hyprev6_20201203_16_00</v>
      </c>
      <c r="I1530" s="69">
        <f t="shared" ref="I1530:N1530" si="834">I1529</f>
        <v>1</v>
      </c>
      <c r="J1530" s="76" t="str">
        <f t="shared" si="834"/>
        <v>Hypericum</v>
      </c>
      <c r="K1530" s="76" t="str">
        <f t="shared" si="834"/>
        <v>revolutum</v>
      </c>
      <c r="L1530" s="77">
        <f t="shared" si="834"/>
        <v>6</v>
      </c>
      <c r="M1530" s="77">
        <f t="shared" si="834"/>
        <v>1</v>
      </c>
      <c r="N1530" s="71">
        <f t="shared" si="834"/>
        <v>0</v>
      </c>
      <c r="O1530" s="44"/>
      <c r="P1530" s="45" t="str">
        <f t="shared" si="792"/>
        <v/>
      </c>
      <c r="Q1530" s="46" t="str">
        <f t="shared" si="793"/>
        <v/>
      </c>
      <c r="R1530" s="47" t="e">
        <f t="shared" si="794"/>
        <v>#VALUE!</v>
      </c>
      <c r="S1530" s="48" t="e">
        <f t="shared" si="795"/>
        <v>#VALUE!</v>
      </c>
      <c r="T1530" s="47" t="str">
        <f t="shared" si="796"/>
        <v/>
      </c>
      <c r="U1530" s="49"/>
      <c r="V1530" s="50"/>
      <c r="W1530" s="51" t="e">
        <f t="shared" si="797"/>
        <v>#VALUE!</v>
      </c>
      <c r="X1530" s="52"/>
      <c r="Y1530" s="52"/>
      <c r="Z1530" s="52"/>
      <c r="AA1530" s="47" t="e">
        <f>INDEX(VISITORS[INSECT ORDER], MATCH(X1530,VISITORS[NAME USED],0))</f>
        <v>#N/A</v>
      </c>
      <c r="AB1530" s="47" t="e">
        <f t="shared" si="798"/>
        <v>#N/A</v>
      </c>
      <c r="AC1530" s="53" t="e">
        <f t="shared" si="799"/>
        <v>#VALUE!</v>
      </c>
      <c r="AD1530" s="54" t="str">
        <f t="shared" si="800"/>
        <v/>
      </c>
      <c r="AE1530" s="54"/>
      <c r="AF1530" s="54"/>
      <c r="AG1530" s="55" t="str">
        <f t="shared" si="801"/>
        <v/>
      </c>
      <c r="AH1530" s="56" t="str">
        <f t="shared" si="802"/>
        <v/>
      </c>
      <c r="AI1530" s="55"/>
      <c r="AJ1530" s="56" t="str">
        <f t="shared" si="803"/>
        <v/>
      </c>
      <c r="AK1530" s="55"/>
      <c r="AL1530" s="56" t="str">
        <f t="shared" si="804"/>
        <v/>
      </c>
      <c r="AM1530" s="55"/>
      <c r="AN1530" s="56" t="str">
        <f t="shared" si="805"/>
        <v/>
      </c>
      <c r="AO1530" s="55"/>
      <c r="AP1530" s="56" t="str">
        <f t="shared" si="806"/>
        <v/>
      </c>
      <c r="AQ1530" s="55"/>
      <c r="AR1530" s="56" t="str">
        <f t="shared" si="807"/>
        <v/>
      </c>
      <c r="AS1530" s="57"/>
      <c r="AT1530" s="58"/>
      <c r="AU1530" s="58"/>
      <c r="AV1530" s="59"/>
      <c r="AW1530" s="60" t="str">
        <f t="shared" si="808"/>
        <v/>
      </c>
      <c r="AX1530" s="61" t="str">
        <f t="shared" si="809"/>
        <v/>
      </c>
      <c r="AY1530" s="60" t="str">
        <f t="shared" si="810"/>
        <v/>
      </c>
      <c r="AZ1530" s="61" t="str">
        <f t="shared" si="811"/>
        <v/>
      </c>
    </row>
    <row r="1531" spans="1:52" s="3" customFormat="1" ht="12" hidden="1" customHeight="1" x14ac:dyDescent="0.35">
      <c r="A1531" s="72">
        <f t="shared" si="768"/>
        <v>2020</v>
      </c>
      <c r="B1531" s="72" t="str">
        <f t="shared" si="787"/>
        <v>Dec</v>
      </c>
      <c r="C1531" s="73">
        <f t="shared" si="788"/>
        <v>3</v>
      </c>
      <c r="D1531" s="74">
        <f t="shared" si="789"/>
        <v>16</v>
      </c>
      <c r="E1531" s="75">
        <f t="shared" si="769"/>
        <v>22</v>
      </c>
      <c r="F1531" s="79"/>
      <c r="G1531" s="82"/>
      <c r="H1531" s="68" t="str">
        <f t="shared" si="790"/>
        <v>Hyprev6_20201203_16_00</v>
      </c>
      <c r="I1531" s="69">
        <f t="shared" ref="I1531:N1531" si="835">I1530</f>
        <v>1</v>
      </c>
      <c r="J1531" s="76" t="str">
        <f t="shared" si="835"/>
        <v>Hypericum</v>
      </c>
      <c r="K1531" s="76" t="str">
        <f t="shared" si="835"/>
        <v>revolutum</v>
      </c>
      <c r="L1531" s="77">
        <f t="shared" si="835"/>
        <v>6</v>
      </c>
      <c r="M1531" s="77">
        <f t="shared" si="835"/>
        <v>1</v>
      </c>
      <c r="N1531" s="71">
        <f t="shared" si="835"/>
        <v>0</v>
      </c>
      <c r="O1531" s="44"/>
      <c r="P1531" s="45" t="str">
        <f t="shared" si="792"/>
        <v/>
      </c>
      <c r="Q1531" s="46" t="str">
        <f t="shared" si="793"/>
        <v/>
      </c>
      <c r="R1531" s="47" t="e">
        <f t="shared" si="794"/>
        <v>#VALUE!</v>
      </c>
      <c r="S1531" s="48" t="e">
        <f t="shared" si="795"/>
        <v>#VALUE!</v>
      </c>
      <c r="T1531" s="47" t="str">
        <f t="shared" si="796"/>
        <v/>
      </c>
      <c r="U1531" s="49"/>
      <c r="V1531" s="50"/>
      <c r="W1531" s="51" t="e">
        <f t="shared" si="797"/>
        <v>#VALUE!</v>
      </c>
      <c r="X1531" s="52"/>
      <c r="Y1531" s="52"/>
      <c r="Z1531" s="52"/>
      <c r="AA1531" s="47" t="e">
        <f>INDEX(VISITORS[INSECT ORDER], MATCH(X1531,VISITORS[NAME USED],0))</f>
        <v>#N/A</v>
      </c>
      <c r="AB1531" s="47" t="e">
        <f t="shared" si="798"/>
        <v>#N/A</v>
      </c>
      <c r="AC1531" s="53" t="e">
        <f t="shared" si="799"/>
        <v>#VALUE!</v>
      </c>
      <c r="AD1531" s="54" t="str">
        <f t="shared" si="800"/>
        <v/>
      </c>
      <c r="AE1531" s="54"/>
      <c r="AF1531" s="54"/>
      <c r="AG1531" s="55" t="str">
        <f t="shared" si="801"/>
        <v/>
      </c>
      <c r="AH1531" s="56" t="str">
        <f t="shared" si="802"/>
        <v/>
      </c>
      <c r="AI1531" s="55"/>
      <c r="AJ1531" s="56" t="str">
        <f t="shared" si="803"/>
        <v/>
      </c>
      <c r="AK1531" s="55"/>
      <c r="AL1531" s="56" t="str">
        <f t="shared" si="804"/>
        <v/>
      </c>
      <c r="AM1531" s="55"/>
      <c r="AN1531" s="56" t="str">
        <f t="shared" si="805"/>
        <v/>
      </c>
      <c r="AO1531" s="55"/>
      <c r="AP1531" s="56" t="str">
        <f t="shared" si="806"/>
        <v/>
      </c>
      <c r="AQ1531" s="55"/>
      <c r="AR1531" s="56" t="str">
        <f t="shared" si="807"/>
        <v/>
      </c>
      <c r="AS1531" s="57"/>
      <c r="AT1531" s="58"/>
      <c r="AU1531" s="58"/>
      <c r="AV1531" s="59"/>
      <c r="AW1531" s="60" t="str">
        <f t="shared" si="808"/>
        <v/>
      </c>
      <c r="AX1531" s="61" t="str">
        <f t="shared" si="809"/>
        <v/>
      </c>
      <c r="AY1531" s="60" t="str">
        <f t="shared" si="810"/>
        <v/>
      </c>
      <c r="AZ1531" s="61" t="str">
        <f t="shared" si="811"/>
        <v/>
      </c>
    </row>
    <row r="1532" spans="1:52" s="3" customFormat="1" ht="12" hidden="1" customHeight="1" thickBot="1" x14ac:dyDescent="0.4">
      <c r="A1532" s="85">
        <f t="shared" si="768"/>
        <v>2020</v>
      </c>
      <c r="B1532" s="85" t="str">
        <f t="shared" si="787"/>
        <v>Dec</v>
      </c>
      <c r="C1532" s="86">
        <f t="shared" si="788"/>
        <v>3</v>
      </c>
      <c r="D1532" s="87">
        <f t="shared" si="789"/>
        <v>16</v>
      </c>
      <c r="E1532" s="88">
        <f t="shared" si="769"/>
        <v>23</v>
      </c>
      <c r="F1532" s="89"/>
      <c r="G1532" s="90"/>
      <c r="H1532" s="68" t="str">
        <f t="shared" si="790"/>
        <v>Hyprev6_20201203_16_00</v>
      </c>
      <c r="I1532" s="91">
        <f t="shared" ref="I1532:N1532" si="836">I1531</f>
        <v>1</v>
      </c>
      <c r="J1532" s="92" t="str">
        <f t="shared" si="836"/>
        <v>Hypericum</v>
      </c>
      <c r="K1532" s="92" t="str">
        <f t="shared" si="836"/>
        <v>revolutum</v>
      </c>
      <c r="L1532" s="93">
        <f t="shared" si="836"/>
        <v>6</v>
      </c>
      <c r="M1532" s="93">
        <f t="shared" si="836"/>
        <v>1</v>
      </c>
      <c r="N1532" s="94">
        <f t="shared" si="836"/>
        <v>0</v>
      </c>
      <c r="O1532" s="95"/>
      <c r="P1532" s="96" t="str">
        <f t="shared" si="792"/>
        <v/>
      </c>
      <c r="Q1532" s="97" t="str">
        <f t="shared" si="793"/>
        <v/>
      </c>
      <c r="R1532" s="98" t="e">
        <f t="shared" si="794"/>
        <v>#VALUE!</v>
      </c>
      <c r="S1532" s="98" t="e">
        <f t="shared" si="795"/>
        <v>#VALUE!</v>
      </c>
      <c r="T1532" s="98" t="str">
        <f t="shared" si="796"/>
        <v/>
      </c>
      <c r="U1532" s="99"/>
      <c r="V1532" s="100"/>
      <c r="W1532" s="101" t="e">
        <f t="shared" si="797"/>
        <v>#VALUE!</v>
      </c>
      <c r="X1532" s="102"/>
      <c r="Y1532" s="141"/>
      <c r="Z1532" s="141"/>
      <c r="AA1532" s="47" t="e">
        <f>INDEX(VISITORS[INSECT ORDER], MATCH(X1532,VISITORS[NAME USED],0))</f>
        <v>#N/A</v>
      </c>
      <c r="AB1532" s="98" t="e">
        <f t="shared" si="798"/>
        <v>#N/A</v>
      </c>
      <c r="AC1532" s="53" t="e">
        <f t="shared" si="799"/>
        <v>#VALUE!</v>
      </c>
      <c r="AD1532" s="103" t="str">
        <f t="shared" si="800"/>
        <v/>
      </c>
      <c r="AE1532" s="103"/>
      <c r="AF1532" s="103"/>
      <c r="AG1532" s="104" t="str">
        <f t="shared" si="801"/>
        <v/>
      </c>
      <c r="AH1532" s="105" t="str">
        <f t="shared" si="802"/>
        <v/>
      </c>
      <c r="AI1532" s="104"/>
      <c r="AJ1532" s="105" t="str">
        <f t="shared" si="803"/>
        <v/>
      </c>
      <c r="AK1532" s="104"/>
      <c r="AL1532" s="105" t="str">
        <f t="shared" si="804"/>
        <v/>
      </c>
      <c r="AM1532" s="104"/>
      <c r="AN1532" s="105" t="str">
        <f t="shared" si="805"/>
        <v/>
      </c>
      <c r="AO1532" s="104"/>
      <c r="AP1532" s="105" t="str">
        <f t="shared" si="806"/>
        <v/>
      </c>
      <c r="AQ1532" s="104"/>
      <c r="AR1532" s="105" t="str">
        <f t="shared" si="807"/>
        <v/>
      </c>
      <c r="AS1532" s="106"/>
      <c r="AT1532" s="107"/>
      <c r="AU1532" s="107"/>
      <c r="AV1532" s="108"/>
      <c r="AW1532" s="109" t="str">
        <f t="shared" si="808"/>
        <v/>
      </c>
      <c r="AX1532" s="110" t="str">
        <f t="shared" si="809"/>
        <v/>
      </c>
      <c r="AY1532" s="109" t="str">
        <f t="shared" si="810"/>
        <v/>
      </c>
      <c r="AZ1532" s="110" t="str">
        <f t="shared" si="811"/>
        <v/>
      </c>
    </row>
    <row r="1533" spans="1:52" s="3" customFormat="1" ht="12" hidden="1" customHeight="1" x14ac:dyDescent="0.35">
      <c r="A1533" s="72">
        <f t="shared" si="768"/>
        <v>2020</v>
      </c>
      <c r="B1533" s="72" t="str">
        <f t="shared" si="787"/>
        <v>Dec</v>
      </c>
      <c r="C1533" s="73">
        <f t="shared" si="788"/>
        <v>3</v>
      </c>
      <c r="D1533" s="74">
        <f t="shared" si="789"/>
        <v>16</v>
      </c>
      <c r="E1533" s="75">
        <f t="shared" si="769"/>
        <v>24</v>
      </c>
      <c r="F1533" s="79"/>
      <c r="G1533" s="82"/>
      <c r="H1533" s="68" t="str">
        <f t="shared" si="790"/>
        <v>Hyprev6_20201203_16_00</v>
      </c>
      <c r="I1533" s="69">
        <f t="shared" ref="I1533:N1533" si="837">I1532</f>
        <v>1</v>
      </c>
      <c r="J1533" s="76" t="str">
        <f t="shared" si="837"/>
        <v>Hypericum</v>
      </c>
      <c r="K1533" s="76" t="str">
        <f t="shared" si="837"/>
        <v>revolutum</v>
      </c>
      <c r="L1533" s="77">
        <f t="shared" si="837"/>
        <v>6</v>
      </c>
      <c r="M1533" s="77">
        <f t="shared" si="837"/>
        <v>1</v>
      </c>
      <c r="N1533" s="71">
        <f t="shared" si="837"/>
        <v>0</v>
      </c>
      <c r="O1533" s="44"/>
      <c r="P1533" s="45" t="str">
        <f t="shared" si="792"/>
        <v/>
      </c>
      <c r="Q1533" s="46" t="str">
        <f t="shared" si="793"/>
        <v/>
      </c>
      <c r="R1533" s="47" t="e">
        <f t="shared" si="794"/>
        <v>#VALUE!</v>
      </c>
      <c r="S1533" s="48" t="e">
        <f t="shared" si="795"/>
        <v>#VALUE!</v>
      </c>
      <c r="T1533" s="47" t="str">
        <f t="shared" si="796"/>
        <v/>
      </c>
      <c r="U1533" s="49"/>
      <c r="V1533" s="50"/>
      <c r="W1533" s="51" t="e">
        <f t="shared" si="797"/>
        <v>#VALUE!</v>
      </c>
      <c r="X1533" s="52"/>
      <c r="Y1533" s="52"/>
      <c r="Z1533" s="52"/>
      <c r="AA1533" s="47" t="e">
        <f>INDEX(VISITORS[INSECT ORDER], MATCH(X1533,VISITORS[NAME USED],0))</f>
        <v>#N/A</v>
      </c>
      <c r="AB1533" s="47" t="e">
        <f t="shared" si="798"/>
        <v>#N/A</v>
      </c>
      <c r="AC1533" s="53" t="e">
        <f t="shared" si="799"/>
        <v>#VALUE!</v>
      </c>
      <c r="AD1533" s="54" t="str">
        <f t="shared" si="800"/>
        <v/>
      </c>
      <c r="AE1533" s="54"/>
      <c r="AF1533" s="54"/>
      <c r="AG1533" s="55" t="str">
        <f t="shared" si="801"/>
        <v/>
      </c>
      <c r="AH1533" s="56" t="str">
        <f t="shared" si="802"/>
        <v/>
      </c>
      <c r="AI1533" s="55"/>
      <c r="AJ1533" s="56" t="str">
        <f t="shared" si="803"/>
        <v/>
      </c>
      <c r="AK1533" s="55"/>
      <c r="AL1533" s="56" t="str">
        <f t="shared" si="804"/>
        <v/>
      </c>
      <c r="AM1533" s="55"/>
      <c r="AN1533" s="56" t="str">
        <f t="shared" si="805"/>
        <v/>
      </c>
      <c r="AO1533" s="55"/>
      <c r="AP1533" s="56" t="str">
        <f t="shared" si="806"/>
        <v/>
      </c>
      <c r="AQ1533" s="55"/>
      <c r="AR1533" s="56" t="str">
        <f t="shared" si="807"/>
        <v/>
      </c>
      <c r="AS1533" s="57"/>
      <c r="AT1533" s="58"/>
      <c r="AU1533" s="58"/>
      <c r="AV1533" s="59"/>
      <c r="AW1533" s="60" t="str">
        <f t="shared" si="808"/>
        <v/>
      </c>
      <c r="AX1533" s="61" t="str">
        <f t="shared" si="809"/>
        <v/>
      </c>
      <c r="AY1533" s="60" t="str">
        <f t="shared" si="810"/>
        <v/>
      </c>
      <c r="AZ1533" s="61" t="str">
        <f t="shared" si="811"/>
        <v/>
      </c>
    </row>
    <row r="1534" spans="1:52" s="3" customFormat="1" ht="12" hidden="1" customHeight="1" x14ac:dyDescent="0.35">
      <c r="A1534" s="72">
        <f t="shared" si="768"/>
        <v>2020</v>
      </c>
      <c r="B1534" s="72" t="str">
        <f t="shared" si="787"/>
        <v>Dec</v>
      </c>
      <c r="C1534" s="73">
        <f t="shared" si="788"/>
        <v>3</v>
      </c>
      <c r="D1534" s="74">
        <f t="shared" si="789"/>
        <v>16</v>
      </c>
      <c r="E1534" s="75">
        <f t="shared" si="769"/>
        <v>25</v>
      </c>
      <c r="F1534" s="79"/>
      <c r="G1534" s="82"/>
      <c r="H1534" s="68" t="str">
        <f t="shared" si="790"/>
        <v>Hyprev6_20201203_16_00</v>
      </c>
      <c r="I1534" s="69">
        <f t="shared" ref="I1534:N1534" si="838">I1533</f>
        <v>1</v>
      </c>
      <c r="J1534" s="76" t="str">
        <f t="shared" si="838"/>
        <v>Hypericum</v>
      </c>
      <c r="K1534" s="76" t="str">
        <f t="shared" si="838"/>
        <v>revolutum</v>
      </c>
      <c r="L1534" s="77">
        <f t="shared" si="838"/>
        <v>6</v>
      </c>
      <c r="M1534" s="77">
        <f t="shared" si="838"/>
        <v>1</v>
      </c>
      <c r="N1534" s="71">
        <f t="shared" si="838"/>
        <v>0</v>
      </c>
      <c r="O1534" s="44"/>
      <c r="P1534" s="45" t="str">
        <f t="shared" si="792"/>
        <v/>
      </c>
      <c r="Q1534" s="46" t="str">
        <f t="shared" si="793"/>
        <v/>
      </c>
      <c r="R1534" s="47" t="e">
        <f t="shared" si="794"/>
        <v>#VALUE!</v>
      </c>
      <c r="S1534" s="48" t="e">
        <f t="shared" si="795"/>
        <v>#VALUE!</v>
      </c>
      <c r="T1534" s="47" t="str">
        <f t="shared" si="796"/>
        <v/>
      </c>
      <c r="U1534" s="49"/>
      <c r="V1534" s="50"/>
      <c r="W1534" s="51" t="e">
        <f t="shared" si="797"/>
        <v>#VALUE!</v>
      </c>
      <c r="X1534" s="52"/>
      <c r="Y1534" s="52"/>
      <c r="Z1534" s="52"/>
      <c r="AA1534" s="47" t="e">
        <f>INDEX(VISITORS[INSECT ORDER], MATCH(X1534,VISITORS[NAME USED],0))</f>
        <v>#N/A</v>
      </c>
      <c r="AB1534" s="47" t="e">
        <f t="shared" si="798"/>
        <v>#N/A</v>
      </c>
      <c r="AC1534" s="53" t="e">
        <f t="shared" si="799"/>
        <v>#VALUE!</v>
      </c>
      <c r="AD1534" s="54" t="str">
        <f t="shared" si="800"/>
        <v/>
      </c>
      <c r="AE1534" s="54"/>
      <c r="AF1534" s="54"/>
      <c r="AG1534" s="55" t="str">
        <f t="shared" si="801"/>
        <v/>
      </c>
      <c r="AH1534" s="56" t="str">
        <f t="shared" si="802"/>
        <v/>
      </c>
      <c r="AI1534" s="55"/>
      <c r="AJ1534" s="56" t="str">
        <f t="shared" si="803"/>
        <v/>
      </c>
      <c r="AK1534" s="55"/>
      <c r="AL1534" s="56" t="str">
        <f t="shared" si="804"/>
        <v/>
      </c>
      <c r="AM1534" s="55"/>
      <c r="AN1534" s="56" t="str">
        <f t="shared" si="805"/>
        <v/>
      </c>
      <c r="AO1534" s="55"/>
      <c r="AP1534" s="56" t="str">
        <f t="shared" si="806"/>
        <v/>
      </c>
      <c r="AQ1534" s="55"/>
      <c r="AR1534" s="56" t="str">
        <f t="shared" si="807"/>
        <v/>
      </c>
      <c r="AS1534" s="57"/>
      <c r="AT1534" s="58"/>
      <c r="AU1534" s="58"/>
      <c r="AV1534" s="59"/>
      <c r="AW1534" s="60" t="str">
        <f t="shared" si="808"/>
        <v/>
      </c>
      <c r="AX1534" s="61" t="str">
        <f t="shared" si="809"/>
        <v/>
      </c>
      <c r="AY1534" s="60" t="str">
        <f t="shared" si="810"/>
        <v/>
      </c>
      <c r="AZ1534" s="61" t="str">
        <f t="shared" si="811"/>
        <v/>
      </c>
    </row>
    <row r="1535" spans="1:52" s="3" customFormat="1" ht="12" hidden="1" customHeight="1" thickBot="1" x14ac:dyDescent="0.4">
      <c r="A1535" s="85">
        <f t="shared" si="768"/>
        <v>2020</v>
      </c>
      <c r="B1535" s="85" t="str">
        <f t="shared" si="787"/>
        <v>Dec</v>
      </c>
      <c r="C1535" s="86">
        <f t="shared" si="788"/>
        <v>3</v>
      </c>
      <c r="D1535" s="87">
        <f t="shared" si="789"/>
        <v>16</v>
      </c>
      <c r="E1535" s="88">
        <f t="shared" si="769"/>
        <v>26</v>
      </c>
      <c r="F1535" s="89"/>
      <c r="G1535" s="90"/>
      <c r="H1535" s="68" t="str">
        <f t="shared" si="790"/>
        <v>Hyprev6_20201203_16_00</v>
      </c>
      <c r="I1535" s="91">
        <f t="shared" ref="I1535:N1535" si="839">I1534</f>
        <v>1</v>
      </c>
      <c r="J1535" s="92" t="str">
        <f t="shared" si="839"/>
        <v>Hypericum</v>
      </c>
      <c r="K1535" s="92" t="str">
        <f t="shared" si="839"/>
        <v>revolutum</v>
      </c>
      <c r="L1535" s="93">
        <f t="shared" si="839"/>
        <v>6</v>
      </c>
      <c r="M1535" s="93">
        <f t="shared" si="839"/>
        <v>1</v>
      </c>
      <c r="N1535" s="94">
        <f t="shared" si="839"/>
        <v>0</v>
      </c>
      <c r="O1535" s="95"/>
      <c r="P1535" s="96" t="str">
        <f t="shared" si="792"/>
        <v/>
      </c>
      <c r="Q1535" s="97" t="str">
        <f t="shared" si="793"/>
        <v/>
      </c>
      <c r="R1535" s="98" t="e">
        <f t="shared" si="794"/>
        <v>#VALUE!</v>
      </c>
      <c r="S1535" s="98" t="e">
        <f t="shared" si="795"/>
        <v>#VALUE!</v>
      </c>
      <c r="T1535" s="98" t="str">
        <f t="shared" si="796"/>
        <v/>
      </c>
      <c r="U1535" s="99"/>
      <c r="V1535" s="100"/>
      <c r="W1535" s="101" t="e">
        <f t="shared" si="797"/>
        <v>#VALUE!</v>
      </c>
      <c r="X1535" s="102"/>
      <c r="Y1535" s="141"/>
      <c r="Z1535" s="141"/>
      <c r="AA1535" s="47" t="e">
        <f>INDEX(VISITORS[INSECT ORDER], MATCH(X1535,VISITORS[NAME USED],0))</f>
        <v>#N/A</v>
      </c>
      <c r="AB1535" s="98" t="e">
        <f t="shared" si="798"/>
        <v>#N/A</v>
      </c>
      <c r="AC1535" s="53" t="e">
        <f t="shared" si="799"/>
        <v>#VALUE!</v>
      </c>
      <c r="AD1535" s="103" t="str">
        <f t="shared" si="800"/>
        <v/>
      </c>
      <c r="AE1535" s="103"/>
      <c r="AF1535" s="103"/>
      <c r="AG1535" s="104" t="str">
        <f t="shared" si="801"/>
        <v/>
      </c>
      <c r="AH1535" s="105" t="str">
        <f t="shared" si="802"/>
        <v/>
      </c>
      <c r="AI1535" s="104"/>
      <c r="AJ1535" s="105" t="str">
        <f t="shared" si="803"/>
        <v/>
      </c>
      <c r="AK1535" s="104"/>
      <c r="AL1535" s="105" t="str">
        <f t="shared" si="804"/>
        <v/>
      </c>
      <c r="AM1535" s="104"/>
      <c r="AN1535" s="105" t="str">
        <f t="shared" si="805"/>
        <v/>
      </c>
      <c r="AO1535" s="104"/>
      <c r="AP1535" s="105" t="str">
        <f t="shared" si="806"/>
        <v/>
      </c>
      <c r="AQ1535" s="104"/>
      <c r="AR1535" s="105" t="str">
        <f t="shared" si="807"/>
        <v/>
      </c>
      <c r="AS1535" s="106"/>
      <c r="AT1535" s="107"/>
      <c r="AU1535" s="107"/>
      <c r="AV1535" s="108"/>
      <c r="AW1535" s="109" t="str">
        <f t="shared" si="808"/>
        <v/>
      </c>
      <c r="AX1535" s="110" t="str">
        <f t="shared" si="809"/>
        <v/>
      </c>
      <c r="AY1535" s="109" t="str">
        <f t="shared" si="810"/>
        <v/>
      </c>
      <c r="AZ1535" s="110" t="str">
        <f t="shared" si="811"/>
        <v/>
      </c>
    </row>
    <row r="1536" spans="1:52" s="3" customFormat="1" ht="12" hidden="1" customHeight="1" x14ac:dyDescent="0.35">
      <c r="A1536" s="72">
        <f t="shared" si="768"/>
        <v>2020</v>
      </c>
      <c r="B1536" s="72" t="str">
        <f t="shared" si="787"/>
        <v>Dec</v>
      </c>
      <c r="C1536" s="73">
        <f t="shared" si="788"/>
        <v>3</v>
      </c>
      <c r="D1536" s="74">
        <f t="shared" si="789"/>
        <v>16</v>
      </c>
      <c r="E1536" s="75">
        <f t="shared" si="769"/>
        <v>27</v>
      </c>
      <c r="F1536" s="79"/>
      <c r="G1536" s="82"/>
      <c r="H1536" s="68" t="str">
        <f t="shared" si="790"/>
        <v>Hyprev6_20201203_16_00</v>
      </c>
      <c r="I1536" s="69">
        <f t="shared" ref="I1536:N1536" si="840">I1535</f>
        <v>1</v>
      </c>
      <c r="J1536" s="76" t="str">
        <f t="shared" si="840"/>
        <v>Hypericum</v>
      </c>
      <c r="K1536" s="76" t="str">
        <f t="shared" si="840"/>
        <v>revolutum</v>
      </c>
      <c r="L1536" s="77">
        <f t="shared" si="840"/>
        <v>6</v>
      </c>
      <c r="M1536" s="77">
        <f t="shared" si="840"/>
        <v>1</v>
      </c>
      <c r="N1536" s="71">
        <f t="shared" si="840"/>
        <v>0</v>
      </c>
      <c r="O1536" s="44"/>
      <c r="P1536" s="45" t="str">
        <f t="shared" si="792"/>
        <v/>
      </c>
      <c r="Q1536" s="46" t="str">
        <f t="shared" si="793"/>
        <v/>
      </c>
      <c r="R1536" s="47" t="e">
        <f t="shared" si="794"/>
        <v>#VALUE!</v>
      </c>
      <c r="S1536" s="48" t="e">
        <f t="shared" si="795"/>
        <v>#VALUE!</v>
      </c>
      <c r="T1536" s="47" t="str">
        <f t="shared" si="796"/>
        <v/>
      </c>
      <c r="U1536" s="49"/>
      <c r="V1536" s="50"/>
      <c r="W1536" s="51" t="e">
        <f t="shared" si="797"/>
        <v>#VALUE!</v>
      </c>
      <c r="X1536" s="52"/>
      <c r="Y1536" s="52"/>
      <c r="Z1536" s="52"/>
      <c r="AA1536" s="47" t="e">
        <f>INDEX(VISITORS[INSECT ORDER], MATCH(X1536,VISITORS[NAME USED],0))</f>
        <v>#N/A</v>
      </c>
      <c r="AB1536" s="47" t="e">
        <f t="shared" si="798"/>
        <v>#N/A</v>
      </c>
      <c r="AC1536" s="53" t="e">
        <f t="shared" si="799"/>
        <v>#VALUE!</v>
      </c>
      <c r="AD1536" s="54" t="str">
        <f t="shared" si="800"/>
        <v/>
      </c>
      <c r="AE1536" s="54"/>
      <c r="AF1536" s="54"/>
      <c r="AG1536" s="55" t="str">
        <f t="shared" si="801"/>
        <v/>
      </c>
      <c r="AH1536" s="56" t="str">
        <f t="shared" si="802"/>
        <v/>
      </c>
      <c r="AI1536" s="55"/>
      <c r="AJ1536" s="56" t="str">
        <f t="shared" si="803"/>
        <v/>
      </c>
      <c r="AK1536" s="55"/>
      <c r="AL1536" s="56" t="str">
        <f t="shared" si="804"/>
        <v/>
      </c>
      <c r="AM1536" s="55"/>
      <c r="AN1536" s="56" t="str">
        <f t="shared" si="805"/>
        <v/>
      </c>
      <c r="AO1536" s="55"/>
      <c r="AP1536" s="56" t="str">
        <f t="shared" si="806"/>
        <v/>
      </c>
      <c r="AQ1536" s="55"/>
      <c r="AR1536" s="56" t="str">
        <f t="shared" si="807"/>
        <v/>
      </c>
      <c r="AS1536" s="57"/>
      <c r="AT1536" s="58"/>
      <c r="AU1536" s="58"/>
      <c r="AV1536" s="59"/>
      <c r="AW1536" s="60" t="str">
        <f t="shared" si="808"/>
        <v/>
      </c>
      <c r="AX1536" s="61" t="str">
        <f t="shared" si="809"/>
        <v/>
      </c>
      <c r="AY1536" s="60" t="str">
        <f t="shared" si="810"/>
        <v/>
      </c>
      <c r="AZ1536" s="61" t="str">
        <f t="shared" si="811"/>
        <v/>
      </c>
    </row>
    <row r="1537" spans="1:52" s="3" customFormat="1" ht="12" hidden="1" customHeight="1" x14ac:dyDescent="0.35">
      <c r="A1537" s="72">
        <f t="shared" si="768"/>
        <v>2020</v>
      </c>
      <c r="B1537" s="72" t="str">
        <f t="shared" si="787"/>
        <v>Dec</v>
      </c>
      <c r="C1537" s="73">
        <f t="shared" si="788"/>
        <v>3</v>
      </c>
      <c r="D1537" s="74">
        <f t="shared" si="789"/>
        <v>16</v>
      </c>
      <c r="E1537" s="75">
        <f t="shared" si="769"/>
        <v>28</v>
      </c>
      <c r="F1537" s="79"/>
      <c r="G1537" s="82"/>
      <c r="H1537" s="68" t="str">
        <f t="shared" si="790"/>
        <v>Hyprev6_20201203_16_00</v>
      </c>
      <c r="I1537" s="69">
        <f t="shared" ref="I1537:N1537" si="841">I1536</f>
        <v>1</v>
      </c>
      <c r="J1537" s="76" t="str">
        <f t="shared" si="841"/>
        <v>Hypericum</v>
      </c>
      <c r="K1537" s="76" t="str">
        <f t="shared" si="841"/>
        <v>revolutum</v>
      </c>
      <c r="L1537" s="77">
        <f t="shared" si="841"/>
        <v>6</v>
      </c>
      <c r="M1537" s="77">
        <f t="shared" si="841"/>
        <v>1</v>
      </c>
      <c r="N1537" s="71">
        <f t="shared" si="841"/>
        <v>0</v>
      </c>
      <c r="O1537" s="44"/>
      <c r="P1537" s="45" t="str">
        <f t="shared" si="792"/>
        <v/>
      </c>
      <c r="Q1537" s="46" t="str">
        <f t="shared" si="793"/>
        <v/>
      </c>
      <c r="R1537" s="47" t="e">
        <f t="shared" si="794"/>
        <v>#VALUE!</v>
      </c>
      <c r="S1537" s="48" t="e">
        <f t="shared" si="795"/>
        <v>#VALUE!</v>
      </c>
      <c r="T1537" s="47" t="str">
        <f t="shared" si="796"/>
        <v/>
      </c>
      <c r="U1537" s="49"/>
      <c r="V1537" s="50"/>
      <c r="W1537" s="51" t="e">
        <f t="shared" si="797"/>
        <v>#VALUE!</v>
      </c>
      <c r="X1537" s="52"/>
      <c r="Y1537" s="52"/>
      <c r="Z1537" s="52"/>
      <c r="AA1537" s="47" t="e">
        <f>INDEX(VISITORS[INSECT ORDER], MATCH(X1537,VISITORS[NAME USED],0))</f>
        <v>#N/A</v>
      </c>
      <c r="AB1537" s="47" t="e">
        <f t="shared" si="798"/>
        <v>#N/A</v>
      </c>
      <c r="AC1537" s="53" t="e">
        <f t="shared" si="799"/>
        <v>#VALUE!</v>
      </c>
      <c r="AD1537" s="54" t="str">
        <f t="shared" si="800"/>
        <v/>
      </c>
      <c r="AE1537" s="54"/>
      <c r="AF1537" s="54"/>
      <c r="AG1537" s="55" t="str">
        <f t="shared" si="801"/>
        <v/>
      </c>
      <c r="AH1537" s="56" t="str">
        <f t="shared" si="802"/>
        <v/>
      </c>
      <c r="AI1537" s="55"/>
      <c r="AJ1537" s="56" t="str">
        <f t="shared" si="803"/>
        <v/>
      </c>
      <c r="AK1537" s="55"/>
      <c r="AL1537" s="56" t="str">
        <f t="shared" si="804"/>
        <v/>
      </c>
      <c r="AM1537" s="55"/>
      <c r="AN1537" s="56" t="str">
        <f t="shared" si="805"/>
        <v/>
      </c>
      <c r="AO1537" s="55"/>
      <c r="AP1537" s="56" t="str">
        <f t="shared" si="806"/>
        <v/>
      </c>
      <c r="AQ1537" s="55"/>
      <c r="AR1537" s="56" t="str">
        <f t="shared" si="807"/>
        <v/>
      </c>
      <c r="AS1537" s="57"/>
      <c r="AT1537" s="58"/>
      <c r="AU1537" s="58"/>
      <c r="AV1537" s="59"/>
      <c r="AW1537" s="60" t="str">
        <f t="shared" si="808"/>
        <v/>
      </c>
      <c r="AX1537" s="61" t="str">
        <f t="shared" si="809"/>
        <v/>
      </c>
      <c r="AY1537" s="60" t="str">
        <f t="shared" si="810"/>
        <v/>
      </c>
      <c r="AZ1537" s="61" t="str">
        <f t="shared" si="811"/>
        <v/>
      </c>
    </row>
    <row r="1538" spans="1:52" s="3" customFormat="1" ht="12" hidden="1" customHeight="1" thickBot="1" x14ac:dyDescent="0.4">
      <c r="A1538" s="85">
        <f t="shared" si="768"/>
        <v>2020</v>
      </c>
      <c r="B1538" s="85" t="str">
        <f t="shared" si="787"/>
        <v>Dec</v>
      </c>
      <c r="C1538" s="86">
        <f t="shared" si="788"/>
        <v>3</v>
      </c>
      <c r="D1538" s="87">
        <f t="shared" si="789"/>
        <v>16</v>
      </c>
      <c r="E1538" s="88">
        <f t="shared" si="769"/>
        <v>29</v>
      </c>
      <c r="F1538" s="89"/>
      <c r="G1538" s="90"/>
      <c r="H1538" s="68" t="str">
        <f t="shared" si="790"/>
        <v>Hyprev6_20201203_16_00</v>
      </c>
      <c r="I1538" s="91">
        <f t="shared" ref="I1538:N1538" si="842">I1537</f>
        <v>1</v>
      </c>
      <c r="J1538" s="92" t="str">
        <f t="shared" si="842"/>
        <v>Hypericum</v>
      </c>
      <c r="K1538" s="92" t="str">
        <f t="shared" si="842"/>
        <v>revolutum</v>
      </c>
      <c r="L1538" s="93">
        <f t="shared" si="842"/>
        <v>6</v>
      </c>
      <c r="M1538" s="93">
        <f t="shared" si="842"/>
        <v>1</v>
      </c>
      <c r="N1538" s="94">
        <f t="shared" si="842"/>
        <v>0</v>
      </c>
      <c r="O1538" s="95"/>
      <c r="P1538" s="96" t="str">
        <f t="shared" si="792"/>
        <v/>
      </c>
      <c r="Q1538" s="97" t="str">
        <f t="shared" si="793"/>
        <v/>
      </c>
      <c r="R1538" s="98" t="e">
        <f t="shared" si="794"/>
        <v>#VALUE!</v>
      </c>
      <c r="S1538" s="98" t="e">
        <f>IF(T1538&lt;D1538, (T1538*3600+U1538*60+V1538)+((23*3600+59*60+60)-(D1538*3600+E1538*60+LEFT(F1538,2))), (T1538*3600+U1538*60+V1538)-(D1538*3600+E1538*60+LEFT(F1538,2)))</f>
        <v>#VALUE!</v>
      </c>
      <c r="T1538" s="98" t="str">
        <f t="shared" si="796"/>
        <v/>
      </c>
      <c r="U1538" s="99"/>
      <c r="V1538" s="100"/>
      <c r="W1538" s="101" t="e">
        <f t="shared" si="797"/>
        <v>#VALUE!</v>
      </c>
      <c r="X1538" s="102"/>
      <c r="Y1538" s="141"/>
      <c r="Z1538" s="141"/>
      <c r="AA1538" s="47" t="e">
        <f>INDEX(VISITORS[INSECT ORDER], MATCH(X1538,VISITORS[NAME USED],0))</f>
        <v>#N/A</v>
      </c>
      <c r="AB1538" s="98" t="e">
        <f t="shared" si="798"/>
        <v>#N/A</v>
      </c>
      <c r="AC1538" s="53" t="e">
        <f t="shared" si="799"/>
        <v>#VALUE!</v>
      </c>
      <c r="AD1538" s="103" t="str">
        <f t="shared" si="800"/>
        <v/>
      </c>
      <c r="AE1538" s="103"/>
      <c r="AF1538" s="103"/>
      <c r="AG1538" s="104" t="str">
        <f t="shared" si="801"/>
        <v/>
      </c>
      <c r="AH1538" s="105" t="str">
        <f t="shared" si="802"/>
        <v/>
      </c>
      <c r="AI1538" s="104"/>
      <c r="AJ1538" s="105" t="str">
        <f t="shared" si="803"/>
        <v/>
      </c>
      <c r="AK1538" s="104"/>
      <c r="AL1538" s="105" t="str">
        <f t="shared" si="804"/>
        <v/>
      </c>
      <c r="AM1538" s="104"/>
      <c r="AN1538" s="105" t="str">
        <f t="shared" si="805"/>
        <v/>
      </c>
      <c r="AO1538" s="104"/>
      <c r="AP1538" s="105" t="str">
        <f t="shared" si="806"/>
        <v/>
      </c>
      <c r="AQ1538" s="104"/>
      <c r="AR1538" s="105" t="str">
        <f t="shared" si="807"/>
        <v/>
      </c>
      <c r="AS1538" s="106"/>
      <c r="AT1538" s="107"/>
      <c r="AU1538" s="107"/>
      <c r="AV1538" s="108"/>
      <c r="AW1538" s="109" t="str">
        <f t="shared" si="808"/>
        <v/>
      </c>
      <c r="AX1538" s="110" t="str">
        <f t="shared" si="809"/>
        <v/>
      </c>
      <c r="AY1538" s="109" t="str">
        <f t="shared" si="810"/>
        <v/>
      </c>
      <c r="AZ1538" s="110" t="str">
        <f t="shared" si="811"/>
        <v/>
      </c>
    </row>
    <row r="1539" spans="1:52" s="3" customFormat="1" ht="12" hidden="1" customHeight="1" x14ac:dyDescent="0.35">
      <c r="A1539" s="72">
        <f t="shared" si="768"/>
        <v>2020</v>
      </c>
      <c r="B1539" s="72" t="str">
        <f t="shared" si="787"/>
        <v>Dec</v>
      </c>
      <c r="C1539" s="73">
        <f t="shared" si="788"/>
        <v>3</v>
      </c>
      <c r="D1539" s="74">
        <f t="shared" si="789"/>
        <v>16</v>
      </c>
      <c r="E1539" s="75">
        <f t="shared" si="769"/>
        <v>30</v>
      </c>
      <c r="F1539" s="79"/>
      <c r="G1539" s="82"/>
      <c r="H1539" s="68" t="str">
        <f t="shared" si="790"/>
        <v>Hyprev6_20201203_16_00</v>
      </c>
      <c r="I1539" s="69">
        <f t="shared" ref="I1539:N1539" si="843">I1538</f>
        <v>1</v>
      </c>
      <c r="J1539" s="76" t="str">
        <f t="shared" si="843"/>
        <v>Hypericum</v>
      </c>
      <c r="K1539" s="76" t="str">
        <f t="shared" si="843"/>
        <v>revolutum</v>
      </c>
      <c r="L1539" s="77">
        <f t="shared" si="843"/>
        <v>6</v>
      </c>
      <c r="M1539" s="77">
        <f t="shared" si="843"/>
        <v>1</v>
      </c>
      <c r="N1539" s="71">
        <f t="shared" si="843"/>
        <v>0</v>
      </c>
      <c r="O1539" s="44"/>
      <c r="P1539" s="45" t="str">
        <f t="shared" si="792"/>
        <v/>
      </c>
      <c r="Q1539" s="46" t="str">
        <f t="shared" si="793"/>
        <v/>
      </c>
      <c r="R1539" s="47" t="e">
        <f t="shared" si="794"/>
        <v>#VALUE!</v>
      </c>
      <c r="S1539" s="48" t="e">
        <f t="shared" ref="S1539:S1584" si="844">IF(T1539&lt;D1539, (T1539*3600+U1539*60+V1539)+((23*3600+59*60+60)-(D1539*3600+E1539*60+LEFT(F1539,2))), (T1539*3600+U1539*60+V1539)-(D1539*3600+E1539*60+LEFT(F1539,2)))</f>
        <v>#VALUE!</v>
      </c>
      <c r="T1539" s="47" t="str">
        <f t="shared" si="796"/>
        <v/>
      </c>
      <c r="U1539" s="49"/>
      <c r="V1539" s="50"/>
      <c r="W1539" s="51" t="e">
        <f t="shared" si="797"/>
        <v>#VALUE!</v>
      </c>
      <c r="X1539" s="52"/>
      <c r="Y1539" s="52"/>
      <c r="Z1539" s="52"/>
      <c r="AA1539" s="47" t="e">
        <f>INDEX(VISITORS[INSECT ORDER], MATCH(X1539,VISITORS[NAME USED],0))</f>
        <v>#N/A</v>
      </c>
      <c r="AB1539" s="47" t="e">
        <f t="shared" si="798"/>
        <v>#N/A</v>
      </c>
      <c r="AC1539" s="53" t="e">
        <f t="shared" si="799"/>
        <v>#VALUE!</v>
      </c>
      <c r="AD1539" s="54" t="str">
        <f t="shared" si="800"/>
        <v/>
      </c>
      <c r="AE1539" s="54"/>
      <c r="AF1539" s="54"/>
      <c r="AG1539" s="55" t="str">
        <f t="shared" si="801"/>
        <v/>
      </c>
      <c r="AH1539" s="56" t="str">
        <f t="shared" si="802"/>
        <v/>
      </c>
      <c r="AI1539" s="55"/>
      <c r="AJ1539" s="56" t="str">
        <f t="shared" si="803"/>
        <v/>
      </c>
      <c r="AK1539" s="55"/>
      <c r="AL1539" s="56" t="str">
        <f t="shared" si="804"/>
        <v/>
      </c>
      <c r="AM1539" s="55"/>
      <c r="AN1539" s="56" t="str">
        <f t="shared" si="805"/>
        <v/>
      </c>
      <c r="AO1539" s="55"/>
      <c r="AP1539" s="56" t="str">
        <f t="shared" si="806"/>
        <v/>
      </c>
      <c r="AQ1539" s="55"/>
      <c r="AR1539" s="56" t="str">
        <f t="shared" si="807"/>
        <v/>
      </c>
      <c r="AS1539" s="57"/>
      <c r="AT1539" s="58"/>
      <c r="AU1539" s="58"/>
      <c r="AV1539" s="59"/>
      <c r="AW1539" s="60" t="str">
        <f t="shared" si="808"/>
        <v/>
      </c>
      <c r="AX1539" s="61" t="str">
        <f t="shared" si="809"/>
        <v/>
      </c>
      <c r="AY1539" s="60" t="str">
        <f t="shared" si="810"/>
        <v/>
      </c>
      <c r="AZ1539" s="61" t="str">
        <f t="shared" si="811"/>
        <v/>
      </c>
    </row>
    <row r="1540" spans="1:52" s="3" customFormat="1" ht="12" hidden="1" customHeight="1" x14ac:dyDescent="0.35">
      <c r="A1540" s="72">
        <f t="shared" si="768"/>
        <v>2020</v>
      </c>
      <c r="B1540" s="72" t="str">
        <f t="shared" si="787"/>
        <v>Dec</v>
      </c>
      <c r="C1540" s="73">
        <f t="shared" si="788"/>
        <v>3</v>
      </c>
      <c r="D1540" s="74">
        <f t="shared" si="789"/>
        <v>16</v>
      </c>
      <c r="E1540" s="75">
        <f t="shared" si="769"/>
        <v>31</v>
      </c>
      <c r="F1540" s="79"/>
      <c r="G1540" s="82"/>
      <c r="H1540" s="68" t="str">
        <f t="shared" si="790"/>
        <v>Hyprev6_20201203_16_00</v>
      </c>
      <c r="I1540" s="69">
        <f t="shared" ref="I1540:N1540" si="845">I1539</f>
        <v>1</v>
      </c>
      <c r="J1540" s="76" t="str">
        <f t="shared" si="845"/>
        <v>Hypericum</v>
      </c>
      <c r="K1540" s="76" t="str">
        <f t="shared" si="845"/>
        <v>revolutum</v>
      </c>
      <c r="L1540" s="77">
        <f t="shared" si="845"/>
        <v>6</v>
      </c>
      <c r="M1540" s="77">
        <f t="shared" si="845"/>
        <v>1</v>
      </c>
      <c r="N1540" s="71">
        <f t="shared" si="845"/>
        <v>0</v>
      </c>
      <c r="O1540" s="44"/>
      <c r="P1540" s="45" t="str">
        <f t="shared" si="792"/>
        <v/>
      </c>
      <c r="Q1540" s="46" t="str">
        <f t="shared" si="793"/>
        <v/>
      </c>
      <c r="R1540" s="47" t="e">
        <f t="shared" si="794"/>
        <v>#VALUE!</v>
      </c>
      <c r="S1540" s="48" t="e">
        <f t="shared" si="844"/>
        <v>#VALUE!</v>
      </c>
      <c r="T1540" s="47" t="str">
        <f t="shared" si="796"/>
        <v/>
      </c>
      <c r="U1540" s="49"/>
      <c r="V1540" s="50"/>
      <c r="W1540" s="51" t="e">
        <f t="shared" si="797"/>
        <v>#VALUE!</v>
      </c>
      <c r="X1540" s="52"/>
      <c r="Y1540" s="52"/>
      <c r="Z1540" s="52"/>
      <c r="AA1540" s="47" t="e">
        <f>INDEX(VISITORS[INSECT ORDER], MATCH(X1540,VISITORS[NAME USED],0))</f>
        <v>#N/A</v>
      </c>
      <c r="AB1540" s="47" t="e">
        <f t="shared" si="798"/>
        <v>#N/A</v>
      </c>
      <c r="AC1540" s="53" t="e">
        <f t="shared" si="799"/>
        <v>#VALUE!</v>
      </c>
      <c r="AD1540" s="54" t="str">
        <f t="shared" si="800"/>
        <v/>
      </c>
      <c r="AE1540" s="54"/>
      <c r="AF1540" s="54"/>
      <c r="AG1540" s="55" t="str">
        <f t="shared" si="801"/>
        <v/>
      </c>
      <c r="AH1540" s="56" t="str">
        <f t="shared" si="802"/>
        <v/>
      </c>
      <c r="AI1540" s="55"/>
      <c r="AJ1540" s="56" t="str">
        <f t="shared" si="803"/>
        <v/>
      </c>
      <c r="AK1540" s="55"/>
      <c r="AL1540" s="56" t="str">
        <f t="shared" si="804"/>
        <v/>
      </c>
      <c r="AM1540" s="55"/>
      <c r="AN1540" s="56" t="str">
        <f t="shared" si="805"/>
        <v/>
      </c>
      <c r="AO1540" s="55"/>
      <c r="AP1540" s="56" t="str">
        <f t="shared" si="806"/>
        <v/>
      </c>
      <c r="AQ1540" s="55"/>
      <c r="AR1540" s="56" t="str">
        <f t="shared" si="807"/>
        <v/>
      </c>
      <c r="AS1540" s="57"/>
      <c r="AT1540" s="58"/>
      <c r="AU1540" s="58"/>
      <c r="AV1540" s="59"/>
      <c r="AW1540" s="60" t="str">
        <f t="shared" si="808"/>
        <v/>
      </c>
      <c r="AX1540" s="61" t="str">
        <f t="shared" si="809"/>
        <v/>
      </c>
      <c r="AY1540" s="60" t="str">
        <f t="shared" si="810"/>
        <v/>
      </c>
      <c r="AZ1540" s="61" t="str">
        <f t="shared" si="811"/>
        <v/>
      </c>
    </row>
    <row r="1541" spans="1:52" s="3" customFormat="1" ht="12" hidden="1" customHeight="1" thickBot="1" x14ac:dyDescent="0.4">
      <c r="A1541" s="85">
        <f t="shared" si="768"/>
        <v>2020</v>
      </c>
      <c r="B1541" s="85" t="str">
        <f t="shared" si="787"/>
        <v>Dec</v>
      </c>
      <c r="C1541" s="86">
        <f t="shared" si="788"/>
        <v>3</v>
      </c>
      <c r="D1541" s="87">
        <f t="shared" si="789"/>
        <v>16</v>
      </c>
      <c r="E1541" s="88">
        <f t="shared" si="769"/>
        <v>32</v>
      </c>
      <c r="F1541" s="89"/>
      <c r="G1541" s="90"/>
      <c r="H1541" s="68" t="str">
        <f t="shared" si="790"/>
        <v>Hyprev6_20201203_16_00</v>
      </c>
      <c r="I1541" s="91">
        <f t="shared" ref="I1541:N1541" si="846">I1540</f>
        <v>1</v>
      </c>
      <c r="J1541" s="92" t="str">
        <f t="shared" si="846"/>
        <v>Hypericum</v>
      </c>
      <c r="K1541" s="92" t="str">
        <f t="shared" si="846"/>
        <v>revolutum</v>
      </c>
      <c r="L1541" s="93">
        <f t="shared" si="846"/>
        <v>6</v>
      </c>
      <c r="M1541" s="93">
        <f t="shared" si="846"/>
        <v>1</v>
      </c>
      <c r="N1541" s="94">
        <f t="shared" si="846"/>
        <v>0</v>
      </c>
      <c r="O1541" s="95"/>
      <c r="P1541" s="96" t="str">
        <f t="shared" si="792"/>
        <v/>
      </c>
      <c r="Q1541" s="97" t="str">
        <f t="shared" si="793"/>
        <v/>
      </c>
      <c r="R1541" s="98" t="e">
        <f t="shared" si="794"/>
        <v>#VALUE!</v>
      </c>
      <c r="S1541" s="98" t="e">
        <f t="shared" si="844"/>
        <v>#VALUE!</v>
      </c>
      <c r="T1541" s="98" t="str">
        <f t="shared" si="796"/>
        <v/>
      </c>
      <c r="U1541" s="99"/>
      <c r="V1541" s="100"/>
      <c r="W1541" s="101" t="e">
        <f t="shared" si="797"/>
        <v>#VALUE!</v>
      </c>
      <c r="X1541" s="102"/>
      <c r="Y1541" s="141"/>
      <c r="Z1541" s="141"/>
      <c r="AA1541" s="47" t="e">
        <f>INDEX(VISITORS[INSECT ORDER], MATCH(X1541,VISITORS[NAME USED],0))</f>
        <v>#N/A</v>
      </c>
      <c r="AB1541" s="98" t="e">
        <f t="shared" si="798"/>
        <v>#N/A</v>
      </c>
      <c r="AC1541" s="53" t="e">
        <f t="shared" si="799"/>
        <v>#VALUE!</v>
      </c>
      <c r="AD1541" s="103" t="str">
        <f t="shared" si="800"/>
        <v/>
      </c>
      <c r="AE1541" s="103"/>
      <c r="AF1541" s="103"/>
      <c r="AG1541" s="104" t="str">
        <f t="shared" si="801"/>
        <v/>
      </c>
      <c r="AH1541" s="105" t="str">
        <f t="shared" si="802"/>
        <v/>
      </c>
      <c r="AI1541" s="104"/>
      <c r="AJ1541" s="105" t="str">
        <f t="shared" si="803"/>
        <v/>
      </c>
      <c r="AK1541" s="104"/>
      <c r="AL1541" s="105" t="str">
        <f t="shared" si="804"/>
        <v/>
      </c>
      <c r="AM1541" s="104"/>
      <c r="AN1541" s="105" t="str">
        <f t="shared" si="805"/>
        <v/>
      </c>
      <c r="AO1541" s="104"/>
      <c r="AP1541" s="105" t="str">
        <f t="shared" si="806"/>
        <v/>
      </c>
      <c r="AQ1541" s="104"/>
      <c r="AR1541" s="105" t="str">
        <f t="shared" si="807"/>
        <v/>
      </c>
      <c r="AS1541" s="106"/>
      <c r="AT1541" s="107"/>
      <c r="AU1541" s="107"/>
      <c r="AV1541" s="108"/>
      <c r="AW1541" s="109" t="str">
        <f t="shared" si="808"/>
        <v/>
      </c>
      <c r="AX1541" s="110" t="str">
        <f t="shared" si="809"/>
        <v/>
      </c>
      <c r="AY1541" s="109" t="str">
        <f t="shared" si="810"/>
        <v/>
      </c>
      <c r="AZ1541" s="110" t="str">
        <f t="shared" si="811"/>
        <v/>
      </c>
    </row>
    <row r="1542" spans="1:52" s="3" customFormat="1" ht="12" hidden="1" customHeight="1" x14ac:dyDescent="0.35">
      <c r="A1542" s="72">
        <f t="shared" si="768"/>
        <v>2020</v>
      </c>
      <c r="B1542" s="72" t="str">
        <f t="shared" si="787"/>
        <v>Dec</v>
      </c>
      <c r="C1542" s="73">
        <f t="shared" si="788"/>
        <v>3</v>
      </c>
      <c r="D1542" s="74">
        <f t="shared" si="789"/>
        <v>16</v>
      </c>
      <c r="E1542" s="75">
        <f t="shared" si="769"/>
        <v>33</v>
      </c>
      <c r="F1542" s="79"/>
      <c r="G1542" s="82"/>
      <c r="H1542" s="68" t="str">
        <f t="shared" si="790"/>
        <v>Hyprev6_20201203_16_00</v>
      </c>
      <c r="I1542" s="69">
        <f t="shared" ref="I1542:N1542" si="847">I1541</f>
        <v>1</v>
      </c>
      <c r="J1542" s="76" t="str">
        <f t="shared" si="847"/>
        <v>Hypericum</v>
      </c>
      <c r="K1542" s="76" t="str">
        <f t="shared" si="847"/>
        <v>revolutum</v>
      </c>
      <c r="L1542" s="77">
        <f t="shared" si="847"/>
        <v>6</v>
      </c>
      <c r="M1542" s="77">
        <f t="shared" si="847"/>
        <v>1</v>
      </c>
      <c r="N1542" s="71">
        <f t="shared" si="847"/>
        <v>0</v>
      </c>
      <c r="O1542" s="44"/>
      <c r="P1542" s="45" t="str">
        <f t="shared" si="792"/>
        <v/>
      </c>
      <c r="Q1542" s="46" t="str">
        <f t="shared" si="793"/>
        <v/>
      </c>
      <c r="R1542" s="47" t="e">
        <f t="shared" si="794"/>
        <v>#VALUE!</v>
      </c>
      <c r="S1542" s="48" t="e">
        <f t="shared" si="844"/>
        <v>#VALUE!</v>
      </c>
      <c r="T1542" s="47" t="str">
        <f t="shared" si="796"/>
        <v/>
      </c>
      <c r="U1542" s="49"/>
      <c r="V1542" s="50"/>
      <c r="W1542" s="51" t="e">
        <f t="shared" si="797"/>
        <v>#VALUE!</v>
      </c>
      <c r="X1542" s="52"/>
      <c r="Y1542" s="52"/>
      <c r="Z1542" s="52"/>
      <c r="AA1542" s="47" t="e">
        <f>INDEX(VISITORS[INSECT ORDER], MATCH(X1542,VISITORS[NAME USED],0))</f>
        <v>#N/A</v>
      </c>
      <c r="AB1542" s="47" t="e">
        <f t="shared" si="798"/>
        <v>#N/A</v>
      </c>
      <c r="AC1542" s="53" t="e">
        <f t="shared" si="799"/>
        <v>#VALUE!</v>
      </c>
      <c r="AD1542" s="54" t="str">
        <f t="shared" si="800"/>
        <v/>
      </c>
      <c r="AE1542" s="54"/>
      <c r="AF1542" s="54"/>
      <c r="AG1542" s="55" t="str">
        <f t="shared" si="801"/>
        <v/>
      </c>
      <c r="AH1542" s="56" t="str">
        <f t="shared" si="802"/>
        <v/>
      </c>
      <c r="AI1542" s="55"/>
      <c r="AJ1542" s="56" t="str">
        <f t="shared" si="803"/>
        <v/>
      </c>
      <c r="AK1542" s="55"/>
      <c r="AL1542" s="56" t="str">
        <f t="shared" si="804"/>
        <v/>
      </c>
      <c r="AM1542" s="55"/>
      <c r="AN1542" s="56" t="str">
        <f t="shared" si="805"/>
        <v/>
      </c>
      <c r="AO1542" s="55"/>
      <c r="AP1542" s="56" t="str">
        <f t="shared" si="806"/>
        <v/>
      </c>
      <c r="AQ1542" s="55"/>
      <c r="AR1542" s="56" t="str">
        <f t="shared" si="807"/>
        <v/>
      </c>
      <c r="AS1542" s="57"/>
      <c r="AT1542" s="58"/>
      <c r="AU1542" s="58"/>
      <c r="AV1542" s="59"/>
      <c r="AW1542" s="60" t="str">
        <f t="shared" si="808"/>
        <v/>
      </c>
      <c r="AX1542" s="61" t="str">
        <f t="shared" si="809"/>
        <v/>
      </c>
      <c r="AY1542" s="60" t="str">
        <f t="shared" si="810"/>
        <v/>
      </c>
      <c r="AZ1542" s="61" t="str">
        <f t="shared" si="811"/>
        <v/>
      </c>
    </row>
    <row r="1543" spans="1:52" s="3" customFormat="1" ht="12" hidden="1" customHeight="1" x14ac:dyDescent="0.35">
      <c r="A1543" s="72">
        <f t="shared" si="768"/>
        <v>2020</v>
      </c>
      <c r="B1543" s="72" t="str">
        <f t="shared" si="787"/>
        <v>Dec</v>
      </c>
      <c r="C1543" s="73">
        <f t="shared" si="788"/>
        <v>3</v>
      </c>
      <c r="D1543" s="74">
        <f t="shared" si="789"/>
        <v>16</v>
      </c>
      <c r="E1543" s="75">
        <f t="shared" si="769"/>
        <v>34</v>
      </c>
      <c r="F1543" s="79"/>
      <c r="G1543" s="82"/>
      <c r="H1543" s="68" t="str">
        <f t="shared" si="790"/>
        <v>Hyprev6_20201203_16_00</v>
      </c>
      <c r="I1543" s="69">
        <f t="shared" ref="I1543:N1543" si="848">I1542</f>
        <v>1</v>
      </c>
      <c r="J1543" s="76" t="str">
        <f t="shared" si="848"/>
        <v>Hypericum</v>
      </c>
      <c r="K1543" s="76" t="str">
        <f t="shared" si="848"/>
        <v>revolutum</v>
      </c>
      <c r="L1543" s="77">
        <f t="shared" si="848"/>
        <v>6</v>
      </c>
      <c r="M1543" s="77">
        <f t="shared" si="848"/>
        <v>1</v>
      </c>
      <c r="N1543" s="71">
        <f t="shared" si="848"/>
        <v>0</v>
      </c>
      <c r="O1543" s="44"/>
      <c r="P1543" s="45" t="str">
        <f t="shared" si="792"/>
        <v/>
      </c>
      <c r="Q1543" s="46" t="str">
        <f t="shared" si="793"/>
        <v/>
      </c>
      <c r="R1543" s="47" t="e">
        <f t="shared" si="794"/>
        <v>#VALUE!</v>
      </c>
      <c r="S1543" s="48" t="e">
        <f t="shared" si="844"/>
        <v>#VALUE!</v>
      </c>
      <c r="T1543" s="47" t="str">
        <f t="shared" si="796"/>
        <v/>
      </c>
      <c r="U1543" s="49"/>
      <c r="V1543" s="50"/>
      <c r="W1543" s="51" t="e">
        <f t="shared" si="797"/>
        <v>#VALUE!</v>
      </c>
      <c r="X1543" s="52"/>
      <c r="Y1543" s="52"/>
      <c r="Z1543" s="52"/>
      <c r="AA1543" s="47" t="e">
        <f>INDEX(VISITORS[INSECT ORDER], MATCH(X1543,VISITORS[NAME USED],0))</f>
        <v>#N/A</v>
      </c>
      <c r="AB1543" s="47" t="e">
        <f t="shared" si="798"/>
        <v>#N/A</v>
      </c>
      <c r="AC1543" s="53" t="e">
        <f t="shared" si="799"/>
        <v>#VALUE!</v>
      </c>
      <c r="AD1543" s="54" t="str">
        <f t="shared" si="800"/>
        <v/>
      </c>
      <c r="AE1543" s="54"/>
      <c r="AF1543" s="54"/>
      <c r="AG1543" s="55" t="str">
        <f t="shared" si="801"/>
        <v/>
      </c>
      <c r="AH1543" s="56" t="str">
        <f t="shared" si="802"/>
        <v/>
      </c>
      <c r="AI1543" s="55"/>
      <c r="AJ1543" s="56" t="str">
        <f t="shared" si="803"/>
        <v/>
      </c>
      <c r="AK1543" s="55"/>
      <c r="AL1543" s="56" t="str">
        <f t="shared" si="804"/>
        <v/>
      </c>
      <c r="AM1543" s="55"/>
      <c r="AN1543" s="56" t="str">
        <f t="shared" si="805"/>
        <v/>
      </c>
      <c r="AO1543" s="55"/>
      <c r="AP1543" s="56" t="str">
        <f t="shared" si="806"/>
        <v/>
      </c>
      <c r="AQ1543" s="55"/>
      <c r="AR1543" s="56" t="str">
        <f t="shared" si="807"/>
        <v/>
      </c>
      <c r="AS1543" s="57"/>
      <c r="AT1543" s="58"/>
      <c r="AU1543" s="58"/>
      <c r="AV1543" s="59"/>
      <c r="AW1543" s="60" t="str">
        <f t="shared" si="808"/>
        <v/>
      </c>
      <c r="AX1543" s="61" t="str">
        <f t="shared" si="809"/>
        <v/>
      </c>
      <c r="AY1543" s="60" t="str">
        <f t="shared" si="810"/>
        <v/>
      </c>
      <c r="AZ1543" s="61" t="str">
        <f t="shared" si="811"/>
        <v/>
      </c>
    </row>
    <row r="1544" spans="1:52" s="3" customFormat="1" ht="12" hidden="1" customHeight="1" thickBot="1" x14ac:dyDescent="0.4">
      <c r="A1544" s="85">
        <f t="shared" si="768"/>
        <v>2020</v>
      </c>
      <c r="B1544" s="85" t="str">
        <f t="shared" si="787"/>
        <v>Dec</v>
      </c>
      <c r="C1544" s="86">
        <f t="shared" si="788"/>
        <v>3</v>
      </c>
      <c r="D1544" s="87">
        <f t="shared" si="789"/>
        <v>16</v>
      </c>
      <c r="E1544" s="88">
        <f t="shared" si="769"/>
        <v>35</v>
      </c>
      <c r="F1544" s="89"/>
      <c r="G1544" s="90"/>
      <c r="H1544" s="68" t="str">
        <f t="shared" si="790"/>
        <v>Hyprev6_20201203_16_00</v>
      </c>
      <c r="I1544" s="91">
        <f t="shared" ref="I1544:N1544" si="849">I1543</f>
        <v>1</v>
      </c>
      <c r="J1544" s="92" t="str">
        <f t="shared" si="849"/>
        <v>Hypericum</v>
      </c>
      <c r="K1544" s="92" t="str">
        <f t="shared" si="849"/>
        <v>revolutum</v>
      </c>
      <c r="L1544" s="93">
        <f t="shared" si="849"/>
        <v>6</v>
      </c>
      <c r="M1544" s="93">
        <f t="shared" si="849"/>
        <v>1</v>
      </c>
      <c r="N1544" s="94">
        <f t="shared" si="849"/>
        <v>0</v>
      </c>
      <c r="O1544" s="95"/>
      <c r="P1544" s="96" t="str">
        <f t="shared" si="792"/>
        <v/>
      </c>
      <c r="Q1544" s="97" t="str">
        <f t="shared" si="793"/>
        <v/>
      </c>
      <c r="R1544" s="98" t="e">
        <f t="shared" si="794"/>
        <v>#VALUE!</v>
      </c>
      <c r="S1544" s="98" t="e">
        <f t="shared" si="844"/>
        <v>#VALUE!</v>
      </c>
      <c r="T1544" s="98" t="str">
        <f t="shared" si="796"/>
        <v/>
      </c>
      <c r="U1544" s="99"/>
      <c r="V1544" s="100"/>
      <c r="W1544" s="101" t="e">
        <f t="shared" si="797"/>
        <v>#VALUE!</v>
      </c>
      <c r="X1544" s="102"/>
      <c r="Y1544" s="141"/>
      <c r="Z1544" s="141"/>
      <c r="AA1544" s="47" t="e">
        <f>INDEX(VISITORS[INSECT ORDER], MATCH(X1544,VISITORS[NAME USED],0))</f>
        <v>#N/A</v>
      </c>
      <c r="AB1544" s="98" t="e">
        <f t="shared" si="798"/>
        <v>#N/A</v>
      </c>
      <c r="AC1544" s="53" t="e">
        <f t="shared" si="799"/>
        <v>#VALUE!</v>
      </c>
      <c r="AD1544" s="103" t="str">
        <f t="shared" si="800"/>
        <v/>
      </c>
      <c r="AE1544" s="103"/>
      <c r="AF1544" s="103"/>
      <c r="AG1544" s="104" t="str">
        <f t="shared" si="801"/>
        <v/>
      </c>
      <c r="AH1544" s="105" t="str">
        <f t="shared" si="802"/>
        <v/>
      </c>
      <c r="AI1544" s="104"/>
      <c r="AJ1544" s="105" t="str">
        <f t="shared" si="803"/>
        <v/>
      </c>
      <c r="AK1544" s="104"/>
      <c r="AL1544" s="105" t="str">
        <f t="shared" si="804"/>
        <v/>
      </c>
      <c r="AM1544" s="104"/>
      <c r="AN1544" s="105" t="str">
        <f t="shared" si="805"/>
        <v/>
      </c>
      <c r="AO1544" s="104"/>
      <c r="AP1544" s="105" t="str">
        <f t="shared" si="806"/>
        <v/>
      </c>
      <c r="AQ1544" s="104"/>
      <c r="AR1544" s="105" t="str">
        <f t="shared" si="807"/>
        <v/>
      </c>
      <c r="AS1544" s="106"/>
      <c r="AT1544" s="107"/>
      <c r="AU1544" s="107"/>
      <c r="AV1544" s="108"/>
      <c r="AW1544" s="109" t="str">
        <f t="shared" si="808"/>
        <v/>
      </c>
      <c r="AX1544" s="110" t="str">
        <f t="shared" si="809"/>
        <v/>
      </c>
      <c r="AY1544" s="109" t="str">
        <f t="shared" si="810"/>
        <v/>
      </c>
      <c r="AZ1544" s="110" t="str">
        <f t="shared" si="811"/>
        <v/>
      </c>
    </row>
    <row r="1545" spans="1:52" s="3" customFormat="1" ht="12" hidden="1" customHeight="1" x14ac:dyDescent="0.35">
      <c r="A1545" s="72">
        <f t="shared" si="768"/>
        <v>2020</v>
      </c>
      <c r="B1545" s="72" t="str">
        <f t="shared" si="787"/>
        <v>Dec</v>
      </c>
      <c r="C1545" s="73">
        <f t="shared" si="788"/>
        <v>3</v>
      </c>
      <c r="D1545" s="74">
        <f t="shared" si="789"/>
        <v>16</v>
      </c>
      <c r="E1545" s="75">
        <f t="shared" si="769"/>
        <v>36</v>
      </c>
      <c r="F1545" s="79"/>
      <c r="G1545" s="82"/>
      <c r="H1545" s="68" t="str">
        <f t="shared" si="790"/>
        <v>Hyprev6_20201203_16_00</v>
      </c>
      <c r="I1545" s="69">
        <f t="shared" ref="I1545:N1545" si="850">I1544</f>
        <v>1</v>
      </c>
      <c r="J1545" s="76" t="str">
        <f t="shared" si="850"/>
        <v>Hypericum</v>
      </c>
      <c r="K1545" s="76" t="str">
        <f t="shared" si="850"/>
        <v>revolutum</v>
      </c>
      <c r="L1545" s="77">
        <f t="shared" si="850"/>
        <v>6</v>
      </c>
      <c r="M1545" s="77">
        <f t="shared" si="850"/>
        <v>1</v>
      </c>
      <c r="N1545" s="71">
        <f t="shared" si="850"/>
        <v>0</v>
      </c>
      <c r="O1545" s="44"/>
      <c r="P1545" s="45" t="str">
        <f t="shared" si="792"/>
        <v/>
      </c>
      <c r="Q1545" s="46" t="str">
        <f t="shared" si="793"/>
        <v/>
      </c>
      <c r="R1545" s="47" t="e">
        <f t="shared" si="794"/>
        <v>#VALUE!</v>
      </c>
      <c r="S1545" s="48" t="e">
        <f t="shared" si="844"/>
        <v>#VALUE!</v>
      </c>
      <c r="T1545" s="47" t="str">
        <f t="shared" si="796"/>
        <v/>
      </c>
      <c r="U1545" s="49"/>
      <c r="V1545" s="50"/>
      <c r="W1545" s="51" t="e">
        <f t="shared" si="797"/>
        <v>#VALUE!</v>
      </c>
      <c r="X1545" s="52"/>
      <c r="Y1545" s="52"/>
      <c r="Z1545" s="52"/>
      <c r="AA1545" s="47" t="e">
        <f>INDEX(VISITORS[INSECT ORDER], MATCH(X1545,VISITORS[NAME USED],0))</f>
        <v>#N/A</v>
      </c>
      <c r="AB1545" s="47" t="e">
        <f t="shared" si="798"/>
        <v>#N/A</v>
      </c>
      <c r="AC1545" s="53" t="e">
        <f t="shared" si="799"/>
        <v>#VALUE!</v>
      </c>
      <c r="AD1545" s="54" t="str">
        <f t="shared" si="800"/>
        <v/>
      </c>
      <c r="AE1545" s="54"/>
      <c r="AF1545" s="54"/>
      <c r="AG1545" s="55" t="str">
        <f t="shared" si="801"/>
        <v/>
      </c>
      <c r="AH1545" s="56" t="str">
        <f t="shared" si="802"/>
        <v/>
      </c>
      <c r="AI1545" s="55"/>
      <c r="AJ1545" s="56" t="str">
        <f t="shared" si="803"/>
        <v/>
      </c>
      <c r="AK1545" s="55"/>
      <c r="AL1545" s="56" t="str">
        <f t="shared" si="804"/>
        <v/>
      </c>
      <c r="AM1545" s="55"/>
      <c r="AN1545" s="56" t="str">
        <f t="shared" si="805"/>
        <v/>
      </c>
      <c r="AO1545" s="55"/>
      <c r="AP1545" s="56" t="str">
        <f t="shared" si="806"/>
        <v/>
      </c>
      <c r="AQ1545" s="55"/>
      <c r="AR1545" s="56" t="str">
        <f t="shared" si="807"/>
        <v/>
      </c>
      <c r="AS1545" s="57"/>
      <c r="AT1545" s="58"/>
      <c r="AU1545" s="58"/>
      <c r="AV1545" s="59"/>
      <c r="AW1545" s="60" t="str">
        <f t="shared" si="808"/>
        <v/>
      </c>
      <c r="AX1545" s="61" t="str">
        <f t="shared" si="809"/>
        <v/>
      </c>
      <c r="AY1545" s="60" t="str">
        <f t="shared" si="810"/>
        <v/>
      </c>
      <c r="AZ1545" s="61" t="str">
        <f t="shared" si="811"/>
        <v/>
      </c>
    </row>
    <row r="1546" spans="1:52" s="3" customFormat="1" ht="12" hidden="1" customHeight="1" x14ac:dyDescent="0.35">
      <c r="A1546" s="72">
        <f t="shared" si="768"/>
        <v>2020</v>
      </c>
      <c r="B1546" s="72" t="str">
        <f t="shared" si="787"/>
        <v>Dec</v>
      </c>
      <c r="C1546" s="73">
        <f t="shared" si="788"/>
        <v>3</v>
      </c>
      <c r="D1546" s="74">
        <f t="shared" si="789"/>
        <v>16</v>
      </c>
      <c r="E1546" s="75">
        <f t="shared" si="769"/>
        <v>37</v>
      </c>
      <c r="F1546" s="79"/>
      <c r="G1546" s="82"/>
      <c r="H1546" s="68" t="str">
        <f t="shared" si="790"/>
        <v>Hyprev6_20201203_16_00</v>
      </c>
      <c r="I1546" s="69">
        <f t="shared" ref="I1546:N1546" si="851">I1545</f>
        <v>1</v>
      </c>
      <c r="J1546" s="76" t="str">
        <f t="shared" si="851"/>
        <v>Hypericum</v>
      </c>
      <c r="K1546" s="76" t="str">
        <f t="shared" si="851"/>
        <v>revolutum</v>
      </c>
      <c r="L1546" s="77">
        <f t="shared" si="851"/>
        <v>6</v>
      </c>
      <c r="M1546" s="77">
        <f t="shared" si="851"/>
        <v>1</v>
      </c>
      <c r="N1546" s="71">
        <f t="shared" si="851"/>
        <v>0</v>
      </c>
      <c r="O1546" s="44"/>
      <c r="P1546" s="45" t="str">
        <f t="shared" si="792"/>
        <v/>
      </c>
      <c r="Q1546" s="46" t="str">
        <f t="shared" si="793"/>
        <v/>
      </c>
      <c r="R1546" s="47" t="e">
        <f t="shared" si="794"/>
        <v>#VALUE!</v>
      </c>
      <c r="S1546" s="48" t="e">
        <f t="shared" si="844"/>
        <v>#VALUE!</v>
      </c>
      <c r="T1546" s="47" t="str">
        <f t="shared" si="796"/>
        <v/>
      </c>
      <c r="U1546" s="49"/>
      <c r="V1546" s="50"/>
      <c r="W1546" s="51" t="e">
        <f t="shared" si="797"/>
        <v>#VALUE!</v>
      </c>
      <c r="X1546" s="52"/>
      <c r="Y1546" s="52"/>
      <c r="Z1546" s="52"/>
      <c r="AA1546" s="47" t="e">
        <f>INDEX(VISITORS[INSECT ORDER], MATCH(X1546,VISITORS[NAME USED],0))</f>
        <v>#N/A</v>
      </c>
      <c r="AB1546" s="47" t="e">
        <f t="shared" si="798"/>
        <v>#N/A</v>
      </c>
      <c r="AC1546" s="53" t="e">
        <f t="shared" si="799"/>
        <v>#VALUE!</v>
      </c>
      <c r="AD1546" s="54" t="str">
        <f t="shared" si="800"/>
        <v/>
      </c>
      <c r="AE1546" s="54"/>
      <c r="AF1546" s="54"/>
      <c r="AG1546" s="55" t="str">
        <f t="shared" si="801"/>
        <v/>
      </c>
      <c r="AH1546" s="56" t="str">
        <f t="shared" si="802"/>
        <v/>
      </c>
      <c r="AI1546" s="55"/>
      <c r="AJ1546" s="56" t="str">
        <f t="shared" si="803"/>
        <v/>
      </c>
      <c r="AK1546" s="55"/>
      <c r="AL1546" s="56" t="str">
        <f t="shared" si="804"/>
        <v/>
      </c>
      <c r="AM1546" s="55"/>
      <c r="AN1546" s="56" t="str">
        <f t="shared" si="805"/>
        <v/>
      </c>
      <c r="AO1546" s="55"/>
      <c r="AP1546" s="56" t="str">
        <f t="shared" si="806"/>
        <v/>
      </c>
      <c r="AQ1546" s="55"/>
      <c r="AR1546" s="56" t="str">
        <f t="shared" si="807"/>
        <v/>
      </c>
      <c r="AS1546" s="57"/>
      <c r="AT1546" s="58"/>
      <c r="AU1546" s="58"/>
      <c r="AV1546" s="59"/>
      <c r="AW1546" s="60" t="str">
        <f t="shared" si="808"/>
        <v/>
      </c>
      <c r="AX1546" s="61" t="str">
        <f t="shared" si="809"/>
        <v/>
      </c>
      <c r="AY1546" s="60" t="str">
        <f t="shared" si="810"/>
        <v/>
      </c>
      <c r="AZ1546" s="61" t="str">
        <f t="shared" si="811"/>
        <v/>
      </c>
    </row>
    <row r="1547" spans="1:52" s="3" customFormat="1" ht="12" hidden="1" customHeight="1" thickBot="1" x14ac:dyDescent="0.4">
      <c r="A1547" s="85">
        <f t="shared" si="768"/>
        <v>2020</v>
      </c>
      <c r="B1547" s="85" t="str">
        <f t="shared" si="787"/>
        <v>Dec</v>
      </c>
      <c r="C1547" s="86">
        <f t="shared" si="788"/>
        <v>3</v>
      </c>
      <c r="D1547" s="87">
        <f t="shared" si="789"/>
        <v>16</v>
      </c>
      <c r="E1547" s="88">
        <f t="shared" si="769"/>
        <v>38</v>
      </c>
      <c r="F1547" s="89"/>
      <c r="G1547" s="90"/>
      <c r="H1547" s="68" t="str">
        <f t="shared" si="790"/>
        <v>Hyprev6_20201203_16_00</v>
      </c>
      <c r="I1547" s="91">
        <f t="shared" ref="I1547:N1547" si="852">I1546</f>
        <v>1</v>
      </c>
      <c r="J1547" s="92" t="str">
        <f t="shared" si="852"/>
        <v>Hypericum</v>
      </c>
      <c r="K1547" s="92" t="str">
        <f t="shared" si="852"/>
        <v>revolutum</v>
      </c>
      <c r="L1547" s="93">
        <f t="shared" si="852"/>
        <v>6</v>
      </c>
      <c r="M1547" s="93">
        <f t="shared" si="852"/>
        <v>1</v>
      </c>
      <c r="N1547" s="94">
        <f t="shared" si="852"/>
        <v>0</v>
      </c>
      <c r="O1547" s="95"/>
      <c r="P1547" s="96" t="str">
        <f t="shared" si="792"/>
        <v/>
      </c>
      <c r="Q1547" s="97" t="str">
        <f t="shared" si="793"/>
        <v/>
      </c>
      <c r="R1547" s="98" t="e">
        <f t="shared" si="794"/>
        <v>#VALUE!</v>
      </c>
      <c r="S1547" s="98" t="e">
        <f t="shared" si="844"/>
        <v>#VALUE!</v>
      </c>
      <c r="T1547" s="98" t="str">
        <f t="shared" si="796"/>
        <v/>
      </c>
      <c r="U1547" s="99"/>
      <c r="V1547" s="100"/>
      <c r="W1547" s="101" t="e">
        <f t="shared" si="797"/>
        <v>#VALUE!</v>
      </c>
      <c r="X1547" s="102"/>
      <c r="Y1547" s="141"/>
      <c r="Z1547" s="141"/>
      <c r="AA1547" s="47" t="e">
        <f>INDEX(VISITORS[INSECT ORDER], MATCH(X1547,VISITORS[NAME USED],0))</f>
        <v>#N/A</v>
      </c>
      <c r="AB1547" s="98" t="e">
        <f t="shared" si="798"/>
        <v>#N/A</v>
      </c>
      <c r="AC1547" s="53" t="e">
        <f t="shared" si="799"/>
        <v>#VALUE!</v>
      </c>
      <c r="AD1547" s="103" t="str">
        <f t="shared" si="800"/>
        <v/>
      </c>
      <c r="AE1547" s="103"/>
      <c r="AF1547" s="103"/>
      <c r="AG1547" s="104" t="str">
        <f t="shared" si="801"/>
        <v/>
      </c>
      <c r="AH1547" s="105" t="str">
        <f t="shared" si="802"/>
        <v/>
      </c>
      <c r="AI1547" s="104"/>
      <c r="AJ1547" s="105" t="str">
        <f t="shared" si="803"/>
        <v/>
      </c>
      <c r="AK1547" s="104"/>
      <c r="AL1547" s="105" t="str">
        <f t="shared" si="804"/>
        <v/>
      </c>
      <c r="AM1547" s="104"/>
      <c r="AN1547" s="105" t="str">
        <f t="shared" si="805"/>
        <v/>
      </c>
      <c r="AO1547" s="104"/>
      <c r="AP1547" s="105" t="str">
        <f t="shared" si="806"/>
        <v/>
      </c>
      <c r="AQ1547" s="104"/>
      <c r="AR1547" s="105" t="str">
        <f t="shared" si="807"/>
        <v/>
      </c>
      <c r="AS1547" s="106"/>
      <c r="AT1547" s="107"/>
      <c r="AU1547" s="107"/>
      <c r="AV1547" s="108"/>
      <c r="AW1547" s="109" t="str">
        <f t="shared" si="808"/>
        <v/>
      </c>
      <c r="AX1547" s="110" t="str">
        <f t="shared" si="809"/>
        <v/>
      </c>
      <c r="AY1547" s="109" t="str">
        <f t="shared" si="810"/>
        <v/>
      </c>
      <c r="AZ1547" s="110" t="str">
        <f t="shared" si="811"/>
        <v/>
      </c>
    </row>
    <row r="1548" spans="1:52" s="3" customFormat="1" ht="12" hidden="1" customHeight="1" x14ac:dyDescent="0.35">
      <c r="A1548" s="72">
        <f t="shared" si="768"/>
        <v>2020</v>
      </c>
      <c r="B1548" s="72" t="str">
        <f t="shared" si="787"/>
        <v>Dec</v>
      </c>
      <c r="C1548" s="73">
        <f t="shared" si="788"/>
        <v>3</v>
      </c>
      <c r="D1548" s="74">
        <f t="shared" si="789"/>
        <v>16</v>
      </c>
      <c r="E1548" s="75">
        <f t="shared" si="769"/>
        <v>39</v>
      </c>
      <c r="F1548" s="79"/>
      <c r="G1548" s="82"/>
      <c r="H1548" s="68" t="str">
        <f t="shared" si="790"/>
        <v>Hyprev6_20201203_16_00</v>
      </c>
      <c r="I1548" s="69">
        <f t="shared" ref="I1548:N1548" si="853">I1547</f>
        <v>1</v>
      </c>
      <c r="J1548" s="76" t="str">
        <f t="shared" si="853"/>
        <v>Hypericum</v>
      </c>
      <c r="K1548" s="76" t="str">
        <f t="shared" si="853"/>
        <v>revolutum</v>
      </c>
      <c r="L1548" s="77">
        <f t="shared" si="853"/>
        <v>6</v>
      </c>
      <c r="M1548" s="77">
        <f t="shared" si="853"/>
        <v>1</v>
      </c>
      <c r="N1548" s="71">
        <f t="shared" si="853"/>
        <v>0</v>
      </c>
      <c r="O1548" s="44"/>
      <c r="P1548" s="45" t="str">
        <f t="shared" si="792"/>
        <v/>
      </c>
      <c r="Q1548" s="46" t="str">
        <f t="shared" si="793"/>
        <v/>
      </c>
      <c r="R1548" s="47" t="e">
        <f t="shared" si="794"/>
        <v>#VALUE!</v>
      </c>
      <c r="S1548" s="48" t="e">
        <f t="shared" si="844"/>
        <v>#VALUE!</v>
      </c>
      <c r="T1548" s="47" t="str">
        <f t="shared" si="796"/>
        <v/>
      </c>
      <c r="U1548" s="49"/>
      <c r="V1548" s="50"/>
      <c r="W1548" s="51" t="e">
        <f t="shared" si="797"/>
        <v>#VALUE!</v>
      </c>
      <c r="X1548" s="52"/>
      <c r="Y1548" s="52"/>
      <c r="Z1548" s="52"/>
      <c r="AA1548" s="47" t="e">
        <f>INDEX(VISITORS[INSECT ORDER], MATCH(X1548,VISITORS[NAME USED],0))</f>
        <v>#N/A</v>
      </c>
      <c r="AB1548" s="47" t="e">
        <f t="shared" si="798"/>
        <v>#N/A</v>
      </c>
      <c r="AC1548" s="53" t="e">
        <f t="shared" si="799"/>
        <v>#VALUE!</v>
      </c>
      <c r="AD1548" s="54" t="str">
        <f t="shared" si="800"/>
        <v/>
      </c>
      <c r="AE1548" s="54"/>
      <c r="AF1548" s="54"/>
      <c r="AG1548" s="55" t="str">
        <f t="shared" si="801"/>
        <v/>
      </c>
      <c r="AH1548" s="56" t="str">
        <f t="shared" si="802"/>
        <v/>
      </c>
      <c r="AI1548" s="55"/>
      <c r="AJ1548" s="56" t="str">
        <f t="shared" si="803"/>
        <v/>
      </c>
      <c r="AK1548" s="55"/>
      <c r="AL1548" s="56" t="str">
        <f t="shared" si="804"/>
        <v/>
      </c>
      <c r="AM1548" s="55"/>
      <c r="AN1548" s="56" t="str">
        <f t="shared" si="805"/>
        <v/>
      </c>
      <c r="AO1548" s="55"/>
      <c r="AP1548" s="56" t="str">
        <f t="shared" si="806"/>
        <v/>
      </c>
      <c r="AQ1548" s="55"/>
      <c r="AR1548" s="56" t="str">
        <f t="shared" si="807"/>
        <v/>
      </c>
      <c r="AS1548" s="57"/>
      <c r="AT1548" s="58"/>
      <c r="AU1548" s="58"/>
      <c r="AV1548" s="59"/>
      <c r="AW1548" s="60" t="str">
        <f t="shared" si="808"/>
        <v/>
      </c>
      <c r="AX1548" s="61" t="str">
        <f t="shared" si="809"/>
        <v/>
      </c>
      <c r="AY1548" s="60" t="str">
        <f t="shared" si="810"/>
        <v/>
      </c>
      <c r="AZ1548" s="61" t="str">
        <f t="shared" si="811"/>
        <v/>
      </c>
    </row>
    <row r="1549" spans="1:52" s="3" customFormat="1" ht="12" hidden="1" customHeight="1" x14ac:dyDescent="0.35">
      <c r="A1549" s="72">
        <f t="shared" si="768"/>
        <v>2020</v>
      </c>
      <c r="B1549" s="72" t="str">
        <f t="shared" si="787"/>
        <v>Dec</v>
      </c>
      <c r="C1549" s="73">
        <f t="shared" si="788"/>
        <v>3</v>
      </c>
      <c r="D1549" s="74">
        <f t="shared" si="789"/>
        <v>16</v>
      </c>
      <c r="E1549" s="75">
        <f t="shared" si="769"/>
        <v>40</v>
      </c>
      <c r="F1549" s="79"/>
      <c r="G1549" s="82"/>
      <c r="H1549" s="68" t="str">
        <f t="shared" si="790"/>
        <v>Hyprev6_20201203_16_00</v>
      </c>
      <c r="I1549" s="69">
        <f t="shared" ref="I1549:N1549" si="854">I1548</f>
        <v>1</v>
      </c>
      <c r="J1549" s="76" t="str">
        <f t="shared" si="854"/>
        <v>Hypericum</v>
      </c>
      <c r="K1549" s="76" t="str">
        <f t="shared" si="854"/>
        <v>revolutum</v>
      </c>
      <c r="L1549" s="77">
        <f t="shared" si="854"/>
        <v>6</v>
      </c>
      <c r="M1549" s="77">
        <f t="shared" si="854"/>
        <v>1</v>
      </c>
      <c r="N1549" s="71">
        <f t="shared" si="854"/>
        <v>0</v>
      </c>
      <c r="O1549" s="44"/>
      <c r="P1549" s="45" t="str">
        <f t="shared" si="792"/>
        <v/>
      </c>
      <c r="Q1549" s="46" t="str">
        <f t="shared" si="793"/>
        <v/>
      </c>
      <c r="R1549" s="47" t="e">
        <f t="shared" si="794"/>
        <v>#VALUE!</v>
      </c>
      <c r="S1549" s="48" t="e">
        <f t="shared" si="844"/>
        <v>#VALUE!</v>
      </c>
      <c r="T1549" s="47" t="str">
        <f t="shared" si="796"/>
        <v/>
      </c>
      <c r="U1549" s="49"/>
      <c r="V1549" s="50"/>
      <c r="W1549" s="51" t="e">
        <f t="shared" si="797"/>
        <v>#VALUE!</v>
      </c>
      <c r="X1549" s="52"/>
      <c r="Y1549" s="52"/>
      <c r="Z1549" s="52"/>
      <c r="AA1549" s="47" t="e">
        <f>INDEX(VISITORS[INSECT ORDER], MATCH(X1549,VISITORS[NAME USED],0))</f>
        <v>#N/A</v>
      </c>
      <c r="AB1549" s="47" t="e">
        <f t="shared" si="798"/>
        <v>#N/A</v>
      </c>
      <c r="AC1549" s="53" t="e">
        <f t="shared" si="799"/>
        <v>#VALUE!</v>
      </c>
      <c r="AD1549" s="54" t="str">
        <f t="shared" si="800"/>
        <v/>
      </c>
      <c r="AE1549" s="54"/>
      <c r="AF1549" s="54"/>
      <c r="AG1549" s="55" t="str">
        <f t="shared" si="801"/>
        <v/>
      </c>
      <c r="AH1549" s="56" t="str">
        <f t="shared" si="802"/>
        <v/>
      </c>
      <c r="AI1549" s="55"/>
      <c r="AJ1549" s="56" t="str">
        <f t="shared" si="803"/>
        <v/>
      </c>
      <c r="AK1549" s="55"/>
      <c r="AL1549" s="56" t="str">
        <f t="shared" si="804"/>
        <v/>
      </c>
      <c r="AM1549" s="55"/>
      <c r="AN1549" s="56" t="str">
        <f t="shared" si="805"/>
        <v/>
      </c>
      <c r="AO1549" s="55"/>
      <c r="AP1549" s="56" t="str">
        <f t="shared" si="806"/>
        <v/>
      </c>
      <c r="AQ1549" s="55"/>
      <c r="AR1549" s="56" t="str">
        <f t="shared" si="807"/>
        <v/>
      </c>
      <c r="AS1549" s="57"/>
      <c r="AT1549" s="58"/>
      <c r="AU1549" s="58"/>
      <c r="AV1549" s="59"/>
      <c r="AW1549" s="60" t="str">
        <f t="shared" si="808"/>
        <v/>
      </c>
      <c r="AX1549" s="61" t="str">
        <f t="shared" si="809"/>
        <v/>
      </c>
      <c r="AY1549" s="60" t="str">
        <f t="shared" si="810"/>
        <v/>
      </c>
      <c r="AZ1549" s="61" t="str">
        <f t="shared" si="811"/>
        <v/>
      </c>
    </row>
    <row r="1550" spans="1:52" s="3" customFormat="1" ht="12" hidden="1" customHeight="1" thickBot="1" x14ac:dyDescent="0.4">
      <c r="A1550" s="85">
        <f t="shared" si="768"/>
        <v>2020</v>
      </c>
      <c r="B1550" s="85" t="str">
        <f t="shared" si="787"/>
        <v>Dec</v>
      </c>
      <c r="C1550" s="86">
        <f t="shared" si="788"/>
        <v>3</v>
      </c>
      <c r="D1550" s="87">
        <f t="shared" si="789"/>
        <v>16</v>
      </c>
      <c r="E1550" s="88">
        <f t="shared" si="769"/>
        <v>41</v>
      </c>
      <c r="F1550" s="89"/>
      <c r="G1550" s="90"/>
      <c r="H1550" s="68" t="str">
        <f t="shared" si="790"/>
        <v>Hyprev6_20201203_16_00</v>
      </c>
      <c r="I1550" s="91">
        <f t="shared" ref="I1550:N1550" si="855">I1549</f>
        <v>1</v>
      </c>
      <c r="J1550" s="92" t="str">
        <f t="shared" si="855"/>
        <v>Hypericum</v>
      </c>
      <c r="K1550" s="92" t="str">
        <f t="shared" si="855"/>
        <v>revolutum</v>
      </c>
      <c r="L1550" s="93">
        <f t="shared" si="855"/>
        <v>6</v>
      </c>
      <c r="M1550" s="93">
        <f t="shared" si="855"/>
        <v>1</v>
      </c>
      <c r="N1550" s="94">
        <f t="shared" si="855"/>
        <v>0</v>
      </c>
      <c r="O1550" s="95"/>
      <c r="P1550" s="96" t="str">
        <f t="shared" si="792"/>
        <v/>
      </c>
      <c r="Q1550" s="97" t="str">
        <f t="shared" si="793"/>
        <v/>
      </c>
      <c r="R1550" s="98" t="e">
        <f t="shared" si="794"/>
        <v>#VALUE!</v>
      </c>
      <c r="S1550" s="98" t="e">
        <f t="shared" si="844"/>
        <v>#VALUE!</v>
      </c>
      <c r="T1550" s="98" t="str">
        <f t="shared" si="796"/>
        <v/>
      </c>
      <c r="U1550" s="99"/>
      <c r="V1550" s="100"/>
      <c r="W1550" s="101" t="e">
        <f t="shared" si="797"/>
        <v>#VALUE!</v>
      </c>
      <c r="X1550" s="102"/>
      <c r="Y1550" s="141"/>
      <c r="Z1550" s="141"/>
      <c r="AA1550" s="47" t="e">
        <f>INDEX(VISITORS[INSECT ORDER], MATCH(X1550,VISITORS[NAME USED],0))</f>
        <v>#N/A</v>
      </c>
      <c r="AB1550" s="98" t="e">
        <f t="shared" si="798"/>
        <v>#N/A</v>
      </c>
      <c r="AC1550" s="53" t="e">
        <f t="shared" si="799"/>
        <v>#VALUE!</v>
      </c>
      <c r="AD1550" s="103" t="str">
        <f t="shared" si="800"/>
        <v/>
      </c>
      <c r="AE1550" s="103"/>
      <c r="AF1550" s="103"/>
      <c r="AG1550" s="104" t="str">
        <f t="shared" si="801"/>
        <v/>
      </c>
      <c r="AH1550" s="105" t="str">
        <f t="shared" si="802"/>
        <v/>
      </c>
      <c r="AI1550" s="104"/>
      <c r="AJ1550" s="105" t="str">
        <f t="shared" si="803"/>
        <v/>
      </c>
      <c r="AK1550" s="104"/>
      <c r="AL1550" s="105" t="str">
        <f t="shared" si="804"/>
        <v/>
      </c>
      <c r="AM1550" s="104"/>
      <c r="AN1550" s="105" t="str">
        <f t="shared" si="805"/>
        <v/>
      </c>
      <c r="AO1550" s="104"/>
      <c r="AP1550" s="105" t="str">
        <f t="shared" si="806"/>
        <v/>
      </c>
      <c r="AQ1550" s="104"/>
      <c r="AR1550" s="105" t="str">
        <f t="shared" si="807"/>
        <v/>
      </c>
      <c r="AS1550" s="106"/>
      <c r="AT1550" s="107"/>
      <c r="AU1550" s="107"/>
      <c r="AV1550" s="108"/>
      <c r="AW1550" s="109" t="str">
        <f t="shared" si="808"/>
        <v/>
      </c>
      <c r="AX1550" s="110" t="str">
        <f t="shared" si="809"/>
        <v/>
      </c>
      <c r="AY1550" s="109" t="str">
        <f t="shared" si="810"/>
        <v/>
      </c>
      <c r="AZ1550" s="110" t="str">
        <f t="shared" si="811"/>
        <v/>
      </c>
    </row>
    <row r="1551" spans="1:52" s="3" customFormat="1" ht="12" hidden="1" customHeight="1" x14ac:dyDescent="0.35">
      <c r="A1551" s="72">
        <f t="shared" si="768"/>
        <v>2020</v>
      </c>
      <c r="B1551" s="72" t="str">
        <f t="shared" si="787"/>
        <v>Dec</v>
      </c>
      <c r="C1551" s="73">
        <f t="shared" si="788"/>
        <v>3</v>
      </c>
      <c r="D1551" s="74">
        <f t="shared" si="789"/>
        <v>16</v>
      </c>
      <c r="E1551" s="75">
        <f t="shared" si="769"/>
        <v>42</v>
      </c>
      <c r="F1551" s="79"/>
      <c r="G1551" s="82"/>
      <c r="H1551" s="68" t="str">
        <f t="shared" si="790"/>
        <v>Hyprev6_20201203_16_00</v>
      </c>
      <c r="I1551" s="69">
        <f t="shared" ref="I1551:N1551" si="856">I1550</f>
        <v>1</v>
      </c>
      <c r="J1551" s="76" t="str">
        <f t="shared" si="856"/>
        <v>Hypericum</v>
      </c>
      <c r="K1551" s="76" t="str">
        <f t="shared" si="856"/>
        <v>revolutum</v>
      </c>
      <c r="L1551" s="77">
        <f t="shared" si="856"/>
        <v>6</v>
      </c>
      <c r="M1551" s="77">
        <f t="shared" si="856"/>
        <v>1</v>
      </c>
      <c r="N1551" s="71">
        <f t="shared" si="856"/>
        <v>0</v>
      </c>
      <c r="O1551" s="44"/>
      <c r="P1551" s="45" t="str">
        <f t="shared" si="792"/>
        <v/>
      </c>
      <c r="Q1551" s="46" t="str">
        <f t="shared" si="793"/>
        <v/>
      </c>
      <c r="R1551" s="47" t="e">
        <f t="shared" si="794"/>
        <v>#VALUE!</v>
      </c>
      <c r="S1551" s="48" t="e">
        <f t="shared" si="844"/>
        <v>#VALUE!</v>
      </c>
      <c r="T1551" s="47" t="str">
        <f t="shared" si="796"/>
        <v/>
      </c>
      <c r="U1551" s="49"/>
      <c r="V1551" s="50"/>
      <c r="W1551" s="51" t="e">
        <f t="shared" si="797"/>
        <v>#VALUE!</v>
      </c>
      <c r="X1551" s="52"/>
      <c r="Y1551" s="52"/>
      <c r="Z1551" s="52"/>
      <c r="AA1551" s="47" t="e">
        <f>INDEX(VISITORS[INSECT ORDER], MATCH(X1551,VISITORS[NAME USED],0))</f>
        <v>#N/A</v>
      </c>
      <c r="AB1551" s="47" t="e">
        <f t="shared" si="798"/>
        <v>#N/A</v>
      </c>
      <c r="AC1551" s="53" t="e">
        <f t="shared" si="799"/>
        <v>#VALUE!</v>
      </c>
      <c r="AD1551" s="54" t="str">
        <f t="shared" si="800"/>
        <v/>
      </c>
      <c r="AE1551" s="54"/>
      <c r="AF1551" s="54"/>
      <c r="AG1551" s="55" t="str">
        <f t="shared" si="801"/>
        <v/>
      </c>
      <c r="AH1551" s="56" t="str">
        <f t="shared" si="802"/>
        <v/>
      </c>
      <c r="AI1551" s="55"/>
      <c r="AJ1551" s="56" t="str">
        <f t="shared" si="803"/>
        <v/>
      </c>
      <c r="AK1551" s="55"/>
      <c r="AL1551" s="56" t="str">
        <f t="shared" si="804"/>
        <v/>
      </c>
      <c r="AM1551" s="55"/>
      <c r="AN1551" s="56" t="str">
        <f t="shared" si="805"/>
        <v/>
      </c>
      <c r="AO1551" s="55"/>
      <c r="AP1551" s="56" t="str">
        <f t="shared" si="806"/>
        <v/>
      </c>
      <c r="AQ1551" s="55"/>
      <c r="AR1551" s="56" t="str">
        <f t="shared" si="807"/>
        <v/>
      </c>
      <c r="AS1551" s="57"/>
      <c r="AT1551" s="58"/>
      <c r="AU1551" s="58"/>
      <c r="AV1551" s="59"/>
      <c r="AW1551" s="60" t="str">
        <f t="shared" si="808"/>
        <v/>
      </c>
      <c r="AX1551" s="61" t="str">
        <f t="shared" si="809"/>
        <v/>
      </c>
      <c r="AY1551" s="60" t="str">
        <f t="shared" si="810"/>
        <v/>
      </c>
      <c r="AZ1551" s="61" t="str">
        <f t="shared" si="811"/>
        <v/>
      </c>
    </row>
    <row r="1552" spans="1:52" s="3" customFormat="1" ht="12" hidden="1" customHeight="1" x14ac:dyDescent="0.35">
      <c r="A1552" s="72">
        <f t="shared" si="768"/>
        <v>2020</v>
      </c>
      <c r="B1552" s="72" t="str">
        <f t="shared" si="787"/>
        <v>Dec</v>
      </c>
      <c r="C1552" s="73">
        <f t="shared" si="788"/>
        <v>3</v>
      </c>
      <c r="D1552" s="74">
        <f t="shared" si="789"/>
        <v>16</v>
      </c>
      <c r="E1552" s="75">
        <f t="shared" si="769"/>
        <v>43</v>
      </c>
      <c r="F1552" s="79"/>
      <c r="G1552" s="82"/>
      <c r="H1552" s="68" t="str">
        <f t="shared" si="790"/>
        <v>Hyprev6_20201203_16_00</v>
      </c>
      <c r="I1552" s="69">
        <f t="shared" ref="I1552:N1552" si="857">I1551</f>
        <v>1</v>
      </c>
      <c r="J1552" s="76" t="str">
        <f t="shared" si="857"/>
        <v>Hypericum</v>
      </c>
      <c r="K1552" s="76" t="str">
        <f t="shared" si="857"/>
        <v>revolutum</v>
      </c>
      <c r="L1552" s="77">
        <f t="shared" si="857"/>
        <v>6</v>
      </c>
      <c r="M1552" s="77">
        <f t="shared" si="857"/>
        <v>1</v>
      </c>
      <c r="N1552" s="71">
        <f t="shared" si="857"/>
        <v>0</v>
      </c>
      <c r="O1552" s="44"/>
      <c r="P1552" s="45" t="str">
        <f t="shared" si="792"/>
        <v/>
      </c>
      <c r="Q1552" s="46" t="str">
        <f t="shared" si="793"/>
        <v/>
      </c>
      <c r="R1552" s="47" t="e">
        <f t="shared" si="794"/>
        <v>#VALUE!</v>
      </c>
      <c r="S1552" s="48" t="e">
        <f t="shared" si="844"/>
        <v>#VALUE!</v>
      </c>
      <c r="T1552" s="47" t="str">
        <f t="shared" si="796"/>
        <v/>
      </c>
      <c r="U1552" s="49"/>
      <c r="V1552" s="50"/>
      <c r="W1552" s="51" t="e">
        <f t="shared" si="797"/>
        <v>#VALUE!</v>
      </c>
      <c r="X1552" s="52"/>
      <c r="Y1552" s="52"/>
      <c r="Z1552" s="52"/>
      <c r="AA1552" s="47" t="e">
        <f>INDEX(VISITORS[INSECT ORDER], MATCH(X1552,VISITORS[NAME USED],0))</f>
        <v>#N/A</v>
      </c>
      <c r="AB1552" s="47" t="e">
        <f t="shared" si="798"/>
        <v>#N/A</v>
      </c>
      <c r="AC1552" s="53" t="e">
        <f t="shared" si="799"/>
        <v>#VALUE!</v>
      </c>
      <c r="AD1552" s="54" t="str">
        <f t="shared" si="800"/>
        <v/>
      </c>
      <c r="AE1552" s="54"/>
      <c r="AF1552" s="54"/>
      <c r="AG1552" s="55" t="str">
        <f t="shared" si="801"/>
        <v/>
      </c>
      <c r="AH1552" s="56" t="str">
        <f t="shared" si="802"/>
        <v/>
      </c>
      <c r="AI1552" s="55"/>
      <c r="AJ1552" s="56" t="str">
        <f t="shared" si="803"/>
        <v/>
      </c>
      <c r="AK1552" s="55"/>
      <c r="AL1552" s="56" t="str">
        <f t="shared" si="804"/>
        <v/>
      </c>
      <c r="AM1552" s="55"/>
      <c r="AN1552" s="56" t="str">
        <f t="shared" si="805"/>
        <v/>
      </c>
      <c r="AO1552" s="55"/>
      <c r="AP1552" s="56" t="str">
        <f t="shared" si="806"/>
        <v/>
      </c>
      <c r="AQ1552" s="55"/>
      <c r="AR1552" s="56" t="str">
        <f t="shared" si="807"/>
        <v/>
      </c>
      <c r="AS1552" s="57"/>
      <c r="AT1552" s="58"/>
      <c r="AU1552" s="58"/>
      <c r="AV1552" s="59"/>
      <c r="AW1552" s="60" t="str">
        <f t="shared" si="808"/>
        <v/>
      </c>
      <c r="AX1552" s="61" t="str">
        <f t="shared" si="809"/>
        <v/>
      </c>
      <c r="AY1552" s="60" t="str">
        <f t="shared" si="810"/>
        <v/>
      </c>
      <c r="AZ1552" s="61" t="str">
        <f t="shared" si="811"/>
        <v/>
      </c>
    </row>
    <row r="1553" spans="1:52" s="3" customFormat="1" ht="12" hidden="1" customHeight="1" thickBot="1" x14ac:dyDescent="0.4">
      <c r="A1553" s="85">
        <f t="shared" si="768"/>
        <v>2020</v>
      </c>
      <c r="B1553" s="85" t="str">
        <f t="shared" si="787"/>
        <v>Dec</v>
      </c>
      <c r="C1553" s="86">
        <f t="shared" si="788"/>
        <v>3</v>
      </c>
      <c r="D1553" s="87">
        <f t="shared" si="789"/>
        <v>16</v>
      </c>
      <c r="E1553" s="88">
        <f t="shared" si="769"/>
        <v>44</v>
      </c>
      <c r="F1553" s="89"/>
      <c r="G1553" s="90"/>
      <c r="H1553" s="68" t="str">
        <f t="shared" si="790"/>
        <v>Hyprev6_20201203_16_00</v>
      </c>
      <c r="I1553" s="91">
        <f t="shared" ref="I1553:N1553" si="858">I1552</f>
        <v>1</v>
      </c>
      <c r="J1553" s="92" t="str">
        <f t="shared" si="858"/>
        <v>Hypericum</v>
      </c>
      <c r="K1553" s="92" t="str">
        <f t="shared" si="858"/>
        <v>revolutum</v>
      </c>
      <c r="L1553" s="93">
        <f t="shared" si="858"/>
        <v>6</v>
      </c>
      <c r="M1553" s="93">
        <f t="shared" si="858"/>
        <v>1</v>
      </c>
      <c r="N1553" s="94">
        <f t="shared" si="858"/>
        <v>0</v>
      </c>
      <c r="O1553" s="95"/>
      <c r="P1553" s="96" t="str">
        <f t="shared" si="792"/>
        <v/>
      </c>
      <c r="Q1553" s="97" t="str">
        <f t="shared" si="793"/>
        <v/>
      </c>
      <c r="R1553" s="98" t="e">
        <f t="shared" si="794"/>
        <v>#VALUE!</v>
      </c>
      <c r="S1553" s="98" t="e">
        <f t="shared" si="844"/>
        <v>#VALUE!</v>
      </c>
      <c r="T1553" s="98" t="str">
        <f t="shared" si="796"/>
        <v/>
      </c>
      <c r="U1553" s="99"/>
      <c r="V1553" s="100"/>
      <c r="W1553" s="101" t="e">
        <f t="shared" si="797"/>
        <v>#VALUE!</v>
      </c>
      <c r="X1553" s="102"/>
      <c r="Y1553" s="141"/>
      <c r="Z1553" s="141"/>
      <c r="AA1553" s="47" t="e">
        <f>INDEX(VISITORS[INSECT ORDER], MATCH(X1553,VISITORS[NAME USED],0))</f>
        <v>#N/A</v>
      </c>
      <c r="AB1553" s="98" t="e">
        <f t="shared" si="798"/>
        <v>#N/A</v>
      </c>
      <c r="AC1553" s="53" t="e">
        <f t="shared" si="799"/>
        <v>#VALUE!</v>
      </c>
      <c r="AD1553" s="103" t="str">
        <f t="shared" si="800"/>
        <v/>
      </c>
      <c r="AE1553" s="103"/>
      <c r="AF1553" s="103"/>
      <c r="AG1553" s="104" t="str">
        <f t="shared" si="801"/>
        <v/>
      </c>
      <c r="AH1553" s="105" t="str">
        <f t="shared" si="802"/>
        <v/>
      </c>
      <c r="AI1553" s="104"/>
      <c r="AJ1553" s="105" t="str">
        <f t="shared" si="803"/>
        <v/>
      </c>
      <c r="AK1553" s="104"/>
      <c r="AL1553" s="105" t="str">
        <f t="shared" si="804"/>
        <v/>
      </c>
      <c r="AM1553" s="104"/>
      <c r="AN1553" s="105" t="str">
        <f t="shared" si="805"/>
        <v/>
      </c>
      <c r="AO1553" s="104"/>
      <c r="AP1553" s="105" t="str">
        <f t="shared" si="806"/>
        <v/>
      </c>
      <c r="AQ1553" s="104"/>
      <c r="AR1553" s="105" t="str">
        <f t="shared" si="807"/>
        <v/>
      </c>
      <c r="AS1553" s="106"/>
      <c r="AT1553" s="107"/>
      <c r="AU1553" s="107"/>
      <c r="AV1553" s="108"/>
      <c r="AW1553" s="109" t="str">
        <f t="shared" si="808"/>
        <v/>
      </c>
      <c r="AX1553" s="110" t="str">
        <f t="shared" si="809"/>
        <v/>
      </c>
      <c r="AY1553" s="109" t="str">
        <f t="shared" si="810"/>
        <v/>
      </c>
      <c r="AZ1553" s="110" t="str">
        <f t="shared" si="811"/>
        <v/>
      </c>
    </row>
    <row r="1554" spans="1:52" s="3" customFormat="1" ht="12" hidden="1" customHeight="1" x14ac:dyDescent="0.35">
      <c r="A1554" s="72">
        <f t="shared" ref="A1554:A1617" si="859">A1553</f>
        <v>2020</v>
      </c>
      <c r="B1554" s="72" t="str">
        <f t="shared" si="787"/>
        <v>Dec</v>
      </c>
      <c r="C1554" s="73">
        <f t="shared" si="788"/>
        <v>3</v>
      </c>
      <c r="D1554" s="74">
        <f t="shared" si="789"/>
        <v>16</v>
      </c>
      <c r="E1554" s="75">
        <f t="shared" ref="E1554:E1617" si="860">IF(E1553&lt;59,E1553+1,0)</f>
        <v>45</v>
      </c>
      <c r="F1554" s="79"/>
      <c r="G1554" s="82"/>
      <c r="H1554" s="68" t="str">
        <f t="shared" si="790"/>
        <v>Hyprev6_20201203_16_00</v>
      </c>
      <c r="I1554" s="69">
        <f t="shared" ref="I1554:N1554" si="861">I1553</f>
        <v>1</v>
      </c>
      <c r="J1554" s="76" t="str">
        <f t="shared" si="861"/>
        <v>Hypericum</v>
      </c>
      <c r="K1554" s="76" t="str">
        <f t="shared" si="861"/>
        <v>revolutum</v>
      </c>
      <c r="L1554" s="77">
        <f t="shared" si="861"/>
        <v>6</v>
      </c>
      <c r="M1554" s="77">
        <f t="shared" si="861"/>
        <v>1</v>
      </c>
      <c r="N1554" s="71">
        <f t="shared" si="861"/>
        <v>0</v>
      </c>
      <c r="O1554" s="44"/>
      <c r="P1554" s="45" t="str">
        <f t="shared" si="792"/>
        <v/>
      </c>
      <c r="Q1554" s="46" t="str">
        <f t="shared" si="793"/>
        <v/>
      </c>
      <c r="R1554" s="47" t="e">
        <f t="shared" si="794"/>
        <v>#VALUE!</v>
      </c>
      <c r="S1554" s="48" t="e">
        <f t="shared" si="844"/>
        <v>#VALUE!</v>
      </c>
      <c r="T1554" s="47" t="str">
        <f t="shared" si="796"/>
        <v/>
      </c>
      <c r="U1554" s="49"/>
      <c r="V1554" s="50"/>
      <c r="W1554" s="51" t="e">
        <f t="shared" si="797"/>
        <v>#VALUE!</v>
      </c>
      <c r="X1554" s="52"/>
      <c r="Y1554" s="52"/>
      <c r="Z1554" s="52"/>
      <c r="AA1554" s="47" t="e">
        <f>INDEX(VISITORS[INSECT ORDER], MATCH(X1554,VISITORS[NAME USED],0))</f>
        <v>#N/A</v>
      </c>
      <c r="AB1554" s="47" t="e">
        <f t="shared" si="798"/>
        <v>#N/A</v>
      </c>
      <c r="AC1554" s="53" t="e">
        <f t="shared" si="799"/>
        <v>#VALUE!</v>
      </c>
      <c r="AD1554" s="54" t="str">
        <f t="shared" si="800"/>
        <v/>
      </c>
      <c r="AE1554" s="54"/>
      <c r="AF1554" s="54"/>
      <c r="AG1554" s="55" t="str">
        <f t="shared" si="801"/>
        <v/>
      </c>
      <c r="AH1554" s="56" t="str">
        <f t="shared" si="802"/>
        <v/>
      </c>
      <c r="AI1554" s="55"/>
      <c r="AJ1554" s="56" t="str">
        <f t="shared" si="803"/>
        <v/>
      </c>
      <c r="AK1554" s="55"/>
      <c r="AL1554" s="56" t="str">
        <f t="shared" si="804"/>
        <v/>
      </c>
      <c r="AM1554" s="55"/>
      <c r="AN1554" s="56" t="str">
        <f t="shared" si="805"/>
        <v/>
      </c>
      <c r="AO1554" s="55"/>
      <c r="AP1554" s="56" t="str">
        <f t="shared" si="806"/>
        <v/>
      </c>
      <c r="AQ1554" s="55"/>
      <c r="AR1554" s="56" t="str">
        <f t="shared" si="807"/>
        <v/>
      </c>
      <c r="AS1554" s="57"/>
      <c r="AT1554" s="58"/>
      <c r="AU1554" s="58"/>
      <c r="AV1554" s="59"/>
      <c r="AW1554" s="60" t="str">
        <f t="shared" si="808"/>
        <v/>
      </c>
      <c r="AX1554" s="61" t="str">
        <f t="shared" si="809"/>
        <v/>
      </c>
      <c r="AY1554" s="60" t="str">
        <f t="shared" si="810"/>
        <v/>
      </c>
      <c r="AZ1554" s="61" t="str">
        <f t="shared" si="811"/>
        <v/>
      </c>
    </row>
    <row r="1555" spans="1:52" s="3" customFormat="1" ht="12" hidden="1" customHeight="1" x14ac:dyDescent="0.35">
      <c r="A1555" s="72">
        <f t="shared" si="859"/>
        <v>2020</v>
      </c>
      <c r="B1555" s="72" t="str">
        <f t="shared" si="787"/>
        <v>Dec</v>
      </c>
      <c r="C1555" s="73">
        <f t="shared" si="788"/>
        <v>3</v>
      </c>
      <c r="D1555" s="74">
        <f t="shared" si="789"/>
        <v>16</v>
      </c>
      <c r="E1555" s="75">
        <f t="shared" si="860"/>
        <v>46</v>
      </c>
      <c r="F1555" s="79"/>
      <c r="G1555" s="82"/>
      <c r="H1555" s="68" t="str">
        <f t="shared" si="790"/>
        <v>Hyprev6_20201203_16_00</v>
      </c>
      <c r="I1555" s="69">
        <f t="shared" ref="I1555:N1555" si="862">I1554</f>
        <v>1</v>
      </c>
      <c r="J1555" s="76" t="str">
        <f t="shared" si="862"/>
        <v>Hypericum</v>
      </c>
      <c r="K1555" s="76" t="str">
        <f t="shared" si="862"/>
        <v>revolutum</v>
      </c>
      <c r="L1555" s="77">
        <f t="shared" si="862"/>
        <v>6</v>
      </c>
      <c r="M1555" s="77">
        <f t="shared" si="862"/>
        <v>1</v>
      </c>
      <c r="N1555" s="71">
        <f t="shared" si="862"/>
        <v>0</v>
      </c>
      <c r="O1555" s="44"/>
      <c r="P1555" s="45" t="str">
        <f t="shared" si="792"/>
        <v/>
      </c>
      <c r="Q1555" s="46" t="str">
        <f t="shared" si="793"/>
        <v/>
      </c>
      <c r="R1555" s="47" t="e">
        <f t="shared" si="794"/>
        <v>#VALUE!</v>
      </c>
      <c r="S1555" s="48" t="e">
        <f t="shared" si="844"/>
        <v>#VALUE!</v>
      </c>
      <c r="T1555" s="47" t="str">
        <f t="shared" si="796"/>
        <v/>
      </c>
      <c r="U1555" s="49"/>
      <c r="V1555" s="50"/>
      <c r="W1555" s="51" t="e">
        <f t="shared" si="797"/>
        <v>#VALUE!</v>
      </c>
      <c r="X1555" s="52"/>
      <c r="Y1555" s="52"/>
      <c r="Z1555" s="52"/>
      <c r="AA1555" s="47" t="e">
        <f>INDEX(VISITORS[INSECT ORDER], MATCH(X1555,VISITORS[NAME USED],0))</f>
        <v>#N/A</v>
      </c>
      <c r="AB1555" s="47" t="e">
        <f t="shared" si="798"/>
        <v>#N/A</v>
      </c>
      <c r="AC1555" s="53" t="e">
        <f t="shared" si="799"/>
        <v>#VALUE!</v>
      </c>
      <c r="AD1555" s="54" t="str">
        <f t="shared" si="800"/>
        <v/>
      </c>
      <c r="AE1555" s="54"/>
      <c r="AF1555" s="54"/>
      <c r="AG1555" s="55" t="str">
        <f t="shared" si="801"/>
        <v/>
      </c>
      <c r="AH1555" s="56" t="str">
        <f t="shared" si="802"/>
        <v/>
      </c>
      <c r="AI1555" s="55"/>
      <c r="AJ1555" s="56" t="str">
        <f t="shared" si="803"/>
        <v/>
      </c>
      <c r="AK1555" s="55"/>
      <c r="AL1555" s="56" t="str">
        <f t="shared" si="804"/>
        <v/>
      </c>
      <c r="AM1555" s="55"/>
      <c r="AN1555" s="56" t="str">
        <f t="shared" si="805"/>
        <v/>
      </c>
      <c r="AO1555" s="55"/>
      <c r="AP1555" s="56" t="str">
        <f t="shared" si="806"/>
        <v/>
      </c>
      <c r="AQ1555" s="55"/>
      <c r="AR1555" s="56" t="str">
        <f t="shared" si="807"/>
        <v/>
      </c>
      <c r="AS1555" s="57"/>
      <c r="AT1555" s="58"/>
      <c r="AU1555" s="58"/>
      <c r="AV1555" s="59"/>
      <c r="AW1555" s="60" t="str">
        <f t="shared" si="808"/>
        <v/>
      </c>
      <c r="AX1555" s="61" t="str">
        <f t="shared" si="809"/>
        <v/>
      </c>
      <c r="AY1555" s="60" t="str">
        <f t="shared" si="810"/>
        <v/>
      </c>
      <c r="AZ1555" s="61" t="str">
        <f t="shared" si="811"/>
        <v/>
      </c>
    </row>
    <row r="1556" spans="1:52" s="3" customFormat="1" ht="12" hidden="1" customHeight="1" thickBot="1" x14ac:dyDescent="0.4">
      <c r="A1556" s="85">
        <f t="shared" si="859"/>
        <v>2020</v>
      </c>
      <c r="B1556" s="85" t="str">
        <f t="shared" si="787"/>
        <v>Dec</v>
      </c>
      <c r="C1556" s="86">
        <f t="shared" si="788"/>
        <v>3</v>
      </c>
      <c r="D1556" s="87">
        <f t="shared" si="789"/>
        <v>16</v>
      </c>
      <c r="E1556" s="88">
        <f t="shared" si="860"/>
        <v>47</v>
      </c>
      <c r="F1556" s="89"/>
      <c r="G1556" s="90"/>
      <c r="H1556" s="68" t="str">
        <f t="shared" si="790"/>
        <v>Hyprev6_20201203_16_00</v>
      </c>
      <c r="I1556" s="91">
        <f t="shared" ref="I1556:N1556" si="863">I1555</f>
        <v>1</v>
      </c>
      <c r="J1556" s="92" t="str">
        <f t="shared" si="863"/>
        <v>Hypericum</v>
      </c>
      <c r="K1556" s="92" t="str">
        <f t="shared" si="863"/>
        <v>revolutum</v>
      </c>
      <c r="L1556" s="93">
        <f t="shared" si="863"/>
        <v>6</v>
      </c>
      <c r="M1556" s="93">
        <f t="shared" si="863"/>
        <v>1</v>
      </c>
      <c r="N1556" s="94">
        <f t="shared" si="863"/>
        <v>0</v>
      </c>
      <c r="O1556" s="95"/>
      <c r="P1556" s="96" t="str">
        <f t="shared" si="792"/>
        <v/>
      </c>
      <c r="Q1556" s="97" t="str">
        <f t="shared" si="793"/>
        <v/>
      </c>
      <c r="R1556" s="98" t="e">
        <f t="shared" si="794"/>
        <v>#VALUE!</v>
      </c>
      <c r="S1556" s="98" t="e">
        <f t="shared" si="844"/>
        <v>#VALUE!</v>
      </c>
      <c r="T1556" s="98" t="str">
        <f t="shared" si="796"/>
        <v/>
      </c>
      <c r="U1556" s="99"/>
      <c r="V1556" s="100"/>
      <c r="W1556" s="101" t="e">
        <f t="shared" si="797"/>
        <v>#VALUE!</v>
      </c>
      <c r="X1556" s="102"/>
      <c r="Y1556" s="141"/>
      <c r="Z1556" s="141"/>
      <c r="AA1556" s="47" t="e">
        <f>INDEX(VISITORS[INSECT ORDER], MATCH(X1556,VISITORS[NAME USED],0))</f>
        <v>#N/A</v>
      </c>
      <c r="AB1556" s="98" t="e">
        <f t="shared" si="798"/>
        <v>#N/A</v>
      </c>
      <c r="AC1556" s="53" t="e">
        <f t="shared" si="799"/>
        <v>#VALUE!</v>
      </c>
      <c r="AD1556" s="103" t="str">
        <f t="shared" si="800"/>
        <v/>
      </c>
      <c r="AE1556" s="103"/>
      <c r="AF1556" s="103"/>
      <c r="AG1556" s="104" t="str">
        <f t="shared" si="801"/>
        <v/>
      </c>
      <c r="AH1556" s="105" t="str">
        <f t="shared" si="802"/>
        <v/>
      </c>
      <c r="AI1556" s="104"/>
      <c r="AJ1556" s="105" t="str">
        <f t="shared" si="803"/>
        <v/>
      </c>
      <c r="AK1556" s="104"/>
      <c r="AL1556" s="105" t="str">
        <f t="shared" si="804"/>
        <v/>
      </c>
      <c r="AM1556" s="104"/>
      <c r="AN1556" s="105" t="str">
        <f t="shared" si="805"/>
        <v/>
      </c>
      <c r="AO1556" s="104"/>
      <c r="AP1556" s="105" t="str">
        <f t="shared" si="806"/>
        <v/>
      </c>
      <c r="AQ1556" s="104"/>
      <c r="AR1556" s="105" t="str">
        <f t="shared" si="807"/>
        <v/>
      </c>
      <c r="AS1556" s="106"/>
      <c r="AT1556" s="107"/>
      <c r="AU1556" s="107"/>
      <c r="AV1556" s="108"/>
      <c r="AW1556" s="109" t="str">
        <f t="shared" si="808"/>
        <v/>
      </c>
      <c r="AX1556" s="110" t="str">
        <f t="shared" si="809"/>
        <v/>
      </c>
      <c r="AY1556" s="109" t="str">
        <f t="shared" si="810"/>
        <v/>
      </c>
      <c r="AZ1556" s="110" t="str">
        <f t="shared" si="811"/>
        <v/>
      </c>
    </row>
    <row r="1557" spans="1:52" s="3" customFormat="1" ht="12" hidden="1" customHeight="1" x14ac:dyDescent="0.35">
      <c r="A1557" s="72">
        <f t="shared" si="859"/>
        <v>2020</v>
      </c>
      <c r="B1557" s="72" t="str">
        <f t="shared" si="787"/>
        <v>Dec</v>
      </c>
      <c r="C1557" s="73">
        <f t="shared" si="788"/>
        <v>3</v>
      </c>
      <c r="D1557" s="74">
        <f t="shared" si="789"/>
        <v>16</v>
      </c>
      <c r="E1557" s="75">
        <f t="shared" si="860"/>
        <v>48</v>
      </c>
      <c r="F1557" s="79"/>
      <c r="G1557" s="82"/>
      <c r="H1557" s="68" t="str">
        <f t="shared" si="790"/>
        <v>Hyprev6_20201203_16_00</v>
      </c>
      <c r="I1557" s="69">
        <f t="shared" ref="I1557:N1557" si="864">I1556</f>
        <v>1</v>
      </c>
      <c r="J1557" s="76" t="str">
        <f t="shared" si="864"/>
        <v>Hypericum</v>
      </c>
      <c r="K1557" s="76" t="str">
        <f t="shared" si="864"/>
        <v>revolutum</v>
      </c>
      <c r="L1557" s="77">
        <f t="shared" si="864"/>
        <v>6</v>
      </c>
      <c r="M1557" s="77">
        <f t="shared" si="864"/>
        <v>1</v>
      </c>
      <c r="N1557" s="71">
        <f t="shared" si="864"/>
        <v>0</v>
      </c>
      <c r="O1557" s="44"/>
      <c r="P1557" s="45" t="str">
        <f t="shared" si="792"/>
        <v/>
      </c>
      <c r="Q1557" s="46" t="str">
        <f t="shared" si="793"/>
        <v/>
      </c>
      <c r="R1557" s="47" t="e">
        <f t="shared" si="794"/>
        <v>#VALUE!</v>
      </c>
      <c r="S1557" s="48" t="e">
        <f t="shared" si="844"/>
        <v>#VALUE!</v>
      </c>
      <c r="T1557" s="47" t="str">
        <f t="shared" si="796"/>
        <v/>
      </c>
      <c r="U1557" s="49"/>
      <c r="V1557" s="50"/>
      <c r="W1557" s="51" t="e">
        <f t="shared" si="797"/>
        <v>#VALUE!</v>
      </c>
      <c r="X1557" s="52"/>
      <c r="Y1557" s="52"/>
      <c r="Z1557" s="52"/>
      <c r="AA1557" s="47" t="e">
        <f>INDEX(VISITORS[INSECT ORDER], MATCH(X1557,VISITORS[NAME USED],0))</f>
        <v>#N/A</v>
      </c>
      <c r="AB1557" s="47" t="e">
        <f t="shared" si="798"/>
        <v>#N/A</v>
      </c>
      <c r="AC1557" s="53" t="e">
        <f t="shared" si="799"/>
        <v>#VALUE!</v>
      </c>
      <c r="AD1557" s="54" t="str">
        <f t="shared" si="800"/>
        <v/>
      </c>
      <c r="AE1557" s="54"/>
      <c r="AF1557" s="54"/>
      <c r="AG1557" s="55" t="str">
        <f t="shared" si="801"/>
        <v/>
      </c>
      <c r="AH1557" s="56" t="str">
        <f t="shared" si="802"/>
        <v/>
      </c>
      <c r="AI1557" s="55"/>
      <c r="AJ1557" s="56" t="str">
        <f t="shared" si="803"/>
        <v/>
      </c>
      <c r="AK1557" s="55"/>
      <c r="AL1557" s="56" t="str">
        <f t="shared" si="804"/>
        <v/>
      </c>
      <c r="AM1557" s="55"/>
      <c r="AN1557" s="56" t="str">
        <f t="shared" si="805"/>
        <v/>
      </c>
      <c r="AO1557" s="55"/>
      <c r="AP1557" s="56" t="str">
        <f t="shared" si="806"/>
        <v/>
      </c>
      <c r="AQ1557" s="55"/>
      <c r="AR1557" s="56" t="str">
        <f t="shared" si="807"/>
        <v/>
      </c>
      <c r="AS1557" s="57"/>
      <c r="AT1557" s="58"/>
      <c r="AU1557" s="58"/>
      <c r="AV1557" s="59"/>
      <c r="AW1557" s="60" t="str">
        <f t="shared" si="808"/>
        <v/>
      </c>
      <c r="AX1557" s="61" t="str">
        <f t="shared" si="809"/>
        <v/>
      </c>
      <c r="AY1557" s="60" t="str">
        <f t="shared" si="810"/>
        <v/>
      </c>
      <c r="AZ1557" s="61" t="str">
        <f t="shared" si="811"/>
        <v/>
      </c>
    </row>
    <row r="1558" spans="1:52" s="3" customFormat="1" ht="12" hidden="1" customHeight="1" x14ac:dyDescent="0.35">
      <c r="A1558" s="72">
        <f t="shared" si="859"/>
        <v>2020</v>
      </c>
      <c r="B1558" s="72" t="str">
        <f t="shared" si="787"/>
        <v>Dec</v>
      </c>
      <c r="C1558" s="73">
        <f t="shared" si="788"/>
        <v>3</v>
      </c>
      <c r="D1558" s="74">
        <f t="shared" si="789"/>
        <v>16</v>
      </c>
      <c r="E1558" s="75">
        <f t="shared" si="860"/>
        <v>49</v>
      </c>
      <c r="F1558" s="79"/>
      <c r="G1558" s="82"/>
      <c r="H1558" s="68" t="str">
        <f t="shared" si="790"/>
        <v>Hyprev6_20201203_16_00</v>
      </c>
      <c r="I1558" s="69">
        <f t="shared" ref="I1558:N1558" si="865">I1557</f>
        <v>1</v>
      </c>
      <c r="J1558" s="76" t="str">
        <f t="shared" si="865"/>
        <v>Hypericum</v>
      </c>
      <c r="K1558" s="76" t="str">
        <f t="shared" si="865"/>
        <v>revolutum</v>
      </c>
      <c r="L1558" s="77">
        <f t="shared" si="865"/>
        <v>6</v>
      </c>
      <c r="M1558" s="77">
        <f t="shared" si="865"/>
        <v>1</v>
      </c>
      <c r="N1558" s="71">
        <f t="shared" si="865"/>
        <v>0</v>
      </c>
      <c r="O1558" s="44"/>
      <c r="P1558" s="45" t="str">
        <f t="shared" si="792"/>
        <v/>
      </c>
      <c r="Q1558" s="46" t="str">
        <f t="shared" si="793"/>
        <v/>
      </c>
      <c r="R1558" s="47" t="e">
        <f t="shared" si="794"/>
        <v>#VALUE!</v>
      </c>
      <c r="S1558" s="48" t="e">
        <f t="shared" si="844"/>
        <v>#VALUE!</v>
      </c>
      <c r="T1558" s="47" t="str">
        <f t="shared" si="796"/>
        <v/>
      </c>
      <c r="U1558" s="49"/>
      <c r="V1558" s="50"/>
      <c r="W1558" s="51" t="e">
        <f t="shared" si="797"/>
        <v>#VALUE!</v>
      </c>
      <c r="X1558" s="52"/>
      <c r="Y1558" s="52"/>
      <c r="Z1558" s="52"/>
      <c r="AA1558" s="47" t="e">
        <f>INDEX(VISITORS[INSECT ORDER], MATCH(X1558,VISITORS[NAME USED],0))</f>
        <v>#N/A</v>
      </c>
      <c r="AB1558" s="47" t="e">
        <f t="shared" si="798"/>
        <v>#N/A</v>
      </c>
      <c r="AC1558" s="53" t="e">
        <f t="shared" si="799"/>
        <v>#VALUE!</v>
      </c>
      <c r="AD1558" s="54" t="str">
        <f t="shared" si="800"/>
        <v/>
      </c>
      <c r="AE1558" s="54"/>
      <c r="AF1558" s="54"/>
      <c r="AG1558" s="55" t="str">
        <f t="shared" si="801"/>
        <v/>
      </c>
      <c r="AH1558" s="56" t="str">
        <f t="shared" si="802"/>
        <v/>
      </c>
      <c r="AI1558" s="55"/>
      <c r="AJ1558" s="56" t="str">
        <f t="shared" si="803"/>
        <v/>
      </c>
      <c r="AK1558" s="55"/>
      <c r="AL1558" s="56" t="str">
        <f t="shared" si="804"/>
        <v/>
      </c>
      <c r="AM1558" s="55"/>
      <c r="AN1558" s="56" t="str">
        <f t="shared" si="805"/>
        <v/>
      </c>
      <c r="AO1558" s="55"/>
      <c r="AP1558" s="56" t="str">
        <f t="shared" si="806"/>
        <v/>
      </c>
      <c r="AQ1558" s="55"/>
      <c r="AR1558" s="56" t="str">
        <f t="shared" si="807"/>
        <v/>
      </c>
      <c r="AS1558" s="57"/>
      <c r="AT1558" s="58"/>
      <c r="AU1558" s="58"/>
      <c r="AV1558" s="59"/>
      <c r="AW1558" s="60" t="str">
        <f t="shared" si="808"/>
        <v/>
      </c>
      <c r="AX1558" s="61" t="str">
        <f t="shared" si="809"/>
        <v/>
      </c>
      <c r="AY1558" s="60" t="str">
        <f t="shared" si="810"/>
        <v/>
      </c>
      <c r="AZ1558" s="61" t="str">
        <f t="shared" si="811"/>
        <v/>
      </c>
    </row>
    <row r="1559" spans="1:52" s="3" customFormat="1" ht="12" hidden="1" customHeight="1" thickBot="1" x14ac:dyDescent="0.4">
      <c r="A1559" s="85">
        <f t="shared" si="859"/>
        <v>2020</v>
      </c>
      <c r="B1559" s="85" t="str">
        <f t="shared" si="787"/>
        <v>Dec</v>
      </c>
      <c r="C1559" s="86">
        <f t="shared" si="788"/>
        <v>3</v>
      </c>
      <c r="D1559" s="87">
        <f t="shared" si="789"/>
        <v>16</v>
      </c>
      <c r="E1559" s="88">
        <f t="shared" si="860"/>
        <v>50</v>
      </c>
      <c r="F1559" s="89"/>
      <c r="G1559" s="90"/>
      <c r="H1559" s="68" t="str">
        <f t="shared" si="790"/>
        <v>Hyprev6_20201203_16_00</v>
      </c>
      <c r="I1559" s="91">
        <f t="shared" ref="I1559:N1559" si="866">I1558</f>
        <v>1</v>
      </c>
      <c r="J1559" s="92" t="str">
        <f t="shared" si="866"/>
        <v>Hypericum</v>
      </c>
      <c r="K1559" s="92" t="str">
        <f t="shared" si="866"/>
        <v>revolutum</v>
      </c>
      <c r="L1559" s="93">
        <f t="shared" si="866"/>
        <v>6</v>
      </c>
      <c r="M1559" s="93">
        <f t="shared" si="866"/>
        <v>1</v>
      </c>
      <c r="N1559" s="94">
        <f t="shared" si="866"/>
        <v>0</v>
      </c>
      <c r="O1559" s="95"/>
      <c r="P1559" s="96" t="str">
        <f t="shared" si="792"/>
        <v/>
      </c>
      <c r="Q1559" s="97" t="str">
        <f t="shared" si="793"/>
        <v/>
      </c>
      <c r="R1559" s="98" t="e">
        <f t="shared" si="794"/>
        <v>#VALUE!</v>
      </c>
      <c r="S1559" s="98" t="e">
        <f t="shared" si="844"/>
        <v>#VALUE!</v>
      </c>
      <c r="T1559" s="98" t="str">
        <f t="shared" si="796"/>
        <v/>
      </c>
      <c r="U1559" s="99"/>
      <c r="V1559" s="100"/>
      <c r="W1559" s="101" t="e">
        <f t="shared" si="797"/>
        <v>#VALUE!</v>
      </c>
      <c r="X1559" s="102"/>
      <c r="Y1559" s="141"/>
      <c r="Z1559" s="141"/>
      <c r="AA1559" s="47" t="e">
        <f>INDEX(VISITORS[INSECT ORDER], MATCH(X1559,VISITORS[NAME USED],0))</f>
        <v>#N/A</v>
      </c>
      <c r="AB1559" s="98" t="e">
        <f t="shared" si="798"/>
        <v>#N/A</v>
      </c>
      <c r="AC1559" s="53" t="e">
        <f t="shared" si="799"/>
        <v>#VALUE!</v>
      </c>
      <c r="AD1559" s="103" t="str">
        <f t="shared" si="800"/>
        <v/>
      </c>
      <c r="AE1559" s="103"/>
      <c r="AF1559" s="103"/>
      <c r="AG1559" s="104" t="str">
        <f t="shared" si="801"/>
        <v/>
      </c>
      <c r="AH1559" s="105" t="str">
        <f t="shared" si="802"/>
        <v/>
      </c>
      <c r="AI1559" s="104"/>
      <c r="AJ1559" s="105" t="str">
        <f t="shared" si="803"/>
        <v/>
      </c>
      <c r="AK1559" s="104"/>
      <c r="AL1559" s="105" t="str">
        <f t="shared" si="804"/>
        <v/>
      </c>
      <c r="AM1559" s="104"/>
      <c r="AN1559" s="105" t="str">
        <f t="shared" si="805"/>
        <v/>
      </c>
      <c r="AO1559" s="104"/>
      <c r="AP1559" s="105" t="str">
        <f t="shared" si="806"/>
        <v/>
      </c>
      <c r="AQ1559" s="104"/>
      <c r="AR1559" s="105" t="str">
        <f t="shared" si="807"/>
        <v/>
      </c>
      <c r="AS1559" s="106"/>
      <c r="AT1559" s="107"/>
      <c r="AU1559" s="107"/>
      <c r="AV1559" s="108"/>
      <c r="AW1559" s="109" t="str">
        <f t="shared" si="808"/>
        <v/>
      </c>
      <c r="AX1559" s="110" t="str">
        <f t="shared" si="809"/>
        <v/>
      </c>
      <c r="AY1559" s="109" t="str">
        <f t="shared" si="810"/>
        <v/>
      </c>
      <c r="AZ1559" s="110" t="str">
        <f t="shared" si="811"/>
        <v/>
      </c>
    </row>
    <row r="1560" spans="1:52" s="3" customFormat="1" ht="12" hidden="1" customHeight="1" x14ac:dyDescent="0.35">
      <c r="A1560" s="72">
        <f t="shared" si="859"/>
        <v>2020</v>
      </c>
      <c r="B1560" s="72" t="str">
        <f t="shared" si="787"/>
        <v>Dec</v>
      </c>
      <c r="C1560" s="73">
        <f t="shared" si="788"/>
        <v>3</v>
      </c>
      <c r="D1560" s="74">
        <f t="shared" si="789"/>
        <v>16</v>
      </c>
      <c r="E1560" s="75">
        <f t="shared" si="860"/>
        <v>51</v>
      </c>
      <c r="F1560" s="79"/>
      <c r="G1560" s="82"/>
      <c r="H1560" s="68" t="str">
        <f t="shared" si="790"/>
        <v>Hyprev6_20201203_16_00</v>
      </c>
      <c r="I1560" s="69">
        <f t="shared" ref="I1560:N1560" si="867">I1559</f>
        <v>1</v>
      </c>
      <c r="J1560" s="76" t="str">
        <f t="shared" si="867"/>
        <v>Hypericum</v>
      </c>
      <c r="K1560" s="76" t="str">
        <f t="shared" si="867"/>
        <v>revolutum</v>
      </c>
      <c r="L1560" s="77">
        <f t="shared" si="867"/>
        <v>6</v>
      </c>
      <c r="M1560" s="77">
        <f t="shared" si="867"/>
        <v>1</v>
      </c>
      <c r="N1560" s="71">
        <f t="shared" si="867"/>
        <v>0</v>
      </c>
      <c r="O1560" s="44"/>
      <c r="P1560" s="45" t="str">
        <f t="shared" si="792"/>
        <v/>
      </c>
      <c r="Q1560" s="46" t="str">
        <f t="shared" si="793"/>
        <v/>
      </c>
      <c r="R1560" s="47" t="e">
        <f t="shared" si="794"/>
        <v>#VALUE!</v>
      </c>
      <c r="S1560" s="48" t="e">
        <f t="shared" si="844"/>
        <v>#VALUE!</v>
      </c>
      <c r="T1560" s="47" t="str">
        <f t="shared" si="796"/>
        <v/>
      </c>
      <c r="U1560" s="49"/>
      <c r="V1560" s="50"/>
      <c r="W1560" s="51" t="e">
        <f t="shared" si="797"/>
        <v>#VALUE!</v>
      </c>
      <c r="X1560" s="52"/>
      <c r="Y1560" s="52"/>
      <c r="Z1560" s="52"/>
      <c r="AA1560" s="47" t="e">
        <f>INDEX(VISITORS[INSECT ORDER], MATCH(X1560,VISITORS[NAME USED],0))</f>
        <v>#N/A</v>
      </c>
      <c r="AB1560" s="47" t="e">
        <f t="shared" si="798"/>
        <v>#N/A</v>
      </c>
      <c r="AC1560" s="53" t="e">
        <f t="shared" si="799"/>
        <v>#VALUE!</v>
      </c>
      <c r="AD1560" s="54" t="str">
        <f t="shared" si="800"/>
        <v/>
      </c>
      <c r="AE1560" s="54"/>
      <c r="AF1560" s="54"/>
      <c r="AG1560" s="55" t="str">
        <f t="shared" si="801"/>
        <v/>
      </c>
      <c r="AH1560" s="56" t="str">
        <f t="shared" si="802"/>
        <v/>
      </c>
      <c r="AI1560" s="55"/>
      <c r="AJ1560" s="56" t="str">
        <f t="shared" si="803"/>
        <v/>
      </c>
      <c r="AK1560" s="55"/>
      <c r="AL1560" s="56" t="str">
        <f t="shared" si="804"/>
        <v/>
      </c>
      <c r="AM1560" s="55"/>
      <c r="AN1560" s="56" t="str">
        <f t="shared" si="805"/>
        <v/>
      </c>
      <c r="AO1560" s="55"/>
      <c r="AP1560" s="56" t="str">
        <f t="shared" si="806"/>
        <v/>
      </c>
      <c r="AQ1560" s="55"/>
      <c r="AR1560" s="56" t="str">
        <f t="shared" si="807"/>
        <v/>
      </c>
      <c r="AS1560" s="57"/>
      <c r="AT1560" s="58"/>
      <c r="AU1560" s="58"/>
      <c r="AV1560" s="59"/>
      <c r="AW1560" s="60" t="str">
        <f t="shared" si="808"/>
        <v/>
      </c>
      <c r="AX1560" s="61" t="str">
        <f t="shared" si="809"/>
        <v/>
      </c>
      <c r="AY1560" s="60" t="str">
        <f t="shared" si="810"/>
        <v/>
      </c>
      <c r="AZ1560" s="61" t="str">
        <f t="shared" si="811"/>
        <v/>
      </c>
    </row>
    <row r="1561" spans="1:52" s="3" customFormat="1" ht="12" hidden="1" customHeight="1" x14ac:dyDescent="0.35">
      <c r="A1561" s="72">
        <f t="shared" si="859"/>
        <v>2020</v>
      </c>
      <c r="B1561" s="72" t="str">
        <f t="shared" si="787"/>
        <v>Dec</v>
      </c>
      <c r="C1561" s="73">
        <f t="shared" si="788"/>
        <v>3</v>
      </c>
      <c r="D1561" s="74">
        <f t="shared" si="789"/>
        <v>16</v>
      </c>
      <c r="E1561" s="75">
        <f t="shared" si="860"/>
        <v>52</v>
      </c>
      <c r="F1561" s="79"/>
      <c r="G1561" s="82"/>
      <c r="H1561" s="68" t="str">
        <f t="shared" si="790"/>
        <v>Hyprev6_20201203_16_00</v>
      </c>
      <c r="I1561" s="69">
        <f t="shared" ref="I1561:N1561" si="868">I1560</f>
        <v>1</v>
      </c>
      <c r="J1561" s="76" t="str">
        <f t="shared" si="868"/>
        <v>Hypericum</v>
      </c>
      <c r="K1561" s="76" t="str">
        <f t="shared" si="868"/>
        <v>revolutum</v>
      </c>
      <c r="L1561" s="77">
        <f t="shared" si="868"/>
        <v>6</v>
      </c>
      <c r="M1561" s="77">
        <f t="shared" si="868"/>
        <v>1</v>
      </c>
      <c r="N1561" s="71">
        <f t="shared" si="868"/>
        <v>0</v>
      </c>
      <c r="O1561" s="44"/>
      <c r="P1561" s="45" t="str">
        <f t="shared" si="792"/>
        <v/>
      </c>
      <c r="Q1561" s="46" t="str">
        <f t="shared" si="793"/>
        <v/>
      </c>
      <c r="R1561" s="47" t="e">
        <f t="shared" si="794"/>
        <v>#VALUE!</v>
      </c>
      <c r="S1561" s="48" t="e">
        <f t="shared" si="844"/>
        <v>#VALUE!</v>
      </c>
      <c r="T1561" s="47" t="str">
        <f t="shared" si="796"/>
        <v/>
      </c>
      <c r="U1561" s="49"/>
      <c r="V1561" s="50"/>
      <c r="W1561" s="51" t="e">
        <f t="shared" si="797"/>
        <v>#VALUE!</v>
      </c>
      <c r="X1561" s="52"/>
      <c r="Y1561" s="52"/>
      <c r="Z1561" s="52"/>
      <c r="AA1561" s="47" t="e">
        <f>INDEX(VISITORS[INSECT ORDER], MATCH(X1561,VISITORS[NAME USED],0))</f>
        <v>#N/A</v>
      </c>
      <c r="AB1561" s="47" t="e">
        <f t="shared" si="798"/>
        <v>#N/A</v>
      </c>
      <c r="AC1561" s="53" t="e">
        <f t="shared" si="799"/>
        <v>#VALUE!</v>
      </c>
      <c r="AD1561" s="54" t="str">
        <f t="shared" si="800"/>
        <v/>
      </c>
      <c r="AE1561" s="54"/>
      <c r="AF1561" s="54"/>
      <c r="AG1561" s="55" t="str">
        <f t="shared" si="801"/>
        <v/>
      </c>
      <c r="AH1561" s="56" t="str">
        <f t="shared" si="802"/>
        <v/>
      </c>
      <c r="AI1561" s="55"/>
      <c r="AJ1561" s="56" t="str">
        <f t="shared" si="803"/>
        <v/>
      </c>
      <c r="AK1561" s="55"/>
      <c r="AL1561" s="56" t="str">
        <f t="shared" si="804"/>
        <v/>
      </c>
      <c r="AM1561" s="55"/>
      <c r="AN1561" s="56" t="str">
        <f t="shared" si="805"/>
        <v/>
      </c>
      <c r="AO1561" s="55"/>
      <c r="AP1561" s="56" t="str">
        <f t="shared" si="806"/>
        <v/>
      </c>
      <c r="AQ1561" s="55"/>
      <c r="AR1561" s="56" t="str">
        <f t="shared" si="807"/>
        <v/>
      </c>
      <c r="AS1561" s="57"/>
      <c r="AT1561" s="58"/>
      <c r="AU1561" s="58"/>
      <c r="AV1561" s="59"/>
      <c r="AW1561" s="60" t="str">
        <f t="shared" si="808"/>
        <v/>
      </c>
      <c r="AX1561" s="61" t="str">
        <f t="shared" si="809"/>
        <v/>
      </c>
      <c r="AY1561" s="60" t="str">
        <f t="shared" si="810"/>
        <v/>
      </c>
      <c r="AZ1561" s="61" t="str">
        <f t="shared" si="811"/>
        <v/>
      </c>
    </row>
    <row r="1562" spans="1:52" s="3" customFormat="1" ht="12" hidden="1" customHeight="1" thickBot="1" x14ac:dyDescent="0.4">
      <c r="A1562" s="85">
        <f t="shared" si="859"/>
        <v>2020</v>
      </c>
      <c r="B1562" s="85" t="str">
        <f t="shared" si="787"/>
        <v>Dec</v>
      </c>
      <c r="C1562" s="86">
        <f t="shared" si="788"/>
        <v>3</v>
      </c>
      <c r="D1562" s="87">
        <f t="shared" si="789"/>
        <v>16</v>
      </c>
      <c r="E1562" s="88">
        <f t="shared" si="860"/>
        <v>53</v>
      </c>
      <c r="F1562" s="89"/>
      <c r="G1562" s="90"/>
      <c r="H1562" s="68" t="str">
        <f t="shared" si="790"/>
        <v>Hyprev6_20201203_16_00</v>
      </c>
      <c r="I1562" s="91">
        <f t="shared" ref="I1562:N1562" si="869">I1561</f>
        <v>1</v>
      </c>
      <c r="J1562" s="92" t="str">
        <f t="shared" si="869"/>
        <v>Hypericum</v>
      </c>
      <c r="K1562" s="92" t="str">
        <f t="shared" si="869"/>
        <v>revolutum</v>
      </c>
      <c r="L1562" s="93">
        <f t="shared" si="869"/>
        <v>6</v>
      </c>
      <c r="M1562" s="93">
        <f t="shared" si="869"/>
        <v>1</v>
      </c>
      <c r="N1562" s="94">
        <f t="shared" si="869"/>
        <v>0</v>
      </c>
      <c r="O1562" s="95"/>
      <c r="P1562" s="96" t="str">
        <f t="shared" si="792"/>
        <v/>
      </c>
      <c r="Q1562" s="97" t="str">
        <f t="shared" si="793"/>
        <v/>
      </c>
      <c r="R1562" s="98" t="e">
        <f t="shared" si="794"/>
        <v>#VALUE!</v>
      </c>
      <c r="S1562" s="98" t="e">
        <f t="shared" si="844"/>
        <v>#VALUE!</v>
      </c>
      <c r="T1562" s="98" t="str">
        <f t="shared" si="796"/>
        <v/>
      </c>
      <c r="U1562" s="99"/>
      <c r="V1562" s="100"/>
      <c r="W1562" s="101" t="e">
        <f t="shared" si="797"/>
        <v>#VALUE!</v>
      </c>
      <c r="X1562" s="102"/>
      <c r="Y1562" s="141"/>
      <c r="Z1562" s="141"/>
      <c r="AA1562" s="47" t="e">
        <f>INDEX(VISITORS[INSECT ORDER], MATCH(X1562,VISITORS[NAME USED],0))</f>
        <v>#N/A</v>
      </c>
      <c r="AB1562" s="98" t="e">
        <f t="shared" si="798"/>
        <v>#N/A</v>
      </c>
      <c r="AC1562" s="53" t="e">
        <f t="shared" si="799"/>
        <v>#VALUE!</v>
      </c>
      <c r="AD1562" s="103" t="str">
        <f t="shared" si="800"/>
        <v/>
      </c>
      <c r="AE1562" s="103"/>
      <c r="AF1562" s="103"/>
      <c r="AG1562" s="104" t="str">
        <f t="shared" si="801"/>
        <v/>
      </c>
      <c r="AH1562" s="105" t="str">
        <f t="shared" si="802"/>
        <v/>
      </c>
      <c r="AI1562" s="104"/>
      <c r="AJ1562" s="105" t="str">
        <f t="shared" si="803"/>
        <v/>
      </c>
      <c r="AK1562" s="104"/>
      <c r="AL1562" s="105" t="str">
        <f t="shared" si="804"/>
        <v/>
      </c>
      <c r="AM1562" s="104"/>
      <c r="AN1562" s="105" t="str">
        <f t="shared" si="805"/>
        <v/>
      </c>
      <c r="AO1562" s="104"/>
      <c r="AP1562" s="105" t="str">
        <f t="shared" si="806"/>
        <v/>
      </c>
      <c r="AQ1562" s="104"/>
      <c r="AR1562" s="105" t="str">
        <f t="shared" si="807"/>
        <v/>
      </c>
      <c r="AS1562" s="106"/>
      <c r="AT1562" s="107"/>
      <c r="AU1562" s="107"/>
      <c r="AV1562" s="108"/>
      <c r="AW1562" s="109" t="str">
        <f t="shared" si="808"/>
        <v/>
      </c>
      <c r="AX1562" s="110" t="str">
        <f t="shared" si="809"/>
        <v/>
      </c>
      <c r="AY1562" s="109" t="str">
        <f t="shared" si="810"/>
        <v/>
      </c>
      <c r="AZ1562" s="110" t="str">
        <f t="shared" si="811"/>
        <v/>
      </c>
    </row>
    <row r="1563" spans="1:52" s="3" customFormat="1" ht="12" hidden="1" customHeight="1" x14ac:dyDescent="0.35">
      <c r="A1563" s="72">
        <f t="shared" si="859"/>
        <v>2020</v>
      </c>
      <c r="B1563" s="72" t="str">
        <f t="shared" si="787"/>
        <v>Dec</v>
      </c>
      <c r="C1563" s="73">
        <f t="shared" si="788"/>
        <v>3</v>
      </c>
      <c r="D1563" s="74">
        <f t="shared" si="789"/>
        <v>16</v>
      </c>
      <c r="E1563" s="75">
        <f t="shared" si="860"/>
        <v>54</v>
      </c>
      <c r="F1563" s="79"/>
      <c r="G1563" s="82"/>
      <c r="H1563" s="68" t="str">
        <f t="shared" si="790"/>
        <v>Hyprev6_20201203_16_00</v>
      </c>
      <c r="I1563" s="69">
        <f t="shared" ref="I1563:N1563" si="870">I1562</f>
        <v>1</v>
      </c>
      <c r="J1563" s="76" t="str">
        <f t="shared" si="870"/>
        <v>Hypericum</v>
      </c>
      <c r="K1563" s="76" t="str">
        <f t="shared" si="870"/>
        <v>revolutum</v>
      </c>
      <c r="L1563" s="77">
        <f t="shared" si="870"/>
        <v>6</v>
      </c>
      <c r="M1563" s="77">
        <f t="shared" si="870"/>
        <v>1</v>
      </c>
      <c r="N1563" s="71">
        <f t="shared" si="870"/>
        <v>0</v>
      </c>
      <c r="O1563" s="44"/>
      <c r="P1563" s="45" t="str">
        <f t="shared" si="792"/>
        <v/>
      </c>
      <c r="Q1563" s="46" t="str">
        <f t="shared" si="793"/>
        <v/>
      </c>
      <c r="R1563" s="47" t="e">
        <f t="shared" si="794"/>
        <v>#VALUE!</v>
      </c>
      <c r="S1563" s="48" t="e">
        <f t="shared" si="844"/>
        <v>#VALUE!</v>
      </c>
      <c r="T1563" s="47" t="str">
        <f t="shared" si="796"/>
        <v/>
      </c>
      <c r="U1563" s="49"/>
      <c r="V1563" s="50"/>
      <c r="W1563" s="51" t="e">
        <f t="shared" si="797"/>
        <v>#VALUE!</v>
      </c>
      <c r="X1563" s="52"/>
      <c r="Y1563" s="52"/>
      <c r="Z1563" s="52"/>
      <c r="AA1563" s="47" t="e">
        <f>INDEX(VISITORS[INSECT ORDER], MATCH(X1563,VISITORS[NAME USED],0))</f>
        <v>#N/A</v>
      </c>
      <c r="AB1563" s="47" t="e">
        <f t="shared" si="798"/>
        <v>#N/A</v>
      </c>
      <c r="AC1563" s="53" t="e">
        <f t="shared" si="799"/>
        <v>#VALUE!</v>
      </c>
      <c r="AD1563" s="54" t="str">
        <f t="shared" si="800"/>
        <v/>
      </c>
      <c r="AE1563" s="54"/>
      <c r="AF1563" s="54"/>
      <c r="AG1563" s="55" t="str">
        <f t="shared" si="801"/>
        <v/>
      </c>
      <c r="AH1563" s="56" t="str">
        <f t="shared" si="802"/>
        <v/>
      </c>
      <c r="AI1563" s="55"/>
      <c r="AJ1563" s="56" t="str">
        <f t="shared" si="803"/>
        <v/>
      </c>
      <c r="AK1563" s="55"/>
      <c r="AL1563" s="56" t="str">
        <f t="shared" si="804"/>
        <v/>
      </c>
      <c r="AM1563" s="55"/>
      <c r="AN1563" s="56" t="str">
        <f t="shared" si="805"/>
        <v/>
      </c>
      <c r="AO1563" s="55"/>
      <c r="AP1563" s="56" t="str">
        <f t="shared" si="806"/>
        <v/>
      </c>
      <c r="AQ1563" s="55"/>
      <c r="AR1563" s="56" t="str">
        <f t="shared" si="807"/>
        <v/>
      </c>
      <c r="AS1563" s="57"/>
      <c r="AT1563" s="58"/>
      <c r="AU1563" s="58"/>
      <c r="AV1563" s="59"/>
      <c r="AW1563" s="60" t="str">
        <f t="shared" si="808"/>
        <v/>
      </c>
      <c r="AX1563" s="61" t="str">
        <f t="shared" si="809"/>
        <v/>
      </c>
      <c r="AY1563" s="60" t="str">
        <f t="shared" si="810"/>
        <v/>
      </c>
      <c r="AZ1563" s="61" t="str">
        <f t="shared" si="811"/>
        <v/>
      </c>
    </row>
    <row r="1564" spans="1:52" s="3" customFormat="1" ht="12" hidden="1" customHeight="1" x14ac:dyDescent="0.35">
      <c r="A1564" s="72">
        <f t="shared" si="859"/>
        <v>2020</v>
      </c>
      <c r="B1564" s="72" t="str">
        <f t="shared" si="787"/>
        <v>Dec</v>
      </c>
      <c r="C1564" s="73">
        <f t="shared" si="788"/>
        <v>3</v>
      </c>
      <c r="D1564" s="74">
        <f t="shared" si="789"/>
        <v>16</v>
      </c>
      <c r="E1564" s="75">
        <f t="shared" si="860"/>
        <v>55</v>
      </c>
      <c r="F1564" s="79"/>
      <c r="G1564" s="82"/>
      <c r="H1564" s="68" t="str">
        <f t="shared" si="790"/>
        <v>Hyprev6_20201203_16_00</v>
      </c>
      <c r="I1564" s="69">
        <f t="shared" ref="I1564:N1564" si="871">I1563</f>
        <v>1</v>
      </c>
      <c r="J1564" s="76" t="str">
        <f t="shared" si="871"/>
        <v>Hypericum</v>
      </c>
      <c r="K1564" s="76" t="str">
        <f t="shared" si="871"/>
        <v>revolutum</v>
      </c>
      <c r="L1564" s="77">
        <f t="shared" si="871"/>
        <v>6</v>
      </c>
      <c r="M1564" s="77">
        <f t="shared" si="871"/>
        <v>1</v>
      </c>
      <c r="N1564" s="71">
        <f t="shared" si="871"/>
        <v>0</v>
      </c>
      <c r="O1564" s="44"/>
      <c r="P1564" s="45" t="str">
        <f t="shared" si="792"/>
        <v/>
      </c>
      <c r="Q1564" s="46" t="str">
        <f t="shared" si="793"/>
        <v/>
      </c>
      <c r="R1564" s="47" t="e">
        <f t="shared" si="794"/>
        <v>#VALUE!</v>
      </c>
      <c r="S1564" s="48" t="e">
        <f t="shared" si="844"/>
        <v>#VALUE!</v>
      </c>
      <c r="T1564" s="47" t="str">
        <f t="shared" si="796"/>
        <v/>
      </c>
      <c r="U1564" s="49"/>
      <c r="V1564" s="50"/>
      <c r="W1564" s="51" t="e">
        <f t="shared" si="797"/>
        <v>#VALUE!</v>
      </c>
      <c r="X1564" s="52"/>
      <c r="Y1564" s="52"/>
      <c r="Z1564" s="52"/>
      <c r="AA1564" s="47" t="e">
        <f>INDEX(VISITORS[INSECT ORDER], MATCH(X1564,VISITORS[NAME USED],0))</f>
        <v>#N/A</v>
      </c>
      <c r="AB1564" s="47" t="e">
        <f t="shared" si="798"/>
        <v>#N/A</v>
      </c>
      <c r="AC1564" s="53" t="e">
        <f t="shared" si="799"/>
        <v>#VALUE!</v>
      </c>
      <c r="AD1564" s="54" t="str">
        <f t="shared" si="800"/>
        <v/>
      </c>
      <c r="AE1564" s="54"/>
      <c r="AF1564" s="54"/>
      <c r="AG1564" s="55" t="str">
        <f t="shared" si="801"/>
        <v/>
      </c>
      <c r="AH1564" s="56" t="str">
        <f t="shared" si="802"/>
        <v/>
      </c>
      <c r="AI1564" s="55"/>
      <c r="AJ1564" s="56" t="str">
        <f t="shared" si="803"/>
        <v/>
      </c>
      <c r="AK1564" s="55"/>
      <c r="AL1564" s="56" t="str">
        <f t="shared" si="804"/>
        <v/>
      </c>
      <c r="AM1564" s="55"/>
      <c r="AN1564" s="56" t="str">
        <f t="shared" si="805"/>
        <v/>
      </c>
      <c r="AO1564" s="55"/>
      <c r="AP1564" s="56" t="str">
        <f t="shared" si="806"/>
        <v/>
      </c>
      <c r="AQ1564" s="55"/>
      <c r="AR1564" s="56" t="str">
        <f t="shared" si="807"/>
        <v/>
      </c>
      <c r="AS1564" s="57"/>
      <c r="AT1564" s="58"/>
      <c r="AU1564" s="58"/>
      <c r="AV1564" s="59"/>
      <c r="AW1564" s="60" t="str">
        <f t="shared" si="808"/>
        <v/>
      </c>
      <c r="AX1564" s="61" t="str">
        <f t="shared" si="809"/>
        <v/>
      </c>
      <c r="AY1564" s="60" t="str">
        <f t="shared" si="810"/>
        <v/>
      </c>
      <c r="AZ1564" s="61" t="str">
        <f t="shared" si="811"/>
        <v/>
      </c>
    </row>
    <row r="1565" spans="1:52" s="3" customFormat="1" ht="12" hidden="1" customHeight="1" thickBot="1" x14ac:dyDescent="0.4">
      <c r="A1565" s="85">
        <f t="shared" si="859"/>
        <v>2020</v>
      </c>
      <c r="B1565" s="85" t="str">
        <f t="shared" si="787"/>
        <v>Dec</v>
      </c>
      <c r="C1565" s="86">
        <f t="shared" si="788"/>
        <v>3</v>
      </c>
      <c r="D1565" s="87">
        <f t="shared" si="789"/>
        <v>16</v>
      </c>
      <c r="E1565" s="88">
        <f t="shared" si="860"/>
        <v>56</v>
      </c>
      <c r="F1565" s="89"/>
      <c r="G1565" s="90"/>
      <c r="H1565" s="68" t="str">
        <f t="shared" si="790"/>
        <v>Hyprev6_20201203_16_00</v>
      </c>
      <c r="I1565" s="91">
        <f t="shared" ref="I1565:N1565" si="872">I1564</f>
        <v>1</v>
      </c>
      <c r="J1565" s="92" t="str">
        <f t="shared" si="872"/>
        <v>Hypericum</v>
      </c>
      <c r="K1565" s="92" t="str">
        <f t="shared" si="872"/>
        <v>revolutum</v>
      </c>
      <c r="L1565" s="93">
        <f t="shared" si="872"/>
        <v>6</v>
      </c>
      <c r="M1565" s="93">
        <f t="shared" si="872"/>
        <v>1</v>
      </c>
      <c r="N1565" s="94">
        <f t="shared" si="872"/>
        <v>0</v>
      </c>
      <c r="O1565" s="95"/>
      <c r="P1565" s="96" t="str">
        <f t="shared" si="792"/>
        <v/>
      </c>
      <c r="Q1565" s="97" t="str">
        <f t="shared" si="793"/>
        <v/>
      </c>
      <c r="R1565" s="98" t="e">
        <f t="shared" si="794"/>
        <v>#VALUE!</v>
      </c>
      <c r="S1565" s="98" t="e">
        <f t="shared" si="844"/>
        <v>#VALUE!</v>
      </c>
      <c r="T1565" s="98" t="str">
        <f t="shared" si="796"/>
        <v/>
      </c>
      <c r="U1565" s="99"/>
      <c r="V1565" s="100"/>
      <c r="W1565" s="101" t="e">
        <f t="shared" si="797"/>
        <v>#VALUE!</v>
      </c>
      <c r="X1565" s="102"/>
      <c r="Y1565" s="141"/>
      <c r="Z1565" s="141"/>
      <c r="AA1565" s="47" t="e">
        <f>INDEX(VISITORS[INSECT ORDER], MATCH(X1565,VISITORS[NAME USED],0))</f>
        <v>#N/A</v>
      </c>
      <c r="AB1565" s="98" t="e">
        <f t="shared" si="798"/>
        <v>#N/A</v>
      </c>
      <c r="AC1565" s="53" t="e">
        <f t="shared" si="799"/>
        <v>#VALUE!</v>
      </c>
      <c r="AD1565" s="103" t="str">
        <f t="shared" si="800"/>
        <v/>
      </c>
      <c r="AE1565" s="103"/>
      <c r="AF1565" s="103"/>
      <c r="AG1565" s="104" t="str">
        <f t="shared" si="801"/>
        <v/>
      </c>
      <c r="AH1565" s="105" t="str">
        <f t="shared" si="802"/>
        <v/>
      </c>
      <c r="AI1565" s="104"/>
      <c r="AJ1565" s="105" t="str">
        <f t="shared" si="803"/>
        <v/>
      </c>
      <c r="AK1565" s="104"/>
      <c r="AL1565" s="105" t="str">
        <f t="shared" si="804"/>
        <v/>
      </c>
      <c r="AM1565" s="104"/>
      <c r="AN1565" s="105" t="str">
        <f t="shared" si="805"/>
        <v/>
      </c>
      <c r="AO1565" s="104"/>
      <c r="AP1565" s="105" t="str">
        <f t="shared" si="806"/>
        <v/>
      </c>
      <c r="AQ1565" s="104"/>
      <c r="AR1565" s="105" t="str">
        <f t="shared" si="807"/>
        <v/>
      </c>
      <c r="AS1565" s="106"/>
      <c r="AT1565" s="107"/>
      <c r="AU1565" s="107"/>
      <c r="AV1565" s="108"/>
      <c r="AW1565" s="109" t="str">
        <f t="shared" si="808"/>
        <v/>
      </c>
      <c r="AX1565" s="110" t="str">
        <f t="shared" si="809"/>
        <v/>
      </c>
      <c r="AY1565" s="109" t="str">
        <f t="shared" si="810"/>
        <v/>
      </c>
      <c r="AZ1565" s="110" t="str">
        <f t="shared" si="811"/>
        <v/>
      </c>
    </row>
    <row r="1566" spans="1:52" s="3" customFormat="1" ht="12" hidden="1" customHeight="1" x14ac:dyDescent="0.35">
      <c r="A1566" s="72">
        <f t="shared" si="859"/>
        <v>2020</v>
      </c>
      <c r="B1566" s="72" t="str">
        <f t="shared" si="787"/>
        <v>Dec</v>
      </c>
      <c r="C1566" s="73">
        <f t="shared" si="788"/>
        <v>3</v>
      </c>
      <c r="D1566" s="74">
        <f t="shared" si="789"/>
        <v>16</v>
      </c>
      <c r="E1566" s="75">
        <f t="shared" si="860"/>
        <v>57</v>
      </c>
      <c r="F1566" s="79"/>
      <c r="G1566" s="82"/>
      <c r="H1566" s="68" t="str">
        <f t="shared" si="790"/>
        <v>Hyprev6_20201203_16_00</v>
      </c>
      <c r="I1566" s="69">
        <f t="shared" ref="I1566:N1566" si="873">I1565</f>
        <v>1</v>
      </c>
      <c r="J1566" s="76" t="str">
        <f t="shared" si="873"/>
        <v>Hypericum</v>
      </c>
      <c r="K1566" s="76" t="str">
        <f t="shared" si="873"/>
        <v>revolutum</v>
      </c>
      <c r="L1566" s="77">
        <f t="shared" si="873"/>
        <v>6</v>
      </c>
      <c r="M1566" s="77">
        <f t="shared" si="873"/>
        <v>1</v>
      </c>
      <c r="N1566" s="71">
        <f t="shared" si="873"/>
        <v>0</v>
      </c>
      <c r="O1566" s="44"/>
      <c r="P1566" s="45" t="str">
        <f t="shared" si="792"/>
        <v/>
      </c>
      <c r="Q1566" s="46" t="str">
        <f t="shared" si="793"/>
        <v/>
      </c>
      <c r="R1566" s="47" t="e">
        <f t="shared" si="794"/>
        <v>#VALUE!</v>
      </c>
      <c r="S1566" s="48" t="e">
        <f t="shared" si="844"/>
        <v>#VALUE!</v>
      </c>
      <c r="T1566" s="47" t="str">
        <f t="shared" si="796"/>
        <v/>
      </c>
      <c r="U1566" s="49"/>
      <c r="V1566" s="50"/>
      <c r="W1566" s="51" t="e">
        <f t="shared" si="797"/>
        <v>#VALUE!</v>
      </c>
      <c r="X1566" s="52"/>
      <c r="Y1566" s="52"/>
      <c r="Z1566" s="52"/>
      <c r="AA1566" s="47" t="e">
        <f>INDEX(VISITORS[INSECT ORDER], MATCH(X1566,VISITORS[NAME USED],0))</f>
        <v>#N/A</v>
      </c>
      <c r="AB1566" s="47" t="e">
        <f t="shared" si="798"/>
        <v>#N/A</v>
      </c>
      <c r="AC1566" s="53" t="e">
        <f t="shared" si="799"/>
        <v>#VALUE!</v>
      </c>
      <c r="AD1566" s="54" t="str">
        <f t="shared" si="800"/>
        <v/>
      </c>
      <c r="AE1566" s="54"/>
      <c r="AF1566" s="54"/>
      <c r="AG1566" s="55" t="str">
        <f t="shared" si="801"/>
        <v/>
      </c>
      <c r="AH1566" s="56" t="str">
        <f t="shared" si="802"/>
        <v/>
      </c>
      <c r="AI1566" s="55"/>
      <c r="AJ1566" s="56" t="str">
        <f t="shared" si="803"/>
        <v/>
      </c>
      <c r="AK1566" s="55"/>
      <c r="AL1566" s="56" t="str">
        <f t="shared" si="804"/>
        <v/>
      </c>
      <c r="AM1566" s="55"/>
      <c r="AN1566" s="56" t="str">
        <f t="shared" si="805"/>
        <v/>
      </c>
      <c r="AO1566" s="55"/>
      <c r="AP1566" s="56" t="str">
        <f t="shared" si="806"/>
        <v/>
      </c>
      <c r="AQ1566" s="55"/>
      <c r="AR1566" s="56" t="str">
        <f t="shared" si="807"/>
        <v/>
      </c>
      <c r="AS1566" s="57"/>
      <c r="AT1566" s="58"/>
      <c r="AU1566" s="58"/>
      <c r="AV1566" s="59"/>
      <c r="AW1566" s="60" t="str">
        <f t="shared" si="808"/>
        <v/>
      </c>
      <c r="AX1566" s="61" t="str">
        <f t="shared" si="809"/>
        <v/>
      </c>
      <c r="AY1566" s="60" t="str">
        <f t="shared" si="810"/>
        <v/>
      </c>
      <c r="AZ1566" s="61" t="str">
        <f t="shared" si="811"/>
        <v/>
      </c>
    </row>
    <row r="1567" spans="1:52" s="3" customFormat="1" ht="12" hidden="1" customHeight="1" x14ac:dyDescent="0.35">
      <c r="A1567" s="72">
        <f t="shared" si="859"/>
        <v>2020</v>
      </c>
      <c r="B1567" s="72" t="str">
        <f t="shared" si="787"/>
        <v>Dec</v>
      </c>
      <c r="C1567" s="73">
        <f t="shared" si="788"/>
        <v>3</v>
      </c>
      <c r="D1567" s="74">
        <f t="shared" si="789"/>
        <v>16</v>
      </c>
      <c r="E1567" s="75">
        <f t="shared" si="860"/>
        <v>58</v>
      </c>
      <c r="F1567" s="79"/>
      <c r="G1567" s="82"/>
      <c r="H1567" s="68" t="str">
        <f t="shared" si="790"/>
        <v>Hyprev6_20201203_16_00</v>
      </c>
      <c r="I1567" s="69">
        <f t="shared" ref="I1567:N1567" si="874">I1566</f>
        <v>1</v>
      </c>
      <c r="J1567" s="76" t="str">
        <f t="shared" si="874"/>
        <v>Hypericum</v>
      </c>
      <c r="K1567" s="76" t="str">
        <f t="shared" si="874"/>
        <v>revolutum</v>
      </c>
      <c r="L1567" s="77">
        <f t="shared" si="874"/>
        <v>6</v>
      </c>
      <c r="M1567" s="77">
        <f t="shared" si="874"/>
        <v>1</v>
      </c>
      <c r="N1567" s="71">
        <f t="shared" si="874"/>
        <v>0</v>
      </c>
      <c r="O1567" s="44"/>
      <c r="P1567" s="45" t="str">
        <f t="shared" si="792"/>
        <v/>
      </c>
      <c r="Q1567" s="46" t="str">
        <f t="shared" si="793"/>
        <v/>
      </c>
      <c r="R1567" s="47" t="e">
        <f t="shared" si="794"/>
        <v>#VALUE!</v>
      </c>
      <c r="S1567" s="48" t="e">
        <f t="shared" si="844"/>
        <v>#VALUE!</v>
      </c>
      <c r="T1567" s="47" t="str">
        <f t="shared" si="796"/>
        <v/>
      </c>
      <c r="U1567" s="49"/>
      <c r="V1567" s="50"/>
      <c r="W1567" s="51" t="e">
        <f t="shared" si="797"/>
        <v>#VALUE!</v>
      </c>
      <c r="X1567" s="52"/>
      <c r="Y1567" s="52"/>
      <c r="Z1567" s="52"/>
      <c r="AA1567" s="47" t="e">
        <f>INDEX(VISITORS[INSECT ORDER], MATCH(X1567,VISITORS[NAME USED],0))</f>
        <v>#N/A</v>
      </c>
      <c r="AB1567" s="47" t="e">
        <f t="shared" si="798"/>
        <v>#N/A</v>
      </c>
      <c r="AC1567" s="53" t="e">
        <f t="shared" si="799"/>
        <v>#VALUE!</v>
      </c>
      <c r="AD1567" s="54" t="str">
        <f t="shared" si="800"/>
        <v/>
      </c>
      <c r="AE1567" s="54"/>
      <c r="AF1567" s="54"/>
      <c r="AG1567" s="55" t="str">
        <f t="shared" si="801"/>
        <v/>
      </c>
      <c r="AH1567" s="56" t="str">
        <f t="shared" si="802"/>
        <v/>
      </c>
      <c r="AI1567" s="55"/>
      <c r="AJ1567" s="56" t="str">
        <f t="shared" si="803"/>
        <v/>
      </c>
      <c r="AK1567" s="55"/>
      <c r="AL1567" s="56" t="str">
        <f t="shared" si="804"/>
        <v/>
      </c>
      <c r="AM1567" s="55"/>
      <c r="AN1567" s="56" t="str">
        <f t="shared" si="805"/>
        <v/>
      </c>
      <c r="AO1567" s="55"/>
      <c r="AP1567" s="56" t="str">
        <f t="shared" si="806"/>
        <v/>
      </c>
      <c r="AQ1567" s="55"/>
      <c r="AR1567" s="56" t="str">
        <f t="shared" si="807"/>
        <v/>
      </c>
      <c r="AS1567" s="57"/>
      <c r="AT1567" s="58"/>
      <c r="AU1567" s="58"/>
      <c r="AV1567" s="59"/>
      <c r="AW1567" s="60" t="str">
        <f t="shared" si="808"/>
        <v/>
      </c>
      <c r="AX1567" s="61" t="str">
        <f t="shared" si="809"/>
        <v/>
      </c>
      <c r="AY1567" s="60" t="str">
        <f t="shared" si="810"/>
        <v/>
      </c>
      <c r="AZ1567" s="61" t="str">
        <f t="shared" si="811"/>
        <v/>
      </c>
    </row>
    <row r="1568" spans="1:52" s="3" customFormat="1" ht="12" hidden="1" customHeight="1" thickBot="1" x14ac:dyDescent="0.4">
      <c r="A1568" s="85">
        <f t="shared" si="859"/>
        <v>2020</v>
      </c>
      <c r="B1568" s="85" t="str">
        <f t="shared" si="787"/>
        <v>Dec</v>
      </c>
      <c r="C1568" s="86">
        <f t="shared" si="788"/>
        <v>3</v>
      </c>
      <c r="D1568" s="87">
        <f t="shared" si="789"/>
        <v>16</v>
      </c>
      <c r="E1568" s="88">
        <f t="shared" si="860"/>
        <v>59</v>
      </c>
      <c r="F1568" s="89"/>
      <c r="G1568" s="90"/>
      <c r="H1568" s="68" t="str">
        <f t="shared" si="790"/>
        <v>Hyprev6_20201203_16_00</v>
      </c>
      <c r="I1568" s="91">
        <f t="shared" ref="I1568:N1568" si="875">I1567</f>
        <v>1</v>
      </c>
      <c r="J1568" s="92" t="str">
        <f t="shared" si="875"/>
        <v>Hypericum</v>
      </c>
      <c r="K1568" s="92" t="str">
        <f t="shared" si="875"/>
        <v>revolutum</v>
      </c>
      <c r="L1568" s="93">
        <f t="shared" si="875"/>
        <v>6</v>
      </c>
      <c r="M1568" s="93">
        <f t="shared" si="875"/>
        <v>1</v>
      </c>
      <c r="N1568" s="94">
        <f t="shared" si="875"/>
        <v>0</v>
      </c>
      <c r="O1568" s="95"/>
      <c r="P1568" s="96" t="str">
        <f t="shared" si="792"/>
        <v/>
      </c>
      <c r="Q1568" s="97" t="str">
        <f t="shared" si="793"/>
        <v/>
      </c>
      <c r="R1568" s="98" t="e">
        <f t="shared" si="794"/>
        <v>#VALUE!</v>
      </c>
      <c r="S1568" s="98" t="e">
        <f t="shared" si="844"/>
        <v>#VALUE!</v>
      </c>
      <c r="T1568" s="98" t="str">
        <f t="shared" si="796"/>
        <v/>
      </c>
      <c r="U1568" s="99"/>
      <c r="V1568" s="100"/>
      <c r="W1568" s="101" t="e">
        <f t="shared" si="797"/>
        <v>#VALUE!</v>
      </c>
      <c r="X1568" s="102"/>
      <c r="Y1568" s="141"/>
      <c r="Z1568" s="141"/>
      <c r="AA1568" s="47" t="e">
        <f>INDEX(VISITORS[INSECT ORDER], MATCH(X1568,VISITORS[NAME USED],0))</f>
        <v>#N/A</v>
      </c>
      <c r="AB1568" s="98" t="e">
        <f t="shared" si="798"/>
        <v>#N/A</v>
      </c>
      <c r="AC1568" s="53" t="e">
        <f t="shared" si="799"/>
        <v>#VALUE!</v>
      </c>
      <c r="AD1568" s="103" t="str">
        <f t="shared" si="800"/>
        <v/>
      </c>
      <c r="AE1568" s="103"/>
      <c r="AF1568" s="103"/>
      <c r="AG1568" s="104" t="str">
        <f t="shared" si="801"/>
        <v/>
      </c>
      <c r="AH1568" s="105" t="str">
        <f t="shared" si="802"/>
        <v/>
      </c>
      <c r="AI1568" s="104"/>
      <c r="AJ1568" s="105" t="str">
        <f t="shared" si="803"/>
        <v/>
      </c>
      <c r="AK1568" s="104"/>
      <c r="AL1568" s="105" t="str">
        <f t="shared" si="804"/>
        <v/>
      </c>
      <c r="AM1568" s="104"/>
      <c r="AN1568" s="105" t="str">
        <f t="shared" si="805"/>
        <v/>
      </c>
      <c r="AO1568" s="104"/>
      <c r="AP1568" s="105" t="str">
        <f t="shared" si="806"/>
        <v/>
      </c>
      <c r="AQ1568" s="104"/>
      <c r="AR1568" s="105" t="str">
        <f t="shared" si="807"/>
        <v/>
      </c>
      <c r="AS1568" s="106"/>
      <c r="AT1568" s="107"/>
      <c r="AU1568" s="107"/>
      <c r="AV1568" s="108"/>
      <c r="AW1568" s="109" t="str">
        <f t="shared" si="808"/>
        <v/>
      </c>
      <c r="AX1568" s="110" t="str">
        <f t="shared" si="809"/>
        <v/>
      </c>
      <c r="AY1568" s="109" t="str">
        <f t="shared" si="810"/>
        <v/>
      </c>
      <c r="AZ1568" s="110" t="str">
        <f t="shared" si="811"/>
        <v/>
      </c>
    </row>
    <row r="1569" spans="1:52" s="3" customFormat="1" ht="12" hidden="1" customHeight="1" x14ac:dyDescent="0.35">
      <c r="A1569" s="72">
        <f t="shared" si="859"/>
        <v>2020</v>
      </c>
      <c r="B1569" s="72" t="str">
        <f t="shared" si="787"/>
        <v>Dec</v>
      </c>
      <c r="C1569" s="73">
        <f t="shared" si="788"/>
        <v>3</v>
      </c>
      <c r="D1569" s="74">
        <f t="shared" si="789"/>
        <v>17</v>
      </c>
      <c r="E1569" s="75">
        <f t="shared" si="860"/>
        <v>0</v>
      </c>
      <c r="F1569" s="79"/>
      <c r="G1569" s="82"/>
      <c r="H1569" s="68" t="str">
        <f t="shared" si="790"/>
        <v>Hyprev6_20201203_17_00</v>
      </c>
      <c r="I1569" s="69">
        <f t="shared" ref="I1569:N1569" si="876">I1568</f>
        <v>1</v>
      </c>
      <c r="J1569" s="76" t="str">
        <f t="shared" si="876"/>
        <v>Hypericum</v>
      </c>
      <c r="K1569" s="76" t="str">
        <f t="shared" si="876"/>
        <v>revolutum</v>
      </c>
      <c r="L1569" s="77">
        <f t="shared" si="876"/>
        <v>6</v>
      </c>
      <c r="M1569" s="77">
        <f t="shared" si="876"/>
        <v>1</v>
      </c>
      <c r="N1569" s="71">
        <f t="shared" si="876"/>
        <v>0</v>
      </c>
      <c r="O1569" s="44"/>
      <c r="P1569" s="45" t="str">
        <f t="shared" si="792"/>
        <v/>
      </c>
      <c r="Q1569" s="46" t="str">
        <f t="shared" si="793"/>
        <v/>
      </c>
      <c r="R1569" s="47" t="e">
        <f t="shared" si="794"/>
        <v>#VALUE!</v>
      </c>
      <c r="S1569" s="48" t="e">
        <f t="shared" si="844"/>
        <v>#VALUE!</v>
      </c>
      <c r="T1569" s="47" t="str">
        <f t="shared" si="796"/>
        <v/>
      </c>
      <c r="U1569" s="49"/>
      <c r="V1569" s="50"/>
      <c r="W1569" s="51" t="e">
        <f t="shared" si="797"/>
        <v>#VALUE!</v>
      </c>
      <c r="X1569" s="52"/>
      <c r="Y1569" s="52"/>
      <c r="Z1569" s="52"/>
      <c r="AA1569" s="47" t="e">
        <f>INDEX(VISITORS[INSECT ORDER], MATCH(X1569,VISITORS[NAME USED],0))</f>
        <v>#N/A</v>
      </c>
      <c r="AB1569" s="47" t="e">
        <f t="shared" si="798"/>
        <v>#N/A</v>
      </c>
      <c r="AC1569" s="53" t="e">
        <f t="shared" si="799"/>
        <v>#VALUE!</v>
      </c>
      <c r="AD1569" s="54" t="str">
        <f t="shared" si="800"/>
        <v/>
      </c>
      <c r="AE1569" s="54"/>
      <c r="AF1569" s="54"/>
      <c r="AG1569" s="55" t="str">
        <f t="shared" si="801"/>
        <v/>
      </c>
      <c r="AH1569" s="56" t="str">
        <f t="shared" si="802"/>
        <v/>
      </c>
      <c r="AI1569" s="55"/>
      <c r="AJ1569" s="56" t="str">
        <f t="shared" si="803"/>
        <v/>
      </c>
      <c r="AK1569" s="55"/>
      <c r="AL1569" s="56" t="str">
        <f t="shared" si="804"/>
        <v/>
      </c>
      <c r="AM1569" s="55"/>
      <c r="AN1569" s="56" t="str">
        <f t="shared" si="805"/>
        <v/>
      </c>
      <c r="AO1569" s="55"/>
      <c r="AP1569" s="56" t="str">
        <f t="shared" si="806"/>
        <v/>
      </c>
      <c r="AQ1569" s="55"/>
      <c r="AR1569" s="56" t="str">
        <f t="shared" si="807"/>
        <v/>
      </c>
      <c r="AS1569" s="57"/>
      <c r="AT1569" s="58"/>
      <c r="AU1569" s="58"/>
      <c r="AV1569" s="59"/>
      <c r="AW1569" s="60" t="str">
        <f t="shared" si="808"/>
        <v/>
      </c>
      <c r="AX1569" s="61" t="str">
        <f t="shared" si="809"/>
        <v/>
      </c>
      <c r="AY1569" s="60" t="str">
        <f t="shared" si="810"/>
        <v/>
      </c>
      <c r="AZ1569" s="61" t="str">
        <f t="shared" si="811"/>
        <v/>
      </c>
    </row>
    <row r="1570" spans="1:52" s="3" customFormat="1" ht="12" hidden="1" customHeight="1" x14ac:dyDescent="0.35">
      <c r="A1570" s="72">
        <f t="shared" si="859"/>
        <v>2020</v>
      </c>
      <c r="B1570" s="72" t="str">
        <f t="shared" si="787"/>
        <v>Dec</v>
      </c>
      <c r="C1570" s="73">
        <f t="shared" si="788"/>
        <v>3</v>
      </c>
      <c r="D1570" s="74">
        <f t="shared" si="789"/>
        <v>17</v>
      </c>
      <c r="E1570" s="75">
        <f t="shared" si="860"/>
        <v>1</v>
      </c>
      <c r="F1570" s="79"/>
      <c r="G1570" s="82"/>
      <c r="H1570" s="68" t="str">
        <f t="shared" si="790"/>
        <v>Hyprev6_20201203_17_00</v>
      </c>
      <c r="I1570" s="69">
        <f t="shared" ref="I1570:N1570" si="877">I1569</f>
        <v>1</v>
      </c>
      <c r="J1570" s="76" t="str">
        <f t="shared" si="877"/>
        <v>Hypericum</v>
      </c>
      <c r="K1570" s="76" t="str">
        <f t="shared" si="877"/>
        <v>revolutum</v>
      </c>
      <c r="L1570" s="77">
        <f t="shared" si="877"/>
        <v>6</v>
      </c>
      <c r="M1570" s="77">
        <f t="shared" si="877"/>
        <v>1</v>
      </c>
      <c r="N1570" s="71">
        <f t="shared" si="877"/>
        <v>0</v>
      </c>
      <c r="O1570" s="44"/>
      <c r="P1570" s="45" t="str">
        <f t="shared" si="792"/>
        <v/>
      </c>
      <c r="Q1570" s="46" t="str">
        <f t="shared" si="793"/>
        <v/>
      </c>
      <c r="R1570" s="47" t="e">
        <f t="shared" si="794"/>
        <v>#VALUE!</v>
      </c>
      <c r="S1570" s="48" t="e">
        <f t="shared" si="844"/>
        <v>#VALUE!</v>
      </c>
      <c r="T1570" s="47" t="str">
        <f t="shared" si="796"/>
        <v/>
      </c>
      <c r="U1570" s="49"/>
      <c r="V1570" s="50"/>
      <c r="W1570" s="51" t="e">
        <f t="shared" si="797"/>
        <v>#VALUE!</v>
      </c>
      <c r="X1570" s="52"/>
      <c r="Y1570" s="52"/>
      <c r="Z1570" s="52"/>
      <c r="AA1570" s="47" t="e">
        <f>INDEX(VISITORS[INSECT ORDER], MATCH(X1570,VISITORS[NAME USED],0))</f>
        <v>#N/A</v>
      </c>
      <c r="AB1570" s="47" t="e">
        <f t="shared" si="798"/>
        <v>#N/A</v>
      </c>
      <c r="AC1570" s="53" t="e">
        <f t="shared" si="799"/>
        <v>#VALUE!</v>
      </c>
      <c r="AD1570" s="54" t="str">
        <f t="shared" si="800"/>
        <v/>
      </c>
      <c r="AE1570" s="54"/>
      <c r="AF1570" s="54"/>
      <c r="AG1570" s="55" t="str">
        <f t="shared" si="801"/>
        <v/>
      </c>
      <c r="AH1570" s="56" t="str">
        <f t="shared" si="802"/>
        <v/>
      </c>
      <c r="AI1570" s="55"/>
      <c r="AJ1570" s="56" t="str">
        <f t="shared" si="803"/>
        <v/>
      </c>
      <c r="AK1570" s="55"/>
      <c r="AL1570" s="56" t="str">
        <f t="shared" si="804"/>
        <v/>
      </c>
      <c r="AM1570" s="55"/>
      <c r="AN1570" s="56" t="str">
        <f t="shared" si="805"/>
        <v/>
      </c>
      <c r="AO1570" s="55"/>
      <c r="AP1570" s="56" t="str">
        <f t="shared" si="806"/>
        <v/>
      </c>
      <c r="AQ1570" s="55"/>
      <c r="AR1570" s="56" t="str">
        <f t="shared" si="807"/>
        <v/>
      </c>
      <c r="AS1570" s="57"/>
      <c r="AT1570" s="58"/>
      <c r="AU1570" s="58"/>
      <c r="AV1570" s="59"/>
      <c r="AW1570" s="60" t="str">
        <f t="shared" si="808"/>
        <v/>
      </c>
      <c r="AX1570" s="61" t="str">
        <f t="shared" si="809"/>
        <v/>
      </c>
      <c r="AY1570" s="60" t="str">
        <f t="shared" si="810"/>
        <v/>
      </c>
      <c r="AZ1570" s="61" t="str">
        <f t="shared" si="811"/>
        <v/>
      </c>
    </row>
    <row r="1571" spans="1:52" s="3" customFormat="1" ht="12" hidden="1" customHeight="1" thickBot="1" x14ac:dyDescent="0.4">
      <c r="A1571" s="85">
        <f t="shared" si="859"/>
        <v>2020</v>
      </c>
      <c r="B1571" s="85" t="str">
        <f t="shared" ref="B1571:B1634" si="878">IF(C1570-C1571&gt;0, TEXT(DATE(2016,(MONTH(DATEVALUE(B1570&amp;"1"))+1),1),"mmm"), B1570)</f>
        <v>Dec</v>
      </c>
      <c r="C1571" s="86">
        <f t="shared" ref="C1571:C1634" si="879">IF(AND(D1571=0, E1571=0), IF(TEXT(C1570,"dd")=TEXT(EOMONTH(DATE(A1570,MONTH(DATEVALUE(B1570&amp;"1")),C1570),0), "dd"), 1, C1570+1), C1570)</f>
        <v>3</v>
      </c>
      <c r="D1571" s="87">
        <f t="shared" ref="D1571:D1634" si="880">IF(IF(E1570=59,D1570+1,D1570)=24,0,IF(E1570=59,D1570+1,D1570))</f>
        <v>17</v>
      </c>
      <c r="E1571" s="88">
        <f t="shared" si="860"/>
        <v>2</v>
      </c>
      <c r="F1571" s="89"/>
      <c r="G1571" s="90"/>
      <c r="H1571" s="68" t="str">
        <f t="shared" ref="H1571:H1634" si="881">IF(AND(OR(E1570=$G$3,E1570=$G$4,E1570=$G$5,E1570=$G$6,E1570=$G$7,E1570=$G$8),E1570&lt;&gt;RIGHT(H1570,2)),CONCATENATE(LEFT(J1571,3),LEFT(K1571,3),L1571,"_",A1571,TEXT(MONTH(DATEVALUE(B1571&amp;"1")),"00"),TEXT(C1571,"00"),"_",TEXT(D1571,"00"),"_",TEXT(E1570,"00")),IF(AND(OR(E1571=$G$3,E1571=$G$4,E1571=$G$5,E1571=$G$6,E1571=$G$7,E1571=$G$8),OR(F1571="",F1571&gt;$G$9-1)),CONCATENATE(LEFT(J1571,3),LEFT(K1571,3),L1571,"_",A1571,TEXT(MONTH(DATEVALUE(B1571&amp;"1")),"00"),TEXT(C1571,"00"),"_",TEXT(D1571,"00"),"_",TEXT(E1571,"00")),H1570))</f>
        <v>Hyprev6_20201203_17_00</v>
      </c>
      <c r="I1571" s="91">
        <f t="shared" ref="I1571:N1571" si="882">I1570</f>
        <v>1</v>
      </c>
      <c r="J1571" s="92" t="str">
        <f t="shared" si="882"/>
        <v>Hypericum</v>
      </c>
      <c r="K1571" s="92" t="str">
        <f t="shared" si="882"/>
        <v>revolutum</v>
      </c>
      <c r="L1571" s="93">
        <f t="shared" si="882"/>
        <v>6</v>
      </c>
      <c r="M1571" s="93">
        <f t="shared" si="882"/>
        <v>1</v>
      </c>
      <c r="N1571" s="94">
        <f t="shared" si="882"/>
        <v>0</v>
      </c>
      <c r="O1571" s="95"/>
      <c r="P1571" s="96" t="str">
        <f t="shared" ref="P1571:P1634" si="883">IF(F1571="","",1)</f>
        <v/>
      </c>
      <c r="Q1571" s="97" t="str">
        <f t="shared" ref="Q1571:Q1634" si="884">TEXT(IF(P1571=1,CONCATENATE($D1571,":",$E1571,":",(LEFT($F1571,2))),""),"hh:mm:ss")</f>
        <v/>
      </c>
      <c r="R1571" s="98" t="e">
        <f t="shared" ref="R1571:R1634" si="885">TEXT(Q1571-TIME(0,RIGHT($H1571,2),$G$9)+(Q1571&gt;TIME(0,RIGHT($H1571,2),$G$9)),"mm:ss")</f>
        <v>#VALUE!</v>
      </c>
      <c r="S1571" s="98" t="e">
        <f t="shared" si="844"/>
        <v>#VALUE!</v>
      </c>
      <c r="T1571" s="98" t="str">
        <f t="shared" ref="T1571:T1634" si="886">TEXT(IF(P1571=1,D1571,""),"00")</f>
        <v/>
      </c>
      <c r="U1571" s="99"/>
      <c r="V1571" s="100"/>
      <c r="W1571" s="101" t="e">
        <f t="shared" ref="W1571:W1634" si="887">IF(O1571=0,TEXT(TIME(T1571,U1571,V1571)-TIME(D1571,E1571,RIGHT(F1571,2))+TIME(0,LEFT(R1571,2),RIGHT(R1571,2)),"mm:ss"),TEXT(TIME(T1571,U1571,V1571)-TIME(D1571,E1571,RIGHT(F1571,2))+TIME(0,LEFT(R1571,2),RIGHT(R1571,2))-TIME(0,($G$10*O1571),0),"mm:ss"))</f>
        <v>#VALUE!</v>
      </c>
      <c r="X1571" s="102"/>
      <c r="Y1571" s="141"/>
      <c r="Z1571" s="141"/>
      <c r="AA1571" s="47" t="e">
        <f>INDEX(VISITORS[INSECT ORDER], MATCH(X1571,VISITORS[NAME USED],0))</f>
        <v>#N/A</v>
      </c>
      <c r="AB1571" s="98" t="e">
        <f t="shared" ref="AB1571:AB1634" si="888">IF(AA1571&lt;&gt;0,"NA","")</f>
        <v>#N/A</v>
      </c>
      <c r="AC1571" s="53" t="e">
        <f t="shared" ref="AC1571:AC1634" si="889">IF(SUM(AH1571,AJ1571,AL1571,AN1571,AP1571,AR1571)=S1571,,"")</f>
        <v>#VALUE!</v>
      </c>
      <c r="AD1571" s="103" t="str">
        <f t="shared" ref="AD1571:AD1634" si="890">IF(P1571=1,1,"")</f>
        <v/>
      </c>
      <c r="AE1571" s="103"/>
      <c r="AF1571" s="103"/>
      <c r="AG1571" s="104" t="str">
        <f t="shared" ref="AG1571:AG1634" si="891">IF(OR(X1571="Something small"),1,"")</f>
        <v/>
      </c>
      <c r="AH1571" s="105" t="str">
        <f t="shared" ref="AH1571:AH1634" si="892">IF(AG1571=1,$S1571,"")</f>
        <v/>
      </c>
      <c r="AI1571" s="104"/>
      <c r="AJ1571" s="105" t="str">
        <f t="shared" ref="AJ1571:AJ1634" si="893">IF(AI1571=1,$S1571,"")</f>
        <v/>
      </c>
      <c r="AK1571" s="104"/>
      <c r="AL1571" s="105" t="str">
        <f t="shared" ref="AL1571:AL1634" si="894">IF(AK1571=1,$S1571,"")</f>
        <v/>
      </c>
      <c r="AM1571" s="104"/>
      <c r="AN1571" s="105" t="str">
        <f t="shared" ref="AN1571:AN1634" si="895">IF(AM1571=1,$S1571,"")</f>
        <v/>
      </c>
      <c r="AO1571" s="104"/>
      <c r="AP1571" s="105" t="str">
        <f t="shared" ref="AP1571:AP1634" si="896">IF(AO1571=1,$S1571,"")</f>
        <v/>
      </c>
      <c r="AQ1571" s="104"/>
      <c r="AR1571" s="105" t="str">
        <f t="shared" ref="AR1571:AR1634" si="897">IF(AQ1571=1,$S1571,"")</f>
        <v/>
      </c>
      <c r="AS1571" s="106"/>
      <c r="AT1571" s="107"/>
      <c r="AU1571" s="107"/>
      <c r="AV1571" s="108"/>
      <c r="AW1571" s="109" t="str">
        <f t="shared" ref="AW1571:AW1634" si="898">IF(P1571=1,0,"")</f>
        <v/>
      </c>
      <c r="AX1571" s="110" t="str">
        <f t="shared" ref="AX1571:AX1634" si="899">IF(AW1571=1,AD1571,"")</f>
        <v/>
      </c>
      <c r="AY1571" s="109" t="str">
        <f t="shared" ref="AY1571:AY1634" si="900">IF(P1571=1,0,"")</f>
        <v/>
      </c>
      <c r="AZ1571" s="110" t="str">
        <f t="shared" ref="AZ1571:AZ1634" si="901">IF(AY1571=1,AD1571,"")</f>
        <v/>
      </c>
    </row>
    <row r="1572" spans="1:52" s="3" customFormat="1" ht="12" hidden="1" customHeight="1" x14ac:dyDescent="0.35">
      <c r="A1572" s="72">
        <f t="shared" si="859"/>
        <v>2020</v>
      </c>
      <c r="B1572" s="72" t="str">
        <f t="shared" si="878"/>
        <v>Dec</v>
      </c>
      <c r="C1572" s="73">
        <f t="shared" si="879"/>
        <v>3</v>
      </c>
      <c r="D1572" s="74">
        <f t="shared" si="880"/>
        <v>17</v>
      </c>
      <c r="E1572" s="75">
        <f t="shared" si="860"/>
        <v>3</v>
      </c>
      <c r="F1572" s="79"/>
      <c r="G1572" s="82"/>
      <c r="H1572" s="68" t="str">
        <f t="shared" si="881"/>
        <v>Hyprev6_20201203_17_00</v>
      </c>
      <c r="I1572" s="69">
        <f t="shared" ref="I1572:N1572" si="902">I1571</f>
        <v>1</v>
      </c>
      <c r="J1572" s="76" t="str">
        <f t="shared" si="902"/>
        <v>Hypericum</v>
      </c>
      <c r="K1572" s="76" t="str">
        <f t="shared" si="902"/>
        <v>revolutum</v>
      </c>
      <c r="L1572" s="77">
        <f t="shared" si="902"/>
        <v>6</v>
      </c>
      <c r="M1572" s="77">
        <f t="shared" si="902"/>
        <v>1</v>
      </c>
      <c r="N1572" s="71">
        <f t="shared" si="902"/>
        <v>0</v>
      </c>
      <c r="O1572" s="44"/>
      <c r="P1572" s="45" t="str">
        <f t="shared" si="883"/>
        <v/>
      </c>
      <c r="Q1572" s="46" t="str">
        <f t="shared" si="884"/>
        <v/>
      </c>
      <c r="R1572" s="47" t="e">
        <f t="shared" si="885"/>
        <v>#VALUE!</v>
      </c>
      <c r="S1572" s="48" t="e">
        <f t="shared" si="844"/>
        <v>#VALUE!</v>
      </c>
      <c r="T1572" s="47" t="str">
        <f t="shared" si="886"/>
        <v/>
      </c>
      <c r="U1572" s="49"/>
      <c r="V1572" s="50"/>
      <c r="W1572" s="51" t="e">
        <f t="shared" si="887"/>
        <v>#VALUE!</v>
      </c>
      <c r="X1572" s="52"/>
      <c r="Y1572" s="52"/>
      <c r="Z1572" s="52"/>
      <c r="AA1572" s="47" t="e">
        <f>INDEX(VISITORS[INSECT ORDER], MATCH(X1572,VISITORS[NAME USED],0))</f>
        <v>#N/A</v>
      </c>
      <c r="AB1572" s="47" t="e">
        <f t="shared" si="888"/>
        <v>#N/A</v>
      </c>
      <c r="AC1572" s="53" t="e">
        <f t="shared" si="889"/>
        <v>#VALUE!</v>
      </c>
      <c r="AD1572" s="54" t="str">
        <f t="shared" si="890"/>
        <v/>
      </c>
      <c r="AE1572" s="54"/>
      <c r="AF1572" s="54"/>
      <c r="AG1572" s="55" t="str">
        <f t="shared" si="891"/>
        <v/>
      </c>
      <c r="AH1572" s="56" t="str">
        <f t="shared" si="892"/>
        <v/>
      </c>
      <c r="AI1572" s="55"/>
      <c r="AJ1572" s="56" t="str">
        <f t="shared" si="893"/>
        <v/>
      </c>
      <c r="AK1572" s="55"/>
      <c r="AL1572" s="56" t="str">
        <f t="shared" si="894"/>
        <v/>
      </c>
      <c r="AM1572" s="55"/>
      <c r="AN1572" s="56" t="str">
        <f t="shared" si="895"/>
        <v/>
      </c>
      <c r="AO1572" s="55"/>
      <c r="AP1572" s="56" t="str">
        <f t="shared" si="896"/>
        <v/>
      </c>
      <c r="AQ1572" s="55"/>
      <c r="AR1572" s="56" t="str">
        <f t="shared" si="897"/>
        <v/>
      </c>
      <c r="AS1572" s="57"/>
      <c r="AT1572" s="58"/>
      <c r="AU1572" s="58"/>
      <c r="AV1572" s="59"/>
      <c r="AW1572" s="60" t="str">
        <f t="shared" si="898"/>
        <v/>
      </c>
      <c r="AX1572" s="61" t="str">
        <f t="shared" si="899"/>
        <v/>
      </c>
      <c r="AY1572" s="60" t="str">
        <f t="shared" si="900"/>
        <v/>
      </c>
      <c r="AZ1572" s="61" t="str">
        <f t="shared" si="901"/>
        <v/>
      </c>
    </row>
    <row r="1573" spans="1:52" s="3" customFormat="1" ht="12" hidden="1" customHeight="1" x14ac:dyDescent="0.35">
      <c r="A1573" s="72">
        <f t="shared" si="859"/>
        <v>2020</v>
      </c>
      <c r="B1573" s="72" t="str">
        <f t="shared" si="878"/>
        <v>Dec</v>
      </c>
      <c r="C1573" s="73">
        <f t="shared" si="879"/>
        <v>3</v>
      </c>
      <c r="D1573" s="74">
        <f t="shared" si="880"/>
        <v>17</v>
      </c>
      <c r="E1573" s="75">
        <f t="shared" si="860"/>
        <v>4</v>
      </c>
      <c r="F1573" s="79"/>
      <c r="G1573" s="82"/>
      <c r="H1573" s="68" t="str">
        <f t="shared" si="881"/>
        <v>Hyprev6_20201203_17_00</v>
      </c>
      <c r="I1573" s="69">
        <f t="shared" ref="I1573:N1573" si="903">I1572</f>
        <v>1</v>
      </c>
      <c r="J1573" s="76" t="str">
        <f t="shared" si="903"/>
        <v>Hypericum</v>
      </c>
      <c r="K1573" s="76" t="str">
        <f t="shared" si="903"/>
        <v>revolutum</v>
      </c>
      <c r="L1573" s="77">
        <f t="shared" si="903"/>
        <v>6</v>
      </c>
      <c r="M1573" s="77">
        <f t="shared" si="903"/>
        <v>1</v>
      </c>
      <c r="N1573" s="71">
        <f t="shared" si="903"/>
        <v>0</v>
      </c>
      <c r="O1573" s="44"/>
      <c r="P1573" s="45" t="str">
        <f t="shared" si="883"/>
        <v/>
      </c>
      <c r="Q1573" s="46" t="str">
        <f t="shared" si="884"/>
        <v/>
      </c>
      <c r="R1573" s="47" t="e">
        <f t="shared" si="885"/>
        <v>#VALUE!</v>
      </c>
      <c r="S1573" s="48" t="e">
        <f t="shared" si="844"/>
        <v>#VALUE!</v>
      </c>
      <c r="T1573" s="47" t="str">
        <f t="shared" si="886"/>
        <v/>
      </c>
      <c r="U1573" s="49"/>
      <c r="V1573" s="50"/>
      <c r="W1573" s="51" t="e">
        <f t="shared" si="887"/>
        <v>#VALUE!</v>
      </c>
      <c r="X1573" s="52"/>
      <c r="Y1573" s="52"/>
      <c r="Z1573" s="52"/>
      <c r="AA1573" s="47" t="e">
        <f>INDEX(VISITORS[INSECT ORDER], MATCH(X1573,VISITORS[NAME USED],0))</f>
        <v>#N/A</v>
      </c>
      <c r="AB1573" s="47" t="e">
        <f t="shared" si="888"/>
        <v>#N/A</v>
      </c>
      <c r="AC1573" s="53" t="e">
        <f t="shared" si="889"/>
        <v>#VALUE!</v>
      </c>
      <c r="AD1573" s="54" t="str">
        <f t="shared" si="890"/>
        <v/>
      </c>
      <c r="AE1573" s="54"/>
      <c r="AF1573" s="54"/>
      <c r="AG1573" s="55" t="str">
        <f t="shared" si="891"/>
        <v/>
      </c>
      <c r="AH1573" s="56" t="str">
        <f t="shared" si="892"/>
        <v/>
      </c>
      <c r="AI1573" s="55"/>
      <c r="AJ1573" s="56" t="str">
        <f t="shared" si="893"/>
        <v/>
      </c>
      <c r="AK1573" s="55"/>
      <c r="AL1573" s="56" t="str">
        <f t="shared" si="894"/>
        <v/>
      </c>
      <c r="AM1573" s="55"/>
      <c r="AN1573" s="56" t="str">
        <f t="shared" si="895"/>
        <v/>
      </c>
      <c r="AO1573" s="55"/>
      <c r="AP1573" s="56" t="str">
        <f t="shared" si="896"/>
        <v/>
      </c>
      <c r="AQ1573" s="55"/>
      <c r="AR1573" s="56" t="str">
        <f t="shared" si="897"/>
        <v/>
      </c>
      <c r="AS1573" s="57"/>
      <c r="AT1573" s="58"/>
      <c r="AU1573" s="58"/>
      <c r="AV1573" s="59"/>
      <c r="AW1573" s="60" t="str">
        <f t="shared" si="898"/>
        <v/>
      </c>
      <c r="AX1573" s="61" t="str">
        <f t="shared" si="899"/>
        <v/>
      </c>
      <c r="AY1573" s="60" t="str">
        <f t="shared" si="900"/>
        <v/>
      </c>
      <c r="AZ1573" s="61" t="str">
        <f t="shared" si="901"/>
        <v/>
      </c>
    </row>
    <row r="1574" spans="1:52" s="3" customFormat="1" ht="12" hidden="1" customHeight="1" thickBot="1" x14ac:dyDescent="0.4">
      <c r="A1574" s="85">
        <f t="shared" si="859"/>
        <v>2020</v>
      </c>
      <c r="B1574" s="85" t="str">
        <f t="shared" si="878"/>
        <v>Dec</v>
      </c>
      <c r="C1574" s="86">
        <f t="shared" si="879"/>
        <v>3</v>
      </c>
      <c r="D1574" s="87">
        <f t="shared" si="880"/>
        <v>17</v>
      </c>
      <c r="E1574" s="88">
        <f t="shared" si="860"/>
        <v>5</v>
      </c>
      <c r="F1574" s="89"/>
      <c r="G1574" s="90"/>
      <c r="H1574" s="68" t="str">
        <f t="shared" si="881"/>
        <v>Hyprev6_20201203_17_00</v>
      </c>
      <c r="I1574" s="91">
        <f t="shared" ref="I1574:N1574" si="904">I1573</f>
        <v>1</v>
      </c>
      <c r="J1574" s="92" t="str">
        <f t="shared" si="904"/>
        <v>Hypericum</v>
      </c>
      <c r="K1574" s="92" t="str">
        <f t="shared" si="904"/>
        <v>revolutum</v>
      </c>
      <c r="L1574" s="93">
        <f t="shared" si="904"/>
        <v>6</v>
      </c>
      <c r="M1574" s="93">
        <f t="shared" si="904"/>
        <v>1</v>
      </c>
      <c r="N1574" s="94">
        <f t="shared" si="904"/>
        <v>0</v>
      </c>
      <c r="O1574" s="95"/>
      <c r="P1574" s="96" t="str">
        <f t="shared" si="883"/>
        <v/>
      </c>
      <c r="Q1574" s="97" t="str">
        <f t="shared" si="884"/>
        <v/>
      </c>
      <c r="R1574" s="98" t="e">
        <f t="shared" si="885"/>
        <v>#VALUE!</v>
      </c>
      <c r="S1574" s="98" t="e">
        <f t="shared" si="844"/>
        <v>#VALUE!</v>
      </c>
      <c r="T1574" s="98" t="str">
        <f t="shared" si="886"/>
        <v/>
      </c>
      <c r="U1574" s="99"/>
      <c r="V1574" s="100"/>
      <c r="W1574" s="101" t="e">
        <f t="shared" si="887"/>
        <v>#VALUE!</v>
      </c>
      <c r="X1574" s="102"/>
      <c r="Y1574" s="141"/>
      <c r="Z1574" s="141"/>
      <c r="AA1574" s="47" t="e">
        <f>INDEX(VISITORS[INSECT ORDER], MATCH(X1574,VISITORS[NAME USED],0))</f>
        <v>#N/A</v>
      </c>
      <c r="AB1574" s="98" t="e">
        <f t="shared" si="888"/>
        <v>#N/A</v>
      </c>
      <c r="AC1574" s="53" t="e">
        <f t="shared" si="889"/>
        <v>#VALUE!</v>
      </c>
      <c r="AD1574" s="103" t="str">
        <f t="shared" si="890"/>
        <v/>
      </c>
      <c r="AE1574" s="103"/>
      <c r="AF1574" s="103"/>
      <c r="AG1574" s="104" t="str">
        <f t="shared" si="891"/>
        <v/>
      </c>
      <c r="AH1574" s="105" t="str">
        <f t="shared" si="892"/>
        <v/>
      </c>
      <c r="AI1574" s="104"/>
      <c r="AJ1574" s="105" t="str">
        <f t="shared" si="893"/>
        <v/>
      </c>
      <c r="AK1574" s="104"/>
      <c r="AL1574" s="105" t="str">
        <f t="shared" si="894"/>
        <v/>
      </c>
      <c r="AM1574" s="104"/>
      <c r="AN1574" s="105" t="str">
        <f t="shared" si="895"/>
        <v/>
      </c>
      <c r="AO1574" s="104"/>
      <c r="AP1574" s="105" t="str">
        <f t="shared" si="896"/>
        <v/>
      </c>
      <c r="AQ1574" s="104"/>
      <c r="AR1574" s="105" t="str">
        <f t="shared" si="897"/>
        <v/>
      </c>
      <c r="AS1574" s="106"/>
      <c r="AT1574" s="107"/>
      <c r="AU1574" s="107"/>
      <c r="AV1574" s="108"/>
      <c r="AW1574" s="109" t="str">
        <f t="shared" si="898"/>
        <v/>
      </c>
      <c r="AX1574" s="110" t="str">
        <f t="shared" si="899"/>
        <v/>
      </c>
      <c r="AY1574" s="109" t="str">
        <f t="shared" si="900"/>
        <v/>
      </c>
      <c r="AZ1574" s="110" t="str">
        <f t="shared" si="901"/>
        <v/>
      </c>
    </row>
    <row r="1575" spans="1:52" s="3" customFormat="1" ht="12" hidden="1" customHeight="1" x14ac:dyDescent="0.35">
      <c r="A1575" s="72">
        <f t="shared" si="859"/>
        <v>2020</v>
      </c>
      <c r="B1575" s="72" t="str">
        <f t="shared" si="878"/>
        <v>Dec</v>
      </c>
      <c r="C1575" s="73">
        <f t="shared" si="879"/>
        <v>3</v>
      </c>
      <c r="D1575" s="74">
        <f t="shared" si="880"/>
        <v>17</v>
      </c>
      <c r="E1575" s="75">
        <f t="shared" si="860"/>
        <v>6</v>
      </c>
      <c r="F1575" s="79"/>
      <c r="G1575" s="82"/>
      <c r="H1575" s="68" t="str">
        <f t="shared" si="881"/>
        <v>Hyprev6_20201203_17_00</v>
      </c>
      <c r="I1575" s="69">
        <f t="shared" ref="I1575:N1575" si="905">I1574</f>
        <v>1</v>
      </c>
      <c r="J1575" s="76" t="str">
        <f t="shared" si="905"/>
        <v>Hypericum</v>
      </c>
      <c r="K1575" s="76" t="str">
        <f t="shared" si="905"/>
        <v>revolutum</v>
      </c>
      <c r="L1575" s="77">
        <f t="shared" si="905"/>
        <v>6</v>
      </c>
      <c r="M1575" s="77">
        <f t="shared" si="905"/>
        <v>1</v>
      </c>
      <c r="N1575" s="71">
        <f t="shared" si="905"/>
        <v>0</v>
      </c>
      <c r="O1575" s="44"/>
      <c r="P1575" s="45" t="str">
        <f t="shared" si="883"/>
        <v/>
      </c>
      <c r="Q1575" s="46" t="str">
        <f t="shared" si="884"/>
        <v/>
      </c>
      <c r="R1575" s="47" t="e">
        <f t="shared" si="885"/>
        <v>#VALUE!</v>
      </c>
      <c r="S1575" s="48" t="e">
        <f t="shared" si="844"/>
        <v>#VALUE!</v>
      </c>
      <c r="T1575" s="47" t="str">
        <f t="shared" si="886"/>
        <v/>
      </c>
      <c r="U1575" s="49"/>
      <c r="V1575" s="50"/>
      <c r="W1575" s="51" t="e">
        <f t="shared" si="887"/>
        <v>#VALUE!</v>
      </c>
      <c r="X1575" s="52"/>
      <c r="Y1575" s="52"/>
      <c r="Z1575" s="52"/>
      <c r="AA1575" s="47" t="e">
        <f>INDEX(VISITORS[INSECT ORDER], MATCH(X1575,VISITORS[NAME USED],0))</f>
        <v>#N/A</v>
      </c>
      <c r="AB1575" s="47" t="e">
        <f t="shared" si="888"/>
        <v>#N/A</v>
      </c>
      <c r="AC1575" s="53" t="e">
        <f t="shared" si="889"/>
        <v>#VALUE!</v>
      </c>
      <c r="AD1575" s="54" t="str">
        <f t="shared" si="890"/>
        <v/>
      </c>
      <c r="AE1575" s="54"/>
      <c r="AF1575" s="54"/>
      <c r="AG1575" s="55" t="str">
        <f t="shared" si="891"/>
        <v/>
      </c>
      <c r="AH1575" s="56" t="str">
        <f t="shared" si="892"/>
        <v/>
      </c>
      <c r="AI1575" s="55"/>
      <c r="AJ1575" s="56" t="str">
        <f t="shared" si="893"/>
        <v/>
      </c>
      <c r="AK1575" s="55"/>
      <c r="AL1575" s="56" t="str">
        <f t="shared" si="894"/>
        <v/>
      </c>
      <c r="AM1575" s="55"/>
      <c r="AN1575" s="56" t="str">
        <f t="shared" si="895"/>
        <v/>
      </c>
      <c r="AO1575" s="55"/>
      <c r="AP1575" s="56" t="str">
        <f t="shared" si="896"/>
        <v/>
      </c>
      <c r="AQ1575" s="55"/>
      <c r="AR1575" s="56" t="str">
        <f t="shared" si="897"/>
        <v/>
      </c>
      <c r="AS1575" s="57"/>
      <c r="AT1575" s="58"/>
      <c r="AU1575" s="58"/>
      <c r="AV1575" s="59"/>
      <c r="AW1575" s="60" t="str">
        <f t="shared" si="898"/>
        <v/>
      </c>
      <c r="AX1575" s="61" t="str">
        <f t="shared" si="899"/>
        <v/>
      </c>
      <c r="AY1575" s="60" t="str">
        <f t="shared" si="900"/>
        <v/>
      </c>
      <c r="AZ1575" s="61" t="str">
        <f t="shared" si="901"/>
        <v/>
      </c>
    </row>
    <row r="1576" spans="1:52" s="3" customFormat="1" ht="12" hidden="1" customHeight="1" x14ac:dyDescent="0.35">
      <c r="A1576" s="72">
        <f t="shared" si="859"/>
        <v>2020</v>
      </c>
      <c r="B1576" s="72" t="str">
        <f t="shared" si="878"/>
        <v>Dec</v>
      </c>
      <c r="C1576" s="73">
        <f t="shared" si="879"/>
        <v>3</v>
      </c>
      <c r="D1576" s="74">
        <f t="shared" si="880"/>
        <v>17</v>
      </c>
      <c r="E1576" s="75">
        <f t="shared" si="860"/>
        <v>7</v>
      </c>
      <c r="F1576" s="79"/>
      <c r="G1576" s="82"/>
      <c r="H1576" s="68" t="str">
        <f t="shared" si="881"/>
        <v>Hyprev6_20201203_17_00</v>
      </c>
      <c r="I1576" s="69">
        <f t="shared" ref="I1576:N1576" si="906">I1575</f>
        <v>1</v>
      </c>
      <c r="J1576" s="76" t="str">
        <f t="shared" si="906"/>
        <v>Hypericum</v>
      </c>
      <c r="K1576" s="76" t="str">
        <f t="shared" si="906"/>
        <v>revolutum</v>
      </c>
      <c r="L1576" s="77">
        <f t="shared" si="906"/>
        <v>6</v>
      </c>
      <c r="M1576" s="77">
        <f t="shared" si="906"/>
        <v>1</v>
      </c>
      <c r="N1576" s="71">
        <f t="shared" si="906"/>
        <v>0</v>
      </c>
      <c r="O1576" s="44"/>
      <c r="P1576" s="45" t="str">
        <f t="shared" si="883"/>
        <v/>
      </c>
      <c r="Q1576" s="46" t="str">
        <f t="shared" si="884"/>
        <v/>
      </c>
      <c r="R1576" s="47" t="e">
        <f t="shared" si="885"/>
        <v>#VALUE!</v>
      </c>
      <c r="S1576" s="48" t="e">
        <f t="shared" si="844"/>
        <v>#VALUE!</v>
      </c>
      <c r="T1576" s="47" t="str">
        <f t="shared" si="886"/>
        <v/>
      </c>
      <c r="U1576" s="49"/>
      <c r="V1576" s="50"/>
      <c r="W1576" s="51" t="e">
        <f t="shared" si="887"/>
        <v>#VALUE!</v>
      </c>
      <c r="X1576" s="52"/>
      <c r="Y1576" s="52"/>
      <c r="Z1576" s="52"/>
      <c r="AA1576" s="47" t="e">
        <f>INDEX(VISITORS[INSECT ORDER], MATCH(X1576,VISITORS[NAME USED],0))</f>
        <v>#N/A</v>
      </c>
      <c r="AB1576" s="47" t="e">
        <f t="shared" si="888"/>
        <v>#N/A</v>
      </c>
      <c r="AC1576" s="53" t="e">
        <f t="shared" si="889"/>
        <v>#VALUE!</v>
      </c>
      <c r="AD1576" s="54" t="str">
        <f t="shared" si="890"/>
        <v/>
      </c>
      <c r="AE1576" s="54"/>
      <c r="AF1576" s="54"/>
      <c r="AG1576" s="55" t="str">
        <f t="shared" si="891"/>
        <v/>
      </c>
      <c r="AH1576" s="56" t="str">
        <f t="shared" si="892"/>
        <v/>
      </c>
      <c r="AI1576" s="55"/>
      <c r="AJ1576" s="56" t="str">
        <f t="shared" si="893"/>
        <v/>
      </c>
      <c r="AK1576" s="55"/>
      <c r="AL1576" s="56" t="str">
        <f t="shared" si="894"/>
        <v/>
      </c>
      <c r="AM1576" s="55"/>
      <c r="AN1576" s="56" t="str">
        <f t="shared" si="895"/>
        <v/>
      </c>
      <c r="AO1576" s="55"/>
      <c r="AP1576" s="56" t="str">
        <f t="shared" si="896"/>
        <v/>
      </c>
      <c r="AQ1576" s="55"/>
      <c r="AR1576" s="56" t="str">
        <f t="shared" si="897"/>
        <v/>
      </c>
      <c r="AS1576" s="57"/>
      <c r="AT1576" s="58"/>
      <c r="AU1576" s="58"/>
      <c r="AV1576" s="59"/>
      <c r="AW1576" s="60" t="str">
        <f t="shared" si="898"/>
        <v/>
      </c>
      <c r="AX1576" s="61" t="str">
        <f t="shared" si="899"/>
        <v/>
      </c>
      <c r="AY1576" s="60" t="str">
        <f t="shared" si="900"/>
        <v/>
      </c>
      <c r="AZ1576" s="61" t="str">
        <f t="shared" si="901"/>
        <v/>
      </c>
    </row>
    <row r="1577" spans="1:52" s="3" customFormat="1" ht="12" hidden="1" customHeight="1" thickBot="1" x14ac:dyDescent="0.4">
      <c r="A1577" s="85">
        <f t="shared" si="859"/>
        <v>2020</v>
      </c>
      <c r="B1577" s="85" t="str">
        <f t="shared" si="878"/>
        <v>Dec</v>
      </c>
      <c r="C1577" s="86">
        <f t="shared" si="879"/>
        <v>3</v>
      </c>
      <c r="D1577" s="87">
        <f t="shared" si="880"/>
        <v>17</v>
      </c>
      <c r="E1577" s="88">
        <f t="shared" si="860"/>
        <v>8</v>
      </c>
      <c r="F1577" s="89"/>
      <c r="G1577" s="90"/>
      <c r="H1577" s="68" t="str">
        <f t="shared" si="881"/>
        <v>Hyprev6_20201203_17_00</v>
      </c>
      <c r="I1577" s="91">
        <f t="shared" ref="I1577:N1577" si="907">I1576</f>
        <v>1</v>
      </c>
      <c r="J1577" s="92" t="str">
        <f t="shared" si="907"/>
        <v>Hypericum</v>
      </c>
      <c r="K1577" s="92" t="str">
        <f t="shared" si="907"/>
        <v>revolutum</v>
      </c>
      <c r="L1577" s="93">
        <f t="shared" si="907"/>
        <v>6</v>
      </c>
      <c r="M1577" s="93">
        <f t="shared" si="907"/>
        <v>1</v>
      </c>
      <c r="N1577" s="94">
        <f t="shared" si="907"/>
        <v>0</v>
      </c>
      <c r="O1577" s="95"/>
      <c r="P1577" s="96" t="str">
        <f t="shared" si="883"/>
        <v/>
      </c>
      <c r="Q1577" s="97" t="str">
        <f t="shared" si="884"/>
        <v/>
      </c>
      <c r="R1577" s="98" t="e">
        <f t="shared" si="885"/>
        <v>#VALUE!</v>
      </c>
      <c r="S1577" s="98" t="e">
        <f t="shared" si="844"/>
        <v>#VALUE!</v>
      </c>
      <c r="T1577" s="98" t="str">
        <f t="shared" si="886"/>
        <v/>
      </c>
      <c r="U1577" s="99"/>
      <c r="V1577" s="100"/>
      <c r="W1577" s="101" t="e">
        <f t="shared" si="887"/>
        <v>#VALUE!</v>
      </c>
      <c r="X1577" s="102"/>
      <c r="Y1577" s="141"/>
      <c r="Z1577" s="141"/>
      <c r="AA1577" s="47" t="e">
        <f>INDEX(VISITORS[INSECT ORDER], MATCH(X1577,VISITORS[NAME USED],0))</f>
        <v>#N/A</v>
      </c>
      <c r="AB1577" s="98" t="e">
        <f t="shared" si="888"/>
        <v>#N/A</v>
      </c>
      <c r="AC1577" s="53" t="e">
        <f t="shared" si="889"/>
        <v>#VALUE!</v>
      </c>
      <c r="AD1577" s="103" t="str">
        <f t="shared" si="890"/>
        <v/>
      </c>
      <c r="AE1577" s="103"/>
      <c r="AF1577" s="103"/>
      <c r="AG1577" s="104" t="str">
        <f t="shared" si="891"/>
        <v/>
      </c>
      <c r="AH1577" s="105" t="str">
        <f t="shared" si="892"/>
        <v/>
      </c>
      <c r="AI1577" s="104"/>
      <c r="AJ1577" s="105" t="str">
        <f t="shared" si="893"/>
        <v/>
      </c>
      <c r="AK1577" s="104"/>
      <c r="AL1577" s="105" t="str">
        <f t="shared" si="894"/>
        <v/>
      </c>
      <c r="AM1577" s="104"/>
      <c r="AN1577" s="105" t="str">
        <f t="shared" si="895"/>
        <v/>
      </c>
      <c r="AO1577" s="104"/>
      <c r="AP1577" s="105" t="str">
        <f t="shared" si="896"/>
        <v/>
      </c>
      <c r="AQ1577" s="104"/>
      <c r="AR1577" s="105" t="str">
        <f t="shared" si="897"/>
        <v/>
      </c>
      <c r="AS1577" s="106"/>
      <c r="AT1577" s="107"/>
      <c r="AU1577" s="107"/>
      <c r="AV1577" s="108"/>
      <c r="AW1577" s="109" t="str">
        <f t="shared" si="898"/>
        <v/>
      </c>
      <c r="AX1577" s="110" t="str">
        <f t="shared" si="899"/>
        <v/>
      </c>
      <c r="AY1577" s="109" t="str">
        <f t="shared" si="900"/>
        <v/>
      </c>
      <c r="AZ1577" s="110" t="str">
        <f t="shared" si="901"/>
        <v/>
      </c>
    </row>
    <row r="1578" spans="1:52" s="3" customFormat="1" ht="12" hidden="1" customHeight="1" x14ac:dyDescent="0.35">
      <c r="A1578" s="72">
        <f t="shared" si="859"/>
        <v>2020</v>
      </c>
      <c r="B1578" s="72" t="str">
        <f t="shared" si="878"/>
        <v>Dec</v>
      </c>
      <c r="C1578" s="73">
        <f t="shared" si="879"/>
        <v>3</v>
      </c>
      <c r="D1578" s="74">
        <f t="shared" si="880"/>
        <v>17</v>
      </c>
      <c r="E1578" s="75">
        <f t="shared" si="860"/>
        <v>9</v>
      </c>
      <c r="F1578" s="79"/>
      <c r="G1578" s="82"/>
      <c r="H1578" s="68" t="str">
        <f t="shared" si="881"/>
        <v>Hyprev6_20201203_17_00</v>
      </c>
      <c r="I1578" s="69">
        <f t="shared" ref="I1578:N1578" si="908">I1577</f>
        <v>1</v>
      </c>
      <c r="J1578" s="76" t="str">
        <f t="shared" si="908"/>
        <v>Hypericum</v>
      </c>
      <c r="K1578" s="76" t="str">
        <f t="shared" si="908"/>
        <v>revolutum</v>
      </c>
      <c r="L1578" s="77">
        <f t="shared" si="908"/>
        <v>6</v>
      </c>
      <c r="M1578" s="77">
        <f t="shared" si="908"/>
        <v>1</v>
      </c>
      <c r="N1578" s="71">
        <f t="shared" si="908"/>
        <v>0</v>
      </c>
      <c r="O1578" s="44"/>
      <c r="P1578" s="45" t="str">
        <f t="shared" si="883"/>
        <v/>
      </c>
      <c r="Q1578" s="46" t="str">
        <f t="shared" si="884"/>
        <v/>
      </c>
      <c r="R1578" s="47" t="e">
        <f t="shared" si="885"/>
        <v>#VALUE!</v>
      </c>
      <c r="S1578" s="48" t="e">
        <f t="shared" si="844"/>
        <v>#VALUE!</v>
      </c>
      <c r="T1578" s="47" t="str">
        <f t="shared" si="886"/>
        <v/>
      </c>
      <c r="U1578" s="49"/>
      <c r="V1578" s="50"/>
      <c r="W1578" s="51" t="e">
        <f t="shared" si="887"/>
        <v>#VALUE!</v>
      </c>
      <c r="X1578" s="52"/>
      <c r="Y1578" s="52"/>
      <c r="Z1578" s="52"/>
      <c r="AA1578" s="47" t="e">
        <f>INDEX(VISITORS[INSECT ORDER], MATCH(X1578,VISITORS[NAME USED],0))</f>
        <v>#N/A</v>
      </c>
      <c r="AB1578" s="47" t="e">
        <f t="shared" si="888"/>
        <v>#N/A</v>
      </c>
      <c r="AC1578" s="53" t="e">
        <f t="shared" si="889"/>
        <v>#VALUE!</v>
      </c>
      <c r="AD1578" s="54" t="str">
        <f t="shared" si="890"/>
        <v/>
      </c>
      <c r="AE1578" s="54"/>
      <c r="AF1578" s="54"/>
      <c r="AG1578" s="55" t="str">
        <f t="shared" si="891"/>
        <v/>
      </c>
      <c r="AH1578" s="56" t="str">
        <f t="shared" si="892"/>
        <v/>
      </c>
      <c r="AI1578" s="55"/>
      <c r="AJ1578" s="56" t="str">
        <f t="shared" si="893"/>
        <v/>
      </c>
      <c r="AK1578" s="55"/>
      <c r="AL1578" s="56" t="str">
        <f t="shared" si="894"/>
        <v/>
      </c>
      <c r="AM1578" s="55"/>
      <c r="AN1578" s="56" t="str">
        <f t="shared" si="895"/>
        <v/>
      </c>
      <c r="AO1578" s="55"/>
      <c r="AP1578" s="56" t="str">
        <f t="shared" si="896"/>
        <v/>
      </c>
      <c r="AQ1578" s="55"/>
      <c r="AR1578" s="56" t="str">
        <f t="shared" si="897"/>
        <v/>
      </c>
      <c r="AS1578" s="57"/>
      <c r="AT1578" s="58"/>
      <c r="AU1578" s="58"/>
      <c r="AV1578" s="59"/>
      <c r="AW1578" s="60" t="str">
        <f t="shared" si="898"/>
        <v/>
      </c>
      <c r="AX1578" s="61" t="str">
        <f t="shared" si="899"/>
        <v/>
      </c>
      <c r="AY1578" s="60" t="str">
        <f t="shared" si="900"/>
        <v/>
      </c>
      <c r="AZ1578" s="61" t="str">
        <f t="shared" si="901"/>
        <v/>
      </c>
    </row>
    <row r="1579" spans="1:52" s="3" customFormat="1" ht="12" hidden="1" customHeight="1" x14ac:dyDescent="0.35">
      <c r="A1579" s="72">
        <f t="shared" si="859"/>
        <v>2020</v>
      </c>
      <c r="B1579" s="72" t="str">
        <f t="shared" si="878"/>
        <v>Dec</v>
      </c>
      <c r="C1579" s="73">
        <f t="shared" si="879"/>
        <v>3</v>
      </c>
      <c r="D1579" s="74">
        <f t="shared" si="880"/>
        <v>17</v>
      </c>
      <c r="E1579" s="75">
        <f t="shared" si="860"/>
        <v>10</v>
      </c>
      <c r="F1579" s="79"/>
      <c r="G1579" s="82"/>
      <c r="H1579" s="68" t="str">
        <f t="shared" si="881"/>
        <v>Hyprev6_20201203_17_00</v>
      </c>
      <c r="I1579" s="69">
        <f t="shared" ref="I1579:N1579" si="909">I1578</f>
        <v>1</v>
      </c>
      <c r="J1579" s="76" t="str">
        <f t="shared" si="909"/>
        <v>Hypericum</v>
      </c>
      <c r="K1579" s="76" t="str">
        <f t="shared" si="909"/>
        <v>revolutum</v>
      </c>
      <c r="L1579" s="77">
        <f t="shared" si="909"/>
        <v>6</v>
      </c>
      <c r="M1579" s="77">
        <f t="shared" si="909"/>
        <v>1</v>
      </c>
      <c r="N1579" s="71">
        <f t="shared" si="909"/>
        <v>0</v>
      </c>
      <c r="O1579" s="44"/>
      <c r="P1579" s="45" t="str">
        <f t="shared" si="883"/>
        <v/>
      </c>
      <c r="Q1579" s="46" t="str">
        <f t="shared" si="884"/>
        <v/>
      </c>
      <c r="R1579" s="47" t="e">
        <f t="shared" si="885"/>
        <v>#VALUE!</v>
      </c>
      <c r="S1579" s="48" t="e">
        <f t="shared" si="844"/>
        <v>#VALUE!</v>
      </c>
      <c r="T1579" s="47" t="str">
        <f t="shared" si="886"/>
        <v/>
      </c>
      <c r="U1579" s="49"/>
      <c r="V1579" s="50"/>
      <c r="W1579" s="51" t="e">
        <f t="shared" si="887"/>
        <v>#VALUE!</v>
      </c>
      <c r="X1579" s="52"/>
      <c r="Y1579" s="52"/>
      <c r="Z1579" s="52"/>
      <c r="AA1579" s="47" t="e">
        <f>INDEX(VISITORS[INSECT ORDER], MATCH(X1579,VISITORS[NAME USED],0))</f>
        <v>#N/A</v>
      </c>
      <c r="AB1579" s="47" t="e">
        <f t="shared" si="888"/>
        <v>#N/A</v>
      </c>
      <c r="AC1579" s="53" t="e">
        <f t="shared" si="889"/>
        <v>#VALUE!</v>
      </c>
      <c r="AD1579" s="54" t="str">
        <f t="shared" si="890"/>
        <v/>
      </c>
      <c r="AE1579" s="54"/>
      <c r="AF1579" s="54"/>
      <c r="AG1579" s="55" t="str">
        <f t="shared" si="891"/>
        <v/>
      </c>
      <c r="AH1579" s="56" t="str">
        <f t="shared" si="892"/>
        <v/>
      </c>
      <c r="AI1579" s="55"/>
      <c r="AJ1579" s="56" t="str">
        <f t="shared" si="893"/>
        <v/>
      </c>
      <c r="AK1579" s="55"/>
      <c r="AL1579" s="56" t="str">
        <f t="shared" si="894"/>
        <v/>
      </c>
      <c r="AM1579" s="55"/>
      <c r="AN1579" s="56" t="str">
        <f t="shared" si="895"/>
        <v/>
      </c>
      <c r="AO1579" s="55"/>
      <c r="AP1579" s="56" t="str">
        <f t="shared" si="896"/>
        <v/>
      </c>
      <c r="AQ1579" s="55"/>
      <c r="AR1579" s="56" t="str">
        <f t="shared" si="897"/>
        <v/>
      </c>
      <c r="AS1579" s="57"/>
      <c r="AT1579" s="58"/>
      <c r="AU1579" s="58"/>
      <c r="AV1579" s="59"/>
      <c r="AW1579" s="60" t="str">
        <f t="shared" si="898"/>
        <v/>
      </c>
      <c r="AX1579" s="61" t="str">
        <f t="shared" si="899"/>
        <v/>
      </c>
      <c r="AY1579" s="60" t="str">
        <f t="shared" si="900"/>
        <v/>
      </c>
      <c r="AZ1579" s="61" t="str">
        <f t="shared" si="901"/>
        <v/>
      </c>
    </row>
    <row r="1580" spans="1:52" s="3" customFormat="1" ht="12" hidden="1" customHeight="1" thickBot="1" x14ac:dyDescent="0.4">
      <c r="A1580" s="85">
        <f t="shared" si="859"/>
        <v>2020</v>
      </c>
      <c r="B1580" s="85" t="str">
        <f t="shared" si="878"/>
        <v>Dec</v>
      </c>
      <c r="C1580" s="86">
        <f t="shared" si="879"/>
        <v>3</v>
      </c>
      <c r="D1580" s="87">
        <f t="shared" si="880"/>
        <v>17</v>
      </c>
      <c r="E1580" s="88">
        <f t="shared" si="860"/>
        <v>11</v>
      </c>
      <c r="F1580" s="89"/>
      <c r="G1580" s="90"/>
      <c r="H1580" s="68" t="str">
        <f t="shared" si="881"/>
        <v>Hyprev6_20201203_17_00</v>
      </c>
      <c r="I1580" s="91">
        <f t="shared" ref="I1580:N1580" si="910">I1579</f>
        <v>1</v>
      </c>
      <c r="J1580" s="92" t="str">
        <f t="shared" si="910"/>
        <v>Hypericum</v>
      </c>
      <c r="K1580" s="92" t="str">
        <f t="shared" si="910"/>
        <v>revolutum</v>
      </c>
      <c r="L1580" s="93">
        <f t="shared" si="910"/>
        <v>6</v>
      </c>
      <c r="M1580" s="93">
        <f t="shared" si="910"/>
        <v>1</v>
      </c>
      <c r="N1580" s="94">
        <f t="shared" si="910"/>
        <v>0</v>
      </c>
      <c r="O1580" s="95"/>
      <c r="P1580" s="96" t="str">
        <f t="shared" si="883"/>
        <v/>
      </c>
      <c r="Q1580" s="97" t="str">
        <f t="shared" si="884"/>
        <v/>
      </c>
      <c r="R1580" s="98" t="e">
        <f t="shared" si="885"/>
        <v>#VALUE!</v>
      </c>
      <c r="S1580" s="98" t="e">
        <f t="shared" si="844"/>
        <v>#VALUE!</v>
      </c>
      <c r="T1580" s="98" t="str">
        <f t="shared" si="886"/>
        <v/>
      </c>
      <c r="U1580" s="99"/>
      <c r="V1580" s="100"/>
      <c r="W1580" s="101" t="e">
        <f t="shared" si="887"/>
        <v>#VALUE!</v>
      </c>
      <c r="X1580" s="102"/>
      <c r="Y1580" s="141"/>
      <c r="Z1580" s="141"/>
      <c r="AA1580" s="47" t="e">
        <f>INDEX(VISITORS[INSECT ORDER], MATCH(X1580,VISITORS[NAME USED],0))</f>
        <v>#N/A</v>
      </c>
      <c r="AB1580" s="98" t="e">
        <f t="shared" si="888"/>
        <v>#N/A</v>
      </c>
      <c r="AC1580" s="53" t="e">
        <f t="shared" si="889"/>
        <v>#VALUE!</v>
      </c>
      <c r="AD1580" s="103" t="str">
        <f t="shared" si="890"/>
        <v/>
      </c>
      <c r="AE1580" s="103"/>
      <c r="AF1580" s="103"/>
      <c r="AG1580" s="104" t="str">
        <f t="shared" si="891"/>
        <v/>
      </c>
      <c r="AH1580" s="105" t="str">
        <f t="shared" si="892"/>
        <v/>
      </c>
      <c r="AI1580" s="104"/>
      <c r="AJ1580" s="105" t="str">
        <f t="shared" si="893"/>
        <v/>
      </c>
      <c r="AK1580" s="104"/>
      <c r="AL1580" s="105" t="str">
        <f t="shared" si="894"/>
        <v/>
      </c>
      <c r="AM1580" s="104"/>
      <c r="AN1580" s="105" t="str">
        <f t="shared" si="895"/>
        <v/>
      </c>
      <c r="AO1580" s="104"/>
      <c r="AP1580" s="105" t="str">
        <f t="shared" si="896"/>
        <v/>
      </c>
      <c r="AQ1580" s="104"/>
      <c r="AR1580" s="105" t="str">
        <f t="shared" si="897"/>
        <v/>
      </c>
      <c r="AS1580" s="106"/>
      <c r="AT1580" s="107"/>
      <c r="AU1580" s="107"/>
      <c r="AV1580" s="108"/>
      <c r="AW1580" s="109" t="str">
        <f t="shared" si="898"/>
        <v/>
      </c>
      <c r="AX1580" s="110" t="str">
        <f t="shared" si="899"/>
        <v/>
      </c>
      <c r="AY1580" s="109" t="str">
        <f t="shared" si="900"/>
        <v/>
      </c>
      <c r="AZ1580" s="110" t="str">
        <f t="shared" si="901"/>
        <v/>
      </c>
    </row>
    <row r="1581" spans="1:52" s="3" customFormat="1" ht="12" hidden="1" customHeight="1" x14ac:dyDescent="0.35">
      <c r="A1581" s="72">
        <f t="shared" si="859"/>
        <v>2020</v>
      </c>
      <c r="B1581" s="72" t="str">
        <f t="shared" si="878"/>
        <v>Dec</v>
      </c>
      <c r="C1581" s="73">
        <f t="shared" si="879"/>
        <v>3</v>
      </c>
      <c r="D1581" s="74">
        <f t="shared" si="880"/>
        <v>17</v>
      </c>
      <c r="E1581" s="75">
        <f t="shared" si="860"/>
        <v>12</v>
      </c>
      <c r="F1581" s="79"/>
      <c r="G1581" s="82"/>
      <c r="H1581" s="68" t="str">
        <f t="shared" si="881"/>
        <v>Hyprev6_20201203_17_00</v>
      </c>
      <c r="I1581" s="69">
        <f t="shared" ref="I1581:N1581" si="911">I1580</f>
        <v>1</v>
      </c>
      <c r="J1581" s="76" t="str">
        <f t="shared" si="911"/>
        <v>Hypericum</v>
      </c>
      <c r="K1581" s="76" t="str">
        <f t="shared" si="911"/>
        <v>revolutum</v>
      </c>
      <c r="L1581" s="77">
        <f t="shared" si="911"/>
        <v>6</v>
      </c>
      <c r="M1581" s="77">
        <f t="shared" si="911"/>
        <v>1</v>
      </c>
      <c r="N1581" s="71">
        <f t="shared" si="911"/>
        <v>0</v>
      </c>
      <c r="O1581" s="44"/>
      <c r="P1581" s="45" t="str">
        <f t="shared" si="883"/>
        <v/>
      </c>
      <c r="Q1581" s="46" t="str">
        <f t="shared" si="884"/>
        <v/>
      </c>
      <c r="R1581" s="47" t="e">
        <f t="shared" si="885"/>
        <v>#VALUE!</v>
      </c>
      <c r="S1581" s="48" t="e">
        <f t="shared" si="844"/>
        <v>#VALUE!</v>
      </c>
      <c r="T1581" s="47" t="str">
        <f t="shared" si="886"/>
        <v/>
      </c>
      <c r="U1581" s="49"/>
      <c r="V1581" s="50"/>
      <c r="W1581" s="51" t="e">
        <f t="shared" si="887"/>
        <v>#VALUE!</v>
      </c>
      <c r="X1581" s="52"/>
      <c r="Y1581" s="52"/>
      <c r="Z1581" s="52"/>
      <c r="AA1581" s="47" t="e">
        <f>INDEX(VISITORS[INSECT ORDER], MATCH(X1581,VISITORS[NAME USED],0))</f>
        <v>#N/A</v>
      </c>
      <c r="AB1581" s="47" t="e">
        <f t="shared" si="888"/>
        <v>#N/A</v>
      </c>
      <c r="AC1581" s="53" t="e">
        <f t="shared" si="889"/>
        <v>#VALUE!</v>
      </c>
      <c r="AD1581" s="54" t="str">
        <f t="shared" si="890"/>
        <v/>
      </c>
      <c r="AE1581" s="54"/>
      <c r="AF1581" s="54"/>
      <c r="AG1581" s="55" t="str">
        <f t="shared" si="891"/>
        <v/>
      </c>
      <c r="AH1581" s="56" t="str">
        <f t="shared" si="892"/>
        <v/>
      </c>
      <c r="AI1581" s="55"/>
      <c r="AJ1581" s="56" t="str">
        <f t="shared" si="893"/>
        <v/>
      </c>
      <c r="AK1581" s="55"/>
      <c r="AL1581" s="56" t="str">
        <f t="shared" si="894"/>
        <v/>
      </c>
      <c r="AM1581" s="55"/>
      <c r="AN1581" s="56" t="str">
        <f t="shared" si="895"/>
        <v/>
      </c>
      <c r="AO1581" s="55"/>
      <c r="AP1581" s="56" t="str">
        <f t="shared" si="896"/>
        <v/>
      </c>
      <c r="AQ1581" s="55"/>
      <c r="AR1581" s="56" t="str">
        <f t="shared" si="897"/>
        <v/>
      </c>
      <c r="AS1581" s="57"/>
      <c r="AT1581" s="58"/>
      <c r="AU1581" s="58"/>
      <c r="AV1581" s="59"/>
      <c r="AW1581" s="60" t="str">
        <f t="shared" si="898"/>
        <v/>
      </c>
      <c r="AX1581" s="61" t="str">
        <f t="shared" si="899"/>
        <v/>
      </c>
      <c r="AY1581" s="60" t="str">
        <f t="shared" si="900"/>
        <v/>
      </c>
      <c r="AZ1581" s="61" t="str">
        <f t="shared" si="901"/>
        <v/>
      </c>
    </row>
    <row r="1582" spans="1:52" s="3" customFormat="1" ht="12" hidden="1" customHeight="1" x14ac:dyDescent="0.35">
      <c r="A1582" s="72">
        <f t="shared" si="859"/>
        <v>2020</v>
      </c>
      <c r="B1582" s="72" t="str">
        <f t="shared" si="878"/>
        <v>Dec</v>
      </c>
      <c r="C1582" s="73">
        <f t="shared" si="879"/>
        <v>3</v>
      </c>
      <c r="D1582" s="74">
        <f t="shared" si="880"/>
        <v>17</v>
      </c>
      <c r="E1582" s="75">
        <f t="shared" si="860"/>
        <v>13</v>
      </c>
      <c r="F1582" s="79"/>
      <c r="G1582" s="82"/>
      <c r="H1582" s="68" t="str">
        <f t="shared" si="881"/>
        <v>Hyprev6_20201203_17_00</v>
      </c>
      <c r="I1582" s="69">
        <f t="shared" ref="I1582:N1582" si="912">I1581</f>
        <v>1</v>
      </c>
      <c r="J1582" s="76" t="str">
        <f t="shared" si="912"/>
        <v>Hypericum</v>
      </c>
      <c r="K1582" s="76" t="str">
        <f t="shared" si="912"/>
        <v>revolutum</v>
      </c>
      <c r="L1582" s="77">
        <f t="shared" si="912"/>
        <v>6</v>
      </c>
      <c r="M1582" s="77">
        <f t="shared" si="912"/>
        <v>1</v>
      </c>
      <c r="N1582" s="71">
        <f t="shared" si="912"/>
        <v>0</v>
      </c>
      <c r="O1582" s="44"/>
      <c r="P1582" s="45" t="str">
        <f t="shared" si="883"/>
        <v/>
      </c>
      <c r="Q1582" s="46" t="str">
        <f t="shared" si="884"/>
        <v/>
      </c>
      <c r="R1582" s="47" t="e">
        <f t="shared" si="885"/>
        <v>#VALUE!</v>
      </c>
      <c r="S1582" s="48" t="e">
        <f t="shared" si="844"/>
        <v>#VALUE!</v>
      </c>
      <c r="T1582" s="47" t="str">
        <f t="shared" si="886"/>
        <v/>
      </c>
      <c r="U1582" s="49"/>
      <c r="V1582" s="50"/>
      <c r="W1582" s="51" t="e">
        <f t="shared" si="887"/>
        <v>#VALUE!</v>
      </c>
      <c r="X1582" s="52"/>
      <c r="Y1582" s="52"/>
      <c r="Z1582" s="52"/>
      <c r="AA1582" s="47" t="e">
        <f>INDEX(VISITORS[INSECT ORDER], MATCH(X1582,VISITORS[NAME USED],0))</f>
        <v>#N/A</v>
      </c>
      <c r="AB1582" s="47" t="e">
        <f t="shared" si="888"/>
        <v>#N/A</v>
      </c>
      <c r="AC1582" s="53" t="e">
        <f t="shared" si="889"/>
        <v>#VALUE!</v>
      </c>
      <c r="AD1582" s="54" t="str">
        <f t="shared" si="890"/>
        <v/>
      </c>
      <c r="AE1582" s="54"/>
      <c r="AF1582" s="54"/>
      <c r="AG1582" s="55" t="str">
        <f t="shared" si="891"/>
        <v/>
      </c>
      <c r="AH1582" s="56" t="str">
        <f t="shared" si="892"/>
        <v/>
      </c>
      <c r="AI1582" s="55"/>
      <c r="AJ1582" s="56" t="str">
        <f t="shared" si="893"/>
        <v/>
      </c>
      <c r="AK1582" s="55"/>
      <c r="AL1582" s="56" t="str">
        <f t="shared" si="894"/>
        <v/>
      </c>
      <c r="AM1582" s="55"/>
      <c r="AN1582" s="56" t="str">
        <f t="shared" si="895"/>
        <v/>
      </c>
      <c r="AO1582" s="55"/>
      <c r="AP1582" s="56" t="str">
        <f t="shared" si="896"/>
        <v/>
      </c>
      <c r="AQ1582" s="55"/>
      <c r="AR1582" s="56" t="str">
        <f t="shared" si="897"/>
        <v/>
      </c>
      <c r="AS1582" s="57"/>
      <c r="AT1582" s="58"/>
      <c r="AU1582" s="58"/>
      <c r="AV1582" s="59"/>
      <c r="AW1582" s="60" t="str">
        <f t="shared" si="898"/>
        <v/>
      </c>
      <c r="AX1582" s="61" t="str">
        <f t="shared" si="899"/>
        <v/>
      </c>
      <c r="AY1582" s="60" t="str">
        <f t="shared" si="900"/>
        <v/>
      </c>
      <c r="AZ1582" s="61" t="str">
        <f t="shared" si="901"/>
        <v/>
      </c>
    </row>
    <row r="1583" spans="1:52" s="3" customFormat="1" ht="12" hidden="1" customHeight="1" x14ac:dyDescent="0.35">
      <c r="A1583" s="72">
        <f t="shared" si="859"/>
        <v>2020</v>
      </c>
      <c r="B1583" s="72" t="str">
        <f t="shared" si="878"/>
        <v>Dec</v>
      </c>
      <c r="C1583" s="73">
        <f t="shared" si="879"/>
        <v>3</v>
      </c>
      <c r="D1583" s="74">
        <f t="shared" si="880"/>
        <v>17</v>
      </c>
      <c r="E1583" s="75">
        <f t="shared" si="860"/>
        <v>14</v>
      </c>
      <c r="F1583" s="79"/>
      <c r="G1583" s="82"/>
      <c r="H1583" s="68" t="str">
        <f t="shared" si="881"/>
        <v>Hyprev6_20201203_17_00</v>
      </c>
      <c r="I1583" s="69">
        <f t="shared" ref="I1583:N1583" si="913">I1582</f>
        <v>1</v>
      </c>
      <c r="J1583" s="76" t="str">
        <f t="shared" si="913"/>
        <v>Hypericum</v>
      </c>
      <c r="K1583" s="76" t="str">
        <f t="shared" si="913"/>
        <v>revolutum</v>
      </c>
      <c r="L1583" s="77">
        <f t="shared" si="913"/>
        <v>6</v>
      </c>
      <c r="M1583" s="77">
        <f t="shared" si="913"/>
        <v>1</v>
      </c>
      <c r="N1583" s="71">
        <f t="shared" si="913"/>
        <v>0</v>
      </c>
      <c r="O1583" s="44"/>
      <c r="P1583" s="45" t="str">
        <f t="shared" si="883"/>
        <v/>
      </c>
      <c r="Q1583" s="46" t="str">
        <f t="shared" si="884"/>
        <v/>
      </c>
      <c r="R1583" s="47" t="e">
        <f t="shared" si="885"/>
        <v>#VALUE!</v>
      </c>
      <c r="S1583" s="48" t="e">
        <f t="shared" si="844"/>
        <v>#VALUE!</v>
      </c>
      <c r="T1583" s="47" t="str">
        <f t="shared" si="886"/>
        <v/>
      </c>
      <c r="U1583" s="49"/>
      <c r="V1583" s="50"/>
      <c r="W1583" s="51" t="e">
        <f t="shared" si="887"/>
        <v>#VALUE!</v>
      </c>
      <c r="X1583" s="52"/>
      <c r="Y1583" s="52"/>
      <c r="Z1583" s="52"/>
      <c r="AA1583" s="47" t="e">
        <f>INDEX(VISITORS[INSECT ORDER], MATCH(X1583,VISITORS[NAME USED],0))</f>
        <v>#N/A</v>
      </c>
      <c r="AB1583" s="47" t="e">
        <f t="shared" si="888"/>
        <v>#N/A</v>
      </c>
      <c r="AC1583" s="53" t="e">
        <f t="shared" si="889"/>
        <v>#VALUE!</v>
      </c>
      <c r="AD1583" s="54" t="str">
        <f t="shared" si="890"/>
        <v/>
      </c>
      <c r="AE1583" s="54"/>
      <c r="AF1583" s="54"/>
      <c r="AG1583" s="55" t="str">
        <f t="shared" si="891"/>
        <v/>
      </c>
      <c r="AH1583" s="56" t="str">
        <f t="shared" si="892"/>
        <v/>
      </c>
      <c r="AI1583" s="55"/>
      <c r="AJ1583" s="56" t="str">
        <f t="shared" si="893"/>
        <v/>
      </c>
      <c r="AK1583" s="55"/>
      <c r="AL1583" s="56" t="str">
        <f t="shared" si="894"/>
        <v/>
      </c>
      <c r="AM1583" s="55"/>
      <c r="AN1583" s="56" t="str">
        <f t="shared" si="895"/>
        <v/>
      </c>
      <c r="AO1583" s="55"/>
      <c r="AP1583" s="56" t="str">
        <f t="shared" si="896"/>
        <v/>
      </c>
      <c r="AQ1583" s="55"/>
      <c r="AR1583" s="56" t="str">
        <f t="shared" si="897"/>
        <v/>
      </c>
      <c r="AS1583" s="57"/>
      <c r="AT1583" s="58"/>
      <c r="AU1583" s="58"/>
      <c r="AV1583" s="59"/>
      <c r="AW1583" s="60" t="str">
        <f t="shared" si="898"/>
        <v/>
      </c>
      <c r="AX1583" s="61" t="str">
        <f t="shared" si="899"/>
        <v/>
      </c>
      <c r="AY1583" s="60" t="str">
        <f t="shared" si="900"/>
        <v/>
      </c>
      <c r="AZ1583" s="61" t="str">
        <f t="shared" si="901"/>
        <v/>
      </c>
    </row>
    <row r="1584" spans="1:52" s="3" customFormat="1" ht="12" hidden="1" customHeight="1" x14ac:dyDescent="0.35">
      <c r="A1584" s="72">
        <f t="shared" si="859"/>
        <v>2020</v>
      </c>
      <c r="B1584" s="72" t="str">
        <f t="shared" si="878"/>
        <v>Dec</v>
      </c>
      <c r="C1584" s="73">
        <f t="shared" si="879"/>
        <v>3</v>
      </c>
      <c r="D1584" s="74">
        <f t="shared" si="880"/>
        <v>17</v>
      </c>
      <c r="E1584" s="75">
        <f t="shared" si="860"/>
        <v>15</v>
      </c>
      <c r="F1584" s="79"/>
      <c r="G1584" s="82"/>
      <c r="H1584" s="68" t="str">
        <f t="shared" si="881"/>
        <v>Hyprev6_20201203_17_00</v>
      </c>
      <c r="I1584" s="69">
        <f t="shared" ref="I1584:N1584" si="914">I1583</f>
        <v>1</v>
      </c>
      <c r="J1584" s="76" t="str">
        <f t="shared" si="914"/>
        <v>Hypericum</v>
      </c>
      <c r="K1584" s="76" t="str">
        <f t="shared" si="914"/>
        <v>revolutum</v>
      </c>
      <c r="L1584" s="77">
        <f t="shared" si="914"/>
        <v>6</v>
      </c>
      <c r="M1584" s="77">
        <f t="shared" si="914"/>
        <v>1</v>
      </c>
      <c r="N1584" s="71">
        <f t="shared" si="914"/>
        <v>0</v>
      </c>
      <c r="O1584" s="44"/>
      <c r="P1584" s="45" t="str">
        <f t="shared" si="883"/>
        <v/>
      </c>
      <c r="Q1584" s="46" t="str">
        <f t="shared" si="884"/>
        <v/>
      </c>
      <c r="R1584" s="47" t="e">
        <f t="shared" si="885"/>
        <v>#VALUE!</v>
      </c>
      <c r="S1584" s="48" t="e">
        <f t="shared" si="844"/>
        <v>#VALUE!</v>
      </c>
      <c r="T1584" s="47" t="str">
        <f t="shared" si="886"/>
        <v/>
      </c>
      <c r="U1584" s="49"/>
      <c r="V1584" s="50"/>
      <c r="W1584" s="51" t="e">
        <f t="shared" si="887"/>
        <v>#VALUE!</v>
      </c>
      <c r="X1584" s="52"/>
      <c r="Y1584" s="52"/>
      <c r="Z1584" s="52"/>
      <c r="AA1584" s="47" t="e">
        <f>INDEX(VISITORS[INSECT ORDER], MATCH(X1584,VISITORS[NAME USED],0))</f>
        <v>#N/A</v>
      </c>
      <c r="AB1584" s="47" t="e">
        <f t="shared" si="888"/>
        <v>#N/A</v>
      </c>
      <c r="AC1584" s="53" t="e">
        <f t="shared" si="889"/>
        <v>#VALUE!</v>
      </c>
      <c r="AD1584" s="54" t="str">
        <f t="shared" si="890"/>
        <v/>
      </c>
      <c r="AE1584" s="54"/>
      <c r="AF1584" s="54"/>
      <c r="AG1584" s="55" t="str">
        <f t="shared" si="891"/>
        <v/>
      </c>
      <c r="AH1584" s="56" t="str">
        <f t="shared" si="892"/>
        <v/>
      </c>
      <c r="AI1584" s="55"/>
      <c r="AJ1584" s="56" t="str">
        <f t="shared" si="893"/>
        <v/>
      </c>
      <c r="AK1584" s="55"/>
      <c r="AL1584" s="56" t="str">
        <f t="shared" si="894"/>
        <v/>
      </c>
      <c r="AM1584" s="55"/>
      <c r="AN1584" s="56" t="str">
        <f t="shared" si="895"/>
        <v/>
      </c>
      <c r="AO1584" s="55"/>
      <c r="AP1584" s="56" t="str">
        <f t="shared" si="896"/>
        <v/>
      </c>
      <c r="AQ1584" s="55"/>
      <c r="AR1584" s="56" t="str">
        <f t="shared" si="897"/>
        <v/>
      </c>
      <c r="AS1584" s="57"/>
      <c r="AT1584" s="58"/>
      <c r="AU1584" s="58"/>
      <c r="AV1584" s="59"/>
      <c r="AW1584" s="60" t="str">
        <f t="shared" si="898"/>
        <v/>
      </c>
      <c r="AX1584" s="61" t="str">
        <f t="shared" si="899"/>
        <v/>
      </c>
      <c r="AY1584" s="60" t="str">
        <f t="shared" si="900"/>
        <v/>
      </c>
      <c r="AZ1584" s="61" t="str">
        <f t="shared" si="901"/>
        <v/>
      </c>
    </row>
    <row r="1585" spans="1:52" s="3" customFormat="1" ht="12" hidden="1" customHeight="1" thickBot="1" x14ac:dyDescent="0.4">
      <c r="A1585" s="85">
        <f t="shared" si="859"/>
        <v>2020</v>
      </c>
      <c r="B1585" s="85" t="str">
        <f t="shared" si="878"/>
        <v>Dec</v>
      </c>
      <c r="C1585" s="86">
        <f t="shared" si="879"/>
        <v>3</v>
      </c>
      <c r="D1585" s="87">
        <f t="shared" si="880"/>
        <v>17</v>
      </c>
      <c r="E1585" s="88">
        <f t="shared" si="860"/>
        <v>16</v>
      </c>
      <c r="F1585" s="89"/>
      <c r="G1585" s="90"/>
      <c r="H1585" s="68" t="str">
        <f t="shared" si="881"/>
        <v>Hyprev6_20201203_17_00</v>
      </c>
      <c r="I1585" s="91">
        <f t="shared" ref="I1585:N1585" si="915">I1584</f>
        <v>1</v>
      </c>
      <c r="J1585" s="92" t="str">
        <f t="shared" si="915"/>
        <v>Hypericum</v>
      </c>
      <c r="K1585" s="92" t="str">
        <f t="shared" si="915"/>
        <v>revolutum</v>
      </c>
      <c r="L1585" s="93">
        <f t="shared" si="915"/>
        <v>6</v>
      </c>
      <c r="M1585" s="93">
        <f t="shared" si="915"/>
        <v>1</v>
      </c>
      <c r="N1585" s="94">
        <f t="shared" si="915"/>
        <v>0</v>
      </c>
      <c r="O1585" s="95"/>
      <c r="P1585" s="96" t="str">
        <f t="shared" si="883"/>
        <v/>
      </c>
      <c r="Q1585" s="97" t="str">
        <f t="shared" si="884"/>
        <v/>
      </c>
      <c r="R1585" s="98" t="e">
        <f t="shared" si="885"/>
        <v>#VALUE!</v>
      </c>
      <c r="S1585" s="98" t="e">
        <f>IF(T1585&lt;D1585, (T1585*3600+U1585*60+V1585)+((23*3600+59*60+60)-(D1585*3600+E1585*60+LEFT(F1585,2))), (T1585*3600+U1585*60+V1585)-(D1585*3600+E1585*60+LEFT(F1585,2)))</f>
        <v>#VALUE!</v>
      </c>
      <c r="T1585" s="98" t="str">
        <f t="shared" si="886"/>
        <v/>
      </c>
      <c r="U1585" s="99"/>
      <c r="V1585" s="100"/>
      <c r="W1585" s="101" t="e">
        <f t="shared" si="887"/>
        <v>#VALUE!</v>
      </c>
      <c r="X1585" s="102"/>
      <c r="Y1585" s="141"/>
      <c r="Z1585" s="141"/>
      <c r="AA1585" s="47" t="e">
        <f>INDEX(VISITORS[INSECT ORDER], MATCH(X1585,VISITORS[NAME USED],0))</f>
        <v>#N/A</v>
      </c>
      <c r="AB1585" s="98" t="e">
        <f t="shared" si="888"/>
        <v>#N/A</v>
      </c>
      <c r="AC1585" s="53" t="e">
        <f t="shared" si="889"/>
        <v>#VALUE!</v>
      </c>
      <c r="AD1585" s="103" t="str">
        <f t="shared" si="890"/>
        <v/>
      </c>
      <c r="AE1585" s="103"/>
      <c r="AF1585" s="103"/>
      <c r="AG1585" s="104" t="str">
        <f t="shared" si="891"/>
        <v/>
      </c>
      <c r="AH1585" s="105" t="str">
        <f t="shared" si="892"/>
        <v/>
      </c>
      <c r="AI1585" s="104"/>
      <c r="AJ1585" s="105" t="str">
        <f t="shared" si="893"/>
        <v/>
      </c>
      <c r="AK1585" s="104"/>
      <c r="AL1585" s="105" t="str">
        <f t="shared" si="894"/>
        <v/>
      </c>
      <c r="AM1585" s="104"/>
      <c r="AN1585" s="105" t="str">
        <f t="shared" si="895"/>
        <v/>
      </c>
      <c r="AO1585" s="104"/>
      <c r="AP1585" s="105" t="str">
        <f t="shared" si="896"/>
        <v/>
      </c>
      <c r="AQ1585" s="104"/>
      <c r="AR1585" s="105" t="str">
        <f t="shared" si="897"/>
        <v/>
      </c>
      <c r="AS1585" s="106"/>
      <c r="AT1585" s="107"/>
      <c r="AU1585" s="107"/>
      <c r="AV1585" s="108"/>
      <c r="AW1585" s="109" t="str">
        <f t="shared" si="898"/>
        <v/>
      </c>
      <c r="AX1585" s="110" t="str">
        <f t="shared" si="899"/>
        <v/>
      </c>
      <c r="AY1585" s="109" t="str">
        <f t="shared" si="900"/>
        <v/>
      </c>
      <c r="AZ1585" s="110" t="str">
        <f t="shared" si="901"/>
        <v/>
      </c>
    </row>
    <row r="1586" spans="1:52" s="3" customFormat="1" ht="12" hidden="1" customHeight="1" x14ac:dyDescent="0.35">
      <c r="A1586" s="72">
        <f t="shared" si="859"/>
        <v>2020</v>
      </c>
      <c r="B1586" s="72" t="str">
        <f t="shared" si="878"/>
        <v>Dec</v>
      </c>
      <c r="C1586" s="73">
        <f t="shared" si="879"/>
        <v>3</v>
      </c>
      <c r="D1586" s="74">
        <f t="shared" si="880"/>
        <v>17</v>
      </c>
      <c r="E1586" s="75">
        <f t="shared" si="860"/>
        <v>17</v>
      </c>
      <c r="F1586" s="79"/>
      <c r="G1586" s="82"/>
      <c r="H1586" s="68" t="str">
        <f t="shared" si="881"/>
        <v>Hyprev6_20201203_17_00</v>
      </c>
      <c r="I1586" s="69">
        <f t="shared" ref="I1586:N1586" si="916">I1585</f>
        <v>1</v>
      </c>
      <c r="J1586" s="76" t="str">
        <f t="shared" si="916"/>
        <v>Hypericum</v>
      </c>
      <c r="K1586" s="76" t="str">
        <f t="shared" si="916"/>
        <v>revolutum</v>
      </c>
      <c r="L1586" s="77">
        <f t="shared" si="916"/>
        <v>6</v>
      </c>
      <c r="M1586" s="77">
        <f t="shared" si="916"/>
        <v>1</v>
      </c>
      <c r="N1586" s="71">
        <f t="shared" si="916"/>
        <v>0</v>
      </c>
      <c r="O1586" s="44"/>
      <c r="P1586" s="45" t="str">
        <f t="shared" si="883"/>
        <v/>
      </c>
      <c r="Q1586" s="46" t="str">
        <f t="shared" si="884"/>
        <v/>
      </c>
      <c r="R1586" s="47" t="e">
        <f t="shared" si="885"/>
        <v>#VALUE!</v>
      </c>
      <c r="S1586" s="48" t="e">
        <f t="shared" ref="S1586:S1647" si="917">IF(T1586&lt;D1586, (T1586*3600+U1586*60+V1586)+((23*3600+59*60+60)-(D1586*3600+E1586*60+LEFT(F1586,2))), (T1586*3600+U1586*60+V1586)-(D1586*3600+E1586*60+LEFT(F1586,2)))</f>
        <v>#VALUE!</v>
      </c>
      <c r="T1586" s="47" t="str">
        <f t="shared" si="886"/>
        <v/>
      </c>
      <c r="U1586" s="49"/>
      <c r="V1586" s="50"/>
      <c r="W1586" s="51" t="e">
        <f t="shared" si="887"/>
        <v>#VALUE!</v>
      </c>
      <c r="X1586" s="52"/>
      <c r="Y1586" s="52"/>
      <c r="Z1586" s="52"/>
      <c r="AA1586" s="47" t="e">
        <f>INDEX(VISITORS[INSECT ORDER], MATCH(X1586,VISITORS[NAME USED],0))</f>
        <v>#N/A</v>
      </c>
      <c r="AB1586" s="47" t="e">
        <f t="shared" si="888"/>
        <v>#N/A</v>
      </c>
      <c r="AC1586" s="53" t="e">
        <f t="shared" si="889"/>
        <v>#VALUE!</v>
      </c>
      <c r="AD1586" s="54" t="str">
        <f t="shared" si="890"/>
        <v/>
      </c>
      <c r="AE1586" s="54"/>
      <c r="AF1586" s="54"/>
      <c r="AG1586" s="55" t="str">
        <f t="shared" si="891"/>
        <v/>
      </c>
      <c r="AH1586" s="56" t="str">
        <f t="shared" si="892"/>
        <v/>
      </c>
      <c r="AI1586" s="55"/>
      <c r="AJ1586" s="56" t="str">
        <f t="shared" si="893"/>
        <v/>
      </c>
      <c r="AK1586" s="55"/>
      <c r="AL1586" s="56" t="str">
        <f t="shared" si="894"/>
        <v/>
      </c>
      <c r="AM1586" s="55"/>
      <c r="AN1586" s="56" t="str">
        <f t="shared" si="895"/>
        <v/>
      </c>
      <c r="AO1586" s="55"/>
      <c r="AP1586" s="56" t="str">
        <f t="shared" si="896"/>
        <v/>
      </c>
      <c r="AQ1586" s="55"/>
      <c r="AR1586" s="56" t="str">
        <f t="shared" si="897"/>
        <v/>
      </c>
      <c r="AS1586" s="57"/>
      <c r="AT1586" s="58"/>
      <c r="AU1586" s="58"/>
      <c r="AV1586" s="59"/>
      <c r="AW1586" s="60" t="str">
        <f t="shared" si="898"/>
        <v/>
      </c>
      <c r="AX1586" s="61" t="str">
        <f t="shared" si="899"/>
        <v/>
      </c>
      <c r="AY1586" s="60" t="str">
        <f t="shared" si="900"/>
        <v/>
      </c>
      <c r="AZ1586" s="61" t="str">
        <f t="shared" si="901"/>
        <v/>
      </c>
    </row>
    <row r="1587" spans="1:52" s="3" customFormat="1" ht="12" hidden="1" customHeight="1" x14ac:dyDescent="0.35">
      <c r="A1587" s="72">
        <f t="shared" si="859"/>
        <v>2020</v>
      </c>
      <c r="B1587" s="72" t="str">
        <f t="shared" si="878"/>
        <v>Dec</v>
      </c>
      <c r="C1587" s="73">
        <f t="shared" si="879"/>
        <v>3</v>
      </c>
      <c r="D1587" s="74">
        <f t="shared" si="880"/>
        <v>17</v>
      </c>
      <c r="E1587" s="75">
        <f t="shared" si="860"/>
        <v>18</v>
      </c>
      <c r="F1587" s="79"/>
      <c r="G1587" s="82"/>
      <c r="H1587" s="68" t="str">
        <f t="shared" si="881"/>
        <v>Hyprev6_20201203_17_00</v>
      </c>
      <c r="I1587" s="69">
        <f t="shared" ref="I1587:N1587" si="918">I1586</f>
        <v>1</v>
      </c>
      <c r="J1587" s="76" t="str">
        <f t="shared" si="918"/>
        <v>Hypericum</v>
      </c>
      <c r="K1587" s="76" t="str">
        <f t="shared" si="918"/>
        <v>revolutum</v>
      </c>
      <c r="L1587" s="77">
        <f t="shared" si="918"/>
        <v>6</v>
      </c>
      <c r="M1587" s="77">
        <f t="shared" si="918"/>
        <v>1</v>
      </c>
      <c r="N1587" s="71">
        <f t="shared" si="918"/>
        <v>0</v>
      </c>
      <c r="O1587" s="44"/>
      <c r="P1587" s="45" t="str">
        <f t="shared" si="883"/>
        <v/>
      </c>
      <c r="Q1587" s="46" t="str">
        <f t="shared" si="884"/>
        <v/>
      </c>
      <c r="R1587" s="47" t="e">
        <f t="shared" si="885"/>
        <v>#VALUE!</v>
      </c>
      <c r="S1587" s="48" t="e">
        <f t="shared" si="917"/>
        <v>#VALUE!</v>
      </c>
      <c r="T1587" s="47" t="str">
        <f t="shared" si="886"/>
        <v/>
      </c>
      <c r="U1587" s="49"/>
      <c r="V1587" s="50"/>
      <c r="W1587" s="51" t="e">
        <f t="shared" si="887"/>
        <v>#VALUE!</v>
      </c>
      <c r="X1587" s="52"/>
      <c r="Y1587" s="52"/>
      <c r="Z1587" s="52"/>
      <c r="AA1587" s="47" t="e">
        <f>INDEX(VISITORS[INSECT ORDER], MATCH(X1587,VISITORS[NAME USED],0))</f>
        <v>#N/A</v>
      </c>
      <c r="AB1587" s="47" t="e">
        <f t="shared" si="888"/>
        <v>#N/A</v>
      </c>
      <c r="AC1587" s="53" t="e">
        <f t="shared" si="889"/>
        <v>#VALUE!</v>
      </c>
      <c r="AD1587" s="54" t="str">
        <f t="shared" si="890"/>
        <v/>
      </c>
      <c r="AE1587" s="54"/>
      <c r="AF1587" s="54"/>
      <c r="AG1587" s="55" t="str">
        <f t="shared" si="891"/>
        <v/>
      </c>
      <c r="AH1587" s="56" t="str">
        <f t="shared" si="892"/>
        <v/>
      </c>
      <c r="AI1587" s="55"/>
      <c r="AJ1587" s="56" t="str">
        <f t="shared" si="893"/>
        <v/>
      </c>
      <c r="AK1587" s="55"/>
      <c r="AL1587" s="56" t="str">
        <f t="shared" si="894"/>
        <v/>
      </c>
      <c r="AM1587" s="55"/>
      <c r="AN1587" s="56" t="str">
        <f t="shared" si="895"/>
        <v/>
      </c>
      <c r="AO1587" s="55"/>
      <c r="AP1587" s="56" t="str">
        <f t="shared" si="896"/>
        <v/>
      </c>
      <c r="AQ1587" s="55"/>
      <c r="AR1587" s="56" t="str">
        <f t="shared" si="897"/>
        <v/>
      </c>
      <c r="AS1587" s="57"/>
      <c r="AT1587" s="58"/>
      <c r="AU1587" s="58"/>
      <c r="AV1587" s="59"/>
      <c r="AW1587" s="60" t="str">
        <f t="shared" si="898"/>
        <v/>
      </c>
      <c r="AX1587" s="61" t="str">
        <f t="shared" si="899"/>
        <v/>
      </c>
      <c r="AY1587" s="60" t="str">
        <f t="shared" si="900"/>
        <v/>
      </c>
      <c r="AZ1587" s="61" t="str">
        <f t="shared" si="901"/>
        <v/>
      </c>
    </row>
    <row r="1588" spans="1:52" s="3" customFormat="1" ht="12" hidden="1" customHeight="1" thickBot="1" x14ac:dyDescent="0.4">
      <c r="A1588" s="85">
        <f t="shared" si="859"/>
        <v>2020</v>
      </c>
      <c r="B1588" s="85" t="str">
        <f t="shared" si="878"/>
        <v>Dec</v>
      </c>
      <c r="C1588" s="86">
        <f t="shared" si="879"/>
        <v>3</v>
      </c>
      <c r="D1588" s="87">
        <f t="shared" si="880"/>
        <v>17</v>
      </c>
      <c r="E1588" s="88">
        <f t="shared" si="860"/>
        <v>19</v>
      </c>
      <c r="F1588" s="89"/>
      <c r="G1588" s="90"/>
      <c r="H1588" s="68" t="str">
        <f t="shared" si="881"/>
        <v>Hyprev6_20201203_17_00</v>
      </c>
      <c r="I1588" s="91">
        <f t="shared" ref="I1588:N1588" si="919">I1587</f>
        <v>1</v>
      </c>
      <c r="J1588" s="92" t="str">
        <f t="shared" si="919"/>
        <v>Hypericum</v>
      </c>
      <c r="K1588" s="92" t="str">
        <f t="shared" si="919"/>
        <v>revolutum</v>
      </c>
      <c r="L1588" s="93">
        <f t="shared" si="919"/>
        <v>6</v>
      </c>
      <c r="M1588" s="93">
        <f t="shared" si="919"/>
        <v>1</v>
      </c>
      <c r="N1588" s="94">
        <f t="shared" si="919"/>
        <v>0</v>
      </c>
      <c r="O1588" s="95"/>
      <c r="P1588" s="96" t="str">
        <f t="shared" si="883"/>
        <v/>
      </c>
      <c r="Q1588" s="97" t="str">
        <f t="shared" si="884"/>
        <v/>
      </c>
      <c r="R1588" s="98" t="e">
        <f t="shared" si="885"/>
        <v>#VALUE!</v>
      </c>
      <c r="S1588" s="98" t="e">
        <f t="shared" si="917"/>
        <v>#VALUE!</v>
      </c>
      <c r="T1588" s="98" t="str">
        <f t="shared" si="886"/>
        <v/>
      </c>
      <c r="U1588" s="99"/>
      <c r="V1588" s="100"/>
      <c r="W1588" s="101" t="e">
        <f t="shared" si="887"/>
        <v>#VALUE!</v>
      </c>
      <c r="X1588" s="102"/>
      <c r="Y1588" s="141"/>
      <c r="Z1588" s="141"/>
      <c r="AA1588" s="47" t="e">
        <f>INDEX(VISITORS[INSECT ORDER], MATCH(X1588,VISITORS[NAME USED],0))</f>
        <v>#N/A</v>
      </c>
      <c r="AB1588" s="98" t="e">
        <f t="shared" si="888"/>
        <v>#N/A</v>
      </c>
      <c r="AC1588" s="53" t="e">
        <f t="shared" si="889"/>
        <v>#VALUE!</v>
      </c>
      <c r="AD1588" s="103" t="str">
        <f t="shared" si="890"/>
        <v/>
      </c>
      <c r="AE1588" s="103"/>
      <c r="AF1588" s="103"/>
      <c r="AG1588" s="104" t="str">
        <f t="shared" si="891"/>
        <v/>
      </c>
      <c r="AH1588" s="105" t="str">
        <f t="shared" si="892"/>
        <v/>
      </c>
      <c r="AI1588" s="104"/>
      <c r="AJ1588" s="105" t="str">
        <f t="shared" si="893"/>
        <v/>
      </c>
      <c r="AK1588" s="104"/>
      <c r="AL1588" s="105" t="str">
        <f t="shared" si="894"/>
        <v/>
      </c>
      <c r="AM1588" s="104"/>
      <c r="AN1588" s="105" t="str">
        <f t="shared" si="895"/>
        <v/>
      </c>
      <c r="AO1588" s="104"/>
      <c r="AP1588" s="105" t="str">
        <f t="shared" si="896"/>
        <v/>
      </c>
      <c r="AQ1588" s="104"/>
      <c r="AR1588" s="105" t="str">
        <f t="shared" si="897"/>
        <v/>
      </c>
      <c r="AS1588" s="106"/>
      <c r="AT1588" s="107"/>
      <c r="AU1588" s="107"/>
      <c r="AV1588" s="108"/>
      <c r="AW1588" s="109" t="str">
        <f t="shared" si="898"/>
        <v/>
      </c>
      <c r="AX1588" s="110" t="str">
        <f t="shared" si="899"/>
        <v/>
      </c>
      <c r="AY1588" s="109" t="str">
        <f t="shared" si="900"/>
        <v/>
      </c>
      <c r="AZ1588" s="110" t="str">
        <f t="shared" si="901"/>
        <v/>
      </c>
    </row>
    <row r="1589" spans="1:52" s="3" customFormat="1" ht="12" hidden="1" customHeight="1" x14ac:dyDescent="0.35">
      <c r="A1589" s="72">
        <f t="shared" si="859"/>
        <v>2020</v>
      </c>
      <c r="B1589" s="72" t="str">
        <f t="shared" si="878"/>
        <v>Dec</v>
      </c>
      <c r="C1589" s="73">
        <f t="shared" si="879"/>
        <v>3</v>
      </c>
      <c r="D1589" s="74">
        <f t="shared" si="880"/>
        <v>17</v>
      </c>
      <c r="E1589" s="75">
        <f t="shared" si="860"/>
        <v>20</v>
      </c>
      <c r="F1589" s="79"/>
      <c r="G1589" s="82"/>
      <c r="H1589" s="68" t="str">
        <f t="shared" si="881"/>
        <v>Hyprev6_20201203_17_00</v>
      </c>
      <c r="I1589" s="69">
        <f t="shared" ref="I1589:N1589" si="920">I1588</f>
        <v>1</v>
      </c>
      <c r="J1589" s="76" t="str">
        <f t="shared" si="920"/>
        <v>Hypericum</v>
      </c>
      <c r="K1589" s="76" t="str">
        <f t="shared" si="920"/>
        <v>revolutum</v>
      </c>
      <c r="L1589" s="77">
        <f t="shared" si="920"/>
        <v>6</v>
      </c>
      <c r="M1589" s="77">
        <f t="shared" si="920"/>
        <v>1</v>
      </c>
      <c r="N1589" s="71">
        <f t="shared" si="920"/>
        <v>0</v>
      </c>
      <c r="O1589" s="44"/>
      <c r="P1589" s="45" t="str">
        <f t="shared" si="883"/>
        <v/>
      </c>
      <c r="Q1589" s="46" t="str">
        <f t="shared" si="884"/>
        <v/>
      </c>
      <c r="R1589" s="47" t="e">
        <f t="shared" si="885"/>
        <v>#VALUE!</v>
      </c>
      <c r="S1589" s="48" t="e">
        <f t="shared" si="917"/>
        <v>#VALUE!</v>
      </c>
      <c r="T1589" s="47" t="str">
        <f t="shared" si="886"/>
        <v/>
      </c>
      <c r="U1589" s="49"/>
      <c r="V1589" s="50"/>
      <c r="W1589" s="51" t="e">
        <f t="shared" si="887"/>
        <v>#VALUE!</v>
      </c>
      <c r="X1589" s="52"/>
      <c r="Y1589" s="52"/>
      <c r="Z1589" s="52"/>
      <c r="AA1589" s="47" t="e">
        <f>INDEX(VISITORS[INSECT ORDER], MATCH(X1589,VISITORS[NAME USED],0))</f>
        <v>#N/A</v>
      </c>
      <c r="AB1589" s="47" t="e">
        <f t="shared" si="888"/>
        <v>#N/A</v>
      </c>
      <c r="AC1589" s="53" t="e">
        <f t="shared" si="889"/>
        <v>#VALUE!</v>
      </c>
      <c r="AD1589" s="54" t="str">
        <f t="shared" si="890"/>
        <v/>
      </c>
      <c r="AE1589" s="54"/>
      <c r="AF1589" s="54"/>
      <c r="AG1589" s="55" t="str">
        <f t="shared" si="891"/>
        <v/>
      </c>
      <c r="AH1589" s="56" t="str">
        <f t="shared" si="892"/>
        <v/>
      </c>
      <c r="AI1589" s="55"/>
      <c r="AJ1589" s="56" t="str">
        <f t="shared" si="893"/>
        <v/>
      </c>
      <c r="AK1589" s="55"/>
      <c r="AL1589" s="56" t="str">
        <f t="shared" si="894"/>
        <v/>
      </c>
      <c r="AM1589" s="55"/>
      <c r="AN1589" s="56" t="str">
        <f t="shared" si="895"/>
        <v/>
      </c>
      <c r="AO1589" s="55"/>
      <c r="AP1589" s="56" t="str">
        <f t="shared" si="896"/>
        <v/>
      </c>
      <c r="AQ1589" s="55"/>
      <c r="AR1589" s="56" t="str">
        <f t="shared" si="897"/>
        <v/>
      </c>
      <c r="AS1589" s="57"/>
      <c r="AT1589" s="58"/>
      <c r="AU1589" s="58"/>
      <c r="AV1589" s="59"/>
      <c r="AW1589" s="60" t="str">
        <f t="shared" si="898"/>
        <v/>
      </c>
      <c r="AX1589" s="61" t="str">
        <f t="shared" si="899"/>
        <v/>
      </c>
      <c r="AY1589" s="60" t="str">
        <f t="shared" si="900"/>
        <v/>
      </c>
      <c r="AZ1589" s="61" t="str">
        <f t="shared" si="901"/>
        <v/>
      </c>
    </row>
    <row r="1590" spans="1:52" s="3" customFormat="1" ht="12" hidden="1" customHeight="1" x14ac:dyDescent="0.35">
      <c r="A1590" s="72">
        <f t="shared" si="859"/>
        <v>2020</v>
      </c>
      <c r="B1590" s="72" t="str">
        <f t="shared" si="878"/>
        <v>Dec</v>
      </c>
      <c r="C1590" s="73">
        <f t="shared" si="879"/>
        <v>3</v>
      </c>
      <c r="D1590" s="74">
        <f t="shared" si="880"/>
        <v>17</v>
      </c>
      <c r="E1590" s="75">
        <f t="shared" si="860"/>
        <v>21</v>
      </c>
      <c r="F1590" s="79"/>
      <c r="G1590" s="82"/>
      <c r="H1590" s="68" t="str">
        <f t="shared" si="881"/>
        <v>Hyprev6_20201203_17_00</v>
      </c>
      <c r="I1590" s="69">
        <f t="shared" ref="I1590:N1590" si="921">I1589</f>
        <v>1</v>
      </c>
      <c r="J1590" s="76" t="str">
        <f t="shared" si="921"/>
        <v>Hypericum</v>
      </c>
      <c r="K1590" s="76" t="str">
        <f t="shared" si="921"/>
        <v>revolutum</v>
      </c>
      <c r="L1590" s="77">
        <f t="shared" si="921"/>
        <v>6</v>
      </c>
      <c r="M1590" s="77">
        <f t="shared" si="921"/>
        <v>1</v>
      </c>
      <c r="N1590" s="71">
        <f t="shared" si="921"/>
        <v>0</v>
      </c>
      <c r="O1590" s="44"/>
      <c r="P1590" s="45" t="str">
        <f t="shared" si="883"/>
        <v/>
      </c>
      <c r="Q1590" s="46" t="str">
        <f t="shared" si="884"/>
        <v/>
      </c>
      <c r="R1590" s="47" t="e">
        <f t="shared" si="885"/>
        <v>#VALUE!</v>
      </c>
      <c r="S1590" s="48" t="e">
        <f t="shared" si="917"/>
        <v>#VALUE!</v>
      </c>
      <c r="T1590" s="47" t="str">
        <f t="shared" si="886"/>
        <v/>
      </c>
      <c r="U1590" s="49"/>
      <c r="V1590" s="50"/>
      <c r="W1590" s="51" t="e">
        <f t="shared" si="887"/>
        <v>#VALUE!</v>
      </c>
      <c r="X1590" s="52"/>
      <c r="Y1590" s="52"/>
      <c r="Z1590" s="52"/>
      <c r="AA1590" s="47" t="e">
        <f>INDEX(VISITORS[INSECT ORDER], MATCH(X1590,VISITORS[NAME USED],0))</f>
        <v>#N/A</v>
      </c>
      <c r="AB1590" s="47" t="e">
        <f t="shared" si="888"/>
        <v>#N/A</v>
      </c>
      <c r="AC1590" s="53" t="e">
        <f t="shared" si="889"/>
        <v>#VALUE!</v>
      </c>
      <c r="AD1590" s="54" t="str">
        <f t="shared" si="890"/>
        <v/>
      </c>
      <c r="AE1590" s="54"/>
      <c r="AF1590" s="54"/>
      <c r="AG1590" s="55" t="str">
        <f t="shared" si="891"/>
        <v/>
      </c>
      <c r="AH1590" s="56" t="str">
        <f t="shared" si="892"/>
        <v/>
      </c>
      <c r="AI1590" s="55"/>
      <c r="AJ1590" s="56" t="str">
        <f t="shared" si="893"/>
        <v/>
      </c>
      <c r="AK1590" s="55"/>
      <c r="AL1590" s="56" t="str">
        <f t="shared" si="894"/>
        <v/>
      </c>
      <c r="AM1590" s="55"/>
      <c r="AN1590" s="56" t="str">
        <f t="shared" si="895"/>
        <v/>
      </c>
      <c r="AO1590" s="55"/>
      <c r="AP1590" s="56" t="str">
        <f t="shared" si="896"/>
        <v/>
      </c>
      <c r="AQ1590" s="55"/>
      <c r="AR1590" s="56" t="str">
        <f t="shared" si="897"/>
        <v/>
      </c>
      <c r="AS1590" s="57"/>
      <c r="AT1590" s="58"/>
      <c r="AU1590" s="58"/>
      <c r="AV1590" s="59"/>
      <c r="AW1590" s="60" t="str">
        <f t="shared" si="898"/>
        <v/>
      </c>
      <c r="AX1590" s="61" t="str">
        <f t="shared" si="899"/>
        <v/>
      </c>
      <c r="AY1590" s="60" t="str">
        <f t="shared" si="900"/>
        <v/>
      </c>
      <c r="AZ1590" s="61" t="str">
        <f t="shared" si="901"/>
        <v/>
      </c>
    </row>
    <row r="1591" spans="1:52" s="3" customFormat="1" ht="12" hidden="1" customHeight="1" thickBot="1" x14ac:dyDescent="0.4">
      <c r="A1591" s="85">
        <f t="shared" si="859"/>
        <v>2020</v>
      </c>
      <c r="B1591" s="85" t="str">
        <f t="shared" si="878"/>
        <v>Dec</v>
      </c>
      <c r="C1591" s="86">
        <f t="shared" si="879"/>
        <v>3</v>
      </c>
      <c r="D1591" s="87">
        <f t="shared" si="880"/>
        <v>17</v>
      </c>
      <c r="E1591" s="88">
        <f t="shared" si="860"/>
        <v>22</v>
      </c>
      <c r="F1591" s="89"/>
      <c r="G1591" s="90"/>
      <c r="H1591" s="68" t="str">
        <f t="shared" si="881"/>
        <v>Hyprev6_20201203_17_00</v>
      </c>
      <c r="I1591" s="91">
        <f t="shared" ref="I1591:N1591" si="922">I1590</f>
        <v>1</v>
      </c>
      <c r="J1591" s="92" t="str">
        <f t="shared" si="922"/>
        <v>Hypericum</v>
      </c>
      <c r="K1591" s="92" t="str">
        <f t="shared" si="922"/>
        <v>revolutum</v>
      </c>
      <c r="L1591" s="93">
        <f t="shared" si="922"/>
        <v>6</v>
      </c>
      <c r="M1591" s="93">
        <f t="shared" si="922"/>
        <v>1</v>
      </c>
      <c r="N1591" s="94">
        <f t="shared" si="922"/>
        <v>0</v>
      </c>
      <c r="O1591" s="95"/>
      <c r="P1591" s="96" t="str">
        <f t="shared" si="883"/>
        <v/>
      </c>
      <c r="Q1591" s="97" t="str">
        <f t="shared" si="884"/>
        <v/>
      </c>
      <c r="R1591" s="98" t="e">
        <f t="shared" si="885"/>
        <v>#VALUE!</v>
      </c>
      <c r="S1591" s="98" t="e">
        <f t="shared" si="917"/>
        <v>#VALUE!</v>
      </c>
      <c r="T1591" s="98" t="str">
        <f t="shared" si="886"/>
        <v/>
      </c>
      <c r="U1591" s="99"/>
      <c r="V1591" s="100"/>
      <c r="W1591" s="101" t="e">
        <f t="shared" si="887"/>
        <v>#VALUE!</v>
      </c>
      <c r="X1591" s="102"/>
      <c r="Y1591" s="141"/>
      <c r="Z1591" s="141"/>
      <c r="AA1591" s="47" t="e">
        <f>INDEX(VISITORS[INSECT ORDER], MATCH(X1591,VISITORS[NAME USED],0))</f>
        <v>#N/A</v>
      </c>
      <c r="AB1591" s="98" t="e">
        <f t="shared" si="888"/>
        <v>#N/A</v>
      </c>
      <c r="AC1591" s="53" t="e">
        <f t="shared" si="889"/>
        <v>#VALUE!</v>
      </c>
      <c r="AD1591" s="103" t="str">
        <f t="shared" si="890"/>
        <v/>
      </c>
      <c r="AE1591" s="103"/>
      <c r="AF1591" s="103"/>
      <c r="AG1591" s="104" t="str">
        <f t="shared" si="891"/>
        <v/>
      </c>
      <c r="AH1591" s="105" t="str">
        <f t="shared" si="892"/>
        <v/>
      </c>
      <c r="AI1591" s="104"/>
      <c r="AJ1591" s="105" t="str">
        <f t="shared" si="893"/>
        <v/>
      </c>
      <c r="AK1591" s="104"/>
      <c r="AL1591" s="105" t="str">
        <f t="shared" si="894"/>
        <v/>
      </c>
      <c r="AM1591" s="104"/>
      <c r="AN1591" s="105" t="str">
        <f t="shared" si="895"/>
        <v/>
      </c>
      <c r="AO1591" s="104"/>
      <c r="AP1591" s="105" t="str">
        <f t="shared" si="896"/>
        <v/>
      </c>
      <c r="AQ1591" s="104"/>
      <c r="AR1591" s="105" t="str">
        <f t="shared" si="897"/>
        <v/>
      </c>
      <c r="AS1591" s="106"/>
      <c r="AT1591" s="107"/>
      <c r="AU1591" s="107"/>
      <c r="AV1591" s="108"/>
      <c r="AW1591" s="109" t="str">
        <f t="shared" si="898"/>
        <v/>
      </c>
      <c r="AX1591" s="110" t="str">
        <f t="shared" si="899"/>
        <v/>
      </c>
      <c r="AY1591" s="109" t="str">
        <f t="shared" si="900"/>
        <v/>
      </c>
      <c r="AZ1591" s="110" t="str">
        <f t="shared" si="901"/>
        <v/>
      </c>
    </row>
    <row r="1592" spans="1:52" s="3" customFormat="1" ht="12" hidden="1" customHeight="1" x14ac:dyDescent="0.35">
      <c r="A1592" s="72">
        <f t="shared" si="859"/>
        <v>2020</v>
      </c>
      <c r="B1592" s="72" t="str">
        <f t="shared" si="878"/>
        <v>Dec</v>
      </c>
      <c r="C1592" s="73">
        <f t="shared" si="879"/>
        <v>3</v>
      </c>
      <c r="D1592" s="74">
        <f t="shared" si="880"/>
        <v>17</v>
      </c>
      <c r="E1592" s="75">
        <f t="shared" si="860"/>
        <v>23</v>
      </c>
      <c r="F1592" s="79"/>
      <c r="G1592" s="82"/>
      <c r="H1592" s="68" t="str">
        <f t="shared" si="881"/>
        <v>Hyprev6_20201203_17_00</v>
      </c>
      <c r="I1592" s="69">
        <f t="shared" ref="I1592:N1592" si="923">I1591</f>
        <v>1</v>
      </c>
      <c r="J1592" s="76" t="str">
        <f t="shared" si="923"/>
        <v>Hypericum</v>
      </c>
      <c r="K1592" s="76" t="str">
        <f t="shared" si="923"/>
        <v>revolutum</v>
      </c>
      <c r="L1592" s="77">
        <f t="shared" si="923"/>
        <v>6</v>
      </c>
      <c r="M1592" s="77">
        <f t="shared" si="923"/>
        <v>1</v>
      </c>
      <c r="N1592" s="71">
        <f t="shared" si="923"/>
        <v>0</v>
      </c>
      <c r="O1592" s="44"/>
      <c r="P1592" s="45" t="str">
        <f t="shared" si="883"/>
        <v/>
      </c>
      <c r="Q1592" s="46" t="str">
        <f t="shared" si="884"/>
        <v/>
      </c>
      <c r="R1592" s="47" t="e">
        <f t="shared" si="885"/>
        <v>#VALUE!</v>
      </c>
      <c r="S1592" s="48" t="e">
        <f t="shared" si="917"/>
        <v>#VALUE!</v>
      </c>
      <c r="T1592" s="47" t="str">
        <f t="shared" si="886"/>
        <v/>
      </c>
      <c r="U1592" s="49"/>
      <c r="V1592" s="50"/>
      <c r="W1592" s="51" t="e">
        <f t="shared" si="887"/>
        <v>#VALUE!</v>
      </c>
      <c r="X1592" s="52"/>
      <c r="Y1592" s="52"/>
      <c r="Z1592" s="52"/>
      <c r="AA1592" s="47" t="e">
        <f>INDEX(VISITORS[INSECT ORDER], MATCH(X1592,VISITORS[NAME USED],0))</f>
        <v>#N/A</v>
      </c>
      <c r="AB1592" s="47" t="e">
        <f t="shared" si="888"/>
        <v>#N/A</v>
      </c>
      <c r="AC1592" s="53" t="e">
        <f t="shared" si="889"/>
        <v>#VALUE!</v>
      </c>
      <c r="AD1592" s="54" t="str">
        <f t="shared" si="890"/>
        <v/>
      </c>
      <c r="AE1592" s="54"/>
      <c r="AF1592" s="54"/>
      <c r="AG1592" s="55" t="str">
        <f t="shared" si="891"/>
        <v/>
      </c>
      <c r="AH1592" s="56" t="str">
        <f t="shared" si="892"/>
        <v/>
      </c>
      <c r="AI1592" s="55"/>
      <c r="AJ1592" s="56" t="str">
        <f t="shared" si="893"/>
        <v/>
      </c>
      <c r="AK1592" s="55"/>
      <c r="AL1592" s="56" t="str">
        <f t="shared" si="894"/>
        <v/>
      </c>
      <c r="AM1592" s="55"/>
      <c r="AN1592" s="56" t="str">
        <f t="shared" si="895"/>
        <v/>
      </c>
      <c r="AO1592" s="55"/>
      <c r="AP1592" s="56" t="str">
        <f t="shared" si="896"/>
        <v/>
      </c>
      <c r="AQ1592" s="55"/>
      <c r="AR1592" s="56" t="str">
        <f t="shared" si="897"/>
        <v/>
      </c>
      <c r="AS1592" s="57"/>
      <c r="AT1592" s="58"/>
      <c r="AU1592" s="58"/>
      <c r="AV1592" s="59"/>
      <c r="AW1592" s="60" t="str">
        <f t="shared" si="898"/>
        <v/>
      </c>
      <c r="AX1592" s="61" t="str">
        <f t="shared" si="899"/>
        <v/>
      </c>
      <c r="AY1592" s="60" t="str">
        <f t="shared" si="900"/>
        <v/>
      </c>
      <c r="AZ1592" s="61" t="str">
        <f t="shared" si="901"/>
        <v/>
      </c>
    </row>
    <row r="1593" spans="1:52" s="3" customFormat="1" ht="12" hidden="1" customHeight="1" x14ac:dyDescent="0.35">
      <c r="A1593" s="72">
        <f t="shared" si="859"/>
        <v>2020</v>
      </c>
      <c r="B1593" s="72" t="str">
        <f t="shared" si="878"/>
        <v>Dec</v>
      </c>
      <c r="C1593" s="73">
        <f t="shared" si="879"/>
        <v>3</v>
      </c>
      <c r="D1593" s="74">
        <f t="shared" si="880"/>
        <v>17</v>
      </c>
      <c r="E1593" s="75">
        <f t="shared" si="860"/>
        <v>24</v>
      </c>
      <c r="F1593" s="79"/>
      <c r="G1593" s="82"/>
      <c r="H1593" s="68" t="str">
        <f t="shared" si="881"/>
        <v>Hyprev6_20201203_17_00</v>
      </c>
      <c r="I1593" s="69">
        <f t="shared" ref="I1593:N1593" si="924">I1592</f>
        <v>1</v>
      </c>
      <c r="J1593" s="76" t="str">
        <f t="shared" si="924"/>
        <v>Hypericum</v>
      </c>
      <c r="K1593" s="76" t="str">
        <f t="shared" si="924"/>
        <v>revolutum</v>
      </c>
      <c r="L1593" s="77">
        <f t="shared" si="924"/>
        <v>6</v>
      </c>
      <c r="M1593" s="77">
        <f t="shared" si="924"/>
        <v>1</v>
      </c>
      <c r="N1593" s="71">
        <f t="shared" si="924"/>
        <v>0</v>
      </c>
      <c r="O1593" s="44"/>
      <c r="P1593" s="45" t="str">
        <f t="shared" si="883"/>
        <v/>
      </c>
      <c r="Q1593" s="46" t="str">
        <f t="shared" si="884"/>
        <v/>
      </c>
      <c r="R1593" s="47" t="e">
        <f t="shared" si="885"/>
        <v>#VALUE!</v>
      </c>
      <c r="S1593" s="48" t="e">
        <f t="shared" si="917"/>
        <v>#VALUE!</v>
      </c>
      <c r="T1593" s="47" t="str">
        <f t="shared" si="886"/>
        <v/>
      </c>
      <c r="U1593" s="49"/>
      <c r="V1593" s="50"/>
      <c r="W1593" s="51" t="e">
        <f t="shared" si="887"/>
        <v>#VALUE!</v>
      </c>
      <c r="X1593" s="52"/>
      <c r="Y1593" s="52"/>
      <c r="Z1593" s="52"/>
      <c r="AA1593" s="47" t="e">
        <f>INDEX(VISITORS[INSECT ORDER], MATCH(X1593,VISITORS[NAME USED],0))</f>
        <v>#N/A</v>
      </c>
      <c r="AB1593" s="47" t="e">
        <f t="shared" si="888"/>
        <v>#N/A</v>
      </c>
      <c r="AC1593" s="53" t="e">
        <f t="shared" si="889"/>
        <v>#VALUE!</v>
      </c>
      <c r="AD1593" s="54" t="str">
        <f t="shared" si="890"/>
        <v/>
      </c>
      <c r="AE1593" s="54"/>
      <c r="AF1593" s="54"/>
      <c r="AG1593" s="55" t="str">
        <f t="shared" si="891"/>
        <v/>
      </c>
      <c r="AH1593" s="56" t="str">
        <f t="shared" si="892"/>
        <v/>
      </c>
      <c r="AI1593" s="55"/>
      <c r="AJ1593" s="56" t="str">
        <f t="shared" si="893"/>
        <v/>
      </c>
      <c r="AK1593" s="55"/>
      <c r="AL1593" s="56" t="str">
        <f t="shared" si="894"/>
        <v/>
      </c>
      <c r="AM1593" s="55"/>
      <c r="AN1593" s="56" t="str">
        <f t="shared" si="895"/>
        <v/>
      </c>
      <c r="AO1593" s="55"/>
      <c r="AP1593" s="56" t="str">
        <f t="shared" si="896"/>
        <v/>
      </c>
      <c r="AQ1593" s="55"/>
      <c r="AR1593" s="56" t="str">
        <f t="shared" si="897"/>
        <v/>
      </c>
      <c r="AS1593" s="57"/>
      <c r="AT1593" s="58"/>
      <c r="AU1593" s="58"/>
      <c r="AV1593" s="59"/>
      <c r="AW1593" s="60" t="str">
        <f t="shared" si="898"/>
        <v/>
      </c>
      <c r="AX1593" s="61" t="str">
        <f t="shared" si="899"/>
        <v/>
      </c>
      <c r="AY1593" s="60" t="str">
        <f t="shared" si="900"/>
        <v/>
      </c>
      <c r="AZ1593" s="61" t="str">
        <f t="shared" si="901"/>
        <v/>
      </c>
    </row>
    <row r="1594" spans="1:52" s="3" customFormat="1" ht="12" hidden="1" customHeight="1" thickBot="1" x14ac:dyDescent="0.4">
      <c r="A1594" s="85">
        <f t="shared" si="859"/>
        <v>2020</v>
      </c>
      <c r="B1594" s="85" t="str">
        <f t="shared" si="878"/>
        <v>Dec</v>
      </c>
      <c r="C1594" s="86">
        <f t="shared" si="879"/>
        <v>3</v>
      </c>
      <c r="D1594" s="87">
        <f t="shared" si="880"/>
        <v>17</v>
      </c>
      <c r="E1594" s="88">
        <f t="shared" si="860"/>
        <v>25</v>
      </c>
      <c r="F1594" s="89"/>
      <c r="G1594" s="90"/>
      <c r="H1594" s="68" t="str">
        <f t="shared" si="881"/>
        <v>Hyprev6_20201203_17_00</v>
      </c>
      <c r="I1594" s="91">
        <f t="shared" ref="I1594:N1594" si="925">I1593</f>
        <v>1</v>
      </c>
      <c r="J1594" s="92" t="str">
        <f t="shared" si="925"/>
        <v>Hypericum</v>
      </c>
      <c r="K1594" s="92" t="str">
        <f t="shared" si="925"/>
        <v>revolutum</v>
      </c>
      <c r="L1594" s="93">
        <f t="shared" si="925"/>
        <v>6</v>
      </c>
      <c r="M1594" s="93">
        <f t="shared" si="925"/>
        <v>1</v>
      </c>
      <c r="N1594" s="94">
        <f t="shared" si="925"/>
        <v>0</v>
      </c>
      <c r="O1594" s="95"/>
      <c r="P1594" s="96" t="str">
        <f t="shared" si="883"/>
        <v/>
      </c>
      <c r="Q1594" s="97" t="str">
        <f t="shared" si="884"/>
        <v/>
      </c>
      <c r="R1594" s="98" t="e">
        <f t="shared" si="885"/>
        <v>#VALUE!</v>
      </c>
      <c r="S1594" s="98" t="e">
        <f t="shared" si="917"/>
        <v>#VALUE!</v>
      </c>
      <c r="T1594" s="98" t="str">
        <f t="shared" si="886"/>
        <v/>
      </c>
      <c r="U1594" s="99"/>
      <c r="V1594" s="100"/>
      <c r="W1594" s="101" t="e">
        <f t="shared" si="887"/>
        <v>#VALUE!</v>
      </c>
      <c r="X1594" s="102"/>
      <c r="Y1594" s="141"/>
      <c r="Z1594" s="141"/>
      <c r="AA1594" s="47" t="e">
        <f>INDEX(VISITORS[INSECT ORDER], MATCH(X1594,VISITORS[NAME USED],0))</f>
        <v>#N/A</v>
      </c>
      <c r="AB1594" s="98" t="e">
        <f t="shared" si="888"/>
        <v>#N/A</v>
      </c>
      <c r="AC1594" s="53" t="e">
        <f t="shared" si="889"/>
        <v>#VALUE!</v>
      </c>
      <c r="AD1594" s="103" t="str">
        <f t="shared" si="890"/>
        <v/>
      </c>
      <c r="AE1594" s="103"/>
      <c r="AF1594" s="103"/>
      <c r="AG1594" s="104" t="str">
        <f t="shared" si="891"/>
        <v/>
      </c>
      <c r="AH1594" s="105" t="str">
        <f t="shared" si="892"/>
        <v/>
      </c>
      <c r="AI1594" s="104"/>
      <c r="AJ1594" s="105" t="str">
        <f t="shared" si="893"/>
        <v/>
      </c>
      <c r="AK1594" s="104"/>
      <c r="AL1594" s="105" t="str">
        <f t="shared" si="894"/>
        <v/>
      </c>
      <c r="AM1594" s="104"/>
      <c r="AN1594" s="105" t="str">
        <f t="shared" si="895"/>
        <v/>
      </c>
      <c r="AO1594" s="104"/>
      <c r="AP1594" s="105" t="str">
        <f t="shared" si="896"/>
        <v/>
      </c>
      <c r="AQ1594" s="104"/>
      <c r="AR1594" s="105" t="str">
        <f t="shared" si="897"/>
        <v/>
      </c>
      <c r="AS1594" s="106"/>
      <c r="AT1594" s="107"/>
      <c r="AU1594" s="107"/>
      <c r="AV1594" s="108"/>
      <c r="AW1594" s="109" t="str">
        <f t="shared" si="898"/>
        <v/>
      </c>
      <c r="AX1594" s="110" t="str">
        <f t="shared" si="899"/>
        <v/>
      </c>
      <c r="AY1594" s="109" t="str">
        <f t="shared" si="900"/>
        <v/>
      </c>
      <c r="AZ1594" s="110" t="str">
        <f t="shared" si="901"/>
        <v/>
      </c>
    </row>
    <row r="1595" spans="1:52" s="3" customFormat="1" ht="12" hidden="1" customHeight="1" x14ac:dyDescent="0.35">
      <c r="A1595" s="72">
        <f t="shared" si="859"/>
        <v>2020</v>
      </c>
      <c r="B1595" s="72" t="str">
        <f t="shared" si="878"/>
        <v>Dec</v>
      </c>
      <c r="C1595" s="73">
        <f t="shared" si="879"/>
        <v>3</v>
      </c>
      <c r="D1595" s="74">
        <f t="shared" si="880"/>
        <v>17</v>
      </c>
      <c r="E1595" s="75">
        <f t="shared" si="860"/>
        <v>26</v>
      </c>
      <c r="F1595" s="79"/>
      <c r="G1595" s="82"/>
      <c r="H1595" s="68" t="str">
        <f t="shared" si="881"/>
        <v>Hyprev6_20201203_17_00</v>
      </c>
      <c r="I1595" s="69">
        <f t="shared" ref="I1595:N1595" si="926">I1594</f>
        <v>1</v>
      </c>
      <c r="J1595" s="76" t="str">
        <f t="shared" si="926"/>
        <v>Hypericum</v>
      </c>
      <c r="K1595" s="76" t="str">
        <f t="shared" si="926"/>
        <v>revolutum</v>
      </c>
      <c r="L1595" s="77">
        <f t="shared" si="926"/>
        <v>6</v>
      </c>
      <c r="M1595" s="77">
        <f t="shared" si="926"/>
        <v>1</v>
      </c>
      <c r="N1595" s="71">
        <f t="shared" si="926"/>
        <v>0</v>
      </c>
      <c r="O1595" s="44"/>
      <c r="P1595" s="45" t="str">
        <f t="shared" si="883"/>
        <v/>
      </c>
      <c r="Q1595" s="46" t="str">
        <f t="shared" si="884"/>
        <v/>
      </c>
      <c r="R1595" s="47" t="e">
        <f t="shared" si="885"/>
        <v>#VALUE!</v>
      </c>
      <c r="S1595" s="48" t="e">
        <f t="shared" si="917"/>
        <v>#VALUE!</v>
      </c>
      <c r="T1595" s="47" t="str">
        <f t="shared" si="886"/>
        <v/>
      </c>
      <c r="U1595" s="49"/>
      <c r="V1595" s="50"/>
      <c r="W1595" s="51" t="e">
        <f t="shared" si="887"/>
        <v>#VALUE!</v>
      </c>
      <c r="X1595" s="52"/>
      <c r="Y1595" s="52"/>
      <c r="Z1595" s="52"/>
      <c r="AA1595" s="47" t="e">
        <f>INDEX(VISITORS[INSECT ORDER], MATCH(X1595,VISITORS[NAME USED],0))</f>
        <v>#N/A</v>
      </c>
      <c r="AB1595" s="47" t="e">
        <f t="shared" si="888"/>
        <v>#N/A</v>
      </c>
      <c r="AC1595" s="53" t="e">
        <f t="shared" si="889"/>
        <v>#VALUE!</v>
      </c>
      <c r="AD1595" s="54" t="str">
        <f t="shared" si="890"/>
        <v/>
      </c>
      <c r="AE1595" s="54"/>
      <c r="AF1595" s="54"/>
      <c r="AG1595" s="55" t="str">
        <f t="shared" si="891"/>
        <v/>
      </c>
      <c r="AH1595" s="56" t="str">
        <f t="shared" si="892"/>
        <v/>
      </c>
      <c r="AI1595" s="55"/>
      <c r="AJ1595" s="56" t="str">
        <f t="shared" si="893"/>
        <v/>
      </c>
      <c r="AK1595" s="55"/>
      <c r="AL1595" s="56" t="str">
        <f t="shared" si="894"/>
        <v/>
      </c>
      <c r="AM1595" s="55"/>
      <c r="AN1595" s="56" t="str">
        <f t="shared" si="895"/>
        <v/>
      </c>
      <c r="AO1595" s="55"/>
      <c r="AP1595" s="56" t="str">
        <f t="shared" si="896"/>
        <v/>
      </c>
      <c r="AQ1595" s="55"/>
      <c r="AR1595" s="56" t="str">
        <f t="shared" si="897"/>
        <v/>
      </c>
      <c r="AS1595" s="57"/>
      <c r="AT1595" s="58"/>
      <c r="AU1595" s="58"/>
      <c r="AV1595" s="59"/>
      <c r="AW1595" s="60" t="str">
        <f t="shared" si="898"/>
        <v/>
      </c>
      <c r="AX1595" s="61" t="str">
        <f t="shared" si="899"/>
        <v/>
      </c>
      <c r="AY1595" s="60" t="str">
        <f t="shared" si="900"/>
        <v/>
      </c>
      <c r="AZ1595" s="61" t="str">
        <f t="shared" si="901"/>
        <v/>
      </c>
    </row>
    <row r="1596" spans="1:52" s="3" customFormat="1" ht="12" hidden="1" customHeight="1" x14ac:dyDescent="0.35">
      <c r="A1596" s="72">
        <f t="shared" si="859"/>
        <v>2020</v>
      </c>
      <c r="B1596" s="72" t="str">
        <f t="shared" si="878"/>
        <v>Dec</v>
      </c>
      <c r="C1596" s="73">
        <f t="shared" si="879"/>
        <v>3</v>
      </c>
      <c r="D1596" s="74">
        <f t="shared" si="880"/>
        <v>17</v>
      </c>
      <c r="E1596" s="75">
        <f t="shared" si="860"/>
        <v>27</v>
      </c>
      <c r="F1596" s="79"/>
      <c r="G1596" s="82"/>
      <c r="H1596" s="68" t="str">
        <f t="shared" si="881"/>
        <v>Hyprev6_20201203_17_00</v>
      </c>
      <c r="I1596" s="69">
        <f t="shared" ref="I1596:N1596" si="927">I1595</f>
        <v>1</v>
      </c>
      <c r="J1596" s="76" t="str">
        <f t="shared" si="927"/>
        <v>Hypericum</v>
      </c>
      <c r="K1596" s="76" t="str">
        <f t="shared" si="927"/>
        <v>revolutum</v>
      </c>
      <c r="L1596" s="77">
        <f t="shared" si="927"/>
        <v>6</v>
      </c>
      <c r="M1596" s="77">
        <f t="shared" si="927"/>
        <v>1</v>
      </c>
      <c r="N1596" s="71">
        <f t="shared" si="927"/>
        <v>0</v>
      </c>
      <c r="O1596" s="44"/>
      <c r="P1596" s="45" t="str">
        <f t="shared" si="883"/>
        <v/>
      </c>
      <c r="Q1596" s="46" t="str">
        <f t="shared" si="884"/>
        <v/>
      </c>
      <c r="R1596" s="47" t="e">
        <f t="shared" si="885"/>
        <v>#VALUE!</v>
      </c>
      <c r="S1596" s="48" t="e">
        <f t="shared" si="917"/>
        <v>#VALUE!</v>
      </c>
      <c r="T1596" s="47" t="str">
        <f t="shared" si="886"/>
        <v/>
      </c>
      <c r="U1596" s="49"/>
      <c r="V1596" s="50"/>
      <c r="W1596" s="51" t="e">
        <f t="shared" si="887"/>
        <v>#VALUE!</v>
      </c>
      <c r="X1596" s="52"/>
      <c r="Y1596" s="52"/>
      <c r="Z1596" s="52"/>
      <c r="AA1596" s="47" t="e">
        <f>INDEX(VISITORS[INSECT ORDER], MATCH(X1596,VISITORS[NAME USED],0))</f>
        <v>#N/A</v>
      </c>
      <c r="AB1596" s="47" t="e">
        <f t="shared" si="888"/>
        <v>#N/A</v>
      </c>
      <c r="AC1596" s="53" t="e">
        <f t="shared" si="889"/>
        <v>#VALUE!</v>
      </c>
      <c r="AD1596" s="54" t="str">
        <f t="shared" si="890"/>
        <v/>
      </c>
      <c r="AE1596" s="54"/>
      <c r="AF1596" s="54"/>
      <c r="AG1596" s="55" t="str">
        <f t="shared" si="891"/>
        <v/>
      </c>
      <c r="AH1596" s="56" t="str">
        <f t="shared" si="892"/>
        <v/>
      </c>
      <c r="AI1596" s="55"/>
      <c r="AJ1596" s="56" t="str">
        <f t="shared" si="893"/>
        <v/>
      </c>
      <c r="AK1596" s="55"/>
      <c r="AL1596" s="56" t="str">
        <f t="shared" si="894"/>
        <v/>
      </c>
      <c r="AM1596" s="55"/>
      <c r="AN1596" s="56" t="str">
        <f t="shared" si="895"/>
        <v/>
      </c>
      <c r="AO1596" s="55"/>
      <c r="AP1596" s="56" t="str">
        <f t="shared" si="896"/>
        <v/>
      </c>
      <c r="AQ1596" s="55"/>
      <c r="AR1596" s="56" t="str">
        <f t="shared" si="897"/>
        <v/>
      </c>
      <c r="AS1596" s="57"/>
      <c r="AT1596" s="58"/>
      <c r="AU1596" s="58"/>
      <c r="AV1596" s="59"/>
      <c r="AW1596" s="60" t="str">
        <f t="shared" si="898"/>
        <v/>
      </c>
      <c r="AX1596" s="61" t="str">
        <f t="shared" si="899"/>
        <v/>
      </c>
      <c r="AY1596" s="60" t="str">
        <f t="shared" si="900"/>
        <v/>
      </c>
      <c r="AZ1596" s="61" t="str">
        <f t="shared" si="901"/>
        <v/>
      </c>
    </row>
    <row r="1597" spans="1:52" s="3" customFormat="1" ht="12" hidden="1" customHeight="1" thickBot="1" x14ac:dyDescent="0.4">
      <c r="A1597" s="85">
        <f t="shared" si="859"/>
        <v>2020</v>
      </c>
      <c r="B1597" s="85" t="str">
        <f t="shared" si="878"/>
        <v>Dec</v>
      </c>
      <c r="C1597" s="86">
        <f t="shared" si="879"/>
        <v>3</v>
      </c>
      <c r="D1597" s="87">
        <f t="shared" si="880"/>
        <v>17</v>
      </c>
      <c r="E1597" s="88">
        <f t="shared" si="860"/>
        <v>28</v>
      </c>
      <c r="F1597" s="89"/>
      <c r="G1597" s="90"/>
      <c r="H1597" s="68" t="str">
        <f t="shared" si="881"/>
        <v>Hyprev6_20201203_17_00</v>
      </c>
      <c r="I1597" s="91">
        <f t="shared" ref="I1597:N1597" si="928">I1596</f>
        <v>1</v>
      </c>
      <c r="J1597" s="92" t="str">
        <f t="shared" si="928"/>
        <v>Hypericum</v>
      </c>
      <c r="K1597" s="92" t="str">
        <f t="shared" si="928"/>
        <v>revolutum</v>
      </c>
      <c r="L1597" s="93">
        <f t="shared" si="928"/>
        <v>6</v>
      </c>
      <c r="M1597" s="93">
        <f t="shared" si="928"/>
        <v>1</v>
      </c>
      <c r="N1597" s="94">
        <f t="shared" si="928"/>
        <v>0</v>
      </c>
      <c r="O1597" s="95"/>
      <c r="P1597" s="96" t="str">
        <f t="shared" si="883"/>
        <v/>
      </c>
      <c r="Q1597" s="97" t="str">
        <f t="shared" si="884"/>
        <v/>
      </c>
      <c r="R1597" s="98" t="e">
        <f t="shared" si="885"/>
        <v>#VALUE!</v>
      </c>
      <c r="S1597" s="98" t="e">
        <f t="shared" si="917"/>
        <v>#VALUE!</v>
      </c>
      <c r="T1597" s="98" t="str">
        <f t="shared" si="886"/>
        <v/>
      </c>
      <c r="U1597" s="99"/>
      <c r="V1597" s="100"/>
      <c r="W1597" s="101" t="e">
        <f t="shared" si="887"/>
        <v>#VALUE!</v>
      </c>
      <c r="X1597" s="102"/>
      <c r="Y1597" s="141"/>
      <c r="Z1597" s="141"/>
      <c r="AA1597" s="47" t="e">
        <f>INDEX(VISITORS[INSECT ORDER], MATCH(X1597,VISITORS[NAME USED],0))</f>
        <v>#N/A</v>
      </c>
      <c r="AB1597" s="98" t="e">
        <f t="shared" si="888"/>
        <v>#N/A</v>
      </c>
      <c r="AC1597" s="53" t="e">
        <f t="shared" si="889"/>
        <v>#VALUE!</v>
      </c>
      <c r="AD1597" s="103" t="str">
        <f t="shared" si="890"/>
        <v/>
      </c>
      <c r="AE1597" s="103"/>
      <c r="AF1597" s="103"/>
      <c r="AG1597" s="104" t="str">
        <f t="shared" si="891"/>
        <v/>
      </c>
      <c r="AH1597" s="105" t="str">
        <f t="shared" si="892"/>
        <v/>
      </c>
      <c r="AI1597" s="104"/>
      <c r="AJ1597" s="105" t="str">
        <f t="shared" si="893"/>
        <v/>
      </c>
      <c r="AK1597" s="104"/>
      <c r="AL1597" s="105" t="str">
        <f t="shared" si="894"/>
        <v/>
      </c>
      <c r="AM1597" s="104"/>
      <c r="AN1597" s="105" t="str">
        <f t="shared" si="895"/>
        <v/>
      </c>
      <c r="AO1597" s="104"/>
      <c r="AP1597" s="105" t="str">
        <f t="shared" si="896"/>
        <v/>
      </c>
      <c r="AQ1597" s="104"/>
      <c r="AR1597" s="105" t="str">
        <f t="shared" si="897"/>
        <v/>
      </c>
      <c r="AS1597" s="106"/>
      <c r="AT1597" s="107"/>
      <c r="AU1597" s="107"/>
      <c r="AV1597" s="108"/>
      <c r="AW1597" s="109" t="str">
        <f t="shared" si="898"/>
        <v/>
      </c>
      <c r="AX1597" s="110" t="str">
        <f t="shared" si="899"/>
        <v/>
      </c>
      <c r="AY1597" s="109" t="str">
        <f t="shared" si="900"/>
        <v/>
      </c>
      <c r="AZ1597" s="110" t="str">
        <f t="shared" si="901"/>
        <v/>
      </c>
    </row>
    <row r="1598" spans="1:52" s="3" customFormat="1" ht="12" hidden="1" customHeight="1" x14ac:dyDescent="0.35">
      <c r="A1598" s="72">
        <f t="shared" si="859"/>
        <v>2020</v>
      </c>
      <c r="B1598" s="72" t="str">
        <f t="shared" si="878"/>
        <v>Dec</v>
      </c>
      <c r="C1598" s="73">
        <f t="shared" si="879"/>
        <v>3</v>
      </c>
      <c r="D1598" s="74">
        <f t="shared" si="880"/>
        <v>17</v>
      </c>
      <c r="E1598" s="75">
        <f t="shared" si="860"/>
        <v>29</v>
      </c>
      <c r="F1598" s="79"/>
      <c r="G1598" s="82"/>
      <c r="H1598" s="68" t="str">
        <f t="shared" si="881"/>
        <v>Hyprev6_20201203_17_00</v>
      </c>
      <c r="I1598" s="69">
        <f t="shared" ref="I1598:N1598" si="929">I1597</f>
        <v>1</v>
      </c>
      <c r="J1598" s="76" t="str">
        <f t="shared" si="929"/>
        <v>Hypericum</v>
      </c>
      <c r="K1598" s="76" t="str">
        <f t="shared" si="929"/>
        <v>revolutum</v>
      </c>
      <c r="L1598" s="77">
        <f t="shared" si="929"/>
        <v>6</v>
      </c>
      <c r="M1598" s="77">
        <f t="shared" si="929"/>
        <v>1</v>
      </c>
      <c r="N1598" s="71">
        <f t="shared" si="929"/>
        <v>0</v>
      </c>
      <c r="O1598" s="44"/>
      <c r="P1598" s="45" t="str">
        <f t="shared" si="883"/>
        <v/>
      </c>
      <c r="Q1598" s="46" t="str">
        <f t="shared" si="884"/>
        <v/>
      </c>
      <c r="R1598" s="47" t="e">
        <f t="shared" si="885"/>
        <v>#VALUE!</v>
      </c>
      <c r="S1598" s="48" t="e">
        <f t="shared" si="917"/>
        <v>#VALUE!</v>
      </c>
      <c r="T1598" s="47" t="str">
        <f t="shared" si="886"/>
        <v/>
      </c>
      <c r="U1598" s="49"/>
      <c r="V1598" s="50"/>
      <c r="W1598" s="51" t="e">
        <f t="shared" si="887"/>
        <v>#VALUE!</v>
      </c>
      <c r="X1598" s="52"/>
      <c r="Y1598" s="52"/>
      <c r="Z1598" s="52"/>
      <c r="AA1598" s="47" t="e">
        <f>INDEX(VISITORS[INSECT ORDER], MATCH(X1598,VISITORS[NAME USED],0))</f>
        <v>#N/A</v>
      </c>
      <c r="AB1598" s="47" t="e">
        <f t="shared" si="888"/>
        <v>#N/A</v>
      </c>
      <c r="AC1598" s="53" t="e">
        <f t="shared" si="889"/>
        <v>#VALUE!</v>
      </c>
      <c r="AD1598" s="54" t="str">
        <f t="shared" si="890"/>
        <v/>
      </c>
      <c r="AE1598" s="54"/>
      <c r="AF1598" s="54"/>
      <c r="AG1598" s="55" t="str">
        <f t="shared" si="891"/>
        <v/>
      </c>
      <c r="AH1598" s="56" t="str">
        <f t="shared" si="892"/>
        <v/>
      </c>
      <c r="AI1598" s="55"/>
      <c r="AJ1598" s="56" t="str">
        <f t="shared" si="893"/>
        <v/>
      </c>
      <c r="AK1598" s="55"/>
      <c r="AL1598" s="56" t="str">
        <f t="shared" si="894"/>
        <v/>
      </c>
      <c r="AM1598" s="55"/>
      <c r="AN1598" s="56" t="str">
        <f t="shared" si="895"/>
        <v/>
      </c>
      <c r="AO1598" s="55"/>
      <c r="AP1598" s="56" t="str">
        <f t="shared" si="896"/>
        <v/>
      </c>
      <c r="AQ1598" s="55"/>
      <c r="AR1598" s="56" t="str">
        <f t="shared" si="897"/>
        <v/>
      </c>
      <c r="AS1598" s="57"/>
      <c r="AT1598" s="58"/>
      <c r="AU1598" s="58"/>
      <c r="AV1598" s="59"/>
      <c r="AW1598" s="60" t="str">
        <f t="shared" si="898"/>
        <v/>
      </c>
      <c r="AX1598" s="61" t="str">
        <f t="shared" si="899"/>
        <v/>
      </c>
      <c r="AY1598" s="60" t="str">
        <f t="shared" si="900"/>
        <v/>
      </c>
      <c r="AZ1598" s="61" t="str">
        <f t="shared" si="901"/>
        <v/>
      </c>
    </row>
    <row r="1599" spans="1:52" s="3" customFormat="1" ht="12" hidden="1" customHeight="1" x14ac:dyDescent="0.35">
      <c r="A1599" s="72">
        <f t="shared" si="859"/>
        <v>2020</v>
      </c>
      <c r="B1599" s="72" t="str">
        <f t="shared" si="878"/>
        <v>Dec</v>
      </c>
      <c r="C1599" s="73">
        <f t="shared" si="879"/>
        <v>3</v>
      </c>
      <c r="D1599" s="74">
        <f t="shared" si="880"/>
        <v>17</v>
      </c>
      <c r="E1599" s="75">
        <f t="shared" si="860"/>
        <v>30</v>
      </c>
      <c r="F1599" s="79"/>
      <c r="G1599" s="82"/>
      <c r="H1599" s="68" t="str">
        <f t="shared" si="881"/>
        <v>Hyprev6_20201203_17_00</v>
      </c>
      <c r="I1599" s="69">
        <f t="shared" ref="I1599:N1599" si="930">I1598</f>
        <v>1</v>
      </c>
      <c r="J1599" s="76" t="str">
        <f t="shared" si="930"/>
        <v>Hypericum</v>
      </c>
      <c r="K1599" s="76" t="str">
        <f t="shared" si="930"/>
        <v>revolutum</v>
      </c>
      <c r="L1599" s="77">
        <f t="shared" si="930"/>
        <v>6</v>
      </c>
      <c r="M1599" s="77">
        <f t="shared" si="930"/>
        <v>1</v>
      </c>
      <c r="N1599" s="71">
        <f t="shared" si="930"/>
        <v>0</v>
      </c>
      <c r="O1599" s="44"/>
      <c r="P1599" s="45" t="str">
        <f t="shared" si="883"/>
        <v/>
      </c>
      <c r="Q1599" s="46" t="str">
        <f t="shared" si="884"/>
        <v/>
      </c>
      <c r="R1599" s="47" t="e">
        <f t="shared" si="885"/>
        <v>#VALUE!</v>
      </c>
      <c r="S1599" s="48" t="e">
        <f t="shared" si="917"/>
        <v>#VALUE!</v>
      </c>
      <c r="T1599" s="47" t="str">
        <f t="shared" si="886"/>
        <v/>
      </c>
      <c r="U1599" s="49"/>
      <c r="V1599" s="50"/>
      <c r="W1599" s="51" t="e">
        <f t="shared" si="887"/>
        <v>#VALUE!</v>
      </c>
      <c r="X1599" s="52"/>
      <c r="Y1599" s="52"/>
      <c r="Z1599" s="52"/>
      <c r="AA1599" s="47" t="e">
        <f>INDEX(VISITORS[INSECT ORDER], MATCH(X1599,VISITORS[NAME USED],0))</f>
        <v>#N/A</v>
      </c>
      <c r="AB1599" s="47" t="e">
        <f t="shared" si="888"/>
        <v>#N/A</v>
      </c>
      <c r="AC1599" s="53" t="e">
        <f t="shared" si="889"/>
        <v>#VALUE!</v>
      </c>
      <c r="AD1599" s="54" t="str">
        <f t="shared" si="890"/>
        <v/>
      </c>
      <c r="AE1599" s="54"/>
      <c r="AF1599" s="54"/>
      <c r="AG1599" s="55" t="str">
        <f t="shared" si="891"/>
        <v/>
      </c>
      <c r="AH1599" s="56" t="str">
        <f t="shared" si="892"/>
        <v/>
      </c>
      <c r="AI1599" s="55"/>
      <c r="AJ1599" s="56" t="str">
        <f t="shared" si="893"/>
        <v/>
      </c>
      <c r="AK1599" s="55"/>
      <c r="AL1599" s="56" t="str">
        <f t="shared" si="894"/>
        <v/>
      </c>
      <c r="AM1599" s="55"/>
      <c r="AN1599" s="56" t="str">
        <f t="shared" si="895"/>
        <v/>
      </c>
      <c r="AO1599" s="55"/>
      <c r="AP1599" s="56" t="str">
        <f t="shared" si="896"/>
        <v/>
      </c>
      <c r="AQ1599" s="55"/>
      <c r="AR1599" s="56" t="str">
        <f t="shared" si="897"/>
        <v/>
      </c>
      <c r="AS1599" s="57"/>
      <c r="AT1599" s="58"/>
      <c r="AU1599" s="58"/>
      <c r="AV1599" s="59"/>
      <c r="AW1599" s="60" t="str">
        <f t="shared" si="898"/>
        <v/>
      </c>
      <c r="AX1599" s="61" t="str">
        <f t="shared" si="899"/>
        <v/>
      </c>
      <c r="AY1599" s="60" t="str">
        <f t="shared" si="900"/>
        <v/>
      </c>
      <c r="AZ1599" s="61" t="str">
        <f t="shared" si="901"/>
        <v/>
      </c>
    </row>
    <row r="1600" spans="1:52" s="3" customFormat="1" ht="12" hidden="1" customHeight="1" thickBot="1" x14ac:dyDescent="0.4">
      <c r="A1600" s="85">
        <f t="shared" si="859"/>
        <v>2020</v>
      </c>
      <c r="B1600" s="85" t="str">
        <f t="shared" si="878"/>
        <v>Dec</v>
      </c>
      <c r="C1600" s="86">
        <f t="shared" si="879"/>
        <v>3</v>
      </c>
      <c r="D1600" s="87">
        <f t="shared" si="880"/>
        <v>17</v>
      </c>
      <c r="E1600" s="88">
        <f t="shared" si="860"/>
        <v>31</v>
      </c>
      <c r="F1600" s="89"/>
      <c r="G1600" s="90"/>
      <c r="H1600" s="68" t="str">
        <f t="shared" si="881"/>
        <v>Hyprev6_20201203_17_00</v>
      </c>
      <c r="I1600" s="91">
        <f t="shared" ref="I1600:N1600" si="931">I1599</f>
        <v>1</v>
      </c>
      <c r="J1600" s="92" t="str">
        <f t="shared" si="931"/>
        <v>Hypericum</v>
      </c>
      <c r="K1600" s="92" t="str">
        <f t="shared" si="931"/>
        <v>revolutum</v>
      </c>
      <c r="L1600" s="93">
        <f t="shared" si="931"/>
        <v>6</v>
      </c>
      <c r="M1600" s="93">
        <f t="shared" si="931"/>
        <v>1</v>
      </c>
      <c r="N1600" s="94">
        <f t="shared" si="931"/>
        <v>0</v>
      </c>
      <c r="O1600" s="95"/>
      <c r="P1600" s="96" t="str">
        <f t="shared" si="883"/>
        <v/>
      </c>
      <c r="Q1600" s="97" t="str">
        <f t="shared" si="884"/>
        <v/>
      </c>
      <c r="R1600" s="98" t="e">
        <f t="shared" si="885"/>
        <v>#VALUE!</v>
      </c>
      <c r="S1600" s="98" t="e">
        <f t="shared" si="917"/>
        <v>#VALUE!</v>
      </c>
      <c r="T1600" s="98" t="str">
        <f t="shared" si="886"/>
        <v/>
      </c>
      <c r="U1600" s="99"/>
      <c r="V1600" s="100"/>
      <c r="W1600" s="101" t="e">
        <f t="shared" si="887"/>
        <v>#VALUE!</v>
      </c>
      <c r="X1600" s="102"/>
      <c r="Y1600" s="141"/>
      <c r="Z1600" s="141"/>
      <c r="AA1600" s="47" t="e">
        <f>INDEX(VISITORS[INSECT ORDER], MATCH(X1600,VISITORS[NAME USED],0))</f>
        <v>#N/A</v>
      </c>
      <c r="AB1600" s="98" t="e">
        <f t="shared" si="888"/>
        <v>#N/A</v>
      </c>
      <c r="AC1600" s="53" t="e">
        <f t="shared" si="889"/>
        <v>#VALUE!</v>
      </c>
      <c r="AD1600" s="103" t="str">
        <f t="shared" si="890"/>
        <v/>
      </c>
      <c r="AE1600" s="103"/>
      <c r="AF1600" s="103"/>
      <c r="AG1600" s="104" t="str">
        <f t="shared" si="891"/>
        <v/>
      </c>
      <c r="AH1600" s="105" t="str">
        <f t="shared" si="892"/>
        <v/>
      </c>
      <c r="AI1600" s="104"/>
      <c r="AJ1600" s="105" t="str">
        <f t="shared" si="893"/>
        <v/>
      </c>
      <c r="AK1600" s="104"/>
      <c r="AL1600" s="105" t="str">
        <f t="shared" si="894"/>
        <v/>
      </c>
      <c r="AM1600" s="104"/>
      <c r="AN1600" s="105" t="str">
        <f t="shared" si="895"/>
        <v/>
      </c>
      <c r="AO1600" s="104"/>
      <c r="AP1600" s="105" t="str">
        <f t="shared" si="896"/>
        <v/>
      </c>
      <c r="AQ1600" s="104"/>
      <c r="AR1600" s="105" t="str">
        <f t="shared" si="897"/>
        <v/>
      </c>
      <c r="AS1600" s="106"/>
      <c r="AT1600" s="107"/>
      <c r="AU1600" s="107"/>
      <c r="AV1600" s="108"/>
      <c r="AW1600" s="109" t="str">
        <f t="shared" si="898"/>
        <v/>
      </c>
      <c r="AX1600" s="110" t="str">
        <f t="shared" si="899"/>
        <v/>
      </c>
      <c r="AY1600" s="109" t="str">
        <f t="shared" si="900"/>
        <v/>
      </c>
      <c r="AZ1600" s="110" t="str">
        <f t="shared" si="901"/>
        <v/>
      </c>
    </row>
    <row r="1601" spans="1:52" s="3" customFormat="1" ht="12" hidden="1" customHeight="1" x14ac:dyDescent="0.35">
      <c r="A1601" s="72">
        <f t="shared" si="859"/>
        <v>2020</v>
      </c>
      <c r="B1601" s="72" t="str">
        <f t="shared" si="878"/>
        <v>Dec</v>
      </c>
      <c r="C1601" s="73">
        <f t="shared" si="879"/>
        <v>3</v>
      </c>
      <c r="D1601" s="74">
        <f t="shared" si="880"/>
        <v>17</v>
      </c>
      <c r="E1601" s="75">
        <f t="shared" si="860"/>
        <v>32</v>
      </c>
      <c r="F1601" s="79"/>
      <c r="G1601" s="82"/>
      <c r="H1601" s="68" t="str">
        <f t="shared" si="881"/>
        <v>Hyprev6_20201203_17_00</v>
      </c>
      <c r="I1601" s="69">
        <f t="shared" ref="I1601:N1601" si="932">I1600</f>
        <v>1</v>
      </c>
      <c r="J1601" s="76" t="str">
        <f t="shared" si="932"/>
        <v>Hypericum</v>
      </c>
      <c r="K1601" s="76" t="str">
        <f t="shared" si="932"/>
        <v>revolutum</v>
      </c>
      <c r="L1601" s="77">
        <f t="shared" si="932"/>
        <v>6</v>
      </c>
      <c r="M1601" s="77">
        <f t="shared" si="932"/>
        <v>1</v>
      </c>
      <c r="N1601" s="71">
        <f t="shared" si="932"/>
        <v>0</v>
      </c>
      <c r="O1601" s="44"/>
      <c r="P1601" s="45" t="str">
        <f t="shared" si="883"/>
        <v/>
      </c>
      <c r="Q1601" s="46" t="str">
        <f t="shared" si="884"/>
        <v/>
      </c>
      <c r="R1601" s="47" t="e">
        <f t="shared" si="885"/>
        <v>#VALUE!</v>
      </c>
      <c r="S1601" s="48" t="e">
        <f t="shared" si="917"/>
        <v>#VALUE!</v>
      </c>
      <c r="T1601" s="47" t="str">
        <f t="shared" si="886"/>
        <v/>
      </c>
      <c r="U1601" s="49"/>
      <c r="V1601" s="50"/>
      <c r="W1601" s="51" t="e">
        <f t="shared" si="887"/>
        <v>#VALUE!</v>
      </c>
      <c r="X1601" s="52"/>
      <c r="Y1601" s="52"/>
      <c r="Z1601" s="52"/>
      <c r="AA1601" s="47" t="e">
        <f>INDEX(VISITORS[INSECT ORDER], MATCH(X1601,VISITORS[NAME USED],0))</f>
        <v>#N/A</v>
      </c>
      <c r="AB1601" s="47" t="e">
        <f t="shared" si="888"/>
        <v>#N/A</v>
      </c>
      <c r="AC1601" s="53" t="e">
        <f t="shared" si="889"/>
        <v>#VALUE!</v>
      </c>
      <c r="AD1601" s="54" t="str">
        <f t="shared" si="890"/>
        <v/>
      </c>
      <c r="AE1601" s="54"/>
      <c r="AF1601" s="54"/>
      <c r="AG1601" s="55" t="str">
        <f t="shared" si="891"/>
        <v/>
      </c>
      <c r="AH1601" s="56" t="str">
        <f t="shared" si="892"/>
        <v/>
      </c>
      <c r="AI1601" s="55"/>
      <c r="AJ1601" s="56" t="str">
        <f t="shared" si="893"/>
        <v/>
      </c>
      <c r="AK1601" s="55"/>
      <c r="AL1601" s="56" t="str">
        <f t="shared" si="894"/>
        <v/>
      </c>
      <c r="AM1601" s="55"/>
      <c r="AN1601" s="56" t="str">
        <f t="shared" si="895"/>
        <v/>
      </c>
      <c r="AO1601" s="55"/>
      <c r="AP1601" s="56" t="str">
        <f t="shared" si="896"/>
        <v/>
      </c>
      <c r="AQ1601" s="55"/>
      <c r="AR1601" s="56" t="str">
        <f t="shared" si="897"/>
        <v/>
      </c>
      <c r="AS1601" s="57"/>
      <c r="AT1601" s="58"/>
      <c r="AU1601" s="58"/>
      <c r="AV1601" s="59"/>
      <c r="AW1601" s="60" t="str">
        <f t="shared" si="898"/>
        <v/>
      </c>
      <c r="AX1601" s="61" t="str">
        <f t="shared" si="899"/>
        <v/>
      </c>
      <c r="AY1601" s="60" t="str">
        <f t="shared" si="900"/>
        <v/>
      </c>
      <c r="AZ1601" s="61" t="str">
        <f t="shared" si="901"/>
        <v/>
      </c>
    </row>
    <row r="1602" spans="1:52" s="3" customFormat="1" ht="12" hidden="1" customHeight="1" x14ac:dyDescent="0.35">
      <c r="A1602" s="72">
        <f t="shared" si="859"/>
        <v>2020</v>
      </c>
      <c r="B1602" s="72" t="str">
        <f t="shared" si="878"/>
        <v>Dec</v>
      </c>
      <c r="C1602" s="73">
        <f t="shared" si="879"/>
        <v>3</v>
      </c>
      <c r="D1602" s="74">
        <f t="shared" si="880"/>
        <v>17</v>
      </c>
      <c r="E1602" s="75">
        <f t="shared" si="860"/>
        <v>33</v>
      </c>
      <c r="F1602" s="79"/>
      <c r="G1602" s="82"/>
      <c r="H1602" s="68" t="str">
        <f t="shared" si="881"/>
        <v>Hyprev6_20201203_17_00</v>
      </c>
      <c r="I1602" s="69">
        <f t="shared" ref="I1602:N1602" si="933">I1601</f>
        <v>1</v>
      </c>
      <c r="J1602" s="76" t="str">
        <f t="shared" si="933"/>
        <v>Hypericum</v>
      </c>
      <c r="K1602" s="76" t="str">
        <f t="shared" si="933"/>
        <v>revolutum</v>
      </c>
      <c r="L1602" s="77">
        <f t="shared" si="933"/>
        <v>6</v>
      </c>
      <c r="M1602" s="77">
        <f t="shared" si="933"/>
        <v>1</v>
      </c>
      <c r="N1602" s="71">
        <f t="shared" si="933"/>
        <v>0</v>
      </c>
      <c r="O1602" s="44"/>
      <c r="P1602" s="45" t="str">
        <f t="shared" si="883"/>
        <v/>
      </c>
      <c r="Q1602" s="46" t="str">
        <f t="shared" si="884"/>
        <v/>
      </c>
      <c r="R1602" s="47" t="e">
        <f t="shared" si="885"/>
        <v>#VALUE!</v>
      </c>
      <c r="S1602" s="48" t="e">
        <f t="shared" si="917"/>
        <v>#VALUE!</v>
      </c>
      <c r="T1602" s="47" t="str">
        <f t="shared" si="886"/>
        <v/>
      </c>
      <c r="U1602" s="49"/>
      <c r="V1602" s="50"/>
      <c r="W1602" s="51" t="e">
        <f t="shared" si="887"/>
        <v>#VALUE!</v>
      </c>
      <c r="X1602" s="52"/>
      <c r="Y1602" s="52"/>
      <c r="Z1602" s="52"/>
      <c r="AA1602" s="47" t="e">
        <f>INDEX(VISITORS[INSECT ORDER], MATCH(X1602,VISITORS[NAME USED],0))</f>
        <v>#N/A</v>
      </c>
      <c r="AB1602" s="47" t="e">
        <f t="shared" si="888"/>
        <v>#N/A</v>
      </c>
      <c r="AC1602" s="53" t="e">
        <f t="shared" si="889"/>
        <v>#VALUE!</v>
      </c>
      <c r="AD1602" s="54" t="str">
        <f t="shared" si="890"/>
        <v/>
      </c>
      <c r="AE1602" s="54"/>
      <c r="AF1602" s="54"/>
      <c r="AG1602" s="55" t="str">
        <f t="shared" si="891"/>
        <v/>
      </c>
      <c r="AH1602" s="56" t="str">
        <f t="shared" si="892"/>
        <v/>
      </c>
      <c r="AI1602" s="55"/>
      <c r="AJ1602" s="56" t="str">
        <f t="shared" si="893"/>
        <v/>
      </c>
      <c r="AK1602" s="55"/>
      <c r="AL1602" s="56" t="str">
        <f t="shared" si="894"/>
        <v/>
      </c>
      <c r="AM1602" s="55"/>
      <c r="AN1602" s="56" t="str">
        <f t="shared" si="895"/>
        <v/>
      </c>
      <c r="AO1602" s="55"/>
      <c r="AP1602" s="56" t="str">
        <f t="shared" si="896"/>
        <v/>
      </c>
      <c r="AQ1602" s="55"/>
      <c r="AR1602" s="56" t="str">
        <f t="shared" si="897"/>
        <v/>
      </c>
      <c r="AS1602" s="57"/>
      <c r="AT1602" s="58"/>
      <c r="AU1602" s="58"/>
      <c r="AV1602" s="59"/>
      <c r="AW1602" s="60" t="str">
        <f t="shared" si="898"/>
        <v/>
      </c>
      <c r="AX1602" s="61" t="str">
        <f t="shared" si="899"/>
        <v/>
      </c>
      <c r="AY1602" s="60" t="str">
        <f t="shared" si="900"/>
        <v/>
      </c>
      <c r="AZ1602" s="61" t="str">
        <f t="shared" si="901"/>
        <v/>
      </c>
    </row>
    <row r="1603" spans="1:52" s="3" customFormat="1" ht="12" hidden="1" customHeight="1" thickBot="1" x14ac:dyDescent="0.4">
      <c r="A1603" s="85">
        <f t="shared" si="859"/>
        <v>2020</v>
      </c>
      <c r="B1603" s="85" t="str">
        <f t="shared" si="878"/>
        <v>Dec</v>
      </c>
      <c r="C1603" s="86">
        <f t="shared" si="879"/>
        <v>3</v>
      </c>
      <c r="D1603" s="87">
        <f t="shared" si="880"/>
        <v>17</v>
      </c>
      <c r="E1603" s="88">
        <f t="shared" si="860"/>
        <v>34</v>
      </c>
      <c r="F1603" s="89"/>
      <c r="G1603" s="90"/>
      <c r="H1603" s="68" t="str">
        <f t="shared" si="881"/>
        <v>Hyprev6_20201203_17_00</v>
      </c>
      <c r="I1603" s="91">
        <f t="shared" ref="I1603:N1603" si="934">I1602</f>
        <v>1</v>
      </c>
      <c r="J1603" s="92" t="str">
        <f t="shared" si="934"/>
        <v>Hypericum</v>
      </c>
      <c r="K1603" s="92" t="str">
        <f t="shared" si="934"/>
        <v>revolutum</v>
      </c>
      <c r="L1603" s="93">
        <f t="shared" si="934"/>
        <v>6</v>
      </c>
      <c r="M1603" s="93">
        <f t="shared" si="934"/>
        <v>1</v>
      </c>
      <c r="N1603" s="94">
        <f t="shared" si="934"/>
        <v>0</v>
      </c>
      <c r="O1603" s="95"/>
      <c r="P1603" s="96" t="str">
        <f t="shared" si="883"/>
        <v/>
      </c>
      <c r="Q1603" s="97" t="str">
        <f t="shared" si="884"/>
        <v/>
      </c>
      <c r="R1603" s="98" t="e">
        <f t="shared" si="885"/>
        <v>#VALUE!</v>
      </c>
      <c r="S1603" s="98" t="e">
        <f t="shared" si="917"/>
        <v>#VALUE!</v>
      </c>
      <c r="T1603" s="98" t="str">
        <f t="shared" si="886"/>
        <v/>
      </c>
      <c r="U1603" s="99"/>
      <c r="V1603" s="100"/>
      <c r="W1603" s="101" t="e">
        <f t="shared" si="887"/>
        <v>#VALUE!</v>
      </c>
      <c r="X1603" s="102"/>
      <c r="Y1603" s="141"/>
      <c r="Z1603" s="141"/>
      <c r="AA1603" s="47" t="e">
        <f>INDEX(VISITORS[INSECT ORDER], MATCH(X1603,VISITORS[NAME USED],0))</f>
        <v>#N/A</v>
      </c>
      <c r="AB1603" s="98" t="e">
        <f t="shared" si="888"/>
        <v>#N/A</v>
      </c>
      <c r="AC1603" s="53" t="e">
        <f t="shared" si="889"/>
        <v>#VALUE!</v>
      </c>
      <c r="AD1603" s="103" t="str">
        <f t="shared" si="890"/>
        <v/>
      </c>
      <c r="AE1603" s="103"/>
      <c r="AF1603" s="103"/>
      <c r="AG1603" s="104" t="str">
        <f t="shared" si="891"/>
        <v/>
      </c>
      <c r="AH1603" s="105" t="str">
        <f t="shared" si="892"/>
        <v/>
      </c>
      <c r="AI1603" s="104"/>
      <c r="AJ1603" s="105" t="str">
        <f t="shared" si="893"/>
        <v/>
      </c>
      <c r="AK1603" s="104"/>
      <c r="AL1603" s="105" t="str">
        <f t="shared" si="894"/>
        <v/>
      </c>
      <c r="AM1603" s="104"/>
      <c r="AN1603" s="105" t="str">
        <f t="shared" si="895"/>
        <v/>
      </c>
      <c r="AO1603" s="104"/>
      <c r="AP1603" s="105" t="str">
        <f t="shared" si="896"/>
        <v/>
      </c>
      <c r="AQ1603" s="104"/>
      <c r="AR1603" s="105" t="str">
        <f t="shared" si="897"/>
        <v/>
      </c>
      <c r="AS1603" s="106"/>
      <c r="AT1603" s="107"/>
      <c r="AU1603" s="107"/>
      <c r="AV1603" s="108"/>
      <c r="AW1603" s="109" t="str">
        <f t="shared" si="898"/>
        <v/>
      </c>
      <c r="AX1603" s="110" t="str">
        <f t="shared" si="899"/>
        <v/>
      </c>
      <c r="AY1603" s="109" t="str">
        <f t="shared" si="900"/>
        <v/>
      </c>
      <c r="AZ1603" s="110" t="str">
        <f t="shared" si="901"/>
        <v/>
      </c>
    </row>
    <row r="1604" spans="1:52" s="3" customFormat="1" ht="12" hidden="1" customHeight="1" x14ac:dyDescent="0.35">
      <c r="A1604" s="72">
        <f t="shared" si="859"/>
        <v>2020</v>
      </c>
      <c r="B1604" s="72" t="str">
        <f t="shared" si="878"/>
        <v>Dec</v>
      </c>
      <c r="C1604" s="73">
        <f t="shared" si="879"/>
        <v>3</v>
      </c>
      <c r="D1604" s="74">
        <f t="shared" si="880"/>
        <v>17</v>
      </c>
      <c r="E1604" s="75">
        <f t="shared" si="860"/>
        <v>35</v>
      </c>
      <c r="F1604" s="79"/>
      <c r="G1604" s="82"/>
      <c r="H1604" s="68" t="str">
        <f t="shared" si="881"/>
        <v>Hyprev6_20201203_17_00</v>
      </c>
      <c r="I1604" s="69">
        <f t="shared" ref="I1604:N1604" si="935">I1603</f>
        <v>1</v>
      </c>
      <c r="J1604" s="76" t="str">
        <f t="shared" si="935"/>
        <v>Hypericum</v>
      </c>
      <c r="K1604" s="76" t="str">
        <f t="shared" si="935"/>
        <v>revolutum</v>
      </c>
      <c r="L1604" s="77">
        <f t="shared" si="935"/>
        <v>6</v>
      </c>
      <c r="M1604" s="77">
        <f t="shared" si="935"/>
        <v>1</v>
      </c>
      <c r="N1604" s="71">
        <f t="shared" si="935"/>
        <v>0</v>
      </c>
      <c r="O1604" s="44"/>
      <c r="P1604" s="45" t="str">
        <f t="shared" si="883"/>
        <v/>
      </c>
      <c r="Q1604" s="46" t="str">
        <f t="shared" si="884"/>
        <v/>
      </c>
      <c r="R1604" s="47" t="e">
        <f t="shared" si="885"/>
        <v>#VALUE!</v>
      </c>
      <c r="S1604" s="48" t="e">
        <f t="shared" si="917"/>
        <v>#VALUE!</v>
      </c>
      <c r="T1604" s="47" t="str">
        <f t="shared" si="886"/>
        <v/>
      </c>
      <c r="U1604" s="49"/>
      <c r="V1604" s="50"/>
      <c r="W1604" s="51" t="e">
        <f t="shared" si="887"/>
        <v>#VALUE!</v>
      </c>
      <c r="X1604" s="52"/>
      <c r="Y1604" s="52"/>
      <c r="Z1604" s="52"/>
      <c r="AA1604" s="47" t="e">
        <f>INDEX(VISITORS[INSECT ORDER], MATCH(X1604,VISITORS[NAME USED],0))</f>
        <v>#N/A</v>
      </c>
      <c r="AB1604" s="47" t="e">
        <f t="shared" si="888"/>
        <v>#N/A</v>
      </c>
      <c r="AC1604" s="53" t="e">
        <f t="shared" si="889"/>
        <v>#VALUE!</v>
      </c>
      <c r="AD1604" s="54" t="str">
        <f t="shared" si="890"/>
        <v/>
      </c>
      <c r="AE1604" s="54"/>
      <c r="AF1604" s="54"/>
      <c r="AG1604" s="55" t="str">
        <f t="shared" si="891"/>
        <v/>
      </c>
      <c r="AH1604" s="56" t="str">
        <f t="shared" si="892"/>
        <v/>
      </c>
      <c r="AI1604" s="55"/>
      <c r="AJ1604" s="56" t="str">
        <f t="shared" si="893"/>
        <v/>
      </c>
      <c r="AK1604" s="55"/>
      <c r="AL1604" s="56" t="str">
        <f t="shared" si="894"/>
        <v/>
      </c>
      <c r="AM1604" s="55"/>
      <c r="AN1604" s="56" t="str">
        <f t="shared" si="895"/>
        <v/>
      </c>
      <c r="AO1604" s="55"/>
      <c r="AP1604" s="56" t="str">
        <f t="shared" si="896"/>
        <v/>
      </c>
      <c r="AQ1604" s="55"/>
      <c r="AR1604" s="56" t="str">
        <f t="shared" si="897"/>
        <v/>
      </c>
      <c r="AS1604" s="57"/>
      <c r="AT1604" s="58"/>
      <c r="AU1604" s="58"/>
      <c r="AV1604" s="59"/>
      <c r="AW1604" s="60" t="str">
        <f t="shared" si="898"/>
        <v/>
      </c>
      <c r="AX1604" s="61" t="str">
        <f t="shared" si="899"/>
        <v/>
      </c>
      <c r="AY1604" s="60" t="str">
        <f t="shared" si="900"/>
        <v/>
      </c>
      <c r="AZ1604" s="61" t="str">
        <f t="shared" si="901"/>
        <v/>
      </c>
    </row>
    <row r="1605" spans="1:52" s="3" customFormat="1" ht="12" hidden="1" customHeight="1" x14ac:dyDescent="0.35">
      <c r="A1605" s="72">
        <f t="shared" si="859"/>
        <v>2020</v>
      </c>
      <c r="B1605" s="72" t="str">
        <f t="shared" si="878"/>
        <v>Dec</v>
      </c>
      <c r="C1605" s="73">
        <f t="shared" si="879"/>
        <v>3</v>
      </c>
      <c r="D1605" s="74">
        <f t="shared" si="880"/>
        <v>17</v>
      </c>
      <c r="E1605" s="75">
        <f t="shared" si="860"/>
        <v>36</v>
      </c>
      <c r="F1605" s="79"/>
      <c r="G1605" s="82"/>
      <c r="H1605" s="68" t="str">
        <f t="shared" si="881"/>
        <v>Hyprev6_20201203_17_00</v>
      </c>
      <c r="I1605" s="69">
        <f t="shared" ref="I1605:N1605" si="936">I1604</f>
        <v>1</v>
      </c>
      <c r="J1605" s="76" t="str">
        <f t="shared" si="936"/>
        <v>Hypericum</v>
      </c>
      <c r="K1605" s="76" t="str">
        <f t="shared" si="936"/>
        <v>revolutum</v>
      </c>
      <c r="L1605" s="77">
        <f t="shared" si="936"/>
        <v>6</v>
      </c>
      <c r="M1605" s="77">
        <f t="shared" si="936"/>
        <v>1</v>
      </c>
      <c r="N1605" s="71">
        <f t="shared" si="936"/>
        <v>0</v>
      </c>
      <c r="O1605" s="44"/>
      <c r="P1605" s="45" t="str">
        <f t="shared" si="883"/>
        <v/>
      </c>
      <c r="Q1605" s="46" t="str">
        <f t="shared" si="884"/>
        <v/>
      </c>
      <c r="R1605" s="47" t="e">
        <f t="shared" si="885"/>
        <v>#VALUE!</v>
      </c>
      <c r="S1605" s="48" t="e">
        <f t="shared" si="917"/>
        <v>#VALUE!</v>
      </c>
      <c r="T1605" s="47" t="str">
        <f t="shared" si="886"/>
        <v/>
      </c>
      <c r="U1605" s="49"/>
      <c r="V1605" s="50"/>
      <c r="W1605" s="51" t="e">
        <f t="shared" si="887"/>
        <v>#VALUE!</v>
      </c>
      <c r="X1605" s="52"/>
      <c r="Y1605" s="52"/>
      <c r="Z1605" s="52"/>
      <c r="AA1605" s="47" t="e">
        <f>INDEX(VISITORS[INSECT ORDER], MATCH(X1605,VISITORS[NAME USED],0))</f>
        <v>#N/A</v>
      </c>
      <c r="AB1605" s="47" t="e">
        <f t="shared" si="888"/>
        <v>#N/A</v>
      </c>
      <c r="AC1605" s="53" t="e">
        <f t="shared" si="889"/>
        <v>#VALUE!</v>
      </c>
      <c r="AD1605" s="54" t="str">
        <f t="shared" si="890"/>
        <v/>
      </c>
      <c r="AE1605" s="54"/>
      <c r="AF1605" s="54"/>
      <c r="AG1605" s="55" t="str">
        <f t="shared" si="891"/>
        <v/>
      </c>
      <c r="AH1605" s="56" t="str">
        <f t="shared" si="892"/>
        <v/>
      </c>
      <c r="AI1605" s="55"/>
      <c r="AJ1605" s="56" t="str">
        <f t="shared" si="893"/>
        <v/>
      </c>
      <c r="AK1605" s="55"/>
      <c r="AL1605" s="56" t="str">
        <f t="shared" si="894"/>
        <v/>
      </c>
      <c r="AM1605" s="55"/>
      <c r="AN1605" s="56" t="str">
        <f t="shared" si="895"/>
        <v/>
      </c>
      <c r="AO1605" s="55"/>
      <c r="AP1605" s="56" t="str">
        <f t="shared" si="896"/>
        <v/>
      </c>
      <c r="AQ1605" s="55"/>
      <c r="AR1605" s="56" t="str">
        <f t="shared" si="897"/>
        <v/>
      </c>
      <c r="AS1605" s="57"/>
      <c r="AT1605" s="58"/>
      <c r="AU1605" s="58"/>
      <c r="AV1605" s="59"/>
      <c r="AW1605" s="60" t="str">
        <f t="shared" si="898"/>
        <v/>
      </c>
      <c r="AX1605" s="61" t="str">
        <f t="shared" si="899"/>
        <v/>
      </c>
      <c r="AY1605" s="60" t="str">
        <f t="shared" si="900"/>
        <v/>
      </c>
      <c r="AZ1605" s="61" t="str">
        <f t="shared" si="901"/>
        <v/>
      </c>
    </row>
    <row r="1606" spans="1:52" s="3" customFormat="1" ht="12" hidden="1" customHeight="1" thickBot="1" x14ac:dyDescent="0.4">
      <c r="A1606" s="85">
        <f t="shared" si="859"/>
        <v>2020</v>
      </c>
      <c r="B1606" s="85" t="str">
        <f t="shared" si="878"/>
        <v>Dec</v>
      </c>
      <c r="C1606" s="86">
        <f t="shared" si="879"/>
        <v>3</v>
      </c>
      <c r="D1606" s="87">
        <f t="shared" si="880"/>
        <v>17</v>
      </c>
      <c r="E1606" s="88">
        <f t="shared" si="860"/>
        <v>37</v>
      </c>
      <c r="F1606" s="89"/>
      <c r="G1606" s="90"/>
      <c r="H1606" s="68" t="str">
        <f t="shared" si="881"/>
        <v>Hyprev6_20201203_17_00</v>
      </c>
      <c r="I1606" s="91">
        <f t="shared" ref="I1606:N1606" si="937">I1605</f>
        <v>1</v>
      </c>
      <c r="J1606" s="92" t="str">
        <f t="shared" si="937"/>
        <v>Hypericum</v>
      </c>
      <c r="K1606" s="92" t="str">
        <f t="shared" si="937"/>
        <v>revolutum</v>
      </c>
      <c r="L1606" s="93">
        <f t="shared" si="937"/>
        <v>6</v>
      </c>
      <c r="M1606" s="93">
        <f t="shared" si="937"/>
        <v>1</v>
      </c>
      <c r="N1606" s="94">
        <f t="shared" si="937"/>
        <v>0</v>
      </c>
      <c r="O1606" s="95"/>
      <c r="P1606" s="96" t="str">
        <f t="shared" si="883"/>
        <v/>
      </c>
      <c r="Q1606" s="97" t="str">
        <f t="shared" si="884"/>
        <v/>
      </c>
      <c r="R1606" s="98" t="e">
        <f t="shared" si="885"/>
        <v>#VALUE!</v>
      </c>
      <c r="S1606" s="98" t="e">
        <f t="shared" si="917"/>
        <v>#VALUE!</v>
      </c>
      <c r="T1606" s="98" t="str">
        <f t="shared" si="886"/>
        <v/>
      </c>
      <c r="U1606" s="99"/>
      <c r="V1606" s="100"/>
      <c r="W1606" s="101" t="e">
        <f t="shared" si="887"/>
        <v>#VALUE!</v>
      </c>
      <c r="X1606" s="102"/>
      <c r="Y1606" s="141"/>
      <c r="Z1606" s="141"/>
      <c r="AA1606" s="47" t="e">
        <f>INDEX(VISITORS[INSECT ORDER], MATCH(X1606,VISITORS[NAME USED],0))</f>
        <v>#N/A</v>
      </c>
      <c r="AB1606" s="98" t="e">
        <f t="shared" si="888"/>
        <v>#N/A</v>
      </c>
      <c r="AC1606" s="53" t="e">
        <f t="shared" si="889"/>
        <v>#VALUE!</v>
      </c>
      <c r="AD1606" s="103" t="str">
        <f t="shared" si="890"/>
        <v/>
      </c>
      <c r="AE1606" s="103"/>
      <c r="AF1606" s="103"/>
      <c r="AG1606" s="104" t="str">
        <f t="shared" si="891"/>
        <v/>
      </c>
      <c r="AH1606" s="105" t="str">
        <f t="shared" si="892"/>
        <v/>
      </c>
      <c r="AI1606" s="104"/>
      <c r="AJ1606" s="105" t="str">
        <f t="shared" si="893"/>
        <v/>
      </c>
      <c r="AK1606" s="104"/>
      <c r="AL1606" s="105" t="str">
        <f t="shared" si="894"/>
        <v/>
      </c>
      <c r="AM1606" s="104"/>
      <c r="AN1606" s="105" t="str">
        <f t="shared" si="895"/>
        <v/>
      </c>
      <c r="AO1606" s="104"/>
      <c r="AP1606" s="105" t="str">
        <f t="shared" si="896"/>
        <v/>
      </c>
      <c r="AQ1606" s="104"/>
      <c r="AR1606" s="105" t="str">
        <f t="shared" si="897"/>
        <v/>
      </c>
      <c r="AS1606" s="106"/>
      <c r="AT1606" s="107"/>
      <c r="AU1606" s="107"/>
      <c r="AV1606" s="108"/>
      <c r="AW1606" s="109" t="str">
        <f t="shared" si="898"/>
        <v/>
      </c>
      <c r="AX1606" s="110" t="str">
        <f t="shared" si="899"/>
        <v/>
      </c>
      <c r="AY1606" s="109" t="str">
        <f t="shared" si="900"/>
        <v/>
      </c>
      <c r="AZ1606" s="110" t="str">
        <f t="shared" si="901"/>
        <v/>
      </c>
    </row>
    <row r="1607" spans="1:52" s="3" customFormat="1" ht="12" hidden="1" customHeight="1" x14ac:dyDescent="0.35">
      <c r="A1607" s="72">
        <f t="shared" si="859"/>
        <v>2020</v>
      </c>
      <c r="B1607" s="72" t="str">
        <f t="shared" si="878"/>
        <v>Dec</v>
      </c>
      <c r="C1607" s="73">
        <f t="shared" si="879"/>
        <v>3</v>
      </c>
      <c r="D1607" s="74">
        <f t="shared" si="880"/>
        <v>17</v>
      </c>
      <c r="E1607" s="75">
        <f t="shared" si="860"/>
        <v>38</v>
      </c>
      <c r="F1607" s="79"/>
      <c r="G1607" s="82"/>
      <c r="H1607" s="68" t="str">
        <f t="shared" si="881"/>
        <v>Hyprev6_20201203_17_00</v>
      </c>
      <c r="I1607" s="69">
        <f t="shared" ref="I1607:N1607" si="938">I1606</f>
        <v>1</v>
      </c>
      <c r="J1607" s="76" t="str">
        <f t="shared" si="938"/>
        <v>Hypericum</v>
      </c>
      <c r="K1607" s="76" t="str">
        <f t="shared" si="938"/>
        <v>revolutum</v>
      </c>
      <c r="L1607" s="77">
        <f t="shared" si="938"/>
        <v>6</v>
      </c>
      <c r="M1607" s="77">
        <f t="shared" si="938"/>
        <v>1</v>
      </c>
      <c r="N1607" s="71">
        <f t="shared" si="938"/>
        <v>0</v>
      </c>
      <c r="O1607" s="44"/>
      <c r="P1607" s="45" t="str">
        <f t="shared" si="883"/>
        <v/>
      </c>
      <c r="Q1607" s="46" t="str">
        <f t="shared" si="884"/>
        <v/>
      </c>
      <c r="R1607" s="47" t="e">
        <f t="shared" si="885"/>
        <v>#VALUE!</v>
      </c>
      <c r="S1607" s="48" t="e">
        <f t="shared" si="917"/>
        <v>#VALUE!</v>
      </c>
      <c r="T1607" s="47" t="str">
        <f t="shared" si="886"/>
        <v/>
      </c>
      <c r="U1607" s="49"/>
      <c r="V1607" s="50"/>
      <c r="W1607" s="51" t="e">
        <f t="shared" si="887"/>
        <v>#VALUE!</v>
      </c>
      <c r="X1607" s="52"/>
      <c r="Y1607" s="52"/>
      <c r="Z1607" s="52"/>
      <c r="AA1607" s="47" t="e">
        <f>INDEX(VISITORS[INSECT ORDER], MATCH(X1607,VISITORS[NAME USED],0))</f>
        <v>#N/A</v>
      </c>
      <c r="AB1607" s="47" t="e">
        <f t="shared" si="888"/>
        <v>#N/A</v>
      </c>
      <c r="AC1607" s="53" t="e">
        <f t="shared" si="889"/>
        <v>#VALUE!</v>
      </c>
      <c r="AD1607" s="54" t="str">
        <f t="shared" si="890"/>
        <v/>
      </c>
      <c r="AE1607" s="54"/>
      <c r="AF1607" s="54"/>
      <c r="AG1607" s="55" t="str">
        <f t="shared" si="891"/>
        <v/>
      </c>
      <c r="AH1607" s="56" t="str">
        <f t="shared" si="892"/>
        <v/>
      </c>
      <c r="AI1607" s="55"/>
      <c r="AJ1607" s="56" t="str">
        <f t="shared" si="893"/>
        <v/>
      </c>
      <c r="AK1607" s="55"/>
      <c r="AL1607" s="56" t="str">
        <f t="shared" si="894"/>
        <v/>
      </c>
      <c r="AM1607" s="55"/>
      <c r="AN1607" s="56" t="str">
        <f t="shared" si="895"/>
        <v/>
      </c>
      <c r="AO1607" s="55"/>
      <c r="AP1607" s="56" t="str">
        <f t="shared" si="896"/>
        <v/>
      </c>
      <c r="AQ1607" s="55"/>
      <c r="AR1607" s="56" t="str">
        <f t="shared" si="897"/>
        <v/>
      </c>
      <c r="AS1607" s="57"/>
      <c r="AT1607" s="58"/>
      <c r="AU1607" s="58"/>
      <c r="AV1607" s="59"/>
      <c r="AW1607" s="60" t="str">
        <f t="shared" si="898"/>
        <v/>
      </c>
      <c r="AX1607" s="61" t="str">
        <f t="shared" si="899"/>
        <v/>
      </c>
      <c r="AY1607" s="60" t="str">
        <f t="shared" si="900"/>
        <v/>
      </c>
      <c r="AZ1607" s="61" t="str">
        <f t="shared" si="901"/>
        <v/>
      </c>
    </row>
    <row r="1608" spans="1:52" s="3" customFormat="1" ht="12" hidden="1" customHeight="1" x14ac:dyDescent="0.35">
      <c r="A1608" s="72">
        <f t="shared" si="859"/>
        <v>2020</v>
      </c>
      <c r="B1608" s="72" t="str">
        <f t="shared" si="878"/>
        <v>Dec</v>
      </c>
      <c r="C1608" s="73">
        <f t="shared" si="879"/>
        <v>3</v>
      </c>
      <c r="D1608" s="74">
        <f t="shared" si="880"/>
        <v>17</v>
      </c>
      <c r="E1608" s="75">
        <f t="shared" si="860"/>
        <v>39</v>
      </c>
      <c r="F1608" s="79"/>
      <c r="G1608" s="82"/>
      <c r="H1608" s="68" t="str">
        <f t="shared" si="881"/>
        <v>Hyprev6_20201203_17_00</v>
      </c>
      <c r="I1608" s="69">
        <f t="shared" ref="I1608:N1608" si="939">I1607</f>
        <v>1</v>
      </c>
      <c r="J1608" s="76" t="str">
        <f t="shared" si="939"/>
        <v>Hypericum</v>
      </c>
      <c r="K1608" s="76" t="str">
        <f t="shared" si="939"/>
        <v>revolutum</v>
      </c>
      <c r="L1608" s="77">
        <f t="shared" si="939"/>
        <v>6</v>
      </c>
      <c r="M1608" s="77">
        <f t="shared" si="939"/>
        <v>1</v>
      </c>
      <c r="N1608" s="71">
        <f t="shared" si="939"/>
        <v>0</v>
      </c>
      <c r="O1608" s="44"/>
      <c r="P1608" s="45" t="str">
        <f t="shared" si="883"/>
        <v/>
      </c>
      <c r="Q1608" s="46" t="str">
        <f t="shared" si="884"/>
        <v/>
      </c>
      <c r="R1608" s="47" t="e">
        <f t="shared" si="885"/>
        <v>#VALUE!</v>
      </c>
      <c r="S1608" s="48" t="e">
        <f t="shared" si="917"/>
        <v>#VALUE!</v>
      </c>
      <c r="T1608" s="47" t="str">
        <f t="shared" si="886"/>
        <v/>
      </c>
      <c r="U1608" s="49"/>
      <c r="V1608" s="50"/>
      <c r="W1608" s="51" t="e">
        <f t="shared" si="887"/>
        <v>#VALUE!</v>
      </c>
      <c r="X1608" s="52"/>
      <c r="Y1608" s="52"/>
      <c r="Z1608" s="52"/>
      <c r="AA1608" s="47" t="e">
        <f>INDEX(VISITORS[INSECT ORDER], MATCH(X1608,VISITORS[NAME USED],0))</f>
        <v>#N/A</v>
      </c>
      <c r="AB1608" s="47" t="e">
        <f t="shared" si="888"/>
        <v>#N/A</v>
      </c>
      <c r="AC1608" s="53" t="e">
        <f t="shared" si="889"/>
        <v>#VALUE!</v>
      </c>
      <c r="AD1608" s="54" t="str">
        <f t="shared" si="890"/>
        <v/>
      </c>
      <c r="AE1608" s="54"/>
      <c r="AF1608" s="54"/>
      <c r="AG1608" s="55" t="str">
        <f t="shared" si="891"/>
        <v/>
      </c>
      <c r="AH1608" s="56" t="str">
        <f t="shared" si="892"/>
        <v/>
      </c>
      <c r="AI1608" s="55"/>
      <c r="AJ1608" s="56" t="str">
        <f t="shared" si="893"/>
        <v/>
      </c>
      <c r="AK1608" s="55"/>
      <c r="AL1608" s="56" t="str">
        <f t="shared" si="894"/>
        <v/>
      </c>
      <c r="AM1608" s="55"/>
      <c r="AN1608" s="56" t="str">
        <f t="shared" si="895"/>
        <v/>
      </c>
      <c r="AO1608" s="55"/>
      <c r="AP1608" s="56" t="str">
        <f t="shared" si="896"/>
        <v/>
      </c>
      <c r="AQ1608" s="55"/>
      <c r="AR1608" s="56" t="str">
        <f t="shared" si="897"/>
        <v/>
      </c>
      <c r="AS1608" s="57"/>
      <c r="AT1608" s="58"/>
      <c r="AU1608" s="58"/>
      <c r="AV1608" s="59"/>
      <c r="AW1608" s="60" t="str">
        <f t="shared" si="898"/>
        <v/>
      </c>
      <c r="AX1608" s="61" t="str">
        <f t="shared" si="899"/>
        <v/>
      </c>
      <c r="AY1608" s="60" t="str">
        <f t="shared" si="900"/>
        <v/>
      </c>
      <c r="AZ1608" s="61" t="str">
        <f t="shared" si="901"/>
        <v/>
      </c>
    </row>
    <row r="1609" spans="1:52" s="3" customFormat="1" ht="12" hidden="1" customHeight="1" thickBot="1" x14ac:dyDescent="0.4">
      <c r="A1609" s="85">
        <f t="shared" si="859"/>
        <v>2020</v>
      </c>
      <c r="B1609" s="85" t="str">
        <f t="shared" si="878"/>
        <v>Dec</v>
      </c>
      <c r="C1609" s="86">
        <f t="shared" si="879"/>
        <v>3</v>
      </c>
      <c r="D1609" s="87">
        <f t="shared" si="880"/>
        <v>17</v>
      </c>
      <c r="E1609" s="88">
        <f t="shared" si="860"/>
        <v>40</v>
      </c>
      <c r="F1609" s="89"/>
      <c r="G1609" s="90"/>
      <c r="H1609" s="68" t="str">
        <f t="shared" si="881"/>
        <v>Hyprev6_20201203_17_00</v>
      </c>
      <c r="I1609" s="91">
        <f t="shared" ref="I1609:N1609" si="940">I1608</f>
        <v>1</v>
      </c>
      <c r="J1609" s="92" t="str">
        <f t="shared" si="940"/>
        <v>Hypericum</v>
      </c>
      <c r="K1609" s="92" t="str">
        <f t="shared" si="940"/>
        <v>revolutum</v>
      </c>
      <c r="L1609" s="93">
        <f t="shared" si="940"/>
        <v>6</v>
      </c>
      <c r="M1609" s="93">
        <f t="shared" si="940"/>
        <v>1</v>
      </c>
      <c r="N1609" s="94">
        <f t="shared" si="940"/>
        <v>0</v>
      </c>
      <c r="O1609" s="95"/>
      <c r="P1609" s="96" t="str">
        <f t="shared" si="883"/>
        <v/>
      </c>
      <c r="Q1609" s="97" t="str">
        <f t="shared" si="884"/>
        <v/>
      </c>
      <c r="R1609" s="98" t="e">
        <f t="shared" si="885"/>
        <v>#VALUE!</v>
      </c>
      <c r="S1609" s="98" t="e">
        <f t="shared" si="917"/>
        <v>#VALUE!</v>
      </c>
      <c r="T1609" s="98" t="str">
        <f t="shared" si="886"/>
        <v/>
      </c>
      <c r="U1609" s="99"/>
      <c r="V1609" s="100"/>
      <c r="W1609" s="101" t="e">
        <f t="shared" si="887"/>
        <v>#VALUE!</v>
      </c>
      <c r="X1609" s="102"/>
      <c r="Y1609" s="141"/>
      <c r="Z1609" s="141"/>
      <c r="AA1609" s="47" t="e">
        <f>INDEX(VISITORS[INSECT ORDER], MATCH(X1609,VISITORS[NAME USED],0))</f>
        <v>#N/A</v>
      </c>
      <c r="AB1609" s="98" t="e">
        <f t="shared" si="888"/>
        <v>#N/A</v>
      </c>
      <c r="AC1609" s="53" t="e">
        <f t="shared" si="889"/>
        <v>#VALUE!</v>
      </c>
      <c r="AD1609" s="103" t="str">
        <f t="shared" si="890"/>
        <v/>
      </c>
      <c r="AE1609" s="103"/>
      <c r="AF1609" s="103"/>
      <c r="AG1609" s="104" t="str">
        <f t="shared" si="891"/>
        <v/>
      </c>
      <c r="AH1609" s="105" t="str">
        <f t="shared" si="892"/>
        <v/>
      </c>
      <c r="AI1609" s="104"/>
      <c r="AJ1609" s="105" t="str">
        <f t="shared" si="893"/>
        <v/>
      </c>
      <c r="AK1609" s="104"/>
      <c r="AL1609" s="105" t="str">
        <f t="shared" si="894"/>
        <v/>
      </c>
      <c r="AM1609" s="104"/>
      <c r="AN1609" s="105" t="str">
        <f t="shared" si="895"/>
        <v/>
      </c>
      <c r="AO1609" s="104"/>
      <c r="AP1609" s="105" t="str">
        <f t="shared" si="896"/>
        <v/>
      </c>
      <c r="AQ1609" s="104"/>
      <c r="AR1609" s="105" t="str">
        <f t="shared" si="897"/>
        <v/>
      </c>
      <c r="AS1609" s="106"/>
      <c r="AT1609" s="107"/>
      <c r="AU1609" s="107"/>
      <c r="AV1609" s="108"/>
      <c r="AW1609" s="109" t="str">
        <f t="shared" si="898"/>
        <v/>
      </c>
      <c r="AX1609" s="110" t="str">
        <f t="shared" si="899"/>
        <v/>
      </c>
      <c r="AY1609" s="109" t="str">
        <f t="shared" si="900"/>
        <v/>
      </c>
      <c r="AZ1609" s="110" t="str">
        <f t="shared" si="901"/>
        <v/>
      </c>
    </row>
    <row r="1610" spans="1:52" s="3" customFormat="1" ht="12" hidden="1" customHeight="1" x14ac:dyDescent="0.35">
      <c r="A1610" s="72">
        <f t="shared" si="859"/>
        <v>2020</v>
      </c>
      <c r="B1610" s="72" t="str">
        <f t="shared" si="878"/>
        <v>Dec</v>
      </c>
      <c r="C1610" s="73">
        <f t="shared" si="879"/>
        <v>3</v>
      </c>
      <c r="D1610" s="74">
        <f t="shared" si="880"/>
        <v>17</v>
      </c>
      <c r="E1610" s="75">
        <f t="shared" si="860"/>
        <v>41</v>
      </c>
      <c r="F1610" s="79"/>
      <c r="G1610" s="82"/>
      <c r="H1610" s="68" t="str">
        <f t="shared" si="881"/>
        <v>Hyprev6_20201203_17_00</v>
      </c>
      <c r="I1610" s="69">
        <f t="shared" ref="I1610:N1610" si="941">I1609</f>
        <v>1</v>
      </c>
      <c r="J1610" s="76" t="str">
        <f t="shared" si="941"/>
        <v>Hypericum</v>
      </c>
      <c r="K1610" s="76" t="str">
        <f t="shared" si="941"/>
        <v>revolutum</v>
      </c>
      <c r="L1610" s="77">
        <f t="shared" si="941"/>
        <v>6</v>
      </c>
      <c r="M1610" s="77">
        <f t="shared" si="941"/>
        <v>1</v>
      </c>
      <c r="N1610" s="71">
        <f t="shared" si="941"/>
        <v>0</v>
      </c>
      <c r="O1610" s="44"/>
      <c r="P1610" s="45" t="str">
        <f t="shared" si="883"/>
        <v/>
      </c>
      <c r="Q1610" s="46" t="str">
        <f t="shared" si="884"/>
        <v/>
      </c>
      <c r="R1610" s="47" t="e">
        <f t="shared" si="885"/>
        <v>#VALUE!</v>
      </c>
      <c r="S1610" s="48" t="e">
        <f t="shared" si="917"/>
        <v>#VALUE!</v>
      </c>
      <c r="T1610" s="47" t="str">
        <f t="shared" si="886"/>
        <v/>
      </c>
      <c r="U1610" s="49"/>
      <c r="V1610" s="50"/>
      <c r="W1610" s="51" t="e">
        <f t="shared" si="887"/>
        <v>#VALUE!</v>
      </c>
      <c r="X1610" s="52"/>
      <c r="Y1610" s="52"/>
      <c r="Z1610" s="52"/>
      <c r="AA1610" s="47" t="e">
        <f>INDEX(VISITORS[INSECT ORDER], MATCH(X1610,VISITORS[NAME USED],0))</f>
        <v>#N/A</v>
      </c>
      <c r="AB1610" s="47" t="e">
        <f t="shared" si="888"/>
        <v>#N/A</v>
      </c>
      <c r="AC1610" s="53" t="e">
        <f t="shared" si="889"/>
        <v>#VALUE!</v>
      </c>
      <c r="AD1610" s="54" t="str">
        <f t="shared" si="890"/>
        <v/>
      </c>
      <c r="AE1610" s="54"/>
      <c r="AF1610" s="54"/>
      <c r="AG1610" s="55" t="str">
        <f t="shared" si="891"/>
        <v/>
      </c>
      <c r="AH1610" s="56" t="str">
        <f t="shared" si="892"/>
        <v/>
      </c>
      <c r="AI1610" s="55"/>
      <c r="AJ1610" s="56" t="str">
        <f t="shared" si="893"/>
        <v/>
      </c>
      <c r="AK1610" s="55"/>
      <c r="AL1610" s="56" t="str">
        <f t="shared" si="894"/>
        <v/>
      </c>
      <c r="AM1610" s="55"/>
      <c r="AN1610" s="56" t="str">
        <f t="shared" si="895"/>
        <v/>
      </c>
      <c r="AO1610" s="55"/>
      <c r="AP1610" s="56" t="str">
        <f t="shared" si="896"/>
        <v/>
      </c>
      <c r="AQ1610" s="55"/>
      <c r="AR1610" s="56" t="str">
        <f t="shared" si="897"/>
        <v/>
      </c>
      <c r="AS1610" s="57"/>
      <c r="AT1610" s="58"/>
      <c r="AU1610" s="58"/>
      <c r="AV1610" s="59"/>
      <c r="AW1610" s="60" t="str">
        <f t="shared" si="898"/>
        <v/>
      </c>
      <c r="AX1610" s="61" t="str">
        <f t="shared" si="899"/>
        <v/>
      </c>
      <c r="AY1610" s="60" t="str">
        <f t="shared" si="900"/>
        <v/>
      </c>
      <c r="AZ1610" s="61" t="str">
        <f t="shared" si="901"/>
        <v/>
      </c>
    </row>
    <row r="1611" spans="1:52" s="3" customFormat="1" ht="12" hidden="1" customHeight="1" x14ac:dyDescent="0.35">
      <c r="A1611" s="72">
        <f t="shared" si="859"/>
        <v>2020</v>
      </c>
      <c r="B1611" s="72" t="str">
        <f t="shared" si="878"/>
        <v>Dec</v>
      </c>
      <c r="C1611" s="73">
        <f t="shared" si="879"/>
        <v>3</v>
      </c>
      <c r="D1611" s="74">
        <f t="shared" si="880"/>
        <v>17</v>
      </c>
      <c r="E1611" s="75">
        <f t="shared" si="860"/>
        <v>42</v>
      </c>
      <c r="F1611" s="79"/>
      <c r="G1611" s="82"/>
      <c r="H1611" s="68" t="str">
        <f t="shared" si="881"/>
        <v>Hyprev6_20201203_17_00</v>
      </c>
      <c r="I1611" s="69">
        <f t="shared" ref="I1611:N1611" si="942">I1610</f>
        <v>1</v>
      </c>
      <c r="J1611" s="76" t="str">
        <f t="shared" si="942"/>
        <v>Hypericum</v>
      </c>
      <c r="K1611" s="76" t="str">
        <f t="shared" si="942"/>
        <v>revolutum</v>
      </c>
      <c r="L1611" s="77">
        <f t="shared" si="942"/>
        <v>6</v>
      </c>
      <c r="M1611" s="77">
        <f t="shared" si="942"/>
        <v>1</v>
      </c>
      <c r="N1611" s="71">
        <f t="shared" si="942"/>
        <v>0</v>
      </c>
      <c r="O1611" s="44"/>
      <c r="P1611" s="45" t="str">
        <f t="shared" si="883"/>
        <v/>
      </c>
      <c r="Q1611" s="46" t="str">
        <f t="shared" si="884"/>
        <v/>
      </c>
      <c r="R1611" s="47" t="e">
        <f t="shared" si="885"/>
        <v>#VALUE!</v>
      </c>
      <c r="S1611" s="48" t="e">
        <f t="shared" si="917"/>
        <v>#VALUE!</v>
      </c>
      <c r="T1611" s="47" t="str">
        <f t="shared" si="886"/>
        <v/>
      </c>
      <c r="U1611" s="49"/>
      <c r="V1611" s="50"/>
      <c r="W1611" s="51" t="e">
        <f t="shared" si="887"/>
        <v>#VALUE!</v>
      </c>
      <c r="X1611" s="52"/>
      <c r="Y1611" s="52"/>
      <c r="Z1611" s="52"/>
      <c r="AA1611" s="47" t="e">
        <f>INDEX(VISITORS[INSECT ORDER], MATCH(X1611,VISITORS[NAME USED],0))</f>
        <v>#N/A</v>
      </c>
      <c r="AB1611" s="47" t="e">
        <f t="shared" si="888"/>
        <v>#N/A</v>
      </c>
      <c r="AC1611" s="53" t="e">
        <f t="shared" si="889"/>
        <v>#VALUE!</v>
      </c>
      <c r="AD1611" s="54" t="str">
        <f t="shared" si="890"/>
        <v/>
      </c>
      <c r="AE1611" s="54"/>
      <c r="AF1611" s="54"/>
      <c r="AG1611" s="55" t="str">
        <f t="shared" si="891"/>
        <v/>
      </c>
      <c r="AH1611" s="56" t="str">
        <f t="shared" si="892"/>
        <v/>
      </c>
      <c r="AI1611" s="55"/>
      <c r="AJ1611" s="56" t="str">
        <f t="shared" si="893"/>
        <v/>
      </c>
      <c r="AK1611" s="55"/>
      <c r="AL1611" s="56" t="str">
        <f t="shared" si="894"/>
        <v/>
      </c>
      <c r="AM1611" s="55"/>
      <c r="AN1611" s="56" t="str">
        <f t="shared" si="895"/>
        <v/>
      </c>
      <c r="AO1611" s="55"/>
      <c r="AP1611" s="56" t="str">
        <f t="shared" si="896"/>
        <v/>
      </c>
      <c r="AQ1611" s="55"/>
      <c r="AR1611" s="56" t="str">
        <f t="shared" si="897"/>
        <v/>
      </c>
      <c r="AS1611" s="57"/>
      <c r="AT1611" s="58"/>
      <c r="AU1611" s="58"/>
      <c r="AV1611" s="59"/>
      <c r="AW1611" s="60" t="str">
        <f t="shared" si="898"/>
        <v/>
      </c>
      <c r="AX1611" s="61" t="str">
        <f t="shared" si="899"/>
        <v/>
      </c>
      <c r="AY1611" s="60" t="str">
        <f t="shared" si="900"/>
        <v/>
      </c>
      <c r="AZ1611" s="61" t="str">
        <f t="shared" si="901"/>
        <v/>
      </c>
    </row>
    <row r="1612" spans="1:52" s="3" customFormat="1" ht="12" hidden="1" customHeight="1" thickBot="1" x14ac:dyDescent="0.4">
      <c r="A1612" s="85">
        <f t="shared" si="859"/>
        <v>2020</v>
      </c>
      <c r="B1612" s="85" t="str">
        <f t="shared" si="878"/>
        <v>Dec</v>
      </c>
      <c r="C1612" s="86">
        <f t="shared" si="879"/>
        <v>3</v>
      </c>
      <c r="D1612" s="87">
        <f t="shared" si="880"/>
        <v>17</v>
      </c>
      <c r="E1612" s="88">
        <f t="shared" si="860"/>
        <v>43</v>
      </c>
      <c r="F1612" s="89"/>
      <c r="G1612" s="90"/>
      <c r="H1612" s="68" t="str">
        <f t="shared" si="881"/>
        <v>Hyprev6_20201203_17_00</v>
      </c>
      <c r="I1612" s="91">
        <f t="shared" ref="I1612:N1612" si="943">I1611</f>
        <v>1</v>
      </c>
      <c r="J1612" s="92" t="str">
        <f t="shared" si="943"/>
        <v>Hypericum</v>
      </c>
      <c r="K1612" s="92" t="str">
        <f t="shared" si="943"/>
        <v>revolutum</v>
      </c>
      <c r="L1612" s="93">
        <f t="shared" si="943"/>
        <v>6</v>
      </c>
      <c r="M1612" s="93">
        <f t="shared" si="943"/>
        <v>1</v>
      </c>
      <c r="N1612" s="94">
        <f t="shared" si="943"/>
        <v>0</v>
      </c>
      <c r="O1612" s="95"/>
      <c r="P1612" s="96" t="str">
        <f t="shared" si="883"/>
        <v/>
      </c>
      <c r="Q1612" s="97" t="str">
        <f t="shared" si="884"/>
        <v/>
      </c>
      <c r="R1612" s="98" t="e">
        <f t="shared" si="885"/>
        <v>#VALUE!</v>
      </c>
      <c r="S1612" s="98" t="e">
        <f t="shared" si="917"/>
        <v>#VALUE!</v>
      </c>
      <c r="T1612" s="98" t="str">
        <f t="shared" si="886"/>
        <v/>
      </c>
      <c r="U1612" s="99"/>
      <c r="V1612" s="100"/>
      <c r="W1612" s="101" t="e">
        <f t="shared" si="887"/>
        <v>#VALUE!</v>
      </c>
      <c r="X1612" s="102"/>
      <c r="Y1612" s="141"/>
      <c r="Z1612" s="141"/>
      <c r="AA1612" s="47" t="e">
        <f>INDEX(VISITORS[INSECT ORDER], MATCH(X1612,VISITORS[NAME USED],0))</f>
        <v>#N/A</v>
      </c>
      <c r="AB1612" s="98" t="e">
        <f t="shared" si="888"/>
        <v>#N/A</v>
      </c>
      <c r="AC1612" s="53" t="e">
        <f t="shared" si="889"/>
        <v>#VALUE!</v>
      </c>
      <c r="AD1612" s="103" t="str">
        <f t="shared" si="890"/>
        <v/>
      </c>
      <c r="AE1612" s="103"/>
      <c r="AF1612" s="103"/>
      <c r="AG1612" s="104" t="str">
        <f t="shared" si="891"/>
        <v/>
      </c>
      <c r="AH1612" s="105" t="str">
        <f t="shared" si="892"/>
        <v/>
      </c>
      <c r="AI1612" s="104"/>
      <c r="AJ1612" s="105" t="str">
        <f t="shared" si="893"/>
        <v/>
      </c>
      <c r="AK1612" s="104"/>
      <c r="AL1612" s="105" t="str">
        <f t="shared" si="894"/>
        <v/>
      </c>
      <c r="AM1612" s="104"/>
      <c r="AN1612" s="105" t="str">
        <f t="shared" si="895"/>
        <v/>
      </c>
      <c r="AO1612" s="104"/>
      <c r="AP1612" s="105" t="str">
        <f t="shared" si="896"/>
        <v/>
      </c>
      <c r="AQ1612" s="104"/>
      <c r="AR1612" s="105" t="str">
        <f t="shared" si="897"/>
        <v/>
      </c>
      <c r="AS1612" s="106"/>
      <c r="AT1612" s="107"/>
      <c r="AU1612" s="107"/>
      <c r="AV1612" s="108"/>
      <c r="AW1612" s="109" t="str">
        <f t="shared" si="898"/>
        <v/>
      </c>
      <c r="AX1612" s="110" t="str">
        <f t="shared" si="899"/>
        <v/>
      </c>
      <c r="AY1612" s="109" t="str">
        <f t="shared" si="900"/>
        <v/>
      </c>
      <c r="AZ1612" s="110" t="str">
        <f t="shared" si="901"/>
        <v/>
      </c>
    </row>
    <row r="1613" spans="1:52" s="3" customFormat="1" ht="12" hidden="1" customHeight="1" x14ac:dyDescent="0.35">
      <c r="A1613" s="72">
        <f t="shared" si="859"/>
        <v>2020</v>
      </c>
      <c r="B1613" s="72" t="str">
        <f t="shared" si="878"/>
        <v>Dec</v>
      </c>
      <c r="C1613" s="73">
        <f t="shared" si="879"/>
        <v>3</v>
      </c>
      <c r="D1613" s="74">
        <f t="shared" si="880"/>
        <v>17</v>
      </c>
      <c r="E1613" s="75">
        <f t="shared" si="860"/>
        <v>44</v>
      </c>
      <c r="F1613" s="79"/>
      <c r="G1613" s="82"/>
      <c r="H1613" s="68" t="str">
        <f t="shared" si="881"/>
        <v>Hyprev6_20201203_17_00</v>
      </c>
      <c r="I1613" s="69">
        <f t="shared" ref="I1613:N1613" si="944">I1612</f>
        <v>1</v>
      </c>
      <c r="J1613" s="76" t="str">
        <f t="shared" si="944"/>
        <v>Hypericum</v>
      </c>
      <c r="K1613" s="76" t="str">
        <f t="shared" si="944"/>
        <v>revolutum</v>
      </c>
      <c r="L1613" s="77">
        <f t="shared" si="944"/>
        <v>6</v>
      </c>
      <c r="M1613" s="77">
        <f t="shared" si="944"/>
        <v>1</v>
      </c>
      <c r="N1613" s="71">
        <f t="shared" si="944"/>
        <v>0</v>
      </c>
      <c r="O1613" s="44"/>
      <c r="P1613" s="45" t="str">
        <f t="shared" si="883"/>
        <v/>
      </c>
      <c r="Q1613" s="46" t="str">
        <f t="shared" si="884"/>
        <v/>
      </c>
      <c r="R1613" s="47" t="e">
        <f t="shared" si="885"/>
        <v>#VALUE!</v>
      </c>
      <c r="S1613" s="48" t="e">
        <f t="shared" si="917"/>
        <v>#VALUE!</v>
      </c>
      <c r="T1613" s="47" t="str">
        <f t="shared" si="886"/>
        <v/>
      </c>
      <c r="U1613" s="49"/>
      <c r="V1613" s="50"/>
      <c r="W1613" s="51" t="e">
        <f t="shared" si="887"/>
        <v>#VALUE!</v>
      </c>
      <c r="X1613" s="52"/>
      <c r="Y1613" s="52"/>
      <c r="Z1613" s="52"/>
      <c r="AA1613" s="47" t="e">
        <f>INDEX(VISITORS[INSECT ORDER], MATCH(X1613,VISITORS[NAME USED],0))</f>
        <v>#N/A</v>
      </c>
      <c r="AB1613" s="47" t="e">
        <f t="shared" si="888"/>
        <v>#N/A</v>
      </c>
      <c r="AC1613" s="53" t="e">
        <f t="shared" si="889"/>
        <v>#VALUE!</v>
      </c>
      <c r="AD1613" s="54" t="str">
        <f t="shared" si="890"/>
        <v/>
      </c>
      <c r="AE1613" s="54"/>
      <c r="AF1613" s="54"/>
      <c r="AG1613" s="55" t="str">
        <f t="shared" si="891"/>
        <v/>
      </c>
      <c r="AH1613" s="56" t="str">
        <f t="shared" si="892"/>
        <v/>
      </c>
      <c r="AI1613" s="55"/>
      <c r="AJ1613" s="56" t="str">
        <f t="shared" si="893"/>
        <v/>
      </c>
      <c r="AK1613" s="55"/>
      <c r="AL1613" s="56" t="str">
        <f t="shared" si="894"/>
        <v/>
      </c>
      <c r="AM1613" s="55"/>
      <c r="AN1613" s="56" t="str">
        <f t="shared" si="895"/>
        <v/>
      </c>
      <c r="AO1613" s="55"/>
      <c r="AP1613" s="56" t="str">
        <f t="shared" si="896"/>
        <v/>
      </c>
      <c r="AQ1613" s="55"/>
      <c r="AR1613" s="56" t="str">
        <f t="shared" si="897"/>
        <v/>
      </c>
      <c r="AS1613" s="57"/>
      <c r="AT1613" s="58"/>
      <c r="AU1613" s="58"/>
      <c r="AV1613" s="59"/>
      <c r="AW1613" s="60" t="str">
        <f t="shared" si="898"/>
        <v/>
      </c>
      <c r="AX1613" s="61" t="str">
        <f t="shared" si="899"/>
        <v/>
      </c>
      <c r="AY1613" s="60" t="str">
        <f t="shared" si="900"/>
        <v/>
      </c>
      <c r="AZ1613" s="61" t="str">
        <f t="shared" si="901"/>
        <v/>
      </c>
    </row>
    <row r="1614" spans="1:52" s="3" customFormat="1" ht="12" hidden="1" customHeight="1" x14ac:dyDescent="0.35">
      <c r="A1614" s="72">
        <f t="shared" si="859"/>
        <v>2020</v>
      </c>
      <c r="B1614" s="72" t="str">
        <f t="shared" si="878"/>
        <v>Dec</v>
      </c>
      <c r="C1614" s="73">
        <f t="shared" si="879"/>
        <v>3</v>
      </c>
      <c r="D1614" s="74">
        <f t="shared" si="880"/>
        <v>17</v>
      </c>
      <c r="E1614" s="75">
        <f t="shared" si="860"/>
        <v>45</v>
      </c>
      <c r="F1614" s="79"/>
      <c r="G1614" s="82"/>
      <c r="H1614" s="68" t="str">
        <f t="shared" si="881"/>
        <v>Hyprev6_20201203_17_00</v>
      </c>
      <c r="I1614" s="69">
        <f t="shared" ref="I1614:N1614" si="945">I1613</f>
        <v>1</v>
      </c>
      <c r="J1614" s="76" t="str">
        <f t="shared" si="945"/>
        <v>Hypericum</v>
      </c>
      <c r="K1614" s="76" t="str">
        <f t="shared" si="945"/>
        <v>revolutum</v>
      </c>
      <c r="L1614" s="77">
        <f t="shared" si="945"/>
        <v>6</v>
      </c>
      <c r="M1614" s="77">
        <f t="shared" si="945"/>
        <v>1</v>
      </c>
      <c r="N1614" s="71">
        <f t="shared" si="945"/>
        <v>0</v>
      </c>
      <c r="O1614" s="44"/>
      <c r="P1614" s="45" t="str">
        <f t="shared" si="883"/>
        <v/>
      </c>
      <c r="Q1614" s="46" t="str">
        <f t="shared" si="884"/>
        <v/>
      </c>
      <c r="R1614" s="47" t="e">
        <f t="shared" si="885"/>
        <v>#VALUE!</v>
      </c>
      <c r="S1614" s="48" t="e">
        <f t="shared" si="917"/>
        <v>#VALUE!</v>
      </c>
      <c r="T1614" s="47" t="str">
        <f t="shared" si="886"/>
        <v/>
      </c>
      <c r="U1614" s="49"/>
      <c r="V1614" s="50"/>
      <c r="W1614" s="51" t="e">
        <f t="shared" si="887"/>
        <v>#VALUE!</v>
      </c>
      <c r="X1614" s="52"/>
      <c r="Y1614" s="52"/>
      <c r="Z1614" s="52"/>
      <c r="AA1614" s="47" t="e">
        <f>INDEX(VISITORS[INSECT ORDER], MATCH(X1614,VISITORS[NAME USED],0))</f>
        <v>#N/A</v>
      </c>
      <c r="AB1614" s="47" t="e">
        <f t="shared" si="888"/>
        <v>#N/A</v>
      </c>
      <c r="AC1614" s="53" t="e">
        <f t="shared" si="889"/>
        <v>#VALUE!</v>
      </c>
      <c r="AD1614" s="54" t="str">
        <f t="shared" si="890"/>
        <v/>
      </c>
      <c r="AE1614" s="54"/>
      <c r="AF1614" s="54"/>
      <c r="AG1614" s="55" t="str">
        <f t="shared" si="891"/>
        <v/>
      </c>
      <c r="AH1614" s="56" t="str">
        <f t="shared" si="892"/>
        <v/>
      </c>
      <c r="AI1614" s="55"/>
      <c r="AJ1614" s="56" t="str">
        <f t="shared" si="893"/>
        <v/>
      </c>
      <c r="AK1614" s="55"/>
      <c r="AL1614" s="56" t="str">
        <f t="shared" si="894"/>
        <v/>
      </c>
      <c r="AM1614" s="55"/>
      <c r="AN1614" s="56" t="str">
        <f t="shared" si="895"/>
        <v/>
      </c>
      <c r="AO1614" s="55"/>
      <c r="AP1614" s="56" t="str">
        <f t="shared" si="896"/>
        <v/>
      </c>
      <c r="AQ1614" s="55"/>
      <c r="AR1614" s="56" t="str">
        <f t="shared" si="897"/>
        <v/>
      </c>
      <c r="AS1614" s="57"/>
      <c r="AT1614" s="58"/>
      <c r="AU1614" s="58"/>
      <c r="AV1614" s="59"/>
      <c r="AW1614" s="60" t="str">
        <f t="shared" si="898"/>
        <v/>
      </c>
      <c r="AX1614" s="61" t="str">
        <f t="shared" si="899"/>
        <v/>
      </c>
      <c r="AY1614" s="60" t="str">
        <f t="shared" si="900"/>
        <v/>
      </c>
      <c r="AZ1614" s="61" t="str">
        <f t="shared" si="901"/>
        <v/>
      </c>
    </row>
    <row r="1615" spans="1:52" s="3" customFormat="1" ht="12" hidden="1" customHeight="1" thickBot="1" x14ac:dyDescent="0.4">
      <c r="A1615" s="85">
        <f t="shared" si="859"/>
        <v>2020</v>
      </c>
      <c r="B1615" s="85" t="str">
        <f t="shared" si="878"/>
        <v>Dec</v>
      </c>
      <c r="C1615" s="86">
        <f t="shared" si="879"/>
        <v>3</v>
      </c>
      <c r="D1615" s="87">
        <f t="shared" si="880"/>
        <v>17</v>
      </c>
      <c r="E1615" s="88">
        <f t="shared" si="860"/>
        <v>46</v>
      </c>
      <c r="F1615" s="89"/>
      <c r="G1615" s="90"/>
      <c r="H1615" s="68" t="str">
        <f t="shared" si="881"/>
        <v>Hyprev6_20201203_17_00</v>
      </c>
      <c r="I1615" s="91">
        <f t="shared" ref="I1615:N1615" si="946">I1614</f>
        <v>1</v>
      </c>
      <c r="J1615" s="92" t="str">
        <f t="shared" si="946"/>
        <v>Hypericum</v>
      </c>
      <c r="K1615" s="92" t="str">
        <f t="shared" si="946"/>
        <v>revolutum</v>
      </c>
      <c r="L1615" s="93">
        <f t="shared" si="946"/>
        <v>6</v>
      </c>
      <c r="M1615" s="93">
        <f t="shared" si="946"/>
        <v>1</v>
      </c>
      <c r="N1615" s="94">
        <f t="shared" si="946"/>
        <v>0</v>
      </c>
      <c r="O1615" s="95"/>
      <c r="P1615" s="96" t="str">
        <f t="shared" si="883"/>
        <v/>
      </c>
      <c r="Q1615" s="97" t="str">
        <f t="shared" si="884"/>
        <v/>
      </c>
      <c r="R1615" s="98" t="e">
        <f t="shared" si="885"/>
        <v>#VALUE!</v>
      </c>
      <c r="S1615" s="98" t="e">
        <f t="shared" si="917"/>
        <v>#VALUE!</v>
      </c>
      <c r="T1615" s="98" t="str">
        <f t="shared" si="886"/>
        <v/>
      </c>
      <c r="U1615" s="99"/>
      <c r="V1615" s="100"/>
      <c r="W1615" s="101" t="e">
        <f t="shared" si="887"/>
        <v>#VALUE!</v>
      </c>
      <c r="X1615" s="102"/>
      <c r="Y1615" s="141"/>
      <c r="Z1615" s="141"/>
      <c r="AA1615" s="47" t="e">
        <f>INDEX(VISITORS[INSECT ORDER], MATCH(X1615,VISITORS[NAME USED],0))</f>
        <v>#N/A</v>
      </c>
      <c r="AB1615" s="98" t="e">
        <f t="shared" si="888"/>
        <v>#N/A</v>
      </c>
      <c r="AC1615" s="53" t="e">
        <f t="shared" si="889"/>
        <v>#VALUE!</v>
      </c>
      <c r="AD1615" s="103" t="str">
        <f t="shared" si="890"/>
        <v/>
      </c>
      <c r="AE1615" s="103"/>
      <c r="AF1615" s="103"/>
      <c r="AG1615" s="104" t="str">
        <f t="shared" si="891"/>
        <v/>
      </c>
      <c r="AH1615" s="105" t="str">
        <f t="shared" si="892"/>
        <v/>
      </c>
      <c r="AI1615" s="104"/>
      <c r="AJ1615" s="105" t="str">
        <f t="shared" si="893"/>
        <v/>
      </c>
      <c r="AK1615" s="104"/>
      <c r="AL1615" s="105" t="str">
        <f t="shared" si="894"/>
        <v/>
      </c>
      <c r="AM1615" s="104"/>
      <c r="AN1615" s="105" t="str">
        <f t="shared" si="895"/>
        <v/>
      </c>
      <c r="AO1615" s="104"/>
      <c r="AP1615" s="105" t="str">
        <f t="shared" si="896"/>
        <v/>
      </c>
      <c r="AQ1615" s="104"/>
      <c r="AR1615" s="105" t="str">
        <f t="shared" si="897"/>
        <v/>
      </c>
      <c r="AS1615" s="106"/>
      <c r="AT1615" s="107"/>
      <c r="AU1615" s="107"/>
      <c r="AV1615" s="108"/>
      <c r="AW1615" s="109" t="str">
        <f t="shared" si="898"/>
        <v/>
      </c>
      <c r="AX1615" s="110" t="str">
        <f t="shared" si="899"/>
        <v/>
      </c>
      <c r="AY1615" s="109" t="str">
        <f t="shared" si="900"/>
        <v/>
      </c>
      <c r="AZ1615" s="110" t="str">
        <f t="shared" si="901"/>
        <v/>
      </c>
    </row>
    <row r="1616" spans="1:52" s="3" customFormat="1" ht="12" hidden="1" customHeight="1" x14ac:dyDescent="0.35">
      <c r="A1616" s="72">
        <f t="shared" si="859"/>
        <v>2020</v>
      </c>
      <c r="B1616" s="72" t="str">
        <f t="shared" si="878"/>
        <v>Dec</v>
      </c>
      <c r="C1616" s="73">
        <f t="shared" si="879"/>
        <v>3</v>
      </c>
      <c r="D1616" s="74">
        <f t="shared" si="880"/>
        <v>17</v>
      </c>
      <c r="E1616" s="75">
        <f t="shared" si="860"/>
        <v>47</v>
      </c>
      <c r="F1616" s="79"/>
      <c r="G1616" s="82"/>
      <c r="H1616" s="68" t="str">
        <f t="shared" si="881"/>
        <v>Hyprev6_20201203_17_00</v>
      </c>
      <c r="I1616" s="69">
        <f t="shared" ref="I1616:N1616" si="947">I1615</f>
        <v>1</v>
      </c>
      <c r="J1616" s="76" t="str">
        <f t="shared" si="947"/>
        <v>Hypericum</v>
      </c>
      <c r="K1616" s="76" t="str">
        <f t="shared" si="947"/>
        <v>revolutum</v>
      </c>
      <c r="L1616" s="77">
        <f t="shared" si="947"/>
        <v>6</v>
      </c>
      <c r="M1616" s="77">
        <f t="shared" si="947"/>
        <v>1</v>
      </c>
      <c r="N1616" s="71">
        <f t="shared" si="947"/>
        <v>0</v>
      </c>
      <c r="O1616" s="44"/>
      <c r="P1616" s="45" t="str">
        <f t="shared" si="883"/>
        <v/>
      </c>
      <c r="Q1616" s="46" t="str">
        <f t="shared" si="884"/>
        <v/>
      </c>
      <c r="R1616" s="47" t="e">
        <f t="shared" si="885"/>
        <v>#VALUE!</v>
      </c>
      <c r="S1616" s="48" t="e">
        <f t="shared" si="917"/>
        <v>#VALUE!</v>
      </c>
      <c r="T1616" s="47" t="str">
        <f t="shared" si="886"/>
        <v/>
      </c>
      <c r="U1616" s="49"/>
      <c r="V1616" s="50"/>
      <c r="W1616" s="51" t="e">
        <f t="shared" si="887"/>
        <v>#VALUE!</v>
      </c>
      <c r="X1616" s="52"/>
      <c r="Y1616" s="52"/>
      <c r="Z1616" s="52"/>
      <c r="AA1616" s="47" t="e">
        <f>INDEX(VISITORS[INSECT ORDER], MATCH(X1616,VISITORS[NAME USED],0))</f>
        <v>#N/A</v>
      </c>
      <c r="AB1616" s="47" t="e">
        <f t="shared" si="888"/>
        <v>#N/A</v>
      </c>
      <c r="AC1616" s="53" t="e">
        <f t="shared" si="889"/>
        <v>#VALUE!</v>
      </c>
      <c r="AD1616" s="54" t="str">
        <f t="shared" si="890"/>
        <v/>
      </c>
      <c r="AE1616" s="54"/>
      <c r="AF1616" s="54"/>
      <c r="AG1616" s="55" t="str">
        <f t="shared" si="891"/>
        <v/>
      </c>
      <c r="AH1616" s="56" t="str">
        <f t="shared" si="892"/>
        <v/>
      </c>
      <c r="AI1616" s="55"/>
      <c r="AJ1616" s="56" t="str">
        <f t="shared" si="893"/>
        <v/>
      </c>
      <c r="AK1616" s="55"/>
      <c r="AL1616" s="56" t="str">
        <f t="shared" si="894"/>
        <v/>
      </c>
      <c r="AM1616" s="55"/>
      <c r="AN1616" s="56" t="str">
        <f t="shared" si="895"/>
        <v/>
      </c>
      <c r="AO1616" s="55"/>
      <c r="AP1616" s="56" t="str">
        <f t="shared" si="896"/>
        <v/>
      </c>
      <c r="AQ1616" s="55"/>
      <c r="AR1616" s="56" t="str">
        <f t="shared" si="897"/>
        <v/>
      </c>
      <c r="AS1616" s="57"/>
      <c r="AT1616" s="58"/>
      <c r="AU1616" s="58"/>
      <c r="AV1616" s="59"/>
      <c r="AW1616" s="60" t="str">
        <f t="shared" si="898"/>
        <v/>
      </c>
      <c r="AX1616" s="61" t="str">
        <f t="shared" si="899"/>
        <v/>
      </c>
      <c r="AY1616" s="60" t="str">
        <f t="shared" si="900"/>
        <v/>
      </c>
      <c r="AZ1616" s="61" t="str">
        <f t="shared" si="901"/>
        <v/>
      </c>
    </row>
    <row r="1617" spans="1:52" s="3" customFormat="1" ht="12" hidden="1" customHeight="1" x14ac:dyDescent="0.35">
      <c r="A1617" s="72">
        <f t="shared" si="859"/>
        <v>2020</v>
      </c>
      <c r="B1617" s="72" t="str">
        <f t="shared" si="878"/>
        <v>Dec</v>
      </c>
      <c r="C1617" s="73">
        <f t="shared" si="879"/>
        <v>3</v>
      </c>
      <c r="D1617" s="74">
        <f t="shared" si="880"/>
        <v>17</v>
      </c>
      <c r="E1617" s="75">
        <f t="shared" si="860"/>
        <v>48</v>
      </c>
      <c r="F1617" s="79"/>
      <c r="G1617" s="82"/>
      <c r="H1617" s="68" t="str">
        <f t="shared" si="881"/>
        <v>Hyprev6_20201203_17_00</v>
      </c>
      <c r="I1617" s="69">
        <f t="shared" ref="I1617:N1617" si="948">I1616</f>
        <v>1</v>
      </c>
      <c r="J1617" s="76" t="str">
        <f t="shared" si="948"/>
        <v>Hypericum</v>
      </c>
      <c r="K1617" s="76" t="str">
        <f t="shared" si="948"/>
        <v>revolutum</v>
      </c>
      <c r="L1617" s="77">
        <f t="shared" si="948"/>
        <v>6</v>
      </c>
      <c r="M1617" s="77">
        <f t="shared" si="948"/>
        <v>1</v>
      </c>
      <c r="N1617" s="71">
        <f t="shared" si="948"/>
        <v>0</v>
      </c>
      <c r="O1617" s="44"/>
      <c r="P1617" s="45" t="str">
        <f t="shared" si="883"/>
        <v/>
      </c>
      <c r="Q1617" s="46" t="str">
        <f t="shared" si="884"/>
        <v/>
      </c>
      <c r="R1617" s="47" t="e">
        <f t="shared" si="885"/>
        <v>#VALUE!</v>
      </c>
      <c r="S1617" s="48" t="e">
        <f t="shared" si="917"/>
        <v>#VALUE!</v>
      </c>
      <c r="T1617" s="47" t="str">
        <f t="shared" si="886"/>
        <v/>
      </c>
      <c r="U1617" s="49"/>
      <c r="V1617" s="50"/>
      <c r="W1617" s="51" t="e">
        <f t="shared" si="887"/>
        <v>#VALUE!</v>
      </c>
      <c r="X1617" s="52"/>
      <c r="Y1617" s="52"/>
      <c r="Z1617" s="52"/>
      <c r="AA1617" s="47" t="e">
        <f>INDEX(VISITORS[INSECT ORDER], MATCH(X1617,VISITORS[NAME USED],0))</f>
        <v>#N/A</v>
      </c>
      <c r="AB1617" s="47" t="e">
        <f t="shared" si="888"/>
        <v>#N/A</v>
      </c>
      <c r="AC1617" s="53" t="e">
        <f t="shared" si="889"/>
        <v>#VALUE!</v>
      </c>
      <c r="AD1617" s="54" t="str">
        <f t="shared" si="890"/>
        <v/>
      </c>
      <c r="AE1617" s="54"/>
      <c r="AF1617" s="54"/>
      <c r="AG1617" s="55" t="str">
        <f t="shared" si="891"/>
        <v/>
      </c>
      <c r="AH1617" s="56" t="str">
        <f t="shared" si="892"/>
        <v/>
      </c>
      <c r="AI1617" s="55"/>
      <c r="AJ1617" s="56" t="str">
        <f t="shared" si="893"/>
        <v/>
      </c>
      <c r="AK1617" s="55"/>
      <c r="AL1617" s="56" t="str">
        <f t="shared" si="894"/>
        <v/>
      </c>
      <c r="AM1617" s="55"/>
      <c r="AN1617" s="56" t="str">
        <f t="shared" si="895"/>
        <v/>
      </c>
      <c r="AO1617" s="55"/>
      <c r="AP1617" s="56" t="str">
        <f t="shared" si="896"/>
        <v/>
      </c>
      <c r="AQ1617" s="55"/>
      <c r="AR1617" s="56" t="str">
        <f t="shared" si="897"/>
        <v/>
      </c>
      <c r="AS1617" s="57"/>
      <c r="AT1617" s="58"/>
      <c r="AU1617" s="58"/>
      <c r="AV1617" s="59"/>
      <c r="AW1617" s="60" t="str">
        <f t="shared" si="898"/>
        <v/>
      </c>
      <c r="AX1617" s="61" t="str">
        <f t="shared" si="899"/>
        <v/>
      </c>
      <c r="AY1617" s="60" t="str">
        <f t="shared" si="900"/>
        <v/>
      </c>
      <c r="AZ1617" s="61" t="str">
        <f t="shared" si="901"/>
        <v/>
      </c>
    </row>
    <row r="1618" spans="1:52" s="3" customFormat="1" ht="12" hidden="1" customHeight="1" thickBot="1" x14ac:dyDescent="0.4">
      <c r="A1618" s="85">
        <f t="shared" ref="A1618:A1647" si="949">A1617</f>
        <v>2020</v>
      </c>
      <c r="B1618" s="85" t="str">
        <f t="shared" si="878"/>
        <v>Dec</v>
      </c>
      <c r="C1618" s="86">
        <f t="shared" si="879"/>
        <v>3</v>
      </c>
      <c r="D1618" s="87">
        <f t="shared" si="880"/>
        <v>17</v>
      </c>
      <c r="E1618" s="88">
        <f t="shared" ref="E1618:E1647" si="950">IF(E1617&lt;59,E1617+1,0)</f>
        <v>49</v>
      </c>
      <c r="F1618" s="89"/>
      <c r="G1618" s="90"/>
      <c r="H1618" s="68" t="str">
        <f t="shared" si="881"/>
        <v>Hyprev6_20201203_17_00</v>
      </c>
      <c r="I1618" s="91">
        <f t="shared" ref="I1618:N1618" si="951">I1617</f>
        <v>1</v>
      </c>
      <c r="J1618" s="92" t="str">
        <f t="shared" si="951"/>
        <v>Hypericum</v>
      </c>
      <c r="K1618" s="92" t="str">
        <f t="shared" si="951"/>
        <v>revolutum</v>
      </c>
      <c r="L1618" s="93">
        <f t="shared" si="951"/>
        <v>6</v>
      </c>
      <c r="M1618" s="93">
        <f t="shared" si="951"/>
        <v>1</v>
      </c>
      <c r="N1618" s="94">
        <f t="shared" si="951"/>
        <v>0</v>
      </c>
      <c r="O1618" s="95"/>
      <c r="P1618" s="96" t="str">
        <f t="shared" si="883"/>
        <v/>
      </c>
      <c r="Q1618" s="97" t="str">
        <f t="shared" si="884"/>
        <v/>
      </c>
      <c r="R1618" s="98" t="e">
        <f t="shared" si="885"/>
        <v>#VALUE!</v>
      </c>
      <c r="S1618" s="98" t="e">
        <f t="shared" si="917"/>
        <v>#VALUE!</v>
      </c>
      <c r="T1618" s="98" t="str">
        <f t="shared" si="886"/>
        <v/>
      </c>
      <c r="U1618" s="99"/>
      <c r="V1618" s="100"/>
      <c r="W1618" s="101" t="e">
        <f t="shared" si="887"/>
        <v>#VALUE!</v>
      </c>
      <c r="X1618" s="102"/>
      <c r="Y1618" s="141"/>
      <c r="Z1618" s="141"/>
      <c r="AA1618" s="47" t="e">
        <f>INDEX(VISITORS[INSECT ORDER], MATCH(X1618,VISITORS[NAME USED],0))</f>
        <v>#N/A</v>
      </c>
      <c r="AB1618" s="98" t="e">
        <f t="shared" si="888"/>
        <v>#N/A</v>
      </c>
      <c r="AC1618" s="53" t="e">
        <f t="shared" si="889"/>
        <v>#VALUE!</v>
      </c>
      <c r="AD1618" s="103" t="str">
        <f t="shared" si="890"/>
        <v/>
      </c>
      <c r="AE1618" s="103"/>
      <c r="AF1618" s="103"/>
      <c r="AG1618" s="104" t="str">
        <f t="shared" si="891"/>
        <v/>
      </c>
      <c r="AH1618" s="105" t="str">
        <f t="shared" si="892"/>
        <v/>
      </c>
      <c r="AI1618" s="104"/>
      <c r="AJ1618" s="105" t="str">
        <f t="shared" si="893"/>
        <v/>
      </c>
      <c r="AK1618" s="104"/>
      <c r="AL1618" s="105" t="str">
        <f t="shared" si="894"/>
        <v/>
      </c>
      <c r="AM1618" s="104"/>
      <c r="AN1618" s="105" t="str">
        <f t="shared" si="895"/>
        <v/>
      </c>
      <c r="AO1618" s="104"/>
      <c r="AP1618" s="105" t="str">
        <f t="shared" si="896"/>
        <v/>
      </c>
      <c r="AQ1618" s="104"/>
      <c r="AR1618" s="105" t="str">
        <f t="shared" si="897"/>
        <v/>
      </c>
      <c r="AS1618" s="106"/>
      <c r="AT1618" s="107"/>
      <c r="AU1618" s="107"/>
      <c r="AV1618" s="108"/>
      <c r="AW1618" s="109" t="str">
        <f t="shared" si="898"/>
        <v/>
      </c>
      <c r="AX1618" s="110" t="str">
        <f t="shared" si="899"/>
        <v/>
      </c>
      <c r="AY1618" s="109" t="str">
        <f t="shared" si="900"/>
        <v/>
      </c>
      <c r="AZ1618" s="110" t="str">
        <f t="shared" si="901"/>
        <v/>
      </c>
    </row>
    <row r="1619" spans="1:52" s="3" customFormat="1" ht="12" hidden="1" customHeight="1" x14ac:dyDescent="0.35">
      <c r="A1619" s="72">
        <f t="shared" si="949"/>
        <v>2020</v>
      </c>
      <c r="B1619" s="72" t="str">
        <f t="shared" si="878"/>
        <v>Dec</v>
      </c>
      <c r="C1619" s="73">
        <f t="shared" si="879"/>
        <v>3</v>
      </c>
      <c r="D1619" s="74">
        <f t="shared" si="880"/>
        <v>17</v>
      </c>
      <c r="E1619" s="75">
        <f t="shared" si="950"/>
        <v>50</v>
      </c>
      <c r="F1619" s="79"/>
      <c r="G1619" s="82"/>
      <c r="H1619" s="68" t="str">
        <f t="shared" si="881"/>
        <v>Hyprev6_20201203_17_00</v>
      </c>
      <c r="I1619" s="69">
        <f t="shared" ref="I1619:N1619" si="952">I1618</f>
        <v>1</v>
      </c>
      <c r="J1619" s="76" t="str">
        <f t="shared" si="952"/>
        <v>Hypericum</v>
      </c>
      <c r="K1619" s="76" t="str">
        <f t="shared" si="952"/>
        <v>revolutum</v>
      </c>
      <c r="L1619" s="77">
        <f t="shared" si="952"/>
        <v>6</v>
      </c>
      <c r="M1619" s="77">
        <f t="shared" si="952"/>
        <v>1</v>
      </c>
      <c r="N1619" s="71">
        <f t="shared" si="952"/>
        <v>0</v>
      </c>
      <c r="O1619" s="44"/>
      <c r="P1619" s="45" t="str">
        <f t="shared" si="883"/>
        <v/>
      </c>
      <c r="Q1619" s="46" t="str">
        <f t="shared" si="884"/>
        <v/>
      </c>
      <c r="R1619" s="47" t="e">
        <f t="shared" si="885"/>
        <v>#VALUE!</v>
      </c>
      <c r="S1619" s="48" t="e">
        <f t="shared" si="917"/>
        <v>#VALUE!</v>
      </c>
      <c r="T1619" s="47" t="str">
        <f t="shared" si="886"/>
        <v/>
      </c>
      <c r="U1619" s="49"/>
      <c r="V1619" s="50"/>
      <c r="W1619" s="51" t="e">
        <f t="shared" si="887"/>
        <v>#VALUE!</v>
      </c>
      <c r="X1619" s="52"/>
      <c r="Y1619" s="52"/>
      <c r="Z1619" s="52"/>
      <c r="AA1619" s="47" t="e">
        <f>INDEX(VISITORS[INSECT ORDER], MATCH(X1619,VISITORS[NAME USED],0))</f>
        <v>#N/A</v>
      </c>
      <c r="AB1619" s="47" t="e">
        <f t="shared" si="888"/>
        <v>#N/A</v>
      </c>
      <c r="AC1619" s="53" t="e">
        <f t="shared" si="889"/>
        <v>#VALUE!</v>
      </c>
      <c r="AD1619" s="54" t="str">
        <f t="shared" si="890"/>
        <v/>
      </c>
      <c r="AE1619" s="54"/>
      <c r="AF1619" s="54"/>
      <c r="AG1619" s="55" t="str">
        <f t="shared" si="891"/>
        <v/>
      </c>
      <c r="AH1619" s="56" t="str">
        <f t="shared" si="892"/>
        <v/>
      </c>
      <c r="AI1619" s="55"/>
      <c r="AJ1619" s="56" t="str">
        <f t="shared" si="893"/>
        <v/>
      </c>
      <c r="AK1619" s="55"/>
      <c r="AL1619" s="56" t="str">
        <f t="shared" si="894"/>
        <v/>
      </c>
      <c r="AM1619" s="55"/>
      <c r="AN1619" s="56" t="str">
        <f t="shared" si="895"/>
        <v/>
      </c>
      <c r="AO1619" s="55"/>
      <c r="AP1619" s="56" t="str">
        <f t="shared" si="896"/>
        <v/>
      </c>
      <c r="AQ1619" s="55"/>
      <c r="AR1619" s="56" t="str">
        <f t="shared" si="897"/>
        <v/>
      </c>
      <c r="AS1619" s="57"/>
      <c r="AT1619" s="58"/>
      <c r="AU1619" s="58"/>
      <c r="AV1619" s="59"/>
      <c r="AW1619" s="60" t="str">
        <f t="shared" si="898"/>
        <v/>
      </c>
      <c r="AX1619" s="61" t="str">
        <f t="shared" si="899"/>
        <v/>
      </c>
      <c r="AY1619" s="60" t="str">
        <f t="shared" si="900"/>
        <v/>
      </c>
      <c r="AZ1619" s="61" t="str">
        <f t="shared" si="901"/>
        <v/>
      </c>
    </row>
    <row r="1620" spans="1:52" s="3" customFormat="1" ht="12" hidden="1" customHeight="1" x14ac:dyDescent="0.35">
      <c r="A1620" s="72">
        <f t="shared" si="949"/>
        <v>2020</v>
      </c>
      <c r="B1620" s="72" t="str">
        <f t="shared" si="878"/>
        <v>Dec</v>
      </c>
      <c r="C1620" s="73">
        <f t="shared" si="879"/>
        <v>3</v>
      </c>
      <c r="D1620" s="74">
        <f t="shared" si="880"/>
        <v>17</v>
      </c>
      <c r="E1620" s="75">
        <f t="shared" si="950"/>
        <v>51</v>
      </c>
      <c r="F1620" s="79"/>
      <c r="G1620" s="82"/>
      <c r="H1620" s="68" t="str">
        <f t="shared" si="881"/>
        <v>Hyprev6_20201203_17_00</v>
      </c>
      <c r="I1620" s="69">
        <f t="shared" ref="I1620:N1620" si="953">I1619</f>
        <v>1</v>
      </c>
      <c r="J1620" s="76" t="str">
        <f t="shared" si="953"/>
        <v>Hypericum</v>
      </c>
      <c r="K1620" s="76" t="str">
        <f t="shared" si="953"/>
        <v>revolutum</v>
      </c>
      <c r="L1620" s="77">
        <f t="shared" si="953"/>
        <v>6</v>
      </c>
      <c r="M1620" s="77">
        <f t="shared" si="953"/>
        <v>1</v>
      </c>
      <c r="N1620" s="71">
        <f t="shared" si="953"/>
        <v>0</v>
      </c>
      <c r="O1620" s="44"/>
      <c r="P1620" s="45" t="str">
        <f t="shared" si="883"/>
        <v/>
      </c>
      <c r="Q1620" s="46" t="str">
        <f t="shared" si="884"/>
        <v/>
      </c>
      <c r="R1620" s="47" t="e">
        <f t="shared" si="885"/>
        <v>#VALUE!</v>
      </c>
      <c r="S1620" s="48" t="e">
        <f t="shared" si="917"/>
        <v>#VALUE!</v>
      </c>
      <c r="T1620" s="47" t="str">
        <f t="shared" si="886"/>
        <v/>
      </c>
      <c r="U1620" s="49"/>
      <c r="V1620" s="50"/>
      <c r="W1620" s="51" t="e">
        <f t="shared" si="887"/>
        <v>#VALUE!</v>
      </c>
      <c r="X1620" s="52"/>
      <c r="Y1620" s="52"/>
      <c r="Z1620" s="52"/>
      <c r="AA1620" s="47" t="e">
        <f>INDEX(VISITORS[INSECT ORDER], MATCH(X1620,VISITORS[NAME USED],0))</f>
        <v>#N/A</v>
      </c>
      <c r="AB1620" s="47" t="e">
        <f t="shared" si="888"/>
        <v>#N/A</v>
      </c>
      <c r="AC1620" s="53" t="e">
        <f t="shared" si="889"/>
        <v>#VALUE!</v>
      </c>
      <c r="AD1620" s="54" t="str">
        <f t="shared" si="890"/>
        <v/>
      </c>
      <c r="AE1620" s="54"/>
      <c r="AF1620" s="54"/>
      <c r="AG1620" s="55" t="str">
        <f t="shared" si="891"/>
        <v/>
      </c>
      <c r="AH1620" s="56" t="str">
        <f t="shared" si="892"/>
        <v/>
      </c>
      <c r="AI1620" s="55"/>
      <c r="AJ1620" s="56" t="str">
        <f t="shared" si="893"/>
        <v/>
      </c>
      <c r="AK1620" s="55"/>
      <c r="AL1620" s="56" t="str">
        <f t="shared" si="894"/>
        <v/>
      </c>
      <c r="AM1620" s="55"/>
      <c r="AN1620" s="56" t="str">
        <f t="shared" si="895"/>
        <v/>
      </c>
      <c r="AO1620" s="55"/>
      <c r="AP1620" s="56" t="str">
        <f t="shared" si="896"/>
        <v/>
      </c>
      <c r="AQ1620" s="55"/>
      <c r="AR1620" s="56" t="str">
        <f t="shared" si="897"/>
        <v/>
      </c>
      <c r="AS1620" s="57"/>
      <c r="AT1620" s="58"/>
      <c r="AU1620" s="58"/>
      <c r="AV1620" s="59"/>
      <c r="AW1620" s="60" t="str">
        <f t="shared" si="898"/>
        <v/>
      </c>
      <c r="AX1620" s="61" t="str">
        <f t="shared" si="899"/>
        <v/>
      </c>
      <c r="AY1620" s="60" t="str">
        <f t="shared" si="900"/>
        <v/>
      </c>
      <c r="AZ1620" s="61" t="str">
        <f t="shared" si="901"/>
        <v/>
      </c>
    </row>
    <row r="1621" spans="1:52" s="3" customFormat="1" ht="12" hidden="1" customHeight="1" thickBot="1" x14ac:dyDescent="0.4">
      <c r="A1621" s="85">
        <f t="shared" si="949"/>
        <v>2020</v>
      </c>
      <c r="B1621" s="85" t="str">
        <f t="shared" si="878"/>
        <v>Dec</v>
      </c>
      <c r="C1621" s="86">
        <f t="shared" si="879"/>
        <v>3</v>
      </c>
      <c r="D1621" s="87">
        <f t="shared" si="880"/>
        <v>17</v>
      </c>
      <c r="E1621" s="88">
        <f t="shared" si="950"/>
        <v>52</v>
      </c>
      <c r="F1621" s="89"/>
      <c r="G1621" s="90"/>
      <c r="H1621" s="68" t="str">
        <f t="shared" si="881"/>
        <v>Hyprev6_20201203_17_00</v>
      </c>
      <c r="I1621" s="91">
        <f t="shared" ref="I1621:N1621" si="954">I1620</f>
        <v>1</v>
      </c>
      <c r="J1621" s="92" t="str">
        <f t="shared" si="954"/>
        <v>Hypericum</v>
      </c>
      <c r="K1621" s="92" t="str">
        <f t="shared" si="954"/>
        <v>revolutum</v>
      </c>
      <c r="L1621" s="93">
        <f t="shared" si="954"/>
        <v>6</v>
      </c>
      <c r="M1621" s="93">
        <f t="shared" si="954"/>
        <v>1</v>
      </c>
      <c r="N1621" s="94">
        <f t="shared" si="954"/>
        <v>0</v>
      </c>
      <c r="O1621" s="95"/>
      <c r="P1621" s="96" t="str">
        <f t="shared" si="883"/>
        <v/>
      </c>
      <c r="Q1621" s="97" t="str">
        <f t="shared" si="884"/>
        <v/>
      </c>
      <c r="R1621" s="98" t="e">
        <f t="shared" si="885"/>
        <v>#VALUE!</v>
      </c>
      <c r="S1621" s="98" t="e">
        <f t="shared" si="917"/>
        <v>#VALUE!</v>
      </c>
      <c r="T1621" s="98" t="str">
        <f t="shared" si="886"/>
        <v/>
      </c>
      <c r="U1621" s="99"/>
      <c r="V1621" s="100"/>
      <c r="W1621" s="101" t="e">
        <f t="shared" si="887"/>
        <v>#VALUE!</v>
      </c>
      <c r="X1621" s="102"/>
      <c r="Y1621" s="141"/>
      <c r="Z1621" s="141"/>
      <c r="AA1621" s="47" t="e">
        <f>INDEX(VISITORS[INSECT ORDER], MATCH(X1621,VISITORS[NAME USED],0))</f>
        <v>#N/A</v>
      </c>
      <c r="AB1621" s="98" t="e">
        <f t="shared" si="888"/>
        <v>#N/A</v>
      </c>
      <c r="AC1621" s="53" t="e">
        <f t="shared" si="889"/>
        <v>#VALUE!</v>
      </c>
      <c r="AD1621" s="103" t="str">
        <f t="shared" si="890"/>
        <v/>
      </c>
      <c r="AE1621" s="103"/>
      <c r="AF1621" s="103"/>
      <c r="AG1621" s="104" t="str">
        <f t="shared" si="891"/>
        <v/>
      </c>
      <c r="AH1621" s="105" t="str">
        <f t="shared" si="892"/>
        <v/>
      </c>
      <c r="AI1621" s="104"/>
      <c r="AJ1621" s="105" t="str">
        <f t="shared" si="893"/>
        <v/>
      </c>
      <c r="AK1621" s="104"/>
      <c r="AL1621" s="105" t="str">
        <f t="shared" si="894"/>
        <v/>
      </c>
      <c r="AM1621" s="104"/>
      <c r="AN1621" s="105" t="str">
        <f t="shared" si="895"/>
        <v/>
      </c>
      <c r="AO1621" s="104"/>
      <c r="AP1621" s="105" t="str">
        <f t="shared" si="896"/>
        <v/>
      </c>
      <c r="AQ1621" s="104"/>
      <c r="AR1621" s="105" t="str">
        <f t="shared" si="897"/>
        <v/>
      </c>
      <c r="AS1621" s="106"/>
      <c r="AT1621" s="107"/>
      <c r="AU1621" s="107"/>
      <c r="AV1621" s="108"/>
      <c r="AW1621" s="109" t="str">
        <f t="shared" si="898"/>
        <v/>
      </c>
      <c r="AX1621" s="110" t="str">
        <f t="shared" si="899"/>
        <v/>
      </c>
      <c r="AY1621" s="109" t="str">
        <f t="shared" si="900"/>
        <v/>
      </c>
      <c r="AZ1621" s="110" t="str">
        <f t="shared" si="901"/>
        <v/>
      </c>
    </row>
    <row r="1622" spans="1:52" s="3" customFormat="1" ht="12" hidden="1" customHeight="1" x14ac:dyDescent="0.35">
      <c r="A1622" s="72">
        <f t="shared" si="949"/>
        <v>2020</v>
      </c>
      <c r="B1622" s="72" t="str">
        <f t="shared" si="878"/>
        <v>Dec</v>
      </c>
      <c r="C1622" s="73">
        <f t="shared" si="879"/>
        <v>3</v>
      </c>
      <c r="D1622" s="74">
        <f t="shared" si="880"/>
        <v>17</v>
      </c>
      <c r="E1622" s="75">
        <f t="shared" si="950"/>
        <v>53</v>
      </c>
      <c r="F1622" s="79"/>
      <c r="G1622" s="82"/>
      <c r="H1622" s="68" t="str">
        <f t="shared" si="881"/>
        <v>Hyprev6_20201203_17_00</v>
      </c>
      <c r="I1622" s="69">
        <f t="shared" ref="I1622:N1622" si="955">I1621</f>
        <v>1</v>
      </c>
      <c r="J1622" s="76" t="str">
        <f t="shared" si="955"/>
        <v>Hypericum</v>
      </c>
      <c r="K1622" s="76" t="str">
        <f t="shared" si="955"/>
        <v>revolutum</v>
      </c>
      <c r="L1622" s="77">
        <f t="shared" si="955"/>
        <v>6</v>
      </c>
      <c r="M1622" s="77">
        <f t="shared" si="955"/>
        <v>1</v>
      </c>
      <c r="N1622" s="71">
        <f t="shared" si="955"/>
        <v>0</v>
      </c>
      <c r="O1622" s="44"/>
      <c r="P1622" s="45" t="str">
        <f t="shared" si="883"/>
        <v/>
      </c>
      <c r="Q1622" s="46" t="str">
        <f t="shared" si="884"/>
        <v/>
      </c>
      <c r="R1622" s="47" t="e">
        <f t="shared" si="885"/>
        <v>#VALUE!</v>
      </c>
      <c r="S1622" s="48" t="e">
        <f t="shared" si="917"/>
        <v>#VALUE!</v>
      </c>
      <c r="T1622" s="47" t="str">
        <f t="shared" si="886"/>
        <v/>
      </c>
      <c r="U1622" s="49"/>
      <c r="V1622" s="50"/>
      <c r="W1622" s="51" t="e">
        <f t="shared" si="887"/>
        <v>#VALUE!</v>
      </c>
      <c r="X1622" s="52"/>
      <c r="Y1622" s="52"/>
      <c r="Z1622" s="52"/>
      <c r="AA1622" s="47" t="e">
        <f>INDEX(VISITORS[INSECT ORDER], MATCH(X1622,VISITORS[NAME USED],0))</f>
        <v>#N/A</v>
      </c>
      <c r="AB1622" s="47" t="e">
        <f t="shared" si="888"/>
        <v>#N/A</v>
      </c>
      <c r="AC1622" s="53" t="e">
        <f t="shared" si="889"/>
        <v>#VALUE!</v>
      </c>
      <c r="AD1622" s="54" t="str">
        <f t="shared" si="890"/>
        <v/>
      </c>
      <c r="AE1622" s="54"/>
      <c r="AF1622" s="54"/>
      <c r="AG1622" s="55" t="str">
        <f t="shared" si="891"/>
        <v/>
      </c>
      <c r="AH1622" s="56" t="str">
        <f t="shared" si="892"/>
        <v/>
      </c>
      <c r="AI1622" s="55"/>
      <c r="AJ1622" s="56" t="str">
        <f t="shared" si="893"/>
        <v/>
      </c>
      <c r="AK1622" s="55"/>
      <c r="AL1622" s="56" t="str">
        <f t="shared" si="894"/>
        <v/>
      </c>
      <c r="AM1622" s="55"/>
      <c r="AN1622" s="56" t="str">
        <f t="shared" si="895"/>
        <v/>
      </c>
      <c r="AO1622" s="55"/>
      <c r="AP1622" s="56" t="str">
        <f t="shared" si="896"/>
        <v/>
      </c>
      <c r="AQ1622" s="55"/>
      <c r="AR1622" s="56" t="str">
        <f t="shared" si="897"/>
        <v/>
      </c>
      <c r="AS1622" s="57"/>
      <c r="AT1622" s="58"/>
      <c r="AU1622" s="58"/>
      <c r="AV1622" s="59"/>
      <c r="AW1622" s="60" t="str">
        <f t="shared" si="898"/>
        <v/>
      </c>
      <c r="AX1622" s="61" t="str">
        <f t="shared" si="899"/>
        <v/>
      </c>
      <c r="AY1622" s="60" t="str">
        <f t="shared" si="900"/>
        <v/>
      </c>
      <c r="AZ1622" s="61" t="str">
        <f t="shared" si="901"/>
        <v/>
      </c>
    </row>
    <row r="1623" spans="1:52" s="3" customFormat="1" ht="12" hidden="1" customHeight="1" x14ac:dyDescent="0.35">
      <c r="A1623" s="72">
        <f t="shared" si="949"/>
        <v>2020</v>
      </c>
      <c r="B1623" s="72" t="str">
        <f t="shared" si="878"/>
        <v>Dec</v>
      </c>
      <c r="C1623" s="73">
        <f t="shared" si="879"/>
        <v>3</v>
      </c>
      <c r="D1623" s="74">
        <f t="shared" si="880"/>
        <v>17</v>
      </c>
      <c r="E1623" s="75">
        <f t="shared" si="950"/>
        <v>54</v>
      </c>
      <c r="F1623" s="79"/>
      <c r="G1623" s="82"/>
      <c r="H1623" s="68" t="str">
        <f t="shared" si="881"/>
        <v>Hyprev6_20201203_17_00</v>
      </c>
      <c r="I1623" s="69">
        <f t="shared" ref="I1623:N1623" si="956">I1622</f>
        <v>1</v>
      </c>
      <c r="J1623" s="76" t="str">
        <f t="shared" si="956"/>
        <v>Hypericum</v>
      </c>
      <c r="K1623" s="76" t="str">
        <f t="shared" si="956"/>
        <v>revolutum</v>
      </c>
      <c r="L1623" s="77">
        <f t="shared" si="956"/>
        <v>6</v>
      </c>
      <c r="M1623" s="77">
        <f t="shared" si="956"/>
        <v>1</v>
      </c>
      <c r="N1623" s="71">
        <f t="shared" si="956"/>
        <v>0</v>
      </c>
      <c r="O1623" s="44"/>
      <c r="P1623" s="45" t="str">
        <f t="shared" si="883"/>
        <v/>
      </c>
      <c r="Q1623" s="46" t="str">
        <f t="shared" si="884"/>
        <v/>
      </c>
      <c r="R1623" s="47" t="e">
        <f t="shared" si="885"/>
        <v>#VALUE!</v>
      </c>
      <c r="S1623" s="48" t="e">
        <f t="shared" si="917"/>
        <v>#VALUE!</v>
      </c>
      <c r="T1623" s="47" t="str">
        <f t="shared" si="886"/>
        <v/>
      </c>
      <c r="U1623" s="49"/>
      <c r="V1623" s="50"/>
      <c r="W1623" s="51" t="e">
        <f t="shared" si="887"/>
        <v>#VALUE!</v>
      </c>
      <c r="X1623" s="52"/>
      <c r="Y1623" s="52"/>
      <c r="Z1623" s="52"/>
      <c r="AA1623" s="47" t="e">
        <f>INDEX(VISITORS[INSECT ORDER], MATCH(X1623,VISITORS[NAME USED],0))</f>
        <v>#N/A</v>
      </c>
      <c r="AB1623" s="47" t="e">
        <f t="shared" si="888"/>
        <v>#N/A</v>
      </c>
      <c r="AC1623" s="53" t="e">
        <f t="shared" si="889"/>
        <v>#VALUE!</v>
      </c>
      <c r="AD1623" s="54" t="str">
        <f t="shared" si="890"/>
        <v/>
      </c>
      <c r="AE1623" s="54"/>
      <c r="AF1623" s="54"/>
      <c r="AG1623" s="55" t="str">
        <f t="shared" si="891"/>
        <v/>
      </c>
      <c r="AH1623" s="56" t="str">
        <f t="shared" si="892"/>
        <v/>
      </c>
      <c r="AI1623" s="55"/>
      <c r="AJ1623" s="56" t="str">
        <f t="shared" si="893"/>
        <v/>
      </c>
      <c r="AK1623" s="55"/>
      <c r="AL1623" s="56" t="str">
        <f t="shared" si="894"/>
        <v/>
      </c>
      <c r="AM1623" s="55"/>
      <c r="AN1623" s="56" t="str">
        <f t="shared" si="895"/>
        <v/>
      </c>
      <c r="AO1623" s="55"/>
      <c r="AP1623" s="56" t="str">
        <f t="shared" si="896"/>
        <v/>
      </c>
      <c r="AQ1623" s="55"/>
      <c r="AR1623" s="56" t="str">
        <f t="shared" si="897"/>
        <v/>
      </c>
      <c r="AS1623" s="57"/>
      <c r="AT1623" s="58"/>
      <c r="AU1623" s="58"/>
      <c r="AV1623" s="59"/>
      <c r="AW1623" s="60" t="str">
        <f t="shared" si="898"/>
        <v/>
      </c>
      <c r="AX1623" s="61" t="str">
        <f t="shared" si="899"/>
        <v/>
      </c>
      <c r="AY1623" s="60" t="str">
        <f t="shared" si="900"/>
        <v/>
      </c>
      <c r="AZ1623" s="61" t="str">
        <f t="shared" si="901"/>
        <v/>
      </c>
    </row>
    <row r="1624" spans="1:52" s="3" customFormat="1" ht="12" hidden="1" customHeight="1" thickBot="1" x14ac:dyDescent="0.4">
      <c r="A1624" s="85">
        <f t="shared" si="949"/>
        <v>2020</v>
      </c>
      <c r="B1624" s="85" t="str">
        <f t="shared" si="878"/>
        <v>Dec</v>
      </c>
      <c r="C1624" s="86">
        <f t="shared" si="879"/>
        <v>3</v>
      </c>
      <c r="D1624" s="87">
        <f t="shared" si="880"/>
        <v>17</v>
      </c>
      <c r="E1624" s="88">
        <f t="shared" si="950"/>
        <v>55</v>
      </c>
      <c r="F1624" s="89"/>
      <c r="G1624" s="90"/>
      <c r="H1624" s="68" t="str">
        <f t="shared" si="881"/>
        <v>Hyprev6_20201203_17_00</v>
      </c>
      <c r="I1624" s="91">
        <f t="shared" ref="I1624:N1624" si="957">I1623</f>
        <v>1</v>
      </c>
      <c r="J1624" s="92" t="str">
        <f t="shared" si="957"/>
        <v>Hypericum</v>
      </c>
      <c r="K1624" s="92" t="str">
        <f t="shared" si="957"/>
        <v>revolutum</v>
      </c>
      <c r="L1624" s="93">
        <f t="shared" si="957"/>
        <v>6</v>
      </c>
      <c r="M1624" s="93">
        <f t="shared" si="957"/>
        <v>1</v>
      </c>
      <c r="N1624" s="94">
        <f t="shared" si="957"/>
        <v>0</v>
      </c>
      <c r="O1624" s="95"/>
      <c r="P1624" s="96" t="str">
        <f t="shared" si="883"/>
        <v/>
      </c>
      <c r="Q1624" s="97" t="str">
        <f t="shared" si="884"/>
        <v/>
      </c>
      <c r="R1624" s="98" t="e">
        <f t="shared" si="885"/>
        <v>#VALUE!</v>
      </c>
      <c r="S1624" s="98" t="e">
        <f t="shared" si="917"/>
        <v>#VALUE!</v>
      </c>
      <c r="T1624" s="98" t="str">
        <f t="shared" si="886"/>
        <v/>
      </c>
      <c r="U1624" s="99"/>
      <c r="V1624" s="100"/>
      <c r="W1624" s="101" t="e">
        <f t="shared" si="887"/>
        <v>#VALUE!</v>
      </c>
      <c r="X1624" s="102"/>
      <c r="Y1624" s="141"/>
      <c r="Z1624" s="141"/>
      <c r="AA1624" s="47" t="e">
        <f>INDEX(VISITORS[INSECT ORDER], MATCH(X1624,VISITORS[NAME USED],0))</f>
        <v>#N/A</v>
      </c>
      <c r="AB1624" s="98" t="e">
        <f t="shared" si="888"/>
        <v>#N/A</v>
      </c>
      <c r="AC1624" s="53" t="e">
        <f t="shared" si="889"/>
        <v>#VALUE!</v>
      </c>
      <c r="AD1624" s="103" t="str">
        <f t="shared" si="890"/>
        <v/>
      </c>
      <c r="AE1624" s="103"/>
      <c r="AF1624" s="103"/>
      <c r="AG1624" s="104" t="str">
        <f t="shared" si="891"/>
        <v/>
      </c>
      <c r="AH1624" s="105" t="str">
        <f t="shared" si="892"/>
        <v/>
      </c>
      <c r="AI1624" s="104"/>
      <c r="AJ1624" s="105" t="str">
        <f t="shared" si="893"/>
        <v/>
      </c>
      <c r="AK1624" s="104"/>
      <c r="AL1624" s="105" t="str">
        <f t="shared" si="894"/>
        <v/>
      </c>
      <c r="AM1624" s="104"/>
      <c r="AN1624" s="105" t="str">
        <f t="shared" si="895"/>
        <v/>
      </c>
      <c r="AO1624" s="104"/>
      <c r="AP1624" s="105" t="str">
        <f t="shared" si="896"/>
        <v/>
      </c>
      <c r="AQ1624" s="104"/>
      <c r="AR1624" s="105" t="str">
        <f t="shared" si="897"/>
        <v/>
      </c>
      <c r="AS1624" s="106"/>
      <c r="AT1624" s="107"/>
      <c r="AU1624" s="107"/>
      <c r="AV1624" s="108"/>
      <c r="AW1624" s="109" t="str">
        <f t="shared" si="898"/>
        <v/>
      </c>
      <c r="AX1624" s="110" t="str">
        <f t="shared" si="899"/>
        <v/>
      </c>
      <c r="AY1624" s="109" t="str">
        <f t="shared" si="900"/>
        <v/>
      </c>
      <c r="AZ1624" s="110" t="str">
        <f t="shared" si="901"/>
        <v/>
      </c>
    </row>
    <row r="1625" spans="1:52" s="3" customFormat="1" ht="12" hidden="1" customHeight="1" x14ac:dyDescent="0.35">
      <c r="A1625" s="72">
        <f t="shared" si="949"/>
        <v>2020</v>
      </c>
      <c r="B1625" s="72" t="str">
        <f t="shared" si="878"/>
        <v>Dec</v>
      </c>
      <c r="C1625" s="73">
        <f t="shared" si="879"/>
        <v>3</v>
      </c>
      <c r="D1625" s="74">
        <f t="shared" si="880"/>
        <v>17</v>
      </c>
      <c r="E1625" s="75">
        <f t="shared" si="950"/>
        <v>56</v>
      </c>
      <c r="F1625" s="79"/>
      <c r="G1625" s="82"/>
      <c r="H1625" s="68" t="str">
        <f t="shared" si="881"/>
        <v>Hyprev6_20201203_17_00</v>
      </c>
      <c r="I1625" s="69">
        <f t="shared" ref="I1625:N1625" si="958">I1624</f>
        <v>1</v>
      </c>
      <c r="J1625" s="76" t="str">
        <f t="shared" si="958"/>
        <v>Hypericum</v>
      </c>
      <c r="K1625" s="76" t="str">
        <f t="shared" si="958"/>
        <v>revolutum</v>
      </c>
      <c r="L1625" s="77">
        <f t="shared" si="958"/>
        <v>6</v>
      </c>
      <c r="M1625" s="77">
        <f t="shared" si="958"/>
        <v>1</v>
      </c>
      <c r="N1625" s="71">
        <f t="shared" si="958"/>
        <v>0</v>
      </c>
      <c r="O1625" s="44"/>
      <c r="P1625" s="45" t="str">
        <f t="shared" si="883"/>
        <v/>
      </c>
      <c r="Q1625" s="46" t="str">
        <f t="shared" si="884"/>
        <v/>
      </c>
      <c r="R1625" s="47" t="e">
        <f t="shared" si="885"/>
        <v>#VALUE!</v>
      </c>
      <c r="S1625" s="48" t="e">
        <f t="shared" si="917"/>
        <v>#VALUE!</v>
      </c>
      <c r="T1625" s="47" t="str">
        <f t="shared" si="886"/>
        <v/>
      </c>
      <c r="U1625" s="49"/>
      <c r="V1625" s="50"/>
      <c r="W1625" s="51" t="e">
        <f t="shared" si="887"/>
        <v>#VALUE!</v>
      </c>
      <c r="X1625" s="52"/>
      <c r="Y1625" s="52"/>
      <c r="Z1625" s="52"/>
      <c r="AA1625" s="47" t="e">
        <f>INDEX(VISITORS[INSECT ORDER], MATCH(X1625,VISITORS[NAME USED],0))</f>
        <v>#N/A</v>
      </c>
      <c r="AB1625" s="47" t="e">
        <f t="shared" si="888"/>
        <v>#N/A</v>
      </c>
      <c r="AC1625" s="53" t="e">
        <f t="shared" si="889"/>
        <v>#VALUE!</v>
      </c>
      <c r="AD1625" s="54" t="str">
        <f t="shared" si="890"/>
        <v/>
      </c>
      <c r="AE1625" s="54"/>
      <c r="AF1625" s="54"/>
      <c r="AG1625" s="55" t="str">
        <f t="shared" si="891"/>
        <v/>
      </c>
      <c r="AH1625" s="56" t="str">
        <f t="shared" si="892"/>
        <v/>
      </c>
      <c r="AI1625" s="55"/>
      <c r="AJ1625" s="56" t="str">
        <f t="shared" si="893"/>
        <v/>
      </c>
      <c r="AK1625" s="55"/>
      <c r="AL1625" s="56" t="str">
        <f t="shared" si="894"/>
        <v/>
      </c>
      <c r="AM1625" s="55"/>
      <c r="AN1625" s="56" t="str">
        <f t="shared" si="895"/>
        <v/>
      </c>
      <c r="AO1625" s="55"/>
      <c r="AP1625" s="56" t="str">
        <f t="shared" si="896"/>
        <v/>
      </c>
      <c r="AQ1625" s="55"/>
      <c r="AR1625" s="56" t="str">
        <f t="shared" si="897"/>
        <v/>
      </c>
      <c r="AS1625" s="57"/>
      <c r="AT1625" s="58"/>
      <c r="AU1625" s="58"/>
      <c r="AV1625" s="59"/>
      <c r="AW1625" s="60" t="str">
        <f t="shared" si="898"/>
        <v/>
      </c>
      <c r="AX1625" s="61" t="str">
        <f t="shared" si="899"/>
        <v/>
      </c>
      <c r="AY1625" s="60" t="str">
        <f t="shared" si="900"/>
        <v/>
      </c>
      <c r="AZ1625" s="61" t="str">
        <f t="shared" si="901"/>
        <v/>
      </c>
    </row>
    <row r="1626" spans="1:52" s="3" customFormat="1" ht="12" hidden="1" customHeight="1" x14ac:dyDescent="0.35">
      <c r="A1626" s="72">
        <f t="shared" si="949"/>
        <v>2020</v>
      </c>
      <c r="B1626" s="72" t="str">
        <f t="shared" si="878"/>
        <v>Dec</v>
      </c>
      <c r="C1626" s="73">
        <f t="shared" si="879"/>
        <v>3</v>
      </c>
      <c r="D1626" s="74">
        <f t="shared" si="880"/>
        <v>17</v>
      </c>
      <c r="E1626" s="75">
        <f t="shared" si="950"/>
        <v>57</v>
      </c>
      <c r="F1626" s="79"/>
      <c r="G1626" s="82"/>
      <c r="H1626" s="68" t="str">
        <f t="shared" si="881"/>
        <v>Hyprev6_20201203_17_00</v>
      </c>
      <c r="I1626" s="69">
        <f t="shared" ref="I1626:N1626" si="959">I1625</f>
        <v>1</v>
      </c>
      <c r="J1626" s="76" t="str">
        <f t="shared" si="959"/>
        <v>Hypericum</v>
      </c>
      <c r="K1626" s="76" t="str">
        <f t="shared" si="959"/>
        <v>revolutum</v>
      </c>
      <c r="L1626" s="77">
        <f t="shared" si="959"/>
        <v>6</v>
      </c>
      <c r="M1626" s="77">
        <f t="shared" si="959"/>
        <v>1</v>
      </c>
      <c r="N1626" s="71">
        <f t="shared" si="959"/>
        <v>0</v>
      </c>
      <c r="O1626" s="44"/>
      <c r="P1626" s="45" t="str">
        <f t="shared" si="883"/>
        <v/>
      </c>
      <c r="Q1626" s="46" t="str">
        <f t="shared" si="884"/>
        <v/>
      </c>
      <c r="R1626" s="47" t="e">
        <f t="shared" si="885"/>
        <v>#VALUE!</v>
      </c>
      <c r="S1626" s="48" t="e">
        <f t="shared" si="917"/>
        <v>#VALUE!</v>
      </c>
      <c r="T1626" s="47" t="str">
        <f t="shared" si="886"/>
        <v/>
      </c>
      <c r="U1626" s="49"/>
      <c r="V1626" s="50"/>
      <c r="W1626" s="51" t="e">
        <f t="shared" si="887"/>
        <v>#VALUE!</v>
      </c>
      <c r="X1626" s="52"/>
      <c r="Y1626" s="52"/>
      <c r="Z1626" s="52"/>
      <c r="AA1626" s="47" t="e">
        <f>INDEX(VISITORS[INSECT ORDER], MATCH(X1626,VISITORS[NAME USED],0))</f>
        <v>#N/A</v>
      </c>
      <c r="AB1626" s="47" t="e">
        <f t="shared" si="888"/>
        <v>#N/A</v>
      </c>
      <c r="AC1626" s="53" t="e">
        <f t="shared" si="889"/>
        <v>#VALUE!</v>
      </c>
      <c r="AD1626" s="54" t="str">
        <f t="shared" si="890"/>
        <v/>
      </c>
      <c r="AE1626" s="54"/>
      <c r="AF1626" s="54"/>
      <c r="AG1626" s="55" t="str">
        <f t="shared" si="891"/>
        <v/>
      </c>
      <c r="AH1626" s="56" t="str">
        <f t="shared" si="892"/>
        <v/>
      </c>
      <c r="AI1626" s="55"/>
      <c r="AJ1626" s="56" t="str">
        <f t="shared" si="893"/>
        <v/>
      </c>
      <c r="AK1626" s="55"/>
      <c r="AL1626" s="56" t="str">
        <f t="shared" si="894"/>
        <v/>
      </c>
      <c r="AM1626" s="55"/>
      <c r="AN1626" s="56" t="str">
        <f t="shared" si="895"/>
        <v/>
      </c>
      <c r="AO1626" s="55"/>
      <c r="AP1626" s="56" t="str">
        <f t="shared" si="896"/>
        <v/>
      </c>
      <c r="AQ1626" s="55"/>
      <c r="AR1626" s="56" t="str">
        <f t="shared" si="897"/>
        <v/>
      </c>
      <c r="AS1626" s="57"/>
      <c r="AT1626" s="58"/>
      <c r="AU1626" s="58"/>
      <c r="AV1626" s="59"/>
      <c r="AW1626" s="60" t="str">
        <f t="shared" si="898"/>
        <v/>
      </c>
      <c r="AX1626" s="61" t="str">
        <f t="shared" si="899"/>
        <v/>
      </c>
      <c r="AY1626" s="60" t="str">
        <f t="shared" si="900"/>
        <v/>
      </c>
      <c r="AZ1626" s="61" t="str">
        <f t="shared" si="901"/>
        <v/>
      </c>
    </row>
    <row r="1627" spans="1:52" s="3" customFormat="1" ht="12" hidden="1" customHeight="1" thickBot="1" x14ac:dyDescent="0.4">
      <c r="A1627" s="85">
        <f t="shared" si="949"/>
        <v>2020</v>
      </c>
      <c r="B1627" s="85" t="str">
        <f t="shared" si="878"/>
        <v>Dec</v>
      </c>
      <c r="C1627" s="86">
        <f t="shared" si="879"/>
        <v>3</v>
      </c>
      <c r="D1627" s="87">
        <f t="shared" si="880"/>
        <v>17</v>
      </c>
      <c r="E1627" s="88">
        <f t="shared" si="950"/>
        <v>58</v>
      </c>
      <c r="F1627" s="89"/>
      <c r="G1627" s="90"/>
      <c r="H1627" s="68" t="str">
        <f t="shared" si="881"/>
        <v>Hyprev6_20201203_17_00</v>
      </c>
      <c r="I1627" s="91">
        <f t="shared" ref="I1627:N1627" si="960">I1626</f>
        <v>1</v>
      </c>
      <c r="J1627" s="92" t="str">
        <f t="shared" si="960"/>
        <v>Hypericum</v>
      </c>
      <c r="K1627" s="92" t="str">
        <f t="shared" si="960"/>
        <v>revolutum</v>
      </c>
      <c r="L1627" s="93">
        <f t="shared" si="960"/>
        <v>6</v>
      </c>
      <c r="M1627" s="93">
        <f t="shared" si="960"/>
        <v>1</v>
      </c>
      <c r="N1627" s="94">
        <f t="shared" si="960"/>
        <v>0</v>
      </c>
      <c r="O1627" s="95"/>
      <c r="P1627" s="96" t="str">
        <f t="shared" si="883"/>
        <v/>
      </c>
      <c r="Q1627" s="97" t="str">
        <f t="shared" si="884"/>
        <v/>
      </c>
      <c r="R1627" s="98" t="e">
        <f t="shared" si="885"/>
        <v>#VALUE!</v>
      </c>
      <c r="S1627" s="98" t="e">
        <f t="shared" si="917"/>
        <v>#VALUE!</v>
      </c>
      <c r="T1627" s="98" t="str">
        <f t="shared" si="886"/>
        <v/>
      </c>
      <c r="U1627" s="99"/>
      <c r="V1627" s="100"/>
      <c r="W1627" s="101" t="e">
        <f t="shared" si="887"/>
        <v>#VALUE!</v>
      </c>
      <c r="X1627" s="102"/>
      <c r="Y1627" s="141"/>
      <c r="Z1627" s="141"/>
      <c r="AA1627" s="47" t="e">
        <f>INDEX(VISITORS[INSECT ORDER], MATCH(X1627,VISITORS[NAME USED],0))</f>
        <v>#N/A</v>
      </c>
      <c r="AB1627" s="98" t="e">
        <f t="shared" si="888"/>
        <v>#N/A</v>
      </c>
      <c r="AC1627" s="53" t="e">
        <f t="shared" si="889"/>
        <v>#VALUE!</v>
      </c>
      <c r="AD1627" s="103" t="str">
        <f t="shared" si="890"/>
        <v/>
      </c>
      <c r="AE1627" s="103"/>
      <c r="AF1627" s="103"/>
      <c r="AG1627" s="104" t="str">
        <f t="shared" si="891"/>
        <v/>
      </c>
      <c r="AH1627" s="105" t="str">
        <f t="shared" si="892"/>
        <v/>
      </c>
      <c r="AI1627" s="104"/>
      <c r="AJ1627" s="105" t="str">
        <f t="shared" si="893"/>
        <v/>
      </c>
      <c r="AK1627" s="104"/>
      <c r="AL1627" s="105" t="str">
        <f t="shared" si="894"/>
        <v/>
      </c>
      <c r="AM1627" s="104"/>
      <c r="AN1627" s="105" t="str">
        <f t="shared" si="895"/>
        <v/>
      </c>
      <c r="AO1627" s="104"/>
      <c r="AP1627" s="105" t="str">
        <f t="shared" si="896"/>
        <v/>
      </c>
      <c r="AQ1627" s="104"/>
      <c r="AR1627" s="105" t="str">
        <f t="shared" si="897"/>
        <v/>
      </c>
      <c r="AS1627" s="106"/>
      <c r="AT1627" s="107"/>
      <c r="AU1627" s="107"/>
      <c r="AV1627" s="108"/>
      <c r="AW1627" s="109" t="str">
        <f t="shared" si="898"/>
        <v/>
      </c>
      <c r="AX1627" s="110" t="str">
        <f t="shared" si="899"/>
        <v/>
      </c>
      <c r="AY1627" s="109" t="str">
        <f t="shared" si="900"/>
        <v/>
      </c>
      <c r="AZ1627" s="110" t="str">
        <f t="shared" si="901"/>
        <v/>
      </c>
    </row>
    <row r="1628" spans="1:52" s="3" customFormat="1" ht="12" hidden="1" customHeight="1" x14ac:dyDescent="0.35">
      <c r="A1628" s="72">
        <f t="shared" si="949"/>
        <v>2020</v>
      </c>
      <c r="B1628" s="72" t="str">
        <f t="shared" si="878"/>
        <v>Dec</v>
      </c>
      <c r="C1628" s="73">
        <f t="shared" si="879"/>
        <v>3</v>
      </c>
      <c r="D1628" s="74">
        <f t="shared" si="880"/>
        <v>17</v>
      </c>
      <c r="E1628" s="75">
        <f t="shared" si="950"/>
        <v>59</v>
      </c>
      <c r="F1628" s="79"/>
      <c r="G1628" s="82"/>
      <c r="H1628" s="68" t="str">
        <f t="shared" si="881"/>
        <v>Hyprev6_20201203_17_00</v>
      </c>
      <c r="I1628" s="69">
        <f t="shared" ref="I1628:N1628" si="961">I1627</f>
        <v>1</v>
      </c>
      <c r="J1628" s="76" t="str">
        <f t="shared" si="961"/>
        <v>Hypericum</v>
      </c>
      <c r="K1628" s="76" t="str">
        <f t="shared" si="961"/>
        <v>revolutum</v>
      </c>
      <c r="L1628" s="77">
        <f t="shared" si="961"/>
        <v>6</v>
      </c>
      <c r="M1628" s="77">
        <f t="shared" si="961"/>
        <v>1</v>
      </c>
      <c r="N1628" s="71">
        <f t="shared" si="961"/>
        <v>0</v>
      </c>
      <c r="O1628" s="44"/>
      <c r="P1628" s="45" t="str">
        <f t="shared" si="883"/>
        <v/>
      </c>
      <c r="Q1628" s="46" t="str">
        <f t="shared" si="884"/>
        <v/>
      </c>
      <c r="R1628" s="47" t="e">
        <f t="shared" si="885"/>
        <v>#VALUE!</v>
      </c>
      <c r="S1628" s="48" t="e">
        <f t="shared" si="917"/>
        <v>#VALUE!</v>
      </c>
      <c r="T1628" s="47" t="str">
        <f t="shared" si="886"/>
        <v/>
      </c>
      <c r="U1628" s="49"/>
      <c r="V1628" s="50"/>
      <c r="W1628" s="51" t="e">
        <f t="shared" si="887"/>
        <v>#VALUE!</v>
      </c>
      <c r="X1628" s="52"/>
      <c r="Y1628" s="52"/>
      <c r="Z1628" s="52"/>
      <c r="AA1628" s="47" t="e">
        <f>INDEX(VISITORS[INSECT ORDER], MATCH(X1628,VISITORS[NAME USED],0))</f>
        <v>#N/A</v>
      </c>
      <c r="AB1628" s="47" t="e">
        <f t="shared" si="888"/>
        <v>#N/A</v>
      </c>
      <c r="AC1628" s="53" t="e">
        <f t="shared" si="889"/>
        <v>#VALUE!</v>
      </c>
      <c r="AD1628" s="54" t="str">
        <f t="shared" si="890"/>
        <v/>
      </c>
      <c r="AE1628" s="54"/>
      <c r="AF1628" s="54"/>
      <c r="AG1628" s="55" t="str">
        <f t="shared" si="891"/>
        <v/>
      </c>
      <c r="AH1628" s="56" t="str">
        <f t="shared" si="892"/>
        <v/>
      </c>
      <c r="AI1628" s="55"/>
      <c r="AJ1628" s="56" t="str">
        <f t="shared" si="893"/>
        <v/>
      </c>
      <c r="AK1628" s="55"/>
      <c r="AL1628" s="56" t="str">
        <f t="shared" si="894"/>
        <v/>
      </c>
      <c r="AM1628" s="55"/>
      <c r="AN1628" s="56" t="str">
        <f t="shared" si="895"/>
        <v/>
      </c>
      <c r="AO1628" s="55"/>
      <c r="AP1628" s="56" t="str">
        <f t="shared" si="896"/>
        <v/>
      </c>
      <c r="AQ1628" s="55"/>
      <c r="AR1628" s="56" t="str">
        <f t="shared" si="897"/>
        <v/>
      </c>
      <c r="AS1628" s="57"/>
      <c r="AT1628" s="58"/>
      <c r="AU1628" s="58"/>
      <c r="AV1628" s="59"/>
      <c r="AW1628" s="60" t="str">
        <f t="shared" si="898"/>
        <v/>
      </c>
      <c r="AX1628" s="61" t="str">
        <f t="shared" si="899"/>
        <v/>
      </c>
      <c r="AY1628" s="60" t="str">
        <f t="shared" si="900"/>
        <v/>
      </c>
      <c r="AZ1628" s="61" t="str">
        <f t="shared" si="901"/>
        <v/>
      </c>
    </row>
    <row r="1629" spans="1:52" s="3" customFormat="1" ht="12" hidden="1" customHeight="1" x14ac:dyDescent="0.35">
      <c r="A1629" s="72">
        <f t="shared" si="949"/>
        <v>2020</v>
      </c>
      <c r="B1629" s="72" t="str">
        <f t="shared" si="878"/>
        <v>Dec</v>
      </c>
      <c r="C1629" s="73">
        <f t="shared" si="879"/>
        <v>3</v>
      </c>
      <c r="D1629" s="74">
        <f t="shared" si="880"/>
        <v>18</v>
      </c>
      <c r="E1629" s="75">
        <f t="shared" si="950"/>
        <v>0</v>
      </c>
      <c r="F1629" s="79"/>
      <c r="G1629" s="82"/>
      <c r="H1629" s="68" t="str">
        <f t="shared" si="881"/>
        <v>Hyprev6_20201203_18_00</v>
      </c>
      <c r="I1629" s="69">
        <f t="shared" ref="I1629:N1629" si="962">I1628</f>
        <v>1</v>
      </c>
      <c r="J1629" s="76" t="str">
        <f t="shared" si="962"/>
        <v>Hypericum</v>
      </c>
      <c r="K1629" s="76" t="str">
        <f t="shared" si="962"/>
        <v>revolutum</v>
      </c>
      <c r="L1629" s="77">
        <f t="shared" si="962"/>
        <v>6</v>
      </c>
      <c r="M1629" s="77">
        <f t="shared" si="962"/>
        <v>1</v>
      </c>
      <c r="N1629" s="71">
        <f t="shared" si="962"/>
        <v>0</v>
      </c>
      <c r="O1629" s="44"/>
      <c r="P1629" s="45" t="str">
        <f t="shared" si="883"/>
        <v/>
      </c>
      <c r="Q1629" s="46" t="str">
        <f t="shared" si="884"/>
        <v/>
      </c>
      <c r="R1629" s="47" t="e">
        <f t="shared" si="885"/>
        <v>#VALUE!</v>
      </c>
      <c r="S1629" s="48" t="e">
        <f t="shared" si="917"/>
        <v>#VALUE!</v>
      </c>
      <c r="T1629" s="47" t="str">
        <f t="shared" si="886"/>
        <v/>
      </c>
      <c r="U1629" s="49"/>
      <c r="V1629" s="50"/>
      <c r="W1629" s="51" t="e">
        <f t="shared" si="887"/>
        <v>#VALUE!</v>
      </c>
      <c r="X1629" s="52"/>
      <c r="Y1629" s="52"/>
      <c r="Z1629" s="52"/>
      <c r="AA1629" s="47" t="e">
        <f>INDEX(VISITORS[INSECT ORDER], MATCH(X1629,VISITORS[NAME USED],0))</f>
        <v>#N/A</v>
      </c>
      <c r="AB1629" s="47" t="e">
        <f t="shared" si="888"/>
        <v>#N/A</v>
      </c>
      <c r="AC1629" s="53" t="e">
        <f t="shared" si="889"/>
        <v>#VALUE!</v>
      </c>
      <c r="AD1629" s="54" t="str">
        <f t="shared" si="890"/>
        <v/>
      </c>
      <c r="AE1629" s="54"/>
      <c r="AF1629" s="54"/>
      <c r="AG1629" s="55" t="str">
        <f t="shared" si="891"/>
        <v/>
      </c>
      <c r="AH1629" s="56" t="str">
        <f t="shared" si="892"/>
        <v/>
      </c>
      <c r="AI1629" s="55"/>
      <c r="AJ1629" s="56" t="str">
        <f t="shared" si="893"/>
        <v/>
      </c>
      <c r="AK1629" s="55"/>
      <c r="AL1629" s="56" t="str">
        <f t="shared" si="894"/>
        <v/>
      </c>
      <c r="AM1629" s="55"/>
      <c r="AN1629" s="56" t="str">
        <f t="shared" si="895"/>
        <v/>
      </c>
      <c r="AO1629" s="55"/>
      <c r="AP1629" s="56" t="str">
        <f t="shared" si="896"/>
        <v/>
      </c>
      <c r="AQ1629" s="55"/>
      <c r="AR1629" s="56" t="str">
        <f t="shared" si="897"/>
        <v/>
      </c>
      <c r="AS1629" s="57"/>
      <c r="AT1629" s="58"/>
      <c r="AU1629" s="58"/>
      <c r="AV1629" s="59"/>
      <c r="AW1629" s="60" t="str">
        <f t="shared" si="898"/>
        <v/>
      </c>
      <c r="AX1629" s="61" t="str">
        <f t="shared" si="899"/>
        <v/>
      </c>
      <c r="AY1629" s="60" t="str">
        <f t="shared" si="900"/>
        <v/>
      </c>
      <c r="AZ1629" s="61" t="str">
        <f t="shared" si="901"/>
        <v/>
      </c>
    </row>
    <row r="1630" spans="1:52" s="3" customFormat="1" ht="12" hidden="1" customHeight="1" thickBot="1" x14ac:dyDescent="0.4">
      <c r="A1630" s="85">
        <f t="shared" si="949"/>
        <v>2020</v>
      </c>
      <c r="B1630" s="85" t="str">
        <f t="shared" si="878"/>
        <v>Dec</v>
      </c>
      <c r="C1630" s="86">
        <f t="shared" si="879"/>
        <v>3</v>
      </c>
      <c r="D1630" s="87">
        <f t="shared" si="880"/>
        <v>18</v>
      </c>
      <c r="E1630" s="88">
        <f t="shared" si="950"/>
        <v>1</v>
      </c>
      <c r="F1630" s="89"/>
      <c r="G1630" s="90"/>
      <c r="H1630" s="68" t="str">
        <f t="shared" si="881"/>
        <v>Hyprev6_20201203_18_00</v>
      </c>
      <c r="I1630" s="91">
        <f t="shared" ref="I1630:N1630" si="963">I1629</f>
        <v>1</v>
      </c>
      <c r="J1630" s="92" t="str">
        <f t="shared" si="963"/>
        <v>Hypericum</v>
      </c>
      <c r="K1630" s="92" t="str">
        <f t="shared" si="963"/>
        <v>revolutum</v>
      </c>
      <c r="L1630" s="93">
        <f t="shared" si="963"/>
        <v>6</v>
      </c>
      <c r="M1630" s="93">
        <f t="shared" si="963"/>
        <v>1</v>
      </c>
      <c r="N1630" s="94">
        <f t="shared" si="963"/>
        <v>0</v>
      </c>
      <c r="O1630" s="95"/>
      <c r="P1630" s="96" t="str">
        <f t="shared" si="883"/>
        <v/>
      </c>
      <c r="Q1630" s="97" t="str">
        <f t="shared" si="884"/>
        <v/>
      </c>
      <c r="R1630" s="98" t="e">
        <f t="shared" si="885"/>
        <v>#VALUE!</v>
      </c>
      <c r="S1630" s="98" t="e">
        <f t="shared" si="917"/>
        <v>#VALUE!</v>
      </c>
      <c r="T1630" s="98" t="str">
        <f t="shared" si="886"/>
        <v/>
      </c>
      <c r="U1630" s="99"/>
      <c r="V1630" s="100"/>
      <c r="W1630" s="101" t="e">
        <f t="shared" si="887"/>
        <v>#VALUE!</v>
      </c>
      <c r="X1630" s="102"/>
      <c r="Y1630" s="141"/>
      <c r="Z1630" s="141"/>
      <c r="AA1630" s="47" t="e">
        <f>INDEX(VISITORS[INSECT ORDER], MATCH(X1630,VISITORS[NAME USED],0))</f>
        <v>#N/A</v>
      </c>
      <c r="AB1630" s="98" t="e">
        <f t="shared" si="888"/>
        <v>#N/A</v>
      </c>
      <c r="AC1630" s="53" t="e">
        <f t="shared" si="889"/>
        <v>#VALUE!</v>
      </c>
      <c r="AD1630" s="103" t="str">
        <f t="shared" si="890"/>
        <v/>
      </c>
      <c r="AE1630" s="103"/>
      <c r="AF1630" s="103"/>
      <c r="AG1630" s="104" t="str">
        <f t="shared" si="891"/>
        <v/>
      </c>
      <c r="AH1630" s="105" t="str">
        <f t="shared" si="892"/>
        <v/>
      </c>
      <c r="AI1630" s="104"/>
      <c r="AJ1630" s="105" t="str">
        <f t="shared" si="893"/>
        <v/>
      </c>
      <c r="AK1630" s="104"/>
      <c r="AL1630" s="105" t="str">
        <f t="shared" si="894"/>
        <v/>
      </c>
      <c r="AM1630" s="104"/>
      <c r="AN1630" s="105" t="str">
        <f t="shared" si="895"/>
        <v/>
      </c>
      <c r="AO1630" s="104"/>
      <c r="AP1630" s="105" t="str">
        <f t="shared" si="896"/>
        <v/>
      </c>
      <c r="AQ1630" s="104"/>
      <c r="AR1630" s="105" t="str">
        <f t="shared" si="897"/>
        <v/>
      </c>
      <c r="AS1630" s="106"/>
      <c r="AT1630" s="107"/>
      <c r="AU1630" s="107"/>
      <c r="AV1630" s="108"/>
      <c r="AW1630" s="109" t="str">
        <f t="shared" si="898"/>
        <v/>
      </c>
      <c r="AX1630" s="110" t="str">
        <f t="shared" si="899"/>
        <v/>
      </c>
      <c r="AY1630" s="109" t="str">
        <f t="shared" si="900"/>
        <v/>
      </c>
      <c r="AZ1630" s="110" t="str">
        <f t="shared" si="901"/>
        <v/>
      </c>
    </row>
    <row r="1631" spans="1:52" s="3" customFormat="1" ht="12" hidden="1" customHeight="1" x14ac:dyDescent="0.35">
      <c r="A1631" s="72">
        <f t="shared" si="949"/>
        <v>2020</v>
      </c>
      <c r="B1631" s="72" t="str">
        <f t="shared" si="878"/>
        <v>Dec</v>
      </c>
      <c r="C1631" s="73">
        <f t="shared" si="879"/>
        <v>3</v>
      </c>
      <c r="D1631" s="74">
        <f t="shared" si="880"/>
        <v>18</v>
      </c>
      <c r="E1631" s="75">
        <f t="shared" si="950"/>
        <v>2</v>
      </c>
      <c r="F1631" s="79"/>
      <c r="G1631" s="82"/>
      <c r="H1631" s="68" t="str">
        <f t="shared" si="881"/>
        <v>Hyprev6_20201203_18_00</v>
      </c>
      <c r="I1631" s="69">
        <f t="shared" ref="I1631:N1631" si="964">I1630</f>
        <v>1</v>
      </c>
      <c r="J1631" s="76" t="str">
        <f t="shared" si="964"/>
        <v>Hypericum</v>
      </c>
      <c r="K1631" s="76" t="str">
        <f t="shared" si="964"/>
        <v>revolutum</v>
      </c>
      <c r="L1631" s="77">
        <f t="shared" si="964"/>
        <v>6</v>
      </c>
      <c r="M1631" s="77">
        <f t="shared" si="964"/>
        <v>1</v>
      </c>
      <c r="N1631" s="71">
        <f t="shared" si="964"/>
        <v>0</v>
      </c>
      <c r="O1631" s="44"/>
      <c r="P1631" s="45" t="str">
        <f t="shared" si="883"/>
        <v/>
      </c>
      <c r="Q1631" s="46" t="str">
        <f t="shared" si="884"/>
        <v/>
      </c>
      <c r="R1631" s="47" t="e">
        <f t="shared" si="885"/>
        <v>#VALUE!</v>
      </c>
      <c r="S1631" s="48" t="e">
        <f t="shared" si="917"/>
        <v>#VALUE!</v>
      </c>
      <c r="T1631" s="47" t="str">
        <f t="shared" si="886"/>
        <v/>
      </c>
      <c r="U1631" s="49"/>
      <c r="V1631" s="50"/>
      <c r="W1631" s="51" t="e">
        <f t="shared" si="887"/>
        <v>#VALUE!</v>
      </c>
      <c r="X1631" s="52"/>
      <c r="Y1631" s="52"/>
      <c r="Z1631" s="52"/>
      <c r="AA1631" s="47" t="e">
        <f>INDEX(VISITORS[INSECT ORDER], MATCH(X1631,VISITORS[NAME USED],0))</f>
        <v>#N/A</v>
      </c>
      <c r="AB1631" s="47" t="e">
        <f t="shared" si="888"/>
        <v>#N/A</v>
      </c>
      <c r="AC1631" s="53" t="e">
        <f t="shared" si="889"/>
        <v>#VALUE!</v>
      </c>
      <c r="AD1631" s="54" t="str">
        <f t="shared" si="890"/>
        <v/>
      </c>
      <c r="AE1631" s="54"/>
      <c r="AF1631" s="54"/>
      <c r="AG1631" s="55" t="str">
        <f t="shared" si="891"/>
        <v/>
      </c>
      <c r="AH1631" s="56" t="str">
        <f t="shared" si="892"/>
        <v/>
      </c>
      <c r="AI1631" s="55"/>
      <c r="AJ1631" s="56" t="str">
        <f t="shared" si="893"/>
        <v/>
      </c>
      <c r="AK1631" s="55"/>
      <c r="AL1631" s="56" t="str">
        <f t="shared" si="894"/>
        <v/>
      </c>
      <c r="AM1631" s="55"/>
      <c r="AN1631" s="56" t="str">
        <f t="shared" si="895"/>
        <v/>
      </c>
      <c r="AO1631" s="55"/>
      <c r="AP1631" s="56" t="str">
        <f t="shared" si="896"/>
        <v/>
      </c>
      <c r="AQ1631" s="55"/>
      <c r="AR1631" s="56" t="str">
        <f t="shared" si="897"/>
        <v/>
      </c>
      <c r="AS1631" s="57"/>
      <c r="AT1631" s="58"/>
      <c r="AU1631" s="58"/>
      <c r="AV1631" s="59"/>
      <c r="AW1631" s="60" t="str">
        <f t="shared" si="898"/>
        <v/>
      </c>
      <c r="AX1631" s="61" t="str">
        <f t="shared" si="899"/>
        <v/>
      </c>
      <c r="AY1631" s="60" t="str">
        <f t="shared" si="900"/>
        <v/>
      </c>
      <c r="AZ1631" s="61" t="str">
        <f t="shared" si="901"/>
        <v/>
      </c>
    </row>
    <row r="1632" spans="1:52" s="3" customFormat="1" ht="12" hidden="1" customHeight="1" x14ac:dyDescent="0.35">
      <c r="A1632" s="72">
        <f t="shared" si="949"/>
        <v>2020</v>
      </c>
      <c r="B1632" s="72" t="str">
        <f t="shared" si="878"/>
        <v>Dec</v>
      </c>
      <c r="C1632" s="73">
        <f t="shared" si="879"/>
        <v>3</v>
      </c>
      <c r="D1632" s="74">
        <f t="shared" si="880"/>
        <v>18</v>
      </c>
      <c r="E1632" s="75">
        <f t="shared" si="950"/>
        <v>3</v>
      </c>
      <c r="F1632" s="79"/>
      <c r="G1632" s="82"/>
      <c r="H1632" s="68" t="str">
        <f t="shared" si="881"/>
        <v>Hyprev6_20201203_18_00</v>
      </c>
      <c r="I1632" s="69">
        <f t="shared" ref="I1632:N1632" si="965">I1631</f>
        <v>1</v>
      </c>
      <c r="J1632" s="76" t="str">
        <f t="shared" si="965"/>
        <v>Hypericum</v>
      </c>
      <c r="K1632" s="76" t="str">
        <f t="shared" si="965"/>
        <v>revolutum</v>
      </c>
      <c r="L1632" s="77">
        <f t="shared" si="965"/>
        <v>6</v>
      </c>
      <c r="M1632" s="77">
        <f t="shared" si="965"/>
        <v>1</v>
      </c>
      <c r="N1632" s="71">
        <f t="shared" si="965"/>
        <v>0</v>
      </c>
      <c r="O1632" s="44"/>
      <c r="P1632" s="45" t="str">
        <f t="shared" si="883"/>
        <v/>
      </c>
      <c r="Q1632" s="46" t="str">
        <f t="shared" si="884"/>
        <v/>
      </c>
      <c r="R1632" s="47" t="e">
        <f t="shared" si="885"/>
        <v>#VALUE!</v>
      </c>
      <c r="S1632" s="48" t="e">
        <f t="shared" si="917"/>
        <v>#VALUE!</v>
      </c>
      <c r="T1632" s="47" t="str">
        <f t="shared" si="886"/>
        <v/>
      </c>
      <c r="U1632" s="49"/>
      <c r="V1632" s="50"/>
      <c r="W1632" s="51" t="e">
        <f t="shared" si="887"/>
        <v>#VALUE!</v>
      </c>
      <c r="X1632" s="52"/>
      <c r="Y1632" s="52"/>
      <c r="Z1632" s="52"/>
      <c r="AA1632" s="47" t="e">
        <f>INDEX(VISITORS[INSECT ORDER], MATCH(X1632,VISITORS[NAME USED],0))</f>
        <v>#N/A</v>
      </c>
      <c r="AB1632" s="47" t="e">
        <f t="shared" si="888"/>
        <v>#N/A</v>
      </c>
      <c r="AC1632" s="53" t="e">
        <f t="shared" si="889"/>
        <v>#VALUE!</v>
      </c>
      <c r="AD1632" s="54" t="str">
        <f t="shared" si="890"/>
        <v/>
      </c>
      <c r="AE1632" s="54"/>
      <c r="AF1632" s="54"/>
      <c r="AG1632" s="55" t="str">
        <f t="shared" si="891"/>
        <v/>
      </c>
      <c r="AH1632" s="56" t="str">
        <f t="shared" si="892"/>
        <v/>
      </c>
      <c r="AI1632" s="55"/>
      <c r="AJ1632" s="56" t="str">
        <f t="shared" si="893"/>
        <v/>
      </c>
      <c r="AK1632" s="55"/>
      <c r="AL1632" s="56" t="str">
        <f t="shared" si="894"/>
        <v/>
      </c>
      <c r="AM1632" s="55"/>
      <c r="AN1632" s="56" t="str">
        <f t="shared" si="895"/>
        <v/>
      </c>
      <c r="AO1632" s="55"/>
      <c r="AP1632" s="56" t="str">
        <f t="shared" si="896"/>
        <v/>
      </c>
      <c r="AQ1632" s="55"/>
      <c r="AR1632" s="56" t="str">
        <f t="shared" si="897"/>
        <v/>
      </c>
      <c r="AS1632" s="57"/>
      <c r="AT1632" s="58"/>
      <c r="AU1632" s="58"/>
      <c r="AV1632" s="59"/>
      <c r="AW1632" s="60" t="str">
        <f t="shared" si="898"/>
        <v/>
      </c>
      <c r="AX1632" s="61" t="str">
        <f t="shared" si="899"/>
        <v/>
      </c>
      <c r="AY1632" s="60" t="str">
        <f t="shared" si="900"/>
        <v/>
      </c>
      <c r="AZ1632" s="61" t="str">
        <f t="shared" si="901"/>
        <v/>
      </c>
    </row>
    <row r="1633" spans="1:52" s="3" customFormat="1" ht="12" hidden="1" customHeight="1" thickBot="1" x14ac:dyDescent="0.4">
      <c r="A1633" s="85">
        <f t="shared" si="949"/>
        <v>2020</v>
      </c>
      <c r="B1633" s="85" t="str">
        <f t="shared" si="878"/>
        <v>Dec</v>
      </c>
      <c r="C1633" s="86">
        <f t="shared" si="879"/>
        <v>3</v>
      </c>
      <c r="D1633" s="87">
        <f t="shared" si="880"/>
        <v>18</v>
      </c>
      <c r="E1633" s="88">
        <f t="shared" si="950"/>
        <v>4</v>
      </c>
      <c r="F1633" s="89"/>
      <c r="G1633" s="90"/>
      <c r="H1633" s="68" t="str">
        <f t="shared" si="881"/>
        <v>Hyprev6_20201203_18_00</v>
      </c>
      <c r="I1633" s="91">
        <f t="shared" ref="I1633:N1633" si="966">I1632</f>
        <v>1</v>
      </c>
      <c r="J1633" s="92" t="str">
        <f t="shared" si="966"/>
        <v>Hypericum</v>
      </c>
      <c r="K1633" s="92" t="str">
        <f t="shared" si="966"/>
        <v>revolutum</v>
      </c>
      <c r="L1633" s="93">
        <f t="shared" si="966"/>
        <v>6</v>
      </c>
      <c r="M1633" s="93">
        <f t="shared" si="966"/>
        <v>1</v>
      </c>
      <c r="N1633" s="94">
        <f t="shared" si="966"/>
        <v>0</v>
      </c>
      <c r="O1633" s="95"/>
      <c r="P1633" s="96" t="str">
        <f t="shared" si="883"/>
        <v/>
      </c>
      <c r="Q1633" s="97" t="str">
        <f t="shared" si="884"/>
        <v/>
      </c>
      <c r="R1633" s="98" t="e">
        <f t="shared" si="885"/>
        <v>#VALUE!</v>
      </c>
      <c r="S1633" s="98" t="e">
        <f t="shared" si="917"/>
        <v>#VALUE!</v>
      </c>
      <c r="T1633" s="98" t="str">
        <f t="shared" si="886"/>
        <v/>
      </c>
      <c r="U1633" s="99"/>
      <c r="V1633" s="100"/>
      <c r="W1633" s="101" t="e">
        <f t="shared" si="887"/>
        <v>#VALUE!</v>
      </c>
      <c r="X1633" s="102"/>
      <c r="Y1633" s="141"/>
      <c r="Z1633" s="141"/>
      <c r="AA1633" s="47" t="e">
        <f>INDEX(VISITORS[INSECT ORDER], MATCH(X1633,VISITORS[NAME USED],0))</f>
        <v>#N/A</v>
      </c>
      <c r="AB1633" s="98" t="e">
        <f t="shared" si="888"/>
        <v>#N/A</v>
      </c>
      <c r="AC1633" s="53" t="e">
        <f t="shared" si="889"/>
        <v>#VALUE!</v>
      </c>
      <c r="AD1633" s="103" t="str">
        <f t="shared" si="890"/>
        <v/>
      </c>
      <c r="AE1633" s="103"/>
      <c r="AF1633" s="103"/>
      <c r="AG1633" s="104" t="str">
        <f t="shared" si="891"/>
        <v/>
      </c>
      <c r="AH1633" s="105" t="str">
        <f t="shared" si="892"/>
        <v/>
      </c>
      <c r="AI1633" s="104"/>
      <c r="AJ1633" s="105" t="str">
        <f t="shared" si="893"/>
        <v/>
      </c>
      <c r="AK1633" s="104"/>
      <c r="AL1633" s="105" t="str">
        <f t="shared" si="894"/>
        <v/>
      </c>
      <c r="AM1633" s="104"/>
      <c r="AN1633" s="105" t="str">
        <f t="shared" si="895"/>
        <v/>
      </c>
      <c r="AO1633" s="104"/>
      <c r="AP1633" s="105" t="str">
        <f t="shared" si="896"/>
        <v/>
      </c>
      <c r="AQ1633" s="104"/>
      <c r="AR1633" s="105" t="str">
        <f t="shared" si="897"/>
        <v/>
      </c>
      <c r="AS1633" s="106"/>
      <c r="AT1633" s="107"/>
      <c r="AU1633" s="107"/>
      <c r="AV1633" s="108"/>
      <c r="AW1633" s="109" t="str">
        <f t="shared" si="898"/>
        <v/>
      </c>
      <c r="AX1633" s="110" t="str">
        <f t="shared" si="899"/>
        <v/>
      </c>
      <c r="AY1633" s="109" t="str">
        <f t="shared" si="900"/>
        <v/>
      </c>
      <c r="AZ1633" s="110" t="str">
        <f t="shared" si="901"/>
        <v/>
      </c>
    </row>
    <row r="1634" spans="1:52" s="3" customFormat="1" ht="12" hidden="1" customHeight="1" x14ac:dyDescent="0.35">
      <c r="A1634" s="72">
        <f t="shared" si="949"/>
        <v>2020</v>
      </c>
      <c r="B1634" s="72" t="str">
        <f t="shared" si="878"/>
        <v>Dec</v>
      </c>
      <c r="C1634" s="73">
        <f t="shared" si="879"/>
        <v>3</v>
      </c>
      <c r="D1634" s="74">
        <f t="shared" si="880"/>
        <v>18</v>
      </c>
      <c r="E1634" s="75">
        <f t="shared" si="950"/>
        <v>5</v>
      </c>
      <c r="F1634" s="79"/>
      <c r="G1634" s="82"/>
      <c r="H1634" s="68" t="str">
        <f t="shared" si="881"/>
        <v>Hyprev6_20201203_18_00</v>
      </c>
      <c r="I1634" s="69">
        <f t="shared" ref="I1634:N1634" si="967">I1633</f>
        <v>1</v>
      </c>
      <c r="J1634" s="76" t="str">
        <f t="shared" si="967"/>
        <v>Hypericum</v>
      </c>
      <c r="K1634" s="76" t="str">
        <f t="shared" si="967"/>
        <v>revolutum</v>
      </c>
      <c r="L1634" s="77">
        <f t="shared" si="967"/>
        <v>6</v>
      </c>
      <c r="M1634" s="77">
        <f t="shared" si="967"/>
        <v>1</v>
      </c>
      <c r="N1634" s="71">
        <f t="shared" si="967"/>
        <v>0</v>
      </c>
      <c r="O1634" s="44"/>
      <c r="P1634" s="45" t="str">
        <f t="shared" si="883"/>
        <v/>
      </c>
      <c r="Q1634" s="46" t="str">
        <f t="shared" si="884"/>
        <v/>
      </c>
      <c r="R1634" s="47" t="e">
        <f t="shared" si="885"/>
        <v>#VALUE!</v>
      </c>
      <c r="S1634" s="48" t="e">
        <f t="shared" si="917"/>
        <v>#VALUE!</v>
      </c>
      <c r="T1634" s="47" t="str">
        <f t="shared" si="886"/>
        <v/>
      </c>
      <c r="U1634" s="49"/>
      <c r="V1634" s="50"/>
      <c r="W1634" s="51" t="e">
        <f t="shared" si="887"/>
        <v>#VALUE!</v>
      </c>
      <c r="X1634" s="52"/>
      <c r="Y1634" s="52"/>
      <c r="Z1634" s="52"/>
      <c r="AA1634" s="47" t="e">
        <f>INDEX(VISITORS[INSECT ORDER], MATCH(X1634,VISITORS[NAME USED],0))</f>
        <v>#N/A</v>
      </c>
      <c r="AB1634" s="47" t="e">
        <f t="shared" si="888"/>
        <v>#N/A</v>
      </c>
      <c r="AC1634" s="53" t="e">
        <f t="shared" si="889"/>
        <v>#VALUE!</v>
      </c>
      <c r="AD1634" s="54" t="str">
        <f t="shared" si="890"/>
        <v/>
      </c>
      <c r="AE1634" s="54"/>
      <c r="AF1634" s="54"/>
      <c r="AG1634" s="55" t="str">
        <f t="shared" si="891"/>
        <v/>
      </c>
      <c r="AH1634" s="56" t="str">
        <f t="shared" si="892"/>
        <v/>
      </c>
      <c r="AI1634" s="55"/>
      <c r="AJ1634" s="56" t="str">
        <f t="shared" si="893"/>
        <v/>
      </c>
      <c r="AK1634" s="55"/>
      <c r="AL1634" s="56" t="str">
        <f t="shared" si="894"/>
        <v/>
      </c>
      <c r="AM1634" s="55"/>
      <c r="AN1634" s="56" t="str">
        <f t="shared" si="895"/>
        <v/>
      </c>
      <c r="AO1634" s="55"/>
      <c r="AP1634" s="56" t="str">
        <f t="shared" si="896"/>
        <v/>
      </c>
      <c r="AQ1634" s="55"/>
      <c r="AR1634" s="56" t="str">
        <f t="shared" si="897"/>
        <v/>
      </c>
      <c r="AS1634" s="57"/>
      <c r="AT1634" s="58"/>
      <c r="AU1634" s="58"/>
      <c r="AV1634" s="59"/>
      <c r="AW1634" s="60" t="str">
        <f t="shared" si="898"/>
        <v/>
      </c>
      <c r="AX1634" s="61" t="str">
        <f t="shared" si="899"/>
        <v/>
      </c>
      <c r="AY1634" s="60" t="str">
        <f t="shared" si="900"/>
        <v/>
      </c>
      <c r="AZ1634" s="61" t="str">
        <f t="shared" si="901"/>
        <v/>
      </c>
    </row>
    <row r="1635" spans="1:52" s="3" customFormat="1" ht="12" hidden="1" customHeight="1" x14ac:dyDescent="0.35">
      <c r="A1635" s="72">
        <f t="shared" si="949"/>
        <v>2020</v>
      </c>
      <c r="B1635" s="72" t="str">
        <f t="shared" ref="B1635:B1647" si="968">IF(C1634-C1635&gt;0, TEXT(DATE(2016,(MONTH(DATEVALUE(B1634&amp;"1"))+1),1),"mmm"), B1634)</f>
        <v>Dec</v>
      </c>
      <c r="C1635" s="73">
        <f t="shared" ref="C1635:C1647" si="969">IF(AND(D1635=0, E1635=0), IF(TEXT(C1634,"dd")=TEXT(EOMONTH(DATE(A1634,MONTH(DATEVALUE(B1634&amp;"1")),C1634),0), "dd"), 1, C1634+1), C1634)</f>
        <v>3</v>
      </c>
      <c r="D1635" s="74">
        <f t="shared" ref="D1635:D1647" si="970">IF(IF(E1634=59,D1634+1,D1634)=24,0,IF(E1634=59,D1634+1,D1634))</f>
        <v>18</v>
      </c>
      <c r="E1635" s="75">
        <f t="shared" si="950"/>
        <v>6</v>
      </c>
      <c r="F1635" s="79"/>
      <c r="G1635" s="82"/>
      <c r="H1635" s="68" t="str">
        <f t="shared" ref="H1635:H1647" si="971">IF(AND(OR(E1634=$G$3,E1634=$G$4,E1634=$G$5,E1634=$G$6,E1634=$G$7,E1634=$G$8),E1634&lt;&gt;RIGHT(H1634,2)),CONCATENATE(LEFT(J1635,3),LEFT(K1635,3),L1635,"_",A1635,TEXT(MONTH(DATEVALUE(B1635&amp;"1")),"00"),TEXT(C1635,"00"),"_",TEXT(D1635,"00"),"_",TEXT(E1634,"00")),IF(AND(OR(E1635=$G$3,E1635=$G$4,E1635=$G$5,E1635=$G$6,E1635=$G$7,E1635=$G$8),OR(F1635="",F1635&gt;$G$9-1)),CONCATENATE(LEFT(J1635,3),LEFT(K1635,3),L1635,"_",A1635,TEXT(MONTH(DATEVALUE(B1635&amp;"1")),"00"),TEXT(C1635,"00"),"_",TEXT(D1635,"00"),"_",TEXT(E1635,"00")),H1634))</f>
        <v>Hyprev6_20201203_18_00</v>
      </c>
      <c r="I1635" s="69">
        <f t="shared" ref="I1635:N1635" si="972">I1634</f>
        <v>1</v>
      </c>
      <c r="J1635" s="76" t="str">
        <f t="shared" si="972"/>
        <v>Hypericum</v>
      </c>
      <c r="K1635" s="76" t="str">
        <f t="shared" si="972"/>
        <v>revolutum</v>
      </c>
      <c r="L1635" s="77">
        <f t="shared" si="972"/>
        <v>6</v>
      </c>
      <c r="M1635" s="77">
        <f t="shared" si="972"/>
        <v>1</v>
      </c>
      <c r="N1635" s="71">
        <f t="shared" si="972"/>
        <v>0</v>
      </c>
      <c r="O1635" s="44"/>
      <c r="P1635" s="45" t="str">
        <f t="shared" ref="P1635:P1647" si="973">IF(F1635="","",1)</f>
        <v/>
      </c>
      <c r="Q1635" s="46" t="str">
        <f t="shared" ref="Q1635:Q1647" si="974">TEXT(IF(P1635=1,CONCATENATE($D1635,":",$E1635,":",(LEFT($F1635,2))),""),"hh:mm:ss")</f>
        <v/>
      </c>
      <c r="R1635" s="47" t="e">
        <f t="shared" ref="R1635:R1647" si="975">TEXT(Q1635-TIME(0,RIGHT($H1635,2),$G$9)+(Q1635&gt;TIME(0,RIGHT($H1635,2),$G$9)),"mm:ss")</f>
        <v>#VALUE!</v>
      </c>
      <c r="S1635" s="48" t="e">
        <f t="shared" si="917"/>
        <v>#VALUE!</v>
      </c>
      <c r="T1635" s="47" t="str">
        <f t="shared" ref="T1635:T1647" si="976">TEXT(IF(P1635=1,D1635,""),"00")</f>
        <v/>
      </c>
      <c r="U1635" s="49"/>
      <c r="V1635" s="50"/>
      <c r="W1635" s="51" t="e">
        <f t="shared" ref="W1635:W1647" si="977">IF(O1635=0,TEXT(TIME(T1635,U1635,V1635)-TIME(D1635,E1635,RIGHT(F1635,2))+TIME(0,LEFT(R1635,2),RIGHT(R1635,2)),"mm:ss"),TEXT(TIME(T1635,U1635,V1635)-TIME(D1635,E1635,RIGHT(F1635,2))+TIME(0,LEFT(R1635,2),RIGHT(R1635,2))-TIME(0,($G$10*O1635),0),"mm:ss"))</f>
        <v>#VALUE!</v>
      </c>
      <c r="X1635" s="52"/>
      <c r="Y1635" s="52"/>
      <c r="Z1635" s="52"/>
      <c r="AA1635" s="47" t="e">
        <f>INDEX(VISITORS[INSECT ORDER], MATCH(X1635,VISITORS[NAME USED],0))</f>
        <v>#N/A</v>
      </c>
      <c r="AB1635" s="47" t="e">
        <f t="shared" ref="AB1635:AB1647" si="978">IF(AA1635&lt;&gt;0,"NA","")</f>
        <v>#N/A</v>
      </c>
      <c r="AC1635" s="53" t="e">
        <f t="shared" ref="AC1635:AC1647" si="979">IF(SUM(AH1635,AJ1635,AL1635,AN1635,AP1635,AR1635)=S1635,,"")</f>
        <v>#VALUE!</v>
      </c>
      <c r="AD1635" s="54" t="str">
        <f t="shared" ref="AD1635:AD1647" si="980">IF(P1635=1,1,"")</f>
        <v/>
      </c>
      <c r="AE1635" s="54"/>
      <c r="AF1635" s="54"/>
      <c r="AG1635" s="55" t="str">
        <f t="shared" ref="AG1635:AG1647" si="981">IF(OR(X1635="Something small"),1,"")</f>
        <v/>
      </c>
      <c r="AH1635" s="56" t="str">
        <f t="shared" ref="AH1635:AH1647" si="982">IF(AG1635=1,$S1635,"")</f>
        <v/>
      </c>
      <c r="AI1635" s="55"/>
      <c r="AJ1635" s="56" t="str">
        <f t="shared" ref="AJ1635:AJ1647" si="983">IF(AI1635=1,$S1635,"")</f>
        <v/>
      </c>
      <c r="AK1635" s="55"/>
      <c r="AL1635" s="56" t="str">
        <f t="shared" ref="AL1635:AL1647" si="984">IF(AK1635=1,$S1635,"")</f>
        <v/>
      </c>
      <c r="AM1635" s="55"/>
      <c r="AN1635" s="56" t="str">
        <f t="shared" ref="AN1635:AN1647" si="985">IF(AM1635=1,$S1635,"")</f>
        <v/>
      </c>
      <c r="AO1635" s="55"/>
      <c r="AP1635" s="56" t="str">
        <f t="shared" ref="AP1635:AP1647" si="986">IF(AO1635=1,$S1635,"")</f>
        <v/>
      </c>
      <c r="AQ1635" s="55"/>
      <c r="AR1635" s="56" t="str">
        <f t="shared" ref="AR1635:AR1647" si="987">IF(AQ1635=1,$S1635,"")</f>
        <v/>
      </c>
      <c r="AS1635" s="57"/>
      <c r="AT1635" s="58"/>
      <c r="AU1635" s="58"/>
      <c r="AV1635" s="59"/>
      <c r="AW1635" s="60" t="str">
        <f t="shared" ref="AW1635:AW1647" si="988">IF(P1635=1,0,"")</f>
        <v/>
      </c>
      <c r="AX1635" s="61" t="str">
        <f t="shared" ref="AX1635:AX1647" si="989">IF(AW1635=1,AD1635,"")</f>
        <v/>
      </c>
      <c r="AY1635" s="60" t="str">
        <f t="shared" ref="AY1635:AY1647" si="990">IF(P1635=1,0,"")</f>
        <v/>
      </c>
      <c r="AZ1635" s="61" t="str">
        <f t="shared" ref="AZ1635:AZ1647" si="991">IF(AY1635=1,AD1635,"")</f>
        <v/>
      </c>
    </row>
    <row r="1636" spans="1:52" s="3" customFormat="1" ht="12" hidden="1" customHeight="1" thickBot="1" x14ac:dyDescent="0.4">
      <c r="A1636" s="85">
        <f t="shared" si="949"/>
        <v>2020</v>
      </c>
      <c r="B1636" s="85" t="str">
        <f t="shared" si="968"/>
        <v>Dec</v>
      </c>
      <c r="C1636" s="86">
        <f t="shared" si="969"/>
        <v>3</v>
      </c>
      <c r="D1636" s="87">
        <f t="shared" si="970"/>
        <v>18</v>
      </c>
      <c r="E1636" s="88">
        <f t="shared" si="950"/>
        <v>7</v>
      </c>
      <c r="F1636" s="89"/>
      <c r="G1636" s="90"/>
      <c r="H1636" s="68" t="str">
        <f t="shared" si="971"/>
        <v>Hyprev6_20201203_18_00</v>
      </c>
      <c r="I1636" s="91">
        <f t="shared" ref="I1636:N1636" si="992">I1635</f>
        <v>1</v>
      </c>
      <c r="J1636" s="92" t="str">
        <f t="shared" si="992"/>
        <v>Hypericum</v>
      </c>
      <c r="K1636" s="92" t="str">
        <f t="shared" si="992"/>
        <v>revolutum</v>
      </c>
      <c r="L1636" s="93">
        <f t="shared" si="992"/>
        <v>6</v>
      </c>
      <c r="M1636" s="93">
        <f t="shared" si="992"/>
        <v>1</v>
      </c>
      <c r="N1636" s="94">
        <f t="shared" si="992"/>
        <v>0</v>
      </c>
      <c r="O1636" s="95"/>
      <c r="P1636" s="96" t="str">
        <f t="shared" si="973"/>
        <v/>
      </c>
      <c r="Q1636" s="97" t="str">
        <f t="shared" si="974"/>
        <v/>
      </c>
      <c r="R1636" s="98" t="e">
        <f t="shared" si="975"/>
        <v>#VALUE!</v>
      </c>
      <c r="S1636" s="98" t="e">
        <f t="shared" si="917"/>
        <v>#VALUE!</v>
      </c>
      <c r="T1636" s="98" t="str">
        <f t="shared" si="976"/>
        <v/>
      </c>
      <c r="U1636" s="99"/>
      <c r="V1636" s="100"/>
      <c r="W1636" s="101" t="e">
        <f t="shared" si="977"/>
        <v>#VALUE!</v>
      </c>
      <c r="X1636" s="102"/>
      <c r="Y1636" s="141"/>
      <c r="Z1636" s="141"/>
      <c r="AA1636" s="47" t="e">
        <f>INDEX(VISITORS[INSECT ORDER], MATCH(X1636,VISITORS[NAME USED],0))</f>
        <v>#N/A</v>
      </c>
      <c r="AB1636" s="98" t="e">
        <f t="shared" si="978"/>
        <v>#N/A</v>
      </c>
      <c r="AC1636" s="53" t="e">
        <f t="shared" si="979"/>
        <v>#VALUE!</v>
      </c>
      <c r="AD1636" s="103" t="str">
        <f t="shared" si="980"/>
        <v/>
      </c>
      <c r="AE1636" s="103"/>
      <c r="AF1636" s="103"/>
      <c r="AG1636" s="104" t="str">
        <f t="shared" si="981"/>
        <v/>
      </c>
      <c r="AH1636" s="105" t="str">
        <f t="shared" si="982"/>
        <v/>
      </c>
      <c r="AI1636" s="104"/>
      <c r="AJ1636" s="105" t="str">
        <f t="shared" si="983"/>
        <v/>
      </c>
      <c r="AK1636" s="104"/>
      <c r="AL1636" s="105" t="str">
        <f t="shared" si="984"/>
        <v/>
      </c>
      <c r="AM1636" s="104"/>
      <c r="AN1636" s="105" t="str">
        <f t="shared" si="985"/>
        <v/>
      </c>
      <c r="AO1636" s="104"/>
      <c r="AP1636" s="105" t="str">
        <f t="shared" si="986"/>
        <v/>
      </c>
      <c r="AQ1636" s="104"/>
      <c r="AR1636" s="105" t="str">
        <f t="shared" si="987"/>
        <v/>
      </c>
      <c r="AS1636" s="106"/>
      <c r="AT1636" s="107"/>
      <c r="AU1636" s="107"/>
      <c r="AV1636" s="108"/>
      <c r="AW1636" s="109" t="str">
        <f t="shared" si="988"/>
        <v/>
      </c>
      <c r="AX1636" s="110" t="str">
        <f t="shared" si="989"/>
        <v/>
      </c>
      <c r="AY1636" s="109" t="str">
        <f t="shared" si="990"/>
        <v/>
      </c>
      <c r="AZ1636" s="110" t="str">
        <f t="shared" si="991"/>
        <v/>
      </c>
    </row>
    <row r="1637" spans="1:52" s="3" customFormat="1" ht="12" hidden="1" customHeight="1" x14ac:dyDescent="0.35">
      <c r="A1637" s="72">
        <f t="shared" si="949"/>
        <v>2020</v>
      </c>
      <c r="B1637" s="72" t="str">
        <f t="shared" si="968"/>
        <v>Dec</v>
      </c>
      <c r="C1637" s="73">
        <f t="shared" si="969"/>
        <v>3</v>
      </c>
      <c r="D1637" s="74">
        <f t="shared" si="970"/>
        <v>18</v>
      </c>
      <c r="E1637" s="75">
        <f t="shared" si="950"/>
        <v>8</v>
      </c>
      <c r="F1637" s="79"/>
      <c r="G1637" s="82"/>
      <c r="H1637" s="68" t="str">
        <f t="shared" si="971"/>
        <v>Hyprev6_20201203_18_00</v>
      </c>
      <c r="I1637" s="69">
        <f t="shared" ref="I1637:N1637" si="993">I1636</f>
        <v>1</v>
      </c>
      <c r="J1637" s="76" t="str">
        <f t="shared" si="993"/>
        <v>Hypericum</v>
      </c>
      <c r="K1637" s="76" t="str">
        <f t="shared" si="993"/>
        <v>revolutum</v>
      </c>
      <c r="L1637" s="77">
        <f t="shared" si="993"/>
        <v>6</v>
      </c>
      <c r="M1637" s="77">
        <f t="shared" si="993"/>
        <v>1</v>
      </c>
      <c r="N1637" s="71">
        <f t="shared" si="993"/>
        <v>0</v>
      </c>
      <c r="O1637" s="44"/>
      <c r="P1637" s="45" t="str">
        <f t="shared" si="973"/>
        <v/>
      </c>
      <c r="Q1637" s="46" t="str">
        <f t="shared" si="974"/>
        <v/>
      </c>
      <c r="R1637" s="47" t="e">
        <f t="shared" si="975"/>
        <v>#VALUE!</v>
      </c>
      <c r="S1637" s="48" t="e">
        <f t="shared" si="917"/>
        <v>#VALUE!</v>
      </c>
      <c r="T1637" s="47" t="str">
        <f t="shared" si="976"/>
        <v/>
      </c>
      <c r="U1637" s="49"/>
      <c r="V1637" s="50"/>
      <c r="W1637" s="51" t="e">
        <f t="shared" si="977"/>
        <v>#VALUE!</v>
      </c>
      <c r="X1637" s="52"/>
      <c r="Y1637" s="52"/>
      <c r="Z1637" s="52"/>
      <c r="AA1637" s="47" t="e">
        <f>INDEX(VISITORS[INSECT ORDER], MATCH(X1637,VISITORS[NAME USED],0))</f>
        <v>#N/A</v>
      </c>
      <c r="AB1637" s="47" t="e">
        <f t="shared" si="978"/>
        <v>#N/A</v>
      </c>
      <c r="AC1637" s="53" t="e">
        <f t="shared" si="979"/>
        <v>#VALUE!</v>
      </c>
      <c r="AD1637" s="54" t="str">
        <f t="shared" si="980"/>
        <v/>
      </c>
      <c r="AE1637" s="54"/>
      <c r="AF1637" s="54"/>
      <c r="AG1637" s="55" t="str">
        <f t="shared" si="981"/>
        <v/>
      </c>
      <c r="AH1637" s="56" t="str">
        <f t="shared" si="982"/>
        <v/>
      </c>
      <c r="AI1637" s="55"/>
      <c r="AJ1637" s="56" t="str">
        <f t="shared" si="983"/>
        <v/>
      </c>
      <c r="AK1637" s="55"/>
      <c r="AL1637" s="56" t="str">
        <f t="shared" si="984"/>
        <v/>
      </c>
      <c r="AM1637" s="55"/>
      <c r="AN1637" s="56" t="str">
        <f t="shared" si="985"/>
        <v/>
      </c>
      <c r="AO1637" s="55"/>
      <c r="AP1637" s="56" t="str">
        <f t="shared" si="986"/>
        <v/>
      </c>
      <c r="AQ1637" s="55"/>
      <c r="AR1637" s="56" t="str">
        <f t="shared" si="987"/>
        <v/>
      </c>
      <c r="AS1637" s="57"/>
      <c r="AT1637" s="58"/>
      <c r="AU1637" s="58"/>
      <c r="AV1637" s="59"/>
      <c r="AW1637" s="60" t="str">
        <f t="shared" si="988"/>
        <v/>
      </c>
      <c r="AX1637" s="61" t="str">
        <f t="shared" si="989"/>
        <v/>
      </c>
      <c r="AY1637" s="60" t="str">
        <f t="shared" si="990"/>
        <v/>
      </c>
      <c r="AZ1637" s="61" t="str">
        <f t="shared" si="991"/>
        <v/>
      </c>
    </row>
    <row r="1638" spans="1:52" s="3" customFormat="1" ht="12" hidden="1" customHeight="1" x14ac:dyDescent="0.35">
      <c r="A1638" s="72">
        <f t="shared" si="949"/>
        <v>2020</v>
      </c>
      <c r="B1638" s="72" t="str">
        <f t="shared" si="968"/>
        <v>Dec</v>
      </c>
      <c r="C1638" s="73">
        <f t="shared" si="969"/>
        <v>3</v>
      </c>
      <c r="D1638" s="74">
        <f t="shared" si="970"/>
        <v>18</v>
      </c>
      <c r="E1638" s="75">
        <f t="shared" si="950"/>
        <v>9</v>
      </c>
      <c r="F1638" s="79"/>
      <c r="G1638" s="82"/>
      <c r="H1638" s="68" t="str">
        <f t="shared" si="971"/>
        <v>Hyprev6_20201203_18_00</v>
      </c>
      <c r="I1638" s="69">
        <f t="shared" ref="I1638:N1638" si="994">I1637</f>
        <v>1</v>
      </c>
      <c r="J1638" s="76" t="str">
        <f t="shared" si="994"/>
        <v>Hypericum</v>
      </c>
      <c r="K1638" s="76" t="str">
        <f t="shared" si="994"/>
        <v>revolutum</v>
      </c>
      <c r="L1638" s="77">
        <f t="shared" si="994"/>
        <v>6</v>
      </c>
      <c r="M1638" s="77">
        <f t="shared" si="994"/>
        <v>1</v>
      </c>
      <c r="N1638" s="71">
        <f t="shared" si="994"/>
        <v>0</v>
      </c>
      <c r="O1638" s="44"/>
      <c r="P1638" s="45" t="str">
        <f t="shared" si="973"/>
        <v/>
      </c>
      <c r="Q1638" s="46" t="str">
        <f t="shared" si="974"/>
        <v/>
      </c>
      <c r="R1638" s="47" t="e">
        <f t="shared" si="975"/>
        <v>#VALUE!</v>
      </c>
      <c r="S1638" s="48" t="e">
        <f t="shared" si="917"/>
        <v>#VALUE!</v>
      </c>
      <c r="T1638" s="47" t="str">
        <f t="shared" si="976"/>
        <v/>
      </c>
      <c r="U1638" s="49"/>
      <c r="V1638" s="50"/>
      <c r="W1638" s="51" t="e">
        <f t="shared" si="977"/>
        <v>#VALUE!</v>
      </c>
      <c r="X1638" s="52"/>
      <c r="Y1638" s="52"/>
      <c r="Z1638" s="52"/>
      <c r="AA1638" s="47" t="e">
        <f>INDEX(VISITORS[INSECT ORDER], MATCH(X1638,VISITORS[NAME USED],0))</f>
        <v>#N/A</v>
      </c>
      <c r="AB1638" s="47" t="e">
        <f t="shared" si="978"/>
        <v>#N/A</v>
      </c>
      <c r="AC1638" s="53" t="e">
        <f t="shared" si="979"/>
        <v>#VALUE!</v>
      </c>
      <c r="AD1638" s="54" t="str">
        <f t="shared" si="980"/>
        <v/>
      </c>
      <c r="AE1638" s="54"/>
      <c r="AF1638" s="54"/>
      <c r="AG1638" s="55" t="str">
        <f t="shared" si="981"/>
        <v/>
      </c>
      <c r="AH1638" s="56" t="str">
        <f t="shared" si="982"/>
        <v/>
      </c>
      <c r="AI1638" s="55"/>
      <c r="AJ1638" s="56" t="str">
        <f t="shared" si="983"/>
        <v/>
      </c>
      <c r="AK1638" s="55"/>
      <c r="AL1638" s="56" t="str">
        <f t="shared" si="984"/>
        <v/>
      </c>
      <c r="AM1638" s="55"/>
      <c r="AN1638" s="56" t="str">
        <f t="shared" si="985"/>
        <v/>
      </c>
      <c r="AO1638" s="55"/>
      <c r="AP1638" s="56" t="str">
        <f t="shared" si="986"/>
        <v/>
      </c>
      <c r="AQ1638" s="55"/>
      <c r="AR1638" s="56" t="str">
        <f t="shared" si="987"/>
        <v/>
      </c>
      <c r="AS1638" s="57"/>
      <c r="AT1638" s="58"/>
      <c r="AU1638" s="58"/>
      <c r="AV1638" s="59"/>
      <c r="AW1638" s="60" t="str">
        <f t="shared" si="988"/>
        <v/>
      </c>
      <c r="AX1638" s="61" t="str">
        <f t="shared" si="989"/>
        <v/>
      </c>
      <c r="AY1638" s="60" t="str">
        <f t="shared" si="990"/>
        <v/>
      </c>
      <c r="AZ1638" s="61" t="str">
        <f t="shared" si="991"/>
        <v/>
      </c>
    </row>
    <row r="1639" spans="1:52" s="3" customFormat="1" ht="12" hidden="1" customHeight="1" thickBot="1" x14ac:dyDescent="0.4">
      <c r="A1639" s="85">
        <f t="shared" si="949"/>
        <v>2020</v>
      </c>
      <c r="B1639" s="85" t="str">
        <f t="shared" si="968"/>
        <v>Dec</v>
      </c>
      <c r="C1639" s="86">
        <f t="shared" si="969"/>
        <v>3</v>
      </c>
      <c r="D1639" s="87">
        <f t="shared" si="970"/>
        <v>18</v>
      </c>
      <c r="E1639" s="88">
        <f t="shared" si="950"/>
        <v>10</v>
      </c>
      <c r="F1639" s="89"/>
      <c r="G1639" s="90"/>
      <c r="H1639" s="68" t="str">
        <f t="shared" si="971"/>
        <v>Hyprev6_20201203_18_00</v>
      </c>
      <c r="I1639" s="91">
        <f t="shared" ref="I1639:N1639" si="995">I1638</f>
        <v>1</v>
      </c>
      <c r="J1639" s="92" t="str">
        <f t="shared" si="995"/>
        <v>Hypericum</v>
      </c>
      <c r="K1639" s="92" t="str">
        <f t="shared" si="995"/>
        <v>revolutum</v>
      </c>
      <c r="L1639" s="93">
        <f t="shared" si="995"/>
        <v>6</v>
      </c>
      <c r="M1639" s="93">
        <f t="shared" si="995"/>
        <v>1</v>
      </c>
      <c r="N1639" s="94">
        <f t="shared" si="995"/>
        <v>0</v>
      </c>
      <c r="O1639" s="95"/>
      <c r="P1639" s="96" t="str">
        <f t="shared" si="973"/>
        <v/>
      </c>
      <c r="Q1639" s="97" t="str">
        <f t="shared" si="974"/>
        <v/>
      </c>
      <c r="R1639" s="98" t="e">
        <f t="shared" si="975"/>
        <v>#VALUE!</v>
      </c>
      <c r="S1639" s="98" t="e">
        <f t="shared" si="917"/>
        <v>#VALUE!</v>
      </c>
      <c r="T1639" s="98" t="str">
        <f t="shared" si="976"/>
        <v/>
      </c>
      <c r="U1639" s="99"/>
      <c r="V1639" s="100"/>
      <c r="W1639" s="101" t="e">
        <f t="shared" si="977"/>
        <v>#VALUE!</v>
      </c>
      <c r="X1639" s="102"/>
      <c r="Y1639" s="141"/>
      <c r="Z1639" s="141"/>
      <c r="AA1639" s="47" t="e">
        <f>INDEX(VISITORS[INSECT ORDER], MATCH(X1639,VISITORS[NAME USED],0))</f>
        <v>#N/A</v>
      </c>
      <c r="AB1639" s="98" t="e">
        <f t="shared" si="978"/>
        <v>#N/A</v>
      </c>
      <c r="AC1639" s="53" t="e">
        <f t="shared" si="979"/>
        <v>#VALUE!</v>
      </c>
      <c r="AD1639" s="103" t="str">
        <f t="shared" si="980"/>
        <v/>
      </c>
      <c r="AE1639" s="103"/>
      <c r="AF1639" s="103"/>
      <c r="AG1639" s="104" t="str">
        <f t="shared" si="981"/>
        <v/>
      </c>
      <c r="AH1639" s="105" t="str">
        <f t="shared" si="982"/>
        <v/>
      </c>
      <c r="AI1639" s="104"/>
      <c r="AJ1639" s="105" t="str">
        <f t="shared" si="983"/>
        <v/>
      </c>
      <c r="AK1639" s="104"/>
      <c r="AL1639" s="105" t="str">
        <f t="shared" si="984"/>
        <v/>
      </c>
      <c r="AM1639" s="104"/>
      <c r="AN1639" s="105" t="str">
        <f t="shared" si="985"/>
        <v/>
      </c>
      <c r="AO1639" s="104"/>
      <c r="AP1639" s="105" t="str">
        <f t="shared" si="986"/>
        <v/>
      </c>
      <c r="AQ1639" s="104"/>
      <c r="AR1639" s="105" t="str">
        <f t="shared" si="987"/>
        <v/>
      </c>
      <c r="AS1639" s="106"/>
      <c r="AT1639" s="107"/>
      <c r="AU1639" s="107"/>
      <c r="AV1639" s="108"/>
      <c r="AW1639" s="109" t="str">
        <f t="shared" si="988"/>
        <v/>
      </c>
      <c r="AX1639" s="110" t="str">
        <f t="shared" si="989"/>
        <v/>
      </c>
      <c r="AY1639" s="109" t="str">
        <f t="shared" si="990"/>
        <v/>
      </c>
      <c r="AZ1639" s="110" t="str">
        <f t="shared" si="991"/>
        <v/>
      </c>
    </row>
    <row r="1640" spans="1:52" s="3" customFormat="1" ht="12" hidden="1" customHeight="1" x14ac:dyDescent="0.35">
      <c r="A1640" s="72">
        <f t="shared" si="949"/>
        <v>2020</v>
      </c>
      <c r="B1640" s="72" t="str">
        <f t="shared" si="968"/>
        <v>Dec</v>
      </c>
      <c r="C1640" s="73">
        <f t="shared" si="969"/>
        <v>3</v>
      </c>
      <c r="D1640" s="74">
        <f t="shared" si="970"/>
        <v>18</v>
      </c>
      <c r="E1640" s="75">
        <f t="shared" si="950"/>
        <v>11</v>
      </c>
      <c r="F1640" s="79"/>
      <c r="G1640" s="82"/>
      <c r="H1640" s="68" t="str">
        <f t="shared" si="971"/>
        <v>Hyprev6_20201203_18_00</v>
      </c>
      <c r="I1640" s="69">
        <f t="shared" ref="I1640:N1640" si="996">I1639</f>
        <v>1</v>
      </c>
      <c r="J1640" s="76" t="str">
        <f t="shared" si="996"/>
        <v>Hypericum</v>
      </c>
      <c r="K1640" s="76" t="str">
        <f t="shared" si="996"/>
        <v>revolutum</v>
      </c>
      <c r="L1640" s="77">
        <f t="shared" si="996"/>
        <v>6</v>
      </c>
      <c r="M1640" s="77">
        <f t="shared" si="996"/>
        <v>1</v>
      </c>
      <c r="N1640" s="71">
        <f t="shared" si="996"/>
        <v>0</v>
      </c>
      <c r="O1640" s="44"/>
      <c r="P1640" s="45" t="str">
        <f t="shared" si="973"/>
        <v/>
      </c>
      <c r="Q1640" s="46" t="str">
        <f t="shared" si="974"/>
        <v/>
      </c>
      <c r="R1640" s="47" t="e">
        <f t="shared" si="975"/>
        <v>#VALUE!</v>
      </c>
      <c r="S1640" s="48" t="e">
        <f t="shared" si="917"/>
        <v>#VALUE!</v>
      </c>
      <c r="T1640" s="47" t="str">
        <f t="shared" si="976"/>
        <v/>
      </c>
      <c r="U1640" s="49"/>
      <c r="V1640" s="50"/>
      <c r="W1640" s="51" t="e">
        <f t="shared" si="977"/>
        <v>#VALUE!</v>
      </c>
      <c r="X1640" s="52"/>
      <c r="Y1640" s="52"/>
      <c r="Z1640" s="52"/>
      <c r="AA1640" s="47" t="e">
        <f>INDEX(VISITORS[INSECT ORDER], MATCH(X1640,VISITORS[NAME USED],0))</f>
        <v>#N/A</v>
      </c>
      <c r="AB1640" s="47" t="e">
        <f t="shared" si="978"/>
        <v>#N/A</v>
      </c>
      <c r="AC1640" s="53" t="e">
        <f t="shared" si="979"/>
        <v>#VALUE!</v>
      </c>
      <c r="AD1640" s="54" t="str">
        <f t="shared" si="980"/>
        <v/>
      </c>
      <c r="AE1640" s="54"/>
      <c r="AF1640" s="54"/>
      <c r="AG1640" s="55" t="str">
        <f t="shared" si="981"/>
        <v/>
      </c>
      <c r="AH1640" s="56" t="str">
        <f t="shared" si="982"/>
        <v/>
      </c>
      <c r="AI1640" s="55"/>
      <c r="AJ1640" s="56" t="str">
        <f t="shared" si="983"/>
        <v/>
      </c>
      <c r="AK1640" s="55"/>
      <c r="AL1640" s="56" t="str">
        <f t="shared" si="984"/>
        <v/>
      </c>
      <c r="AM1640" s="55"/>
      <c r="AN1640" s="56" t="str">
        <f t="shared" si="985"/>
        <v/>
      </c>
      <c r="AO1640" s="55"/>
      <c r="AP1640" s="56" t="str">
        <f t="shared" si="986"/>
        <v/>
      </c>
      <c r="AQ1640" s="55"/>
      <c r="AR1640" s="56" t="str">
        <f t="shared" si="987"/>
        <v/>
      </c>
      <c r="AS1640" s="57"/>
      <c r="AT1640" s="58"/>
      <c r="AU1640" s="58"/>
      <c r="AV1640" s="59"/>
      <c r="AW1640" s="60" t="str">
        <f t="shared" si="988"/>
        <v/>
      </c>
      <c r="AX1640" s="61" t="str">
        <f t="shared" si="989"/>
        <v/>
      </c>
      <c r="AY1640" s="60" t="str">
        <f t="shared" si="990"/>
        <v/>
      </c>
      <c r="AZ1640" s="61" t="str">
        <f t="shared" si="991"/>
        <v/>
      </c>
    </row>
    <row r="1641" spans="1:52" s="3" customFormat="1" ht="12" hidden="1" customHeight="1" x14ac:dyDescent="0.35">
      <c r="A1641" s="72">
        <f t="shared" si="949"/>
        <v>2020</v>
      </c>
      <c r="B1641" s="72" t="str">
        <f t="shared" si="968"/>
        <v>Dec</v>
      </c>
      <c r="C1641" s="73">
        <f t="shared" si="969"/>
        <v>3</v>
      </c>
      <c r="D1641" s="74">
        <f t="shared" si="970"/>
        <v>18</v>
      </c>
      <c r="E1641" s="75">
        <f t="shared" si="950"/>
        <v>12</v>
      </c>
      <c r="F1641" s="79"/>
      <c r="G1641" s="82"/>
      <c r="H1641" s="68" t="str">
        <f t="shared" si="971"/>
        <v>Hyprev6_20201203_18_00</v>
      </c>
      <c r="I1641" s="69">
        <f t="shared" ref="I1641:N1641" si="997">I1640</f>
        <v>1</v>
      </c>
      <c r="J1641" s="76" t="str">
        <f t="shared" si="997"/>
        <v>Hypericum</v>
      </c>
      <c r="K1641" s="76" t="str">
        <f t="shared" si="997"/>
        <v>revolutum</v>
      </c>
      <c r="L1641" s="77">
        <f t="shared" si="997"/>
        <v>6</v>
      </c>
      <c r="M1641" s="77">
        <f t="shared" si="997"/>
        <v>1</v>
      </c>
      <c r="N1641" s="71">
        <f t="shared" si="997"/>
        <v>0</v>
      </c>
      <c r="O1641" s="44"/>
      <c r="P1641" s="45" t="str">
        <f t="shared" si="973"/>
        <v/>
      </c>
      <c r="Q1641" s="46" t="str">
        <f t="shared" si="974"/>
        <v/>
      </c>
      <c r="R1641" s="47" t="e">
        <f t="shared" si="975"/>
        <v>#VALUE!</v>
      </c>
      <c r="S1641" s="48" t="e">
        <f t="shared" si="917"/>
        <v>#VALUE!</v>
      </c>
      <c r="T1641" s="47" t="str">
        <f t="shared" si="976"/>
        <v/>
      </c>
      <c r="U1641" s="49"/>
      <c r="V1641" s="50"/>
      <c r="W1641" s="51" t="e">
        <f t="shared" si="977"/>
        <v>#VALUE!</v>
      </c>
      <c r="X1641" s="52"/>
      <c r="Y1641" s="52"/>
      <c r="Z1641" s="52"/>
      <c r="AA1641" s="47" t="e">
        <f>INDEX(VISITORS[INSECT ORDER], MATCH(X1641,VISITORS[NAME USED],0))</f>
        <v>#N/A</v>
      </c>
      <c r="AB1641" s="47" t="e">
        <f t="shared" si="978"/>
        <v>#N/A</v>
      </c>
      <c r="AC1641" s="53" t="e">
        <f t="shared" si="979"/>
        <v>#VALUE!</v>
      </c>
      <c r="AD1641" s="54" t="str">
        <f t="shared" si="980"/>
        <v/>
      </c>
      <c r="AE1641" s="54"/>
      <c r="AF1641" s="54"/>
      <c r="AG1641" s="55" t="str">
        <f t="shared" si="981"/>
        <v/>
      </c>
      <c r="AH1641" s="56" t="str">
        <f t="shared" si="982"/>
        <v/>
      </c>
      <c r="AI1641" s="55"/>
      <c r="AJ1641" s="56" t="str">
        <f t="shared" si="983"/>
        <v/>
      </c>
      <c r="AK1641" s="55"/>
      <c r="AL1641" s="56" t="str">
        <f t="shared" si="984"/>
        <v/>
      </c>
      <c r="AM1641" s="55"/>
      <c r="AN1641" s="56" t="str">
        <f t="shared" si="985"/>
        <v/>
      </c>
      <c r="AO1641" s="55"/>
      <c r="AP1641" s="56" t="str">
        <f t="shared" si="986"/>
        <v/>
      </c>
      <c r="AQ1641" s="55"/>
      <c r="AR1641" s="56" t="str">
        <f t="shared" si="987"/>
        <v/>
      </c>
      <c r="AS1641" s="57"/>
      <c r="AT1641" s="58"/>
      <c r="AU1641" s="58"/>
      <c r="AV1641" s="59"/>
      <c r="AW1641" s="60" t="str">
        <f t="shared" si="988"/>
        <v/>
      </c>
      <c r="AX1641" s="61" t="str">
        <f t="shared" si="989"/>
        <v/>
      </c>
      <c r="AY1641" s="60" t="str">
        <f t="shared" si="990"/>
        <v/>
      </c>
      <c r="AZ1641" s="61" t="str">
        <f t="shared" si="991"/>
        <v/>
      </c>
    </row>
    <row r="1642" spans="1:52" s="3" customFormat="1" ht="12" hidden="1" customHeight="1" thickBot="1" x14ac:dyDescent="0.4">
      <c r="A1642" s="85">
        <f t="shared" si="949"/>
        <v>2020</v>
      </c>
      <c r="B1642" s="85" t="str">
        <f t="shared" si="968"/>
        <v>Dec</v>
      </c>
      <c r="C1642" s="86">
        <f t="shared" si="969"/>
        <v>3</v>
      </c>
      <c r="D1642" s="87">
        <f t="shared" si="970"/>
        <v>18</v>
      </c>
      <c r="E1642" s="88">
        <f t="shared" si="950"/>
        <v>13</v>
      </c>
      <c r="F1642" s="89"/>
      <c r="G1642" s="90"/>
      <c r="H1642" s="68" t="str">
        <f t="shared" si="971"/>
        <v>Hyprev6_20201203_18_00</v>
      </c>
      <c r="I1642" s="91">
        <f t="shared" ref="I1642:N1642" si="998">I1641</f>
        <v>1</v>
      </c>
      <c r="J1642" s="92" t="str">
        <f t="shared" si="998"/>
        <v>Hypericum</v>
      </c>
      <c r="K1642" s="92" t="str">
        <f t="shared" si="998"/>
        <v>revolutum</v>
      </c>
      <c r="L1642" s="93">
        <f t="shared" si="998"/>
        <v>6</v>
      </c>
      <c r="M1642" s="93">
        <f t="shared" si="998"/>
        <v>1</v>
      </c>
      <c r="N1642" s="94">
        <f t="shared" si="998"/>
        <v>0</v>
      </c>
      <c r="O1642" s="95"/>
      <c r="P1642" s="96" t="str">
        <f t="shared" si="973"/>
        <v/>
      </c>
      <c r="Q1642" s="97" t="str">
        <f t="shared" si="974"/>
        <v/>
      </c>
      <c r="R1642" s="98" t="e">
        <f t="shared" si="975"/>
        <v>#VALUE!</v>
      </c>
      <c r="S1642" s="98" t="e">
        <f t="shared" si="917"/>
        <v>#VALUE!</v>
      </c>
      <c r="T1642" s="98" t="str">
        <f t="shared" si="976"/>
        <v/>
      </c>
      <c r="U1642" s="99"/>
      <c r="V1642" s="100"/>
      <c r="W1642" s="101" t="e">
        <f t="shared" si="977"/>
        <v>#VALUE!</v>
      </c>
      <c r="X1642" s="102"/>
      <c r="Y1642" s="141"/>
      <c r="Z1642" s="141"/>
      <c r="AA1642" s="47" t="e">
        <f>INDEX(VISITORS[INSECT ORDER], MATCH(X1642,VISITORS[NAME USED],0))</f>
        <v>#N/A</v>
      </c>
      <c r="AB1642" s="98" t="e">
        <f t="shared" si="978"/>
        <v>#N/A</v>
      </c>
      <c r="AC1642" s="53" t="e">
        <f t="shared" si="979"/>
        <v>#VALUE!</v>
      </c>
      <c r="AD1642" s="103" t="str">
        <f t="shared" si="980"/>
        <v/>
      </c>
      <c r="AE1642" s="103"/>
      <c r="AF1642" s="103"/>
      <c r="AG1642" s="104" t="str">
        <f t="shared" si="981"/>
        <v/>
      </c>
      <c r="AH1642" s="105" t="str">
        <f t="shared" si="982"/>
        <v/>
      </c>
      <c r="AI1642" s="104"/>
      <c r="AJ1642" s="105" t="str">
        <f t="shared" si="983"/>
        <v/>
      </c>
      <c r="AK1642" s="104"/>
      <c r="AL1642" s="105" t="str">
        <f t="shared" si="984"/>
        <v/>
      </c>
      <c r="AM1642" s="104"/>
      <c r="AN1642" s="105" t="str">
        <f t="shared" si="985"/>
        <v/>
      </c>
      <c r="AO1642" s="104"/>
      <c r="AP1642" s="105" t="str">
        <f t="shared" si="986"/>
        <v/>
      </c>
      <c r="AQ1642" s="104"/>
      <c r="AR1642" s="105" t="str">
        <f t="shared" si="987"/>
        <v/>
      </c>
      <c r="AS1642" s="106"/>
      <c r="AT1642" s="107"/>
      <c r="AU1642" s="107"/>
      <c r="AV1642" s="108"/>
      <c r="AW1642" s="109" t="str">
        <f t="shared" si="988"/>
        <v/>
      </c>
      <c r="AX1642" s="110" t="str">
        <f t="shared" si="989"/>
        <v/>
      </c>
      <c r="AY1642" s="109" t="str">
        <f t="shared" si="990"/>
        <v/>
      </c>
      <c r="AZ1642" s="110" t="str">
        <f t="shared" si="991"/>
        <v/>
      </c>
    </row>
    <row r="1643" spans="1:52" s="3" customFormat="1" ht="12" hidden="1" customHeight="1" x14ac:dyDescent="0.35">
      <c r="A1643" s="72">
        <f t="shared" si="949"/>
        <v>2020</v>
      </c>
      <c r="B1643" s="72" t="str">
        <f t="shared" si="968"/>
        <v>Dec</v>
      </c>
      <c r="C1643" s="73">
        <f t="shared" si="969"/>
        <v>3</v>
      </c>
      <c r="D1643" s="74">
        <f t="shared" si="970"/>
        <v>18</v>
      </c>
      <c r="E1643" s="75">
        <f t="shared" si="950"/>
        <v>14</v>
      </c>
      <c r="F1643" s="79"/>
      <c r="G1643" s="82"/>
      <c r="H1643" s="68" t="str">
        <f t="shared" si="971"/>
        <v>Hyprev6_20201203_18_00</v>
      </c>
      <c r="I1643" s="69">
        <f t="shared" ref="I1643:N1643" si="999">I1642</f>
        <v>1</v>
      </c>
      <c r="J1643" s="76" t="str">
        <f t="shared" si="999"/>
        <v>Hypericum</v>
      </c>
      <c r="K1643" s="76" t="str">
        <f t="shared" si="999"/>
        <v>revolutum</v>
      </c>
      <c r="L1643" s="77">
        <f t="shared" si="999"/>
        <v>6</v>
      </c>
      <c r="M1643" s="77">
        <f t="shared" si="999"/>
        <v>1</v>
      </c>
      <c r="N1643" s="71">
        <f t="shared" si="999"/>
        <v>0</v>
      </c>
      <c r="O1643" s="44"/>
      <c r="P1643" s="45" t="str">
        <f t="shared" si="973"/>
        <v/>
      </c>
      <c r="Q1643" s="46" t="str">
        <f t="shared" si="974"/>
        <v/>
      </c>
      <c r="R1643" s="47" t="e">
        <f t="shared" si="975"/>
        <v>#VALUE!</v>
      </c>
      <c r="S1643" s="48" t="e">
        <f t="shared" si="917"/>
        <v>#VALUE!</v>
      </c>
      <c r="T1643" s="47" t="str">
        <f t="shared" si="976"/>
        <v/>
      </c>
      <c r="U1643" s="49"/>
      <c r="V1643" s="50"/>
      <c r="W1643" s="51" t="e">
        <f t="shared" si="977"/>
        <v>#VALUE!</v>
      </c>
      <c r="X1643" s="52"/>
      <c r="Y1643" s="52"/>
      <c r="Z1643" s="52"/>
      <c r="AA1643" s="47" t="e">
        <f>INDEX(VISITORS[INSECT ORDER], MATCH(X1643,VISITORS[NAME USED],0))</f>
        <v>#N/A</v>
      </c>
      <c r="AB1643" s="47" t="e">
        <f t="shared" si="978"/>
        <v>#N/A</v>
      </c>
      <c r="AC1643" s="53" t="e">
        <f t="shared" si="979"/>
        <v>#VALUE!</v>
      </c>
      <c r="AD1643" s="54" t="str">
        <f t="shared" si="980"/>
        <v/>
      </c>
      <c r="AE1643" s="54"/>
      <c r="AF1643" s="54"/>
      <c r="AG1643" s="55" t="str">
        <f t="shared" si="981"/>
        <v/>
      </c>
      <c r="AH1643" s="56" t="str">
        <f t="shared" si="982"/>
        <v/>
      </c>
      <c r="AI1643" s="55"/>
      <c r="AJ1643" s="56" t="str">
        <f t="shared" si="983"/>
        <v/>
      </c>
      <c r="AK1643" s="55"/>
      <c r="AL1643" s="56" t="str">
        <f t="shared" si="984"/>
        <v/>
      </c>
      <c r="AM1643" s="55"/>
      <c r="AN1643" s="56" t="str">
        <f t="shared" si="985"/>
        <v/>
      </c>
      <c r="AO1643" s="55"/>
      <c r="AP1643" s="56" t="str">
        <f t="shared" si="986"/>
        <v/>
      </c>
      <c r="AQ1643" s="55"/>
      <c r="AR1643" s="56" t="str">
        <f t="shared" si="987"/>
        <v/>
      </c>
      <c r="AS1643" s="57"/>
      <c r="AT1643" s="58"/>
      <c r="AU1643" s="58"/>
      <c r="AV1643" s="59"/>
      <c r="AW1643" s="60" t="str">
        <f t="shared" si="988"/>
        <v/>
      </c>
      <c r="AX1643" s="61" t="str">
        <f t="shared" si="989"/>
        <v/>
      </c>
      <c r="AY1643" s="60" t="str">
        <f t="shared" si="990"/>
        <v/>
      </c>
      <c r="AZ1643" s="61" t="str">
        <f t="shared" si="991"/>
        <v/>
      </c>
    </row>
    <row r="1644" spans="1:52" s="3" customFormat="1" ht="12" hidden="1" customHeight="1" x14ac:dyDescent="0.35">
      <c r="A1644" s="72">
        <f t="shared" si="949"/>
        <v>2020</v>
      </c>
      <c r="B1644" s="72" t="str">
        <f t="shared" si="968"/>
        <v>Dec</v>
      </c>
      <c r="C1644" s="73">
        <f t="shared" si="969"/>
        <v>3</v>
      </c>
      <c r="D1644" s="74">
        <f t="shared" si="970"/>
        <v>18</v>
      </c>
      <c r="E1644" s="75">
        <f t="shared" si="950"/>
        <v>15</v>
      </c>
      <c r="F1644" s="79"/>
      <c r="G1644" s="82"/>
      <c r="H1644" s="68" t="str">
        <f t="shared" si="971"/>
        <v>Hyprev6_20201203_18_00</v>
      </c>
      <c r="I1644" s="69">
        <f t="shared" ref="I1644:N1644" si="1000">I1643</f>
        <v>1</v>
      </c>
      <c r="J1644" s="76" t="str">
        <f t="shared" si="1000"/>
        <v>Hypericum</v>
      </c>
      <c r="K1644" s="76" t="str">
        <f t="shared" si="1000"/>
        <v>revolutum</v>
      </c>
      <c r="L1644" s="77">
        <f t="shared" si="1000"/>
        <v>6</v>
      </c>
      <c r="M1644" s="77">
        <f t="shared" si="1000"/>
        <v>1</v>
      </c>
      <c r="N1644" s="71">
        <f t="shared" si="1000"/>
        <v>0</v>
      </c>
      <c r="O1644" s="44"/>
      <c r="P1644" s="45" t="str">
        <f t="shared" si="973"/>
        <v/>
      </c>
      <c r="Q1644" s="46" t="str">
        <f t="shared" si="974"/>
        <v/>
      </c>
      <c r="R1644" s="47" t="e">
        <f t="shared" si="975"/>
        <v>#VALUE!</v>
      </c>
      <c r="S1644" s="48" t="e">
        <f t="shared" si="917"/>
        <v>#VALUE!</v>
      </c>
      <c r="T1644" s="47" t="str">
        <f t="shared" si="976"/>
        <v/>
      </c>
      <c r="U1644" s="49"/>
      <c r="V1644" s="50"/>
      <c r="W1644" s="51" t="e">
        <f t="shared" si="977"/>
        <v>#VALUE!</v>
      </c>
      <c r="X1644" s="52"/>
      <c r="Y1644" s="52"/>
      <c r="Z1644" s="52"/>
      <c r="AA1644" s="47" t="e">
        <f>INDEX(VISITORS[INSECT ORDER], MATCH(X1644,VISITORS[NAME USED],0))</f>
        <v>#N/A</v>
      </c>
      <c r="AB1644" s="47" t="e">
        <f t="shared" si="978"/>
        <v>#N/A</v>
      </c>
      <c r="AC1644" s="53" t="e">
        <f t="shared" si="979"/>
        <v>#VALUE!</v>
      </c>
      <c r="AD1644" s="54" t="str">
        <f t="shared" si="980"/>
        <v/>
      </c>
      <c r="AE1644" s="54"/>
      <c r="AF1644" s="54"/>
      <c r="AG1644" s="55" t="str">
        <f t="shared" si="981"/>
        <v/>
      </c>
      <c r="AH1644" s="56" t="str">
        <f t="shared" si="982"/>
        <v/>
      </c>
      <c r="AI1644" s="55"/>
      <c r="AJ1644" s="56" t="str">
        <f t="shared" si="983"/>
        <v/>
      </c>
      <c r="AK1644" s="55"/>
      <c r="AL1644" s="56" t="str">
        <f t="shared" si="984"/>
        <v/>
      </c>
      <c r="AM1644" s="55"/>
      <c r="AN1644" s="56" t="str">
        <f t="shared" si="985"/>
        <v/>
      </c>
      <c r="AO1644" s="55"/>
      <c r="AP1644" s="56" t="str">
        <f t="shared" si="986"/>
        <v/>
      </c>
      <c r="AQ1644" s="55"/>
      <c r="AR1644" s="56" t="str">
        <f t="shared" si="987"/>
        <v/>
      </c>
      <c r="AS1644" s="57"/>
      <c r="AT1644" s="58"/>
      <c r="AU1644" s="58"/>
      <c r="AV1644" s="59"/>
      <c r="AW1644" s="60" t="str">
        <f t="shared" si="988"/>
        <v/>
      </c>
      <c r="AX1644" s="61" t="str">
        <f t="shared" si="989"/>
        <v/>
      </c>
      <c r="AY1644" s="60" t="str">
        <f t="shared" si="990"/>
        <v/>
      </c>
      <c r="AZ1644" s="61" t="str">
        <f t="shared" si="991"/>
        <v/>
      </c>
    </row>
    <row r="1645" spans="1:52" s="3" customFormat="1" ht="12" hidden="1" customHeight="1" thickBot="1" x14ac:dyDescent="0.4">
      <c r="A1645" s="85">
        <f t="shared" si="949"/>
        <v>2020</v>
      </c>
      <c r="B1645" s="85" t="str">
        <f t="shared" si="968"/>
        <v>Dec</v>
      </c>
      <c r="C1645" s="86">
        <f t="shared" si="969"/>
        <v>3</v>
      </c>
      <c r="D1645" s="87">
        <f t="shared" si="970"/>
        <v>18</v>
      </c>
      <c r="E1645" s="88">
        <f t="shared" si="950"/>
        <v>16</v>
      </c>
      <c r="F1645" s="89"/>
      <c r="G1645" s="90"/>
      <c r="H1645" s="68" t="str">
        <f t="shared" si="971"/>
        <v>Hyprev6_20201203_18_00</v>
      </c>
      <c r="I1645" s="91">
        <f t="shared" ref="I1645:N1645" si="1001">I1644</f>
        <v>1</v>
      </c>
      <c r="J1645" s="92" t="str">
        <f t="shared" si="1001"/>
        <v>Hypericum</v>
      </c>
      <c r="K1645" s="92" t="str">
        <f t="shared" si="1001"/>
        <v>revolutum</v>
      </c>
      <c r="L1645" s="93">
        <f t="shared" si="1001"/>
        <v>6</v>
      </c>
      <c r="M1645" s="93">
        <f t="shared" si="1001"/>
        <v>1</v>
      </c>
      <c r="N1645" s="94">
        <f t="shared" si="1001"/>
        <v>0</v>
      </c>
      <c r="O1645" s="95"/>
      <c r="P1645" s="96" t="str">
        <f t="shared" si="973"/>
        <v/>
      </c>
      <c r="Q1645" s="97" t="str">
        <f t="shared" si="974"/>
        <v/>
      </c>
      <c r="R1645" s="98" t="e">
        <f t="shared" si="975"/>
        <v>#VALUE!</v>
      </c>
      <c r="S1645" s="98" t="e">
        <f t="shared" si="917"/>
        <v>#VALUE!</v>
      </c>
      <c r="T1645" s="98" t="str">
        <f t="shared" si="976"/>
        <v/>
      </c>
      <c r="U1645" s="99"/>
      <c r="V1645" s="100"/>
      <c r="W1645" s="101" t="e">
        <f t="shared" si="977"/>
        <v>#VALUE!</v>
      </c>
      <c r="X1645" s="102"/>
      <c r="Y1645" s="141"/>
      <c r="Z1645" s="141"/>
      <c r="AA1645" s="47" t="e">
        <f>INDEX(VISITORS[INSECT ORDER], MATCH(X1645,VISITORS[NAME USED],0))</f>
        <v>#N/A</v>
      </c>
      <c r="AB1645" s="98" t="e">
        <f t="shared" si="978"/>
        <v>#N/A</v>
      </c>
      <c r="AC1645" s="53" t="e">
        <f t="shared" si="979"/>
        <v>#VALUE!</v>
      </c>
      <c r="AD1645" s="103" t="str">
        <f t="shared" si="980"/>
        <v/>
      </c>
      <c r="AE1645" s="103"/>
      <c r="AF1645" s="103"/>
      <c r="AG1645" s="104" t="str">
        <f t="shared" si="981"/>
        <v/>
      </c>
      <c r="AH1645" s="105" t="str">
        <f t="shared" si="982"/>
        <v/>
      </c>
      <c r="AI1645" s="104"/>
      <c r="AJ1645" s="105" t="str">
        <f t="shared" si="983"/>
        <v/>
      </c>
      <c r="AK1645" s="104"/>
      <c r="AL1645" s="105" t="str">
        <f t="shared" si="984"/>
        <v/>
      </c>
      <c r="AM1645" s="104"/>
      <c r="AN1645" s="105" t="str">
        <f t="shared" si="985"/>
        <v/>
      </c>
      <c r="AO1645" s="104"/>
      <c r="AP1645" s="105" t="str">
        <f t="shared" si="986"/>
        <v/>
      </c>
      <c r="AQ1645" s="104"/>
      <c r="AR1645" s="105" t="str">
        <f t="shared" si="987"/>
        <v/>
      </c>
      <c r="AS1645" s="106"/>
      <c r="AT1645" s="107"/>
      <c r="AU1645" s="107"/>
      <c r="AV1645" s="108"/>
      <c r="AW1645" s="109" t="str">
        <f t="shared" si="988"/>
        <v/>
      </c>
      <c r="AX1645" s="110" t="str">
        <f t="shared" si="989"/>
        <v/>
      </c>
      <c r="AY1645" s="109" t="str">
        <f t="shared" si="990"/>
        <v/>
      </c>
      <c r="AZ1645" s="110" t="str">
        <f t="shared" si="991"/>
        <v/>
      </c>
    </row>
    <row r="1646" spans="1:52" s="3" customFormat="1" ht="12" hidden="1" customHeight="1" x14ac:dyDescent="0.35">
      <c r="A1646" s="72">
        <f t="shared" si="949"/>
        <v>2020</v>
      </c>
      <c r="B1646" s="72" t="str">
        <f t="shared" si="968"/>
        <v>Dec</v>
      </c>
      <c r="C1646" s="73">
        <f t="shared" si="969"/>
        <v>3</v>
      </c>
      <c r="D1646" s="74">
        <f t="shared" si="970"/>
        <v>18</v>
      </c>
      <c r="E1646" s="75">
        <f t="shared" si="950"/>
        <v>17</v>
      </c>
      <c r="F1646" s="79"/>
      <c r="G1646" s="82"/>
      <c r="H1646" s="68" t="str">
        <f t="shared" si="971"/>
        <v>Hyprev6_20201203_18_00</v>
      </c>
      <c r="I1646" s="69">
        <f t="shared" ref="I1646:N1646" si="1002">I1645</f>
        <v>1</v>
      </c>
      <c r="J1646" s="76" t="str">
        <f t="shared" si="1002"/>
        <v>Hypericum</v>
      </c>
      <c r="K1646" s="76" t="str">
        <f t="shared" si="1002"/>
        <v>revolutum</v>
      </c>
      <c r="L1646" s="77">
        <f t="shared" si="1002"/>
        <v>6</v>
      </c>
      <c r="M1646" s="77">
        <f t="shared" si="1002"/>
        <v>1</v>
      </c>
      <c r="N1646" s="71">
        <f t="shared" si="1002"/>
        <v>0</v>
      </c>
      <c r="O1646" s="44"/>
      <c r="P1646" s="45" t="str">
        <f t="shared" si="973"/>
        <v/>
      </c>
      <c r="Q1646" s="46" t="str">
        <f t="shared" si="974"/>
        <v/>
      </c>
      <c r="R1646" s="47" t="e">
        <f t="shared" si="975"/>
        <v>#VALUE!</v>
      </c>
      <c r="S1646" s="48" t="e">
        <f t="shared" si="917"/>
        <v>#VALUE!</v>
      </c>
      <c r="T1646" s="47" t="str">
        <f t="shared" si="976"/>
        <v/>
      </c>
      <c r="U1646" s="49"/>
      <c r="V1646" s="50"/>
      <c r="W1646" s="51" t="e">
        <f t="shared" si="977"/>
        <v>#VALUE!</v>
      </c>
      <c r="X1646" s="52"/>
      <c r="Y1646" s="52"/>
      <c r="Z1646" s="52"/>
      <c r="AA1646" s="47" t="e">
        <f>INDEX(VISITORS[INSECT ORDER], MATCH(X1646,VISITORS[NAME USED],0))</f>
        <v>#N/A</v>
      </c>
      <c r="AB1646" s="47" t="e">
        <f t="shared" si="978"/>
        <v>#N/A</v>
      </c>
      <c r="AC1646" s="53" t="e">
        <f t="shared" si="979"/>
        <v>#VALUE!</v>
      </c>
      <c r="AD1646" s="54" t="str">
        <f t="shared" si="980"/>
        <v/>
      </c>
      <c r="AE1646" s="54"/>
      <c r="AF1646" s="54"/>
      <c r="AG1646" s="55" t="str">
        <f t="shared" si="981"/>
        <v/>
      </c>
      <c r="AH1646" s="56" t="str">
        <f t="shared" si="982"/>
        <v/>
      </c>
      <c r="AI1646" s="55"/>
      <c r="AJ1646" s="56" t="str">
        <f t="shared" si="983"/>
        <v/>
      </c>
      <c r="AK1646" s="55"/>
      <c r="AL1646" s="56" t="str">
        <f t="shared" si="984"/>
        <v/>
      </c>
      <c r="AM1646" s="55"/>
      <c r="AN1646" s="56" t="str">
        <f t="shared" si="985"/>
        <v/>
      </c>
      <c r="AO1646" s="55"/>
      <c r="AP1646" s="56" t="str">
        <f t="shared" si="986"/>
        <v/>
      </c>
      <c r="AQ1646" s="55"/>
      <c r="AR1646" s="56" t="str">
        <f t="shared" si="987"/>
        <v/>
      </c>
      <c r="AS1646" s="57"/>
      <c r="AT1646" s="58"/>
      <c r="AU1646" s="58"/>
      <c r="AV1646" s="59"/>
      <c r="AW1646" s="60" t="str">
        <f t="shared" si="988"/>
        <v/>
      </c>
      <c r="AX1646" s="61" t="str">
        <f t="shared" si="989"/>
        <v/>
      </c>
      <c r="AY1646" s="60" t="str">
        <f t="shared" si="990"/>
        <v/>
      </c>
      <c r="AZ1646" s="61" t="str">
        <f t="shared" si="991"/>
        <v/>
      </c>
    </row>
    <row r="1647" spans="1:52" s="3" customFormat="1" ht="12" hidden="1" customHeight="1" x14ac:dyDescent="0.35">
      <c r="A1647" s="72">
        <f t="shared" si="949"/>
        <v>2020</v>
      </c>
      <c r="B1647" s="72" t="str">
        <f t="shared" si="968"/>
        <v>Dec</v>
      </c>
      <c r="C1647" s="73">
        <f t="shared" si="969"/>
        <v>3</v>
      </c>
      <c r="D1647" s="74">
        <f t="shared" si="970"/>
        <v>18</v>
      </c>
      <c r="E1647" s="75">
        <f t="shared" si="950"/>
        <v>18</v>
      </c>
      <c r="F1647" s="79"/>
      <c r="G1647" s="82"/>
      <c r="H1647" s="68" t="str">
        <f t="shared" si="971"/>
        <v>Hyprev6_20201203_18_00</v>
      </c>
      <c r="I1647" s="69">
        <f t="shared" ref="I1647:N1647" si="1003">I1646</f>
        <v>1</v>
      </c>
      <c r="J1647" s="76" t="str">
        <f t="shared" si="1003"/>
        <v>Hypericum</v>
      </c>
      <c r="K1647" s="76" t="str">
        <f t="shared" si="1003"/>
        <v>revolutum</v>
      </c>
      <c r="L1647" s="77">
        <f t="shared" si="1003"/>
        <v>6</v>
      </c>
      <c r="M1647" s="77">
        <f t="shared" si="1003"/>
        <v>1</v>
      </c>
      <c r="N1647" s="71">
        <f t="shared" si="1003"/>
        <v>0</v>
      </c>
      <c r="O1647" s="44"/>
      <c r="P1647" s="45" t="str">
        <f t="shared" si="973"/>
        <v/>
      </c>
      <c r="Q1647" s="46" t="str">
        <f t="shared" si="974"/>
        <v/>
      </c>
      <c r="R1647" s="47" t="e">
        <f t="shared" si="975"/>
        <v>#VALUE!</v>
      </c>
      <c r="S1647" s="48" t="e">
        <f t="shared" si="917"/>
        <v>#VALUE!</v>
      </c>
      <c r="T1647" s="47" t="str">
        <f t="shared" si="976"/>
        <v/>
      </c>
      <c r="U1647" s="49"/>
      <c r="V1647" s="50"/>
      <c r="W1647" s="51" t="e">
        <f t="shared" si="977"/>
        <v>#VALUE!</v>
      </c>
      <c r="X1647" s="52"/>
      <c r="Y1647" s="52"/>
      <c r="Z1647" s="52"/>
      <c r="AA1647" s="47" t="e">
        <f>INDEX(VISITORS[INSECT ORDER], MATCH(X1647,VISITORS[NAME USED],0))</f>
        <v>#N/A</v>
      </c>
      <c r="AB1647" s="47" t="e">
        <f t="shared" si="978"/>
        <v>#N/A</v>
      </c>
      <c r="AC1647" s="53" t="e">
        <f t="shared" si="979"/>
        <v>#VALUE!</v>
      </c>
      <c r="AD1647" s="54" t="str">
        <f t="shared" si="980"/>
        <v/>
      </c>
      <c r="AE1647" s="54"/>
      <c r="AF1647" s="54"/>
      <c r="AG1647" s="55" t="str">
        <f t="shared" si="981"/>
        <v/>
      </c>
      <c r="AH1647" s="56" t="str">
        <f t="shared" si="982"/>
        <v/>
      </c>
      <c r="AI1647" s="55"/>
      <c r="AJ1647" s="56" t="str">
        <f t="shared" si="983"/>
        <v/>
      </c>
      <c r="AK1647" s="55"/>
      <c r="AL1647" s="56" t="str">
        <f t="shared" si="984"/>
        <v/>
      </c>
      <c r="AM1647" s="55"/>
      <c r="AN1647" s="56" t="str">
        <f t="shared" si="985"/>
        <v/>
      </c>
      <c r="AO1647" s="55"/>
      <c r="AP1647" s="56" t="str">
        <f t="shared" si="986"/>
        <v/>
      </c>
      <c r="AQ1647" s="55"/>
      <c r="AR1647" s="56" t="str">
        <f t="shared" si="987"/>
        <v/>
      </c>
      <c r="AS1647" s="57"/>
      <c r="AT1647" s="58"/>
      <c r="AU1647" s="58"/>
      <c r="AV1647" s="59"/>
      <c r="AW1647" s="60" t="str">
        <f t="shared" si="988"/>
        <v/>
      </c>
      <c r="AX1647" s="61" t="str">
        <f t="shared" si="989"/>
        <v/>
      </c>
      <c r="AY1647" s="60" t="str">
        <f t="shared" si="990"/>
        <v/>
      </c>
      <c r="AZ1647" s="61" t="str">
        <f t="shared" si="991"/>
        <v/>
      </c>
    </row>
  </sheetData>
  <sheetProtection formatCells="0" formatColumns="0" formatRows="0" sort="0" autoFilter="0"/>
  <protectedRanges>
    <protectedRange sqref="X3:Z3 AB3" name="Visitor ID_1"/>
    <protectedRange sqref="P3:P1647" name="Visitor arrival_1_1"/>
    <protectedRange sqref="W3:W1647"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648:P1048576" name="Visitor arrival_1"/>
    <protectedRange sqref="W1648:W1048576" name="Time of Departure"/>
    <protectedRange sqref="AA3:AA1048576" name="Visitor ID_2"/>
    <protectedRange sqref="AW1:AX1 AZ1:AZ1417 AW2:AY1417 AW1418:AZ1048576" name="Visitor behaviour_1_1"/>
  </protectedRanges>
  <autoFilter ref="A2:AZ1647"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647 A2:M2">
    <cfRule type="beginsWith" dxfId="14" priority="39" operator="beginsWith" text="NA">
      <formula>LEFT(A1,LEN("NA"))="NA"</formula>
    </cfRule>
  </conditionalFormatting>
  <conditionalFormatting sqref="A3:O1647">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647">
    <cfRule type="containsBlanks" dxfId="11" priority="40">
      <formula>LEN(TRIM(I1))=0</formula>
    </cfRule>
  </conditionalFormatting>
  <conditionalFormatting sqref="P2:S1647">
    <cfRule type="beginsWith" dxfId="10" priority="12" operator="beginsWith" text="NA">
      <formula>LEFT(P2,LEN("NA"))="NA"</formula>
    </cfRule>
  </conditionalFormatting>
  <conditionalFormatting sqref="R2:R1647 W2:W1647">
    <cfRule type="containsErrors" dxfId="9" priority="29">
      <formula>ISERROR(R2)</formula>
    </cfRule>
  </conditionalFormatting>
  <conditionalFormatting sqref="S1:S1048576">
    <cfRule type="containsErrors" dxfId="8" priority="13">
      <formula>ISERROR(S1)</formula>
    </cfRule>
  </conditionalFormatting>
  <conditionalFormatting sqref="W2:AA1647">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647">
    <cfRule type="beginsWith" dxfId="4" priority="28" operator="beginsWith" text="NA">
      <formula>LEFT(AB3,LEN("NA"))="NA"</formula>
    </cfRule>
  </conditionalFormatting>
  <conditionalFormatting sqref="AC3:AC1647">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647">
    <cfRule type="beginsWith" dxfId="1" priority="3" operator="beginsWith" text="NA">
      <formula>LEFT(AI3,LEN("NA"))="NA"</formula>
    </cfRule>
  </conditionalFormatting>
  <conditionalFormatting sqref="AV1:AW1 AK2:AZ1647">
    <cfRule type="beginsWith" dxfId="0" priority="1" operator="beginsWith" text="NA">
      <formula>LEFT(AK1,LEN("NA"))="NA"</formula>
    </cfRule>
  </conditionalFormatting>
  <dataValidations count="1">
    <dataValidation type="whole" operator="equal" allowBlank="1" showInputMessage="1" showErrorMessage="1" sqref="I3:I1647"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HypRev06</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2023-06-26T12:38:34Z</dcterms:modified>
</cp:coreProperties>
</file>