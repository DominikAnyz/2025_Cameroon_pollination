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0AEFDA8C-8A75-4CEA-88BA-E08F7350C794}" xr6:coauthVersionLast="47" xr6:coauthVersionMax="47" xr10:uidLastSave="{00000000-0000-0000-0000-000000000000}"/>
  <bookViews>
    <workbookView xWindow="-110" yWindow="-110" windowWidth="19420" windowHeight="10300" xr2:uid="{00000000-000D-0000-FFFF-FFFF00000000}"/>
  </bookViews>
  <sheets>
    <sheet name="SenBur07" sheetId="3" r:id="rId1"/>
    <sheet name="Morphospecies" sheetId="1" r:id="rId2"/>
  </sheets>
  <definedNames>
    <definedName name="_xlnm._FilterDatabase" localSheetId="0" hidden="1">SenBur07!$A$2:$AZ$1596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08" i="3" l="1"/>
  <c r="Q1508" i="3" s="1"/>
  <c r="AA1508" i="3"/>
  <c r="AB1508" i="3" s="1"/>
  <c r="AG1508" i="3"/>
  <c r="AH1508" i="3" s="1"/>
  <c r="AJ1508" i="3"/>
  <c r="AL1508" i="3"/>
  <c r="AN1508" i="3"/>
  <c r="AP1508" i="3"/>
  <c r="AR1508" i="3"/>
  <c r="P1509" i="3"/>
  <c r="T1509" i="3" s="1"/>
  <c r="AA1509" i="3"/>
  <c r="AB1509" i="3" s="1"/>
  <c r="AG1509" i="3"/>
  <c r="AH1509" i="3" s="1"/>
  <c r="AJ1509" i="3"/>
  <c r="AL1509" i="3"/>
  <c r="AN1509" i="3"/>
  <c r="AP1509" i="3"/>
  <c r="AR1509" i="3"/>
  <c r="P1510" i="3"/>
  <c r="AB1510" i="3"/>
  <c r="AJ1510" i="3"/>
  <c r="AL1510" i="3"/>
  <c r="AP1510" i="3"/>
  <c r="AR1510" i="3"/>
  <c r="P1511" i="3"/>
  <c r="Q1511" i="3" s="1"/>
  <c r="AA1511" i="3"/>
  <c r="AB1511" i="3" s="1"/>
  <c r="AG1511" i="3"/>
  <c r="AH1511" i="3" s="1"/>
  <c r="AJ1511" i="3"/>
  <c r="AL1511" i="3"/>
  <c r="AN1511" i="3"/>
  <c r="AP1511" i="3"/>
  <c r="AR1511" i="3"/>
  <c r="P1512" i="3"/>
  <c r="AB1512" i="3"/>
  <c r="AJ1512" i="3"/>
  <c r="AL1512" i="3"/>
  <c r="AP1512" i="3"/>
  <c r="AR1512" i="3"/>
  <c r="P1513" i="3"/>
  <c r="AD1513" i="3" s="1"/>
  <c r="AB1513" i="3"/>
  <c r="AJ1513" i="3"/>
  <c r="AL1513" i="3"/>
  <c r="AP1513" i="3"/>
  <c r="AR1513" i="3"/>
  <c r="AX1513" i="3"/>
  <c r="AZ1513" i="3"/>
  <c r="P1514" i="3"/>
  <c r="AB1514" i="3"/>
  <c r="AJ1514" i="3"/>
  <c r="AL1514" i="3"/>
  <c r="AP1514" i="3"/>
  <c r="AR1514" i="3"/>
  <c r="P1515" i="3"/>
  <c r="AB1515" i="3"/>
  <c r="AJ1515" i="3"/>
  <c r="AL1515" i="3"/>
  <c r="AP1515" i="3"/>
  <c r="AR1515" i="3"/>
  <c r="P1516" i="3"/>
  <c r="AY1516" i="3" s="1"/>
  <c r="AZ1516" i="3" s="1"/>
  <c r="AA1516" i="3"/>
  <c r="AB1516" i="3" s="1"/>
  <c r="AG1516" i="3"/>
  <c r="AH1516" i="3" s="1"/>
  <c r="AJ1516" i="3"/>
  <c r="AL1516" i="3"/>
  <c r="AN1516" i="3"/>
  <c r="AP1516" i="3"/>
  <c r="AR1516" i="3"/>
  <c r="P1517" i="3"/>
  <c r="T1517" i="3" s="1"/>
  <c r="AA1517" i="3"/>
  <c r="AB1517" i="3" s="1"/>
  <c r="AG1517" i="3"/>
  <c r="AH1517" i="3" s="1"/>
  <c r="AJ1517" i="3"/>
  <c r="AL1517" i="3"/>
  <c r="AN1517" i="3"/>
  <c r="AP1517" i="3"/>
  <c r="AR1517" i="3"/>
  <c r="P1518" i="3"/>
  <c r="AB1518" i="3"/>
  <c r="AJ1518" i="3"/>
  <c r="AL1518" i="3"/>
  <c r="AP1518" i="3"/>
  <c r="AR1518" i="3"/>
  <c r="P1519" i="3"/>
  <c r="T1519" i="3" s="1"/>
  <c r="AA1519" i="3"/>
  <c r="AB1519" i="3" s="1"/>
  <c r="AG1519" i="3"/>
  <c r="AH1519" i="3" s="1"/>
  <c r="AJ1519" i="3"/>
  <c r="AL1519" i="3"/>
  <c r="AN1519" i="3"/>
  <c r="AP1519" i="3"/>
  <c r="AR1519" i="3"/>
  <c r="P1520" i="3"/>
  <c r="AB1520" i="3"/>
  <c r="AJ1520" i="3"/>
  <c r="AL1520" i="3"/>
  <c r="AP1520" i="3"/>
  <c r="AR1520" i="3"/>
  <c r="P1521" i="3"/>
  <c r="AD1521" i="3" s="1"/>
  <c r="AX1521" i="3" s="1"/>
  <c r="AB1521" i="3"/>
  <c r="AJ1521" i="3"/>
  <c r="AL1521" i="3"/>
  <c r="AP1521" i="3"/>
  <c r="AR1521" i="3"/>
  <c r="P1522" i="3"/>
  <c r="AB1522" i="3"/>
  <c r="AJ1522" i="3"/>
  <c r="AL1522" i="3"/>
  <c r="AP1522" i="3"/>
  <c r="AR1522" i="3"/>
  <c r="P1523" i="3"/>
  <c r="AA1523" i="3"/>
  <c r="AB1523" i="3" s="1"/>
  <c r="AG1523" i="3"/>
  <c r="AH1523" i="3" s="1"/>
  <c r="AJ1523" i="3"/>
  <c r="AL1523" i="3"/>
  <c r="AN1523" i="3"/>
  <c r="AP1523" i="3"/>
  <c r="AR1523" i="3"/>
  <c r="P1524" i="3"/>
  <c r="AY1524" i="3" s="1"/>
  <c r="AZ1524" i="3" s="1"/>
  <c r="AA1524" i="3"/>
  <c r="AB1524" i="3" s="1"/>
  <c r="AG1524" i="3"/>
  <c r="AH1524" i="3" s="1"/>
  <c r="AJ1524" i="3"/>
  <c r="AL1524" i="3"/>
  <c r="AN1524" i="3"/>
  <c r="AP1524" i="3"/>
  <c r="AR1524" i="3"/>
  <c r="P1525" i="3"/>
  <c r="T1525" i="3" s="1"/>
  <c r="AA1525" i="3"/>
  <c r="AB1525" i="3" s="1"/>
  <c r="AG1525" i="3"/>
  <c r="AH1525" i="3" s="1"/>
  <c r="AJ1525" i="3"/>
  <c r="AL1525" i="3"/>
  <c r="AN1525" i="3"/>
  <c r="AP1525" i="3"/>
  <c r="AR1525" i="3"/>
  <c r="P1526" i="3"/>
  <c r="T1526" i="3" s="1"/>
  <c r="AA1526" i="3"/>
  <c r="AB1526" i="3" s="1"/>
  <c r="AG1526" i="3"/>
  <c r="AH1526" i="3" s="1"/>
  <c r="AJ1526" i="3"/>
  <c r="AL1526" i="3"/>
  <c r="AN1526" i="3"/>
  <c r="AP1526" i="3"/>
  <c r="AR1526" i="3"/>
  <c r="P1527" i="3"/>
  <c r="T1527" i="3" s="1"/>
  <c r="AA1527" i="3"/>
  <c r="AB1527" i="3" s="1"/>
  <c r="AG1527" i="3"/>
  <c r="AH1527" i="3" s="1"/>
  <c r="AJ1527" i="3"/>
  <c r="AL1527" i="3"/>
  <c r="AN1527" i="3"/>
  <c r="AP1527" i="3"/>
  <c r="AR1527" i="3"/>
  <c r="P1528" i="3"/>
  <c r="AA1528" i="3"/>
  <c r="AB1528" i="3" s="1"/>
  <c r="AG1528" i="3"/>
  <c r="AH1528" i="3" s="1"/>
  <c r="AJ1528" i="3"/>
  <c r="AL1528" i="3"/>
  <c r="AN1528" i="3"/>
  <c r="AP1528" i="3"/>
  <c r="AR1528" i="3"/>
  <c r="P1529" i="3"/>
  <c r="T1529" i="3" s="1"/>
  <c r="AA1529" i="3"/>
  <c r="AB1529" i="3" s="1"/>
  <c r="AG1529" i="3"/>
  <c r="AH1529" i="3" s="1"/>
  <c r="AJ1529" i="3"/>
  <c r="AL1529" i="3"/>
  <c r="AN1529" i="3"/>
  <c r="AP1529" i="3"/>
  <c r="AR1529" i="3"/>
  <c r="P1530" i="3"/>
  <c r="AD1530" i="3" s="1"/>
  <c r="AA1530" i="3"/>
  <c r="AB1530" i="3" s="1"/>
  <c r="AG1530" i="3"/>
  <c r="AH1530" i="3" s="1"/>
  <c r="AJ1530" i="3"/>
  <c r="AL1530" i="3"/>
  <c r="AN1530" i="3"/>
  <c r="AP1530" i="3"/>
  <c r="AR1530" i="3"/>
  <c r="P1531" i="3"/>
  <c r="AA1531" i="3"/>
  <c r="AB1531" i="3" s="1"/>
  <c r="AG1531" i="3"/>
  <c r="AH1531" i="3" s="1"/>
  <c r="AJ1531" i="3"/>
  <c r="AL1531" i="3"/>
  <c r="AN1531" i="3"/>
  <c r="AP1531" i="3"/>
  <c r="AR1531" i="3"/>
  <c r="P1532" i="3"/>
  <c r="AW1532" i="3" s="1"/>
  <c r="AX1532" i="3" s="1"/>
  <c r="AA1532" i="3"/>
  <c r="AB1532" i="3" s="1"/>
  <c r="AG1532" i="3"/>
  <c r="AH1532" i="3" s="1"/>
  <c r="AJ1532" i="3"/>
  <c r="AL1532" i="3"/>
  <c r="AN1532" i="3"/>
  <c r="AP1532" i="3"/>
  <c r="AR1532" i="3"/>
  <c r="P1533" i="3"/>
  <c r="T1533" i="3" s="1"/>
  <c r="AA1533" i="3"/>
  <c r="AB1533" i="3" s="1"/>
  <c r="AG1533" i="3"/>
  <c r="AH1533" i="3" s="1"/>
  <c r="AJ1533" i="3"/>
  <c r="AL1533" i="3"/>
  <c r="AN1533" i="3"/>
  <c r="AP1533" i="3"/>
  <c r="AR1533" i="3"/>
  <c r="P1534" i="3"/>
  <c r="AA1534" i="3"/>
  <c r="AB1534" i="3" s="1"/>
  <c r="AG1534" i="3"/>
  <c r="AH1534" i="3" s="1"/>
  <c r="AJ1534" i="3"/>
  <c r="AL1534" i="3"/>
  <c r="AN1534" i="3"/>
  <c r="AP1534" i="3"/>
  <c r="AR1534" i="3"/>
  <c r="P1535" i="3"/>
  <c r="AW1535" i="3" s="1"/>
  <c r="AX1535" i="3" s="1"/>
  <c r="AA1535" i="3"/>
  <c r="AB1535" i="3" s="1"/>
  <c r="AG1535" i="3"/>
  <c r="AH1535" i="3" s="1"/>
  <c r="AJ1535" i="3"/>
  <c r="AL1535" i="3"/>
  <c r="AN1535" i="3"/>
  <c r="AP1535" i="3"/>
  <c r="AR1535" i="3"/>
  <c r="P1536" i="3"/>
  <c r="Q1536" i="3" s="1"/>
  <c r="AA1536" i="3"/>
  <c r="AB1536" i="3" s="1"/>
  <c r="AG1536" i="3"/>
  <c r="AH1536" i="3" s="1"/>
  <c r="AJ1536" i="3"/>
  <c r="AL1536" i="3"/>
  <c r="AN1536" i="3"/>
  <c r="AP1536" i="3"/>
  <c r="AR1536" i="3"/>
  <c r="P1537" i="3"/>
  <c r="AZ1537" i="3" s="1"/>
  <c r="AB1537" i="3"/>
  <c r="AJ1537" i="3"/>
  <c r="AL1537" i="3"/>
  <c r="AP1537" i="3"/>
  <c r="AR1537" i="3"/>
  <c r="AX1537" i="3"/>
  <c r="P1538" i="3"/>
  <c r="AY1538" i="3" s="1"/>
  <c r="AZ1538" i="3" s="1"/>
  <c r="AA1538" i="3"/>
  <c r="AB1538" i="3" s="1"/>
  <c r="AG1538" i="3"/>
  <c r="AH1538" i="3" s="1"/>
  <c r="AJ1538" i="3"/>
  <c r="AL1538" i="3"/>
  <c r="AN1538" i="3"/>
  <c r="AP1538" i="3"/>
  <c r="AR1538" i="3"/>
  <c r="P1539" i="3"/>
  <c r="Q1539" i="3" s="1"/>
  <c r="AA1539" i="3"/>
  <c r="AB1539" i="3" s="1"/>
  <c r="AG1539" i="3"/>
  <c r="AH1539" i="3" s="1"/>
  <c r="AJ1539" i="3"/>
  <c r="AL1539" i="3"/>
  <c r="AN1539" i="3"/>
  <c r="AP1539" i="3"/>
  <c r="AR1539" i="3"/>
  <c r="P1540" i="3"/>
  <c r="AB1540" i="3"/>
  <c r="AJ1540" i="3"/>
  <c r="AL1540" i="3"/>
  <c r="AP1540" i="3"/>
  <c r="AR1540" i="3"/>
  <c r="P1541" i="3"/>
  <c r="AA1541" i="3"/>
  <c r="AB1541" i="3" s="1"/>
  <c r="AG1541" i="3"/>
  <c r="AH1541" i="3" s="1"/>
  <c r="AJ1541" i="3"/>
  <c r="AL1541" i="3"/>
  <c r="AN1541" i="3"/>
  <c r="AP1541" i="3"/>
  <c r="AR1541" i="3"/>
  <c r="P1542" i="3"/>
  <c r="Q1542" i="3" s="1"/>
  <c r="AA1542" i="3"/>
  <c r="AB1542" i="3" s="1"/>
  <c r="AG1542" i="3"/>
  <c r="AH1542" i="3" s="1"/>
  <c r="AJ1542" i="3"/>
  <c r="AL1542" i="3"/>
  <c r="AN1542" i="3"/>
  <c r="AP1542" i="3"/>
  <c r="AR1542" i="3"/>
  <c r="P1543" i="3"/>
  <c r="T1543" i="3" s="1"/>
  <c r="AA1543" i="3"/>
  <c r="AB1543" i="3" s="1"/>
  <c r="AG1543" i="3"/>
  <c r="AH1543" i="3" s="1"/>
  <c r="AJ1543" i="3"/>
  <c r="AL1543" i="3"/>
  <c r="AN1543" i="3"/>
  <c r="AP1543" i="3"/>
  <c r="AR1543" i="3"/>
  <c r="P1544" i="3"/>
  <c r="AD1544" i="3" s="1"/>
  <c r="AA1544" i="3"/>
  <c r="AB1544" i="3" s="1"/>
  <c r="AG1544" i="3"/>
  <c r="AH1544" i="3" s="1"/>
  <c r="AJ1544" i="3"/>
  <c r="AL1544" i="3"/>
  <c r="AN1544" i="3"/>
  <c r="AP1544" i="3"/>
  <c r="AR1544" i="3"/>
  <c r="P1545" i="3"/>
  <c r="AB1545" i="3"/>
  <c r="AJ1545" i="3"/>
  <c r="AL1545" i="3"/>
  <c r="AP1545" i="3"/>
  <c r="AR1545" i="3"/>
  <c r="P1546" i="3"/>
  <c r="AA1546" i="3"/>
  <c r="AB1546" i="3" s="1"/>
  <c r="AG1546" i="3"/>
  <c r="AH1546" i="3" s="1"/>
  <c r="AJ1546" i="3"/>
  <c r="AL1546" i="3"/>
  <c r="AN1546" i="3"/>
  <c r="AP1546" i="3"/>
  <c r="AR1546" i="3"/>
  <c r="P1547" i="3"/>
  <c r="AY1547" i="3" s="1"/>
  <c r="AZ1547" i="3" s="1"/>
  <c r="AA1547" i="3"/>
  <c r="AB1547" i="3" s="1"/>
  <c r="AG1547" i="3"/>
  <c r="AH1547" i="3" s="1"/>
  <c r="AJ1547" i="3"/>
  <c r="AL1547" i="3"/>
  <c r="AN1547" i="3"/>
  <c r="AP1547" i="3"/>
  <c r="AR1547" i="3"/>
  <c r="P1548" i="3"/>
  <c r="AB1548" i="3"/>
  <c r="AG1548" i="3"/>
  <c r="AH1548" i="3" s="1"/>
  <c r="AJ1548" i="3"/>
  <c r="AP1548" i="3"/>
  <c r="AR1548" i="3"/>
  <c r="P1549" i="3"/>
  <c r="Q1549" i="3" s="1"/>
  <c r="AA1549" i="3"/>
  <c r="AB1549" i="3" s="1"/>
  <c r="AG1549" i="3"/>
  <c r="AH1549" i="3" s="1"/>
  <c r="AJ1549" i="3"/>
  <c r="AL1549" i="3"/>
  <c r="AN1549" i="3"/>
  <c r="AP1549" i="3"/>
  <c r="AR1549" i="3"/>
  <c r="P1550" i="3"/>
  <c r="AB1550" i="3"/>
  <c r="AG1550" i="3"/>
  <c r="AH1550" i="3" s="1"/>
  <c r="AJ1550" i="3"/>
  <c r="AP1550" i="3"/>
  <c r="AR1550" i="3"/>
  <c r="P1551" i="3"/>
  <c r="AB1551" i="3"/>
  <c r="AG1551" i="3"/>
  <c r="AH1551" i="3" s="1"/>
  <c r="AJ1551" i="3"/>
  <c r="AP1551" i="3"/>
  <c r="AR1551" i="3"/>
  <c r="AX1551" i="3"/>
  <c r="AZ1551" i="3"/>
  <c r="P1552" i="3"/>
  <c r="T1552" i="3" s="1"/>
  <c r="AA1552" i="3"/>
  <c r="AB1552" i="3" s="1"/>
  <c r="AG1552" i="3"/>
  <c r="AH1552" i="3" s="1"/>
  <c r="AJ1552" i="3"/>
  <c r="AL1552" i="3"/>
  <c r="AN1552" i="3"/>
  <c r="AP1552" i="3"/>
  <c r="AR1552" i="3"/>
  <c r="P1553" i="3"/>
  <c r="AD1553" i="3" s="1"/>
  <c r="AX1553" i="3" s="1"/>
  <c r="AB1553" i="3"/>
  <c r="AJ1553" i="3"/>
  <c r="AP1553" i="3"/>
  <c r="AR1553" i="3"/>
  <c r="P1554" i="3"/>
  <c r="AA1554" i="3"/>
  <c r="AB1554" i="3" s="1"/>
  <c r="AG1554" i="3"/>
  <c r="AH1554" i="3" s="1"/>
  <c r="AJ1554" i="3"/>
  <c r="AL1554" i="3"/>
  <c r="AN1554" i="3"/>
  <c r="AP1554" i="3"/>
  <c r="AR1554" i="3"/>
  <c r="P1555" i="3"/>
  <c r="AY1555" i="3" s="1"/>
  <c r="AZ1555" i="3" s="1"/>
  <c r="AA1555" i="3"/>
  <c r="AB1555" i="3" s="1"/>
  <c r="AG1555" i="3"/>
  <c r="AH1555" i="3" s="1"/>
  <c r="AJ1555" i="3"/>
  <c r="AL1555" i="3"/>
  <c r="AN1555" i="3"/>
  <c r="AP1555" i="3"/>
  <c r="AR1555" i="3"/>
  <c r="P1556" i="3"/>
  <c r="AA1556" i="3"/>
  <c r="AB1556" i="3" s="1"/>
  <c r="AG1556" i="3"/>
  <c r="AH1556" i="3" s="1"/>
  <c r="AJ1556" i="3"/>
  <c r="AL1556" i="3"/>
  <c r="AN1556" i="3"/>
  <c r="AP1556" i="3"/>
  <c r="AR1556" i="3"/>
  <c r="P1557" i="3"/>
  <c r="Q1557" i="3" s="1"/>
  <c r="AA1557" i="3"/>
  <c r="AB1557" i="3" s="1"/>
  <c r="AG1557" i="3"/>
  <c r="AH1557" i="3" s="1"/>
  <c r="AJ1557" i="3"/>
  <c r="AL1557" i="3"/>
  <c r="AN1557" i="3"/>
  <c r="AP1557" i="3"/>
  <c r="AR1557" i="3"/>
  <c r="P1558" i="3"/>
  <c r="AB1558" i="3"/>
  <c r="AJ1558" i="3"/>
  <c r="AL1558" i="3"/>
  <c r="AP1558" i="3"/>
  <c r="AR1558" i="3"/>
  <c r="P1559" i="3"/>
  <c r="Q1559" i="3" s="1"/>
  <c r="AA1559" i="3"/>
  <c r="AB1559" i="3" s="1"/>
  <c r="AG1559" i="3"/>
  <c r="AH1559" i="3" s="1"/>
  <c r="AJ1559" i="3"/>
  <c r="AL1559" i="3"/>
  <c r="AN1559" i="3"/>
  <c r="AP1559" i="3"/>
  <c r="AR1559" i="3"/>
  <c r="P1560" i="3"/>
  <c r="AY1560" i="3" s="1"/>
  <c r="AZ1560" i="3" s="1"/>
  <c r="AA1560" i="3"/>
  <c r="AB1560" i="3" s="1"/>
  <c r="AG1560" i="3"/>
  <c r="AH1560" i="3" s="1"/>
  <c r="AJ1560" i="3"/>
  <c r="AL1560" i="3"/>
  <c r="AN1560" i="3"/>
  <c r="AP1560" i="3"/>
  <c r="AR1560" i="3"/>
  <c r="P1561" i="3"/>
  <c r="T1561" i="3" s="1"/>
  <c r="AA1561" i="3"/>
  <c r="AB1561" i="3" s="1"/>
  <c r="AG1561" i="3"/>
  <c r="AH1561" i="3"/>
  <c r="AJ1561" i="3"/>
  <c r="AL1561" i="3"/>
  <c r="AN1561" i="3"/>
  <c r="AP1561" i="3"/>
  <c r="AR1561" i="3"/>
  <c r="P1562" i="3"/>
  <c r="AA1562" i="3"/>
  <c r="AB1562" i="3" s="1"/>
  <c r="AG1562" i="3"/>
  <c r="AH1562" i="3" s="1"/>
  <c r="AJ1562" i="3"/>
  <c r="AL1562" i="3"/>
  <c r="AN1562" i="3"/>
  <c r="AP1562" i="3"/>
  <c r="AR1562" i="3"/>
  <c r="P1563" i="3"/>
  <c r="AY1563" i="3" s="1"/>
  <c r="AZ1563" i="3" s="1"/>
  <c r="AA1563" i="3"/>
  <c r="AB1563" i="3" s="1"/>
  <c r="AG1563" i="3"/>
  <c r="AH1563" i="3" s="1"/>
  <c r="AJ1563" i="3"/>
  <c r="AL1563" i="3"/>
  <c r="AN1563" i="3"/>
  <c r="AP1563" i="3"/>
  <c r="AR1563" i="3"/>
  <c r="P1564" i="3"/>
  <c r="AA1564" i="3"/>
  <c r="AB1564" i="3" s="1"/>
  <c r="AG1564" i="3"/>
  <c r="AH1564" i="3" s="1"/>
  <c r="AJ1564" i="3"/>
  <c r="AL1564" i="3"/>
  <c r="AN1564" i="3"/>
  <c r="AP1564" i="3"/>
  <c r="AR1564" i="3"/>
  <c r="P1565" i="3"/>
  <c r="Q1565" i="3" s="1"/>
  <c r="AA1565" i="3"/>
  <c r="AB1565" i="3" s="1"/>
  <c r="AG1565" i="3"/>
  <c r="AH1565" i="3" s="1"/>
  <c r="AJ1565" i="3"/>
  <c r="AL1565" i="3"/>
  <c r="AN1565" i="3"/>
  <c r="AP1565" i="3"/>
  <c r="AR1565" i="3"/>
  <c r="P1566" i="3"/>
  <c r="Q1566" i="3" s="1"/>
  <c r="AA1566" i="3"/>
  <c r="AB1566" i="3" s="1"/>
  <c r="AG1566" i="3"/>
  <c r="AH1566" i="3" s="1"/>
  <c r="AJ1566" i="3"/>
  <c r="AL1566" i="3"/>
  <c r="AN1566" i="3"/>
  <c r="AP1566" i="3"/>
  <c r="AR1566" i="3"/>
  <c r="P1567" i="3"/>
  <c r="Q1567" i="3" s="1"/>
  <c r="AA1567" i="3"/>
  <c r="AB1567" i="3" s="1"/>
  <c r="AG1567" i="3"/>
  <c r="AH1567" i="3" s="1"/>
  <c r="AJ1567" i="3"/>
  <c r="AL1567" i="3"/>
  <c r="AN1567" i="3"/>
  <c r="AP1567" i="3"/>
  <c r="AR1567" i="3"/>
  <c r="P1568" i="3"/>
  <c r="AD1568" i="3" s="1"/>
  <c r="AA1568" i="3"/>
  <c r="AB1568" i="3" s="1"/>
  <c r="AG1568" i="3"/>
  <c r="AH1568" i="3" s="1"/>
  <c r="AJ1568" i="3"/>
  <c r="AL1568" i="3"/>
  <c r="AN1568" i="3"/>
  <c r="AP1568" i="3"/>
  <c r="AR1568" i="3"/>
  <c r="P1569" i="3"/>
  <c r="Q1569" i="3" s="1"/>
  <c r="AA1569" i="3"/>
  <c r="AB1569" i="3" s="1"/>
  <c r="AG1569" i="3"/>
  <c r="AH1569" i="3" s="1"/>
  <c r="AJ1569" i="3"/>
  <c r="AL1569" i="3"/>
  <c r="AN1569" i="3"/>
  <c r="AP1569" i="3"/>
  <c r="AR1569" i="3"/>
  <c r="P1570" i="3"/>
  <c r="Q1570" i="3" s="1"/>
  <c r="AA1570" i="3"/>
  <c r="AB1570" i="3" s="1"/>
  <c r="AG1570" i="3"/>
  <c r="AH1570" i="3" s="1"/>
  <c r="AJ1570" i="3"/>
  <c r="AL1570" i="3"/>
  <c r="AN1570" i="3"/>
  <c r="AP1570" i="3"/>
  <c r="AR1570" i="3"/>
  <c r="P1571" i="3"/>
  <c r="Q1571" i="3" s="1"/>
  <c r="AA1571" i="3"/>
  <c r="AB1571" i="3" s="1"/>
  <c r="AG1571" i="3"/>
  <c r="AH1571" i="3" s="1"/>
  <c r="AJ1571" i="3"/>
  <c r="AL1571" i="3"/>
  <c r="AN1571" i="3"/>
  <c r="AP1571" i="3"/>
  <c r="AR1571" i="3"/>
  <c r="P1572" i="3"/>
  <c r="T1572" i="3" s="1"/>
  <c r="AA1572" i="3"/>
  <c r="AB1572" i="3" s="1"/>
  <c r="AG1572" i="3"/>
  <c r="AH1572" i="3" s="1"/>
  <c r="AJ1572" i="3"/>
  <c r="AL1572" i="3"/>
  <c r="AN1572" i="3"/>
  <c r="AP1572" i="3"/>
  <c r="AR1572" i="3"/>
  <c r="P1573" i="3"/>
  <c r="Q1573" i="3" s="1"/>
  <c r="AA1573" i="3"/>
  <c r="AB1573" i="3" s="1"/>
  <c r="AG1573" i="3"/>
  <c r="AH1573" i="3" s="1"/>
  <c r="AJ1573" i="3"/>
  <c r="AL1573" i="3"/>
  <c r="AN1573" i="3"/>
  <c r="AP1573" i="3"/>
  <c r="AR1573" i="3"/>
  <c r="P1574" i="3"/>
  <c r="Q1574" i="3" s="1"/>
  <c r="AA1574" i="3"/>
  <c r="AB1574" i="3" s="1"/>
  <c r="AG1574" i="3"/>
  <c r="AH1574" i="3" s="1"/>
  <c r="AJ1574" i="3"/>
  <c r="AL1574" i="3"/>
  <c r="AN1574" i="3"/>
  <c r="AP1574" i="3"/>
  <c r="AR1574" i="3"/>
  <c r="P1575" i="3"/>
  <c r="Q1575" i="3" s="1"/>
  <c r="AA1575" i="3"/>
  <c r="AB1575" i="3" s="1"/>
  <c r="AG1575" i="3"/>
  <c r="AH1575" i="3" s="1"/>
  <c r="AJ1575" i="3"/>
  <c r="AL1575" i="3"/>
  <c r="AN1575" i="3"/>
  <c r="AP1575" i="3"/>
  <c r="AR1575" i="3"/>
  <c r="P1576" i="3"/>
  <c r="Q1576" i="3" s="1"/>
  <c r="AA1576" i="3"/>
  <c r="AB1576" i="3" s="1"/>
  <c r="AG1576" i="3"/>
  <c r="AH1576" i="3" s="1"/>
  <c r="AJ1576" i="3"/>
  <c r="AL1576" i="3"/>
  <c r="AN1576" i="3"/>
  <c r="AP1576" i="3"/>
  <c r="AR1576" i="3"/>
  <c r="P1577" i="3"/>
  <c r="T1577" i="3" s="1"/>
  <c r="AA1577" i="3"/>
  <c r="AB1577" i="3" s="1"/>
  <c r="AG1577" i="3"/>
  <c r="AH1577" i="3" s="1"/>
  <c r="AJ1577" i="3"/>
  <c r="AL1577" i="3"/>
  <c r="AN1577" i="3"/>
  <c r="AP1577" i="3"/>
  <c r="AR1577" i="3"/>
  <c r="P1578" i="3"/>
  <c r="AY1578" i="3" s="1"/>
  <c r="AZ1578" i="3" s="1"/>
  <c r="AA1578" i="3"/>
  <c r="AB1578" i="3" s="1"/>
  <c r="AG1578" i="3"/>
  <c r="AH1578" i="3" s="1"/>
  <c r="AJ1578" i="3"/>
  <c r="AL1578" i="3"/>
  <c r="AN1578" i="3"/>
  <c r="AP1578" i="3"/>
  <c r="AR1578" i="3"/>
  <c r="P1579" i="3"/>
  <c r="AD1579" i="3" s="1"/>
  <c r="AA1579" i="3"/>
  <c r="AB1579" i="3" s="1"/>
  <c r="AG1579" i="3"/>
  <c r="AH1579" i="3" s="1"/>
  <c r="AJ1579" i="3"/>
  <c r="AL1579" i="3"/>
  <c r="AN1579" i="3"/>
  <c r="AP1579" i="3"/>
  <c r="AR1579" i="3"/>
  <c r="P1580" i="3"/>
  <c r="T1580" i="3" s="1"/>
  <c r="AA1580" i="3"/>
  <c r="AB1580" i="3" s="1"/>
  <c r="AG1580" i="3"/>
  <c r="AH1580" i="3" s="1"/>
  <c r="AJ1580" i="3"/>
  <c r="AL1580" i="3"/>
  <c r="AN1580" i="3"/>
  <c r="AP1580" i="3"/>
  <c r="AR1580" i="3"/>
  <c r="P1581" i="3"/>
  <c r="T1581" i="3" s="1"/>
  <c r="AA1581" i="3"/>
  <c r="AB1581" i="3" s="1"/>
  <c r="AG1581" i="3"/>
  <c r="AH1581" i="3" s="1"/>
  <c r="AJ1581" i="3"/>
  <c r="AL1581" i="3"/>
  <c r="AN1581" i="3"/>
  <c r="AP1581" i="3"/>
  <c r="AR1581" i="3"/>
  <c r="P1582" i="3"/>
  <c r="AW1582" i="3" s="1"/>
  <c r="AX1582" i="3" s="1"/>
  <c r="AA1582" i="3"/>
  <c r="AB1582" i="3" s="1"/>
  <c r="AG1582" i="3"/>
  <c r="AH1582" i="3" s="1"/>
  <c r="AJ1582" i="3"/>
  <c r="AL1582" i="3"/>
  <c r="AN1582" i="3"/>
  <c r="AP1582" i="3"/>
  <c r="AR1582" i="3"/>
  <c r="P1583" i="3"/>
  <c r="T1583" i="3" s="1"/>
  <c r="AA1583" i="3"/>
  <c r="AB1583" i="3" s="1"/>
  <c r="AG1583" i="3"/>
  <c r="AH1583" i="3" s="1"/>
  <c r="AJ1583" i="3"/>
  <c r="AL1583" i="3"/>
  <c r="AN1583" i="3"/>
  <c r="AP1583" i="3"/>
  <c r="AR1583" i="3"/>
  <c r="P1584" i="3"/>
  <c r="T1584" i="3" s="1"/>
  <c r="AA1584" i="3"/>
  <c r="AB1584" i="3" s="1"/>
  <c r="AG1584" i="3"/>
  <c r="AH1584" i="3" s="1"/>
  <c r="AJ1584" i="3"/>
  <c r="AL1584" i="3"/>
  <c r="AN1584" i="3"/>
  <c r="AP1584" i="3"/>
  <c r="AR1584" i="3"/>
  <c r="P1585" i="3"/>
  <c r="Q1585" i="3" s="1"/>
  <c r="AA1585" i="3"/>
  <c r="AB1585" i="3" s="1"/>
  <c r="AG1585" i="3"/>
  <c r="AH1585" i="3" s="1"/>
  <c r="AJ1585" i="3"/>
  <c r="AL1585" i="3"/>
  <c r="AN1585" i="3"/>
  <c r="AP1585" i="3"/>
  <c r="AR1585" i="3"/>
  <c r="P1586" i="3"/>
  <c r="T1586" i="3" s="1"/>
  <c r="AA1586" i="3"/>
  <c r="AB1586" i="3" s="1"/>
  <c r="AG1586" i="3"/>
  <c r="AH1586" i="3" s="1"/>
  <c r="AJ1586" i="3"/>
  <c r="AL1586" i="3"/>
  <c r="AN1586" i="3"/>
  <c r="AP1586" i="3"/>
  <c r="AR1586" i="3"/>
  <c r="P1587" i="3"/>
  <c r="AW1587" i="3" s="1"/>
  <c r="AX1587" i="3" s="1"/>
  <c r="AA1587" i="3"/>
  <c r="AB1587" i="3" s="1"/>
  <c r="AG1587" i="3"/>
  <c r="AH1587" i="3" s="1"/>
  <c r="AJ1587" i="3"/>
  <c r="AL1587" i="3"/>
  <c r="AN1587" i="3"/>
  <c r="AP1587" i="3"/>
  <c r="AR1587" i="3"/>
  <c r="P1588" i="3"/>
  <c r="T1588" i="3" s="1"/>
  <c r="AA1588" i="3"/>
  <c r="AB1588" i="3" s="1"/>
  <c r="AG1588" i="3"/>
  <c r="AH1588" i="3" s="1"/>
  <c r="AJ1588" i="3"/>
  <c r="AL1588" i="3"/>
  <c r="AN1588" i="3"/>
  <c r="AP1588" i="3"/>
  <c r="AR1588" i="3"/>
  <c r="P1589" i="3"/>
  <c r="AY1589" i="3" s="1"/>
  <c r="AZ1589" i="3" s="1"/>
  <c r="AA1589" i="3"/>
  <c r="AB1589" i="3" s="1"/>
  <c r="AG1589" i="3"/>
  <c r="AH1589" i="3" s="1"/>
  <c r="AJ1589" i="3"/>
  <c r="AL1589" i="3"/>
  <c r="AN1589" i="3"/>
  <c r="AP1589" i="3"/>
  <c r="AR1589" i="3"/>
  <c r="P1590" i="3"/>
  <c r="T1590" i="3" s="1"/>
  <c r="AA1590" i="3"/>
  <c r="AB1590" i="3" s="1"/>
  <c r="AG1590" i="3"/>
  <c r="AH1590" i="3" s="1"/>
  <c r="AJ1590" i="3"/>
  <c r="AL1590" i="3"/>
  <c r="AN1590" i="3"/>
  <c r="AP1590" i="3"/>
  <c r="AR1590" i="3"/>
  <c r="P1591" i="3"/>
  <c r="T1591" i="3" s="1"/>
  <c r="AA1591" i="3"/>
  <c r="AB1591" i="3" s="1"/>
  <c r="AG1591" i="3"/>
  <c r="AH1591" i="3" s="1"/>
  <c r="AJ1591" i="3"/>
  <c r="AL1591" i="3"/>
  <c r="AN1591" i="3"/>
  <c r="AP1591" i="3"/>
  <c r="AR1591" i="3"/>
  <c r="P1592" i="3"/>
  <c r="AY1592" i="3" s="1"/>
  <c r="AZ1592" i="3" s="1"/>
  <c r="AA1592" i="3"/>
  <c r="AB1592" i="3" s="1"/>
  <c r="AG1592" i="3"/>
  <c r="AH1592" i="3" s="1"/>
  <c r="AJ1592" i="3"/>
  <c r="AL1592" i="3"/>
  <c r="AN1592" i="3"/>
  <c r="AP1592" i="3"/>
  <c r="AR1592" i="3"/>
  <c r="P1593" i="3"/>
  <c r="Q1593" i="3" s="1"/>
  <c r="AA1593" i="3"/>
  <c r="AB1593" i="3" s="1"/>
  <c r="AG1593" i="3"/>
  <c r="AH1593" i="3" s="1"/>
  <c r="AJ1593" i="3"/>
  <c r="AL1593" i="3"/>
  <c r="AN1593" i="3"/>
  <c r="AP1593" i="3"/>
  <c r="AR1593" i="3"/>
  <c r="P1594" i="3"/>
  <c r="Q1594" i="3" s="1"/>
  <c r="AA1594" i="3"/>
  <c r="AB1594" i="3" s="1"/>
  <c r="AG1594" i="3"/>
  <c r="AH1594" i="3" s="1"/>
  <c r="AJ1594" i="3"/>
  <c r="AL1594" i="3"/>
  <c r="AN1594" i="3"/>
  <c r="AP1594" i="3"/>
  <c r="AR1594" i="3"/>
  <c r="P1595" i="3"/>
  <c r="T1595" i="3" s="1"/>
  <c r="AA1595" i="3"/>
  <c r="AB1595" i="3" s="1"/>
  <c r="AG1595" i="3"/>
  <c r="AH1595" i="3" s="1"/>
  <c r="AJ1595" i="3"/>
  <c r="AL1595" i="3"/>
  <c r="AN1595" i="3"/>
  <c r="AP1595" i="3"/>
  <c r="AR1595" i="3"/>
  <c r="P1596" i="3"/>
  <c r="AY1596" i="3" s="1"/>
  <c r="AZ1596" i="3" s="1"/>
  <c r="AA1596" i="3"/>
  <c r="AB1596" i="3" s="1"/>
  <c r="AG1596" i="3"/>
  <c r="AH1596" i="3" s="1"/>
  <c r="AJ1596" i="3"/>
  <c r="AL1596" i="3"/>
  <c r="AN1596" i="3"/>
  <c r="AP1596" i="3"/>
  <c r="AR1596" i="3"/>
  <c r="P1443" i="3"/>
  <c r="T1443" i="3" s="1"/>
  <c r="AA1443" i="3"/>
  <c r="AB1443" i="3" s="1"/>
  <c r="AG1443" i="3"/>
  <c r="AH1443" i="3" s="1"/>
  <c r="AJ1443" i="3"/>
  <c r="AL1443" i="3"/>
  <c r="AN1443" i="3"/>
  <c r="AP1443" i="3"/>
  <c r="AR1443" i="3"/>
  <c r="P1444" i="3"/>
  <c r="AA1444" i="3"/>
  <c r="AB1444" i="3" s="1"/>
  <c r="AG1444" i="3"/>
  <c r="AH1444" i="3" s="1"/>
  <c r="AJ1444" i="3"/>
  <c r="AL1444" i="3"/>
  <c r="AN1444" i="3"/>
  <c r="AP1444" i="3"/>
  <c r="AR1444" i="3"/>
  <c r="P1445" i="3"/>
  <c r="AD1445" i="3" s="1"/>
  <c r="AA1445" i="3"/>
  <c r="AB1445" i="3" s="1"/>
  <c r="AG1445" i="3"/>
  <c r="AH1445" i="3" s="1"/>
  <c r="AJ1445" i="3"/>
  <c r="AL1445" i="3"/>
  <c r="AN1445" i="3"/>
  <c r="AP1445" i="3"/>
  <c r="AR1445" i="3"/>
  <c r="P1446" i="3"/>
  <c r="AA1446" i="3"/>
  <c r="AB1446" i="3" s="1"/>
  <c r="AG1446" i="3"/>
  <c r="AH1446" i="3" s="1"/>
  <c r="AJ1446" i="3"/>
  <c r="AL1446" i="3"/>
  <c r="AN1446" i="3"/>
  <c r="AP1446" i="3"/>
  <c r="AR1446" i="3"/>
  <c r="P1447" i="3"/>
  <c r="Q1447" i="3" s="1"/>
  <c r="AA1447" i="3"/>
  <c r="AB1447" i="3" s="1"/>
  <c r="AG1447" i="3"/>
  <c r="AH1447" i="3" s="1"/>
  <c r="AJ1447" i="3"/>
  <c r="AL1447" i="3"/>
  <c r="AN1447" i="3"/>
  <c r="AP1447" i="3"/>
  <c r="AR1447" i="3"/>
  <c r="P1448" i="3"/>
  <c r="T1448" i="3" s="1"/>
  <c r="AA1448" i="3"/>
  <c r="AB1448" i="3" s="1"/>
  <c r="AG1448" i="3"/>
  <c r="AH1448" i="3" s="1"/>
  <c r="AJ1448" i="3"/>
  <c r="AL1448" i="3"/>
  <c r="AN1448" i="3"/>
  <c r="AP1448" i="3"/>
  <c r="AR1448" i="3"/>
  <c r="P1449" i="3"/>
  <c r="Q1449" i="3" s="1"/>
  <c r="AA1449" i="3"/>
  <c r="AB1449" i="3" s="1"/>
  <c r="AG1449" i="3"/>
  <c r="AH1449" i="3" s="1"/>
  <c r="AJ1449" i="3"/>
  <c r="AL1449" i="3"/>
  <c r="AN1449" i="3"/>
  <c r="AP1449" i="3"/>
  <c r="AR1449" i="3"/>
  <c r="P1450" i="3"/>
  <c r="AY1450" i="3" s="1"/>
  <c r="AZ1450" i="3" s="1"/>
  <c r="AA1450" i="3"/>
  <c r="AB1450" i="3" s="1"/>
  <c r="AG1450" i="3"/>
  <c r="AH1450" i="3" s="1"/>
  <c r="AJ1450" i="3"/>
  <c r="AL1450" i="3"/>
  <c r="AN1450" i="3"/>
  <c r="AP1450" i="3"/>
  <c r="AR1450" i="3"/>
  <c r="P1451" i="3"/>
  <c r="T1451" i="3" s="1"/>
  <c r="AA1451" i="3"/>
  <c r="AB1451" i="3" s="1"/>
  <c r="AG1451" i="3"/>
  <c r="AH1451" i="3" s="1"/>
  <c r="AJ1451" i="3"/>
  <c r="AL1451" i="3"/>
  <c r="AN1451" i="3"/>
  <c r="AP1451" i="3"/>
  <c r="AR1451" i="3"/>
  <c r="P1452" i="3"/>
  <c r="T1452" i="3" s="1"/>
  <c r="AA1452" i="3"/>
  <c r="AB1452" i="3" s="1"/>
  <c r="AG1452" i="3"/>
  <c r="AH1452" i="3" s="1"/>
  <c r="AJ1452" i="3"/>
  <c r="AL1452" i="3"/>
  <c r="AN1452" i="3"/>
  <c r="AP1452" i="3"/>
  <c r="AR1452" i="3"/>
  <c r="P1453" i="3"/>
  <c r="AD1453" i="3" s="1"/>
  <c r="AA1453" i="3"/>
  <c r="AB1453" i="3" s="1"/>
  <c r="AG1453" i="3"/>
  <c r="AH1453" i="3" s="1"/>
  <c r="AJ1453" i="3"/>
  <c r="AL1453" i="3"/>
  <c r="AN1453" i="3"/>
  <c r="AP1453" i="3"/>
  <c r="AR1453" i="3"/>
  <c r="P1454" i="3"/>
  <c r="AB1454" i="3"/>
  <c r="AG1454" i="3"/>
  <c r="AH1454" i="3" s="1"/>
  <c r="AJ1454" i="3"/>
  <c r="AP1454" i="3"/>
  <c r="AR1454" i="3"/>
  <c r="P1455" i="3"/>
  <c r="Q1455" i="3" s="1"/>
  <c r="AA1455" i="3"/>
  <c r="AB1455" i="3" s="1"/>
  <c r="AG1455" i="3"/>
  <c r="AH1455" i="3" s="1"/>
  <c r="AJ1455" i="3"/>
  <c r="AL1455" i="3"/>
  <c r="AN1455" i="3"/>
  <c r="AP1455" i="3"/>
  <c r="AR1455" i="3"/>
  <c r="P1456" i="3"/>
  <c r="T1456" i="3" s="1"/>
  <c r="AA1456" i="3"/>
  <c r="AB1456" i="3" s="1"/>
  <c r="AG1456" i="3"/>
  <c r="AH1456" i="3" s="1"/>
  <c r="AJ1456" i="3"/>
  <c r="AL1456" i="3"/>
  <c r="AN1456" i="3"/>
  <c r="AP1456" i="3"/>
  <c r="AR1456" i="3"/>
  <c r="AY1456" i="3"/>
  <c r="AZ1456" i="3" s="1"/>
  <c r="P1457" i="3"/>
  <c r="Q1457" i="3" s="1"/>
  <c r="AA1457" i="3"/>
  <c r="AB1457" i="3" s="1"/>
  <c r="AG1457" i="3"/>
  <c r="AH1457" i="3" s="1"/>
  <c r="AJ1457" i="3"/>
  <c r="AL1457" i="3"/>
  <c r="AN1457" i="3"/>
  <c r="AP1457" i="3"/>
  <c r="AR1457" i="3"/>
  <c r="P1458" i="3"/>
  <c r="AY1458" i="3" s="1"/>
  <c r="AZ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T1460" i="3" s="1"/>
  <c r="AA1460" i="3"/>
  <c r="AB1460" i="3" s="1"/>
  <c r="AG1460" i="3"/>
  <c r="AH1460" i="3" s="1"/>
  <c r="AJ1460" i="3"/>
  <c r="AL1460" i="3"/>
  <c r="AN1460" i="3"/>
  <c r="AP1460" i="3"/>
  <c r="AR1460" i="3"/>
  <c r="P1461" i="3"/>
  <c r="AD1461" i="3" s="1"/>
  <c r="AA1461" i="3"/>
  <c r="AB1461" i="3"/>
  <c r="AG1461" i="3"/>
  <c r="AH1461" i="3" s="1"/>
  <c r="AJ1461" i="3"/>
  <c r="AL1461" i="3"/>
  <c r="AN1461" i="3"/>
  <c r="AP1461" i="3"/>
  <c r="AR1461" i="3"/>
  <c r="P1462" i="3"/>
  <c r="AA1462" i="3"/>
  <c r="AB1462" i="3" s="1"/>
  <c r="AG1462" i="3"/>
  <c r="AH1462" i="3" s="1"/>
  <c r="AJ1462" i="3"/>
  <c r="AL1462" i="3"/>
  <c r="AN1462" i="3"/>
  <c r="AP1462" i="3"/>
  <c r="AR1462" i="3"/>
  <c r="P1463" i="3"/>
  <c r="Q1463" i="3" s="1"/>
  <c r="AA1463" i="3"/>
  <c r="AB1463" i="3" s="1"/>
  <c r="AG1463" i="3"/>
  <c r="AH1463" i="3" s="1"/>
  <c r="AJ1463" i="3"/>
  <c r="AL1463" i="3"/>
  <c r="AN1463" i="3"/>
  <c r="AP1463" i="3"/>
  <c r="AR1463" i="3"/>
  <c r="P1464" i="3"/>
  <c r="T1464" i="3" s="1"/>
  <c r="AA1464" i="3"/>
  <c r="AB1464" i="3" s="1"/>
  <c r="AG1464" i="3"/>
  <c r="AH1464" i="3" s="1"/>
  <c r="AJ1464" i="3"/>
  <c r="AL1464" i="3"/>
  <c r="AN1464" i="3"/>
  <c r="AP1464" i="3"/>
  <c r="AR1464" i="3"/>
  <c r="P1465" i="3"/>
  <c r="T1465" i="3" s="1"/>
  <c r="AA1465" i="3"/>
  <c r="AB1465" i="3" s="1"/>
  <c r="AG1465" i="3"/>
  <c r="AH1465" i="3" s="1"/>
  <c r="AJ1465" i="3"/>
  <c r="AL1465" i="3"/>
  <c r="AN1465" i="3"/>
  <c r="AP1465" i="3"/>
  <c r="AR1465" i="3"/>
  <c r="P1466" i="3"/>
  <c r="AY1466" i="3" s="1"/>
  <c r="AZ1466" i="3" s="1"/>
  <c r="AA1466" i="3"/>
  <c r="AB1466" i="3" s="1"/>
  <c r="AG1466" i="3"/>
  <c r="AH1466" i="3" s="1"/>
  <c r="AJ1466" i="3"/>
  <c r="AL1466" i="3"/>
  <c r="AN1466" i="3"/>
  <c r="AP1466" i="3"/>
  <c r="AR1466" i="3"/>
  <c r="P1467" i="3"/>
  <c r="AD1467" i="3" s="1"/>
  <c r="AX1467" i="3" s="1"/>
  <c r="AB1467" i="3"/>
  <c r="AG1467" i="3"/>
  <c r="AH1467" i="3" s="1"/>
  <c r="AJ1467" i="3"/>
  <c r="AP1467" i="3"/>
  <c r="AR1467" i="3"/>
  <c r="P1468" i="3"/>
  <c r="AY1468" i="3" s="1"/>
  <c r="AZ1468" i="3" s="1"/>
  <c r="AA1468" i="3"/>
  <c r="AB1468" i="3" s="1"/>
  <c r="AG1468" i="3"/>
  <c r="AH1468" i="3" s="1"/>
  <c r="AJ1468" i="3"/>
  <c r="AL1468" i="3"/>
  <c r="AN1468" i="3"/>
  <c r="AP1468" i="3"/>
  <c r="AR1468" i="3"/>
  <c r="P1469" i="3"/>
  <c r="Q1469" i="3" s="1"/>
  <c r="AA1469" i="3"/>
  <c r="AB1469" i="3" s="1"/>
  <c r="AG1469" i="3"/>
  <c r="AH1469" i="3" s="1"/>
  <c r="AJ1469" i="3"/>
  <c r="AL1469" i="3"/>
  <c r="AN1469" i="3"/>
  <c r="AP1469" i="3"/>
  <c r="AR1469" i="3"/>
  <c r="P1470" i="3"/>
  <c r="T1470" i="3" s="1"/>
  <c r="AA1470" i="3"/>
  <c r="AB1470" i="3" s="1"/>
  <c r="AG1470" i="3"/>
  <c r="AH1470" i="3" s="1"/>
  <c r="AJ1470" i="3"/>
  <c r="AL1470" i="3"/>
  <c r="AN1470" i="3"/>
  <c r="AP1470" i="3"/>
  <c r="AR1470" i="3"/>
  <c r="P1471" i="3"/>
  <c r="AA1471" i="3"/>
  <c r="AB1471" i="3" s="1"/>
  <c r="AG1471" i="3"/>
  <c r="AH1471" i="3" s="1"/>
  <c r="AJ1471" i="3"/>
  <c r="AL1471" i="3"/>
  <c r="AN1471" i="3"/>
  <c r="AP1471" i="3"/>
  <c r="AR1471" i="3"/>
  <c r="P1472" i="3"/>
  <c r="AY1472" i="3" s="1"/>
  <c r="AZ1472" i="3" s="1"/>
  <c r="AA1472" i="3"/>
  <c r="AB1472" i="3" s="1"/>
  <c r="AG1472" i="3"/>
  <c r="AH1472" i="3" s="1"/>
  <c r="AJ1472" i="3"/>
  <c r="AL1472" i="3"/>
  <c r="AN1472" i="3"/>
  <c r="AP1472" i="3"/>
  <c r="AR1472" i="3"/>
  <c r="P1473" i="3"/>
  <c r="AY1473" i="3" s="1"/>
  <c r="AZ1473" i="3" s="1"/>
  <c r="AA1473" i="3"/>
  <c r="AB1473" i="3" s="1"/>
  <c r="AG1473" i="3"/>
  <c r="AH1473" i="3" s="1"/>
  <c r="AJ1473" i="3"/>
  <c r="AL1473" i="3"/>
  <c r="AN1473" i="3"/>
  <c r="AP1473" i="3"/>
  <c r="AR1473" i="3"/>
  <c r="P1474" i="3"/>
  <c r="AD1474" i="3" s="1"/>
  <c r="AB1474" i="3"/>
  <c r="AG1474" i="3"/>
  <c r="AH1474" i="3" s="1"/>
  <c r="AJ1474" i="3"/>
  <c r="AL1474" i="3"/>
  <c r="AN1474" i="3"/>
  <c r="AP1474" i="3"/>
  <c r="AR1474" i="3"/>
  <c r="P1475" i="3"/>
  <c r="AB1475" i="3"/>
  <c r="AJ1475" i="3"/>
  <c r="AL1475" i="3"/>
  <c r="AP1475" i="3"/>
  <c r="AR1475" i="3"/>
  <c r="P1476" i="3"/>
  <c r="AY1476" i="3" s="1"/>
  <c r="AZ1476" i="3" s="1"/>
  <c r="AA1476" i="3"/>
  <c r="AB1476" i="3" s="1"/>
  <c r="AG1476" i="3"/>
  <c r="AH1476" i="3" s="1"/>
  <c r="AJ1476" i="3"/>
  <c r="AL1476" i="3"/>
  <c r="AN1476" i="3"/>
  <c r="AP1476" i="3"/>
  <c r="AR1476" i="3"/>
  <c r="P1477" i="3"/>
  <c r="AW1477" i="3" s="1"/>
  <c r="AX1477" i="3" s="1"/>
  <c r="AA1477" i="3"/>
  <c r="AB1477" i="3" s="1"/>
  <c r="AG1477" i="3"/>
  <c r="AH1477" i="3" s="1"/>
  <c r="AJ1477" i="3"/>
  <c r="AL1477" i="3"/>
  <c r="AN1477" i="3"/>
  <c r="AP1477" i="3"/>
  <c r="AR1477" i="3"/>
  <c r="P1478" i="3"/>
  <c r="T1478" i="3" s="1"/>
  <c r="AA1478" i="3"/>
  <c r="AB1478" i="3" s="1"/>
  <c r="AG1478" i="3"/>
  <c r="AH1478" i="3" s="1"/>
  <c r="AJ1478" i="3"/>
  <c r="AL1478" i="3"/>
  <c r="AN1478" i="3"/>
  <c r="AP1478" i="3"/>
  <c r="AR1478" i="3"/>
  <c r="P1479" i="3"/>
  <c r="AB1479" i="3"/>
  <c r="AJ1479" i="3"/>
  <c r="AL1479" i="3"/>
  <c r="AN1479" i="3"/>
  <c r="AP1479" i="3"/>
  <c r="AR1479" i="3"/>
  <c r="P1480" i="3"/>
  <c r="AY1480" i="3" s="1"/>
  <c r="AZ1480" i="3" s="1"/>
  <c r="AA1480" i="3"/>
  <c r="AB1480" i="3" s="1"/>
  <c r="AG1480" i="3"/>
  <c r="AH1480" i="3" s="1"/>
  <c r="AJ1480" i="3"/>
  <c r="AL1480" i="3"/>
  <c r="AN1480" i="3"/>
  <c r="AP1480" i="3"/>
  <c r="AR1480" i="3"/>
  <c r="P1481" i="3"/>
  <c r="AB1481" i="3"/>
  <c r="AG1481" i="3"/>
  <c r="AH1481" i="3" s="1"/>
  <c r="AJ1481" i="3"/>
  <c r="AP1481" i="3"/>
  <c r="AR1481" i="3"/>
  <c r="P1482" i="3"/>
  <c r="AY1482" i="3" s="1"/>
  <c r="AZ1482" i="3" s="1"/>
  <c r="AA1482" i="3"/>
  <c r="AB1482" i="3" s="1"/>
  <c r="AG1482" i="3"/>
  <c r="AH1482" i="3" s="1"/>
  <c r="AJ1482" i="3"/>
  <c r="AL1482" i="3"/>
  <c r="AN1482" i="3"/>
  <c r="AP1482" i="3"/>
  <c r="AR1482" i="3"/>
  <c r="P1483" i="3"/>
  <c r="Q1483" i="3" s="1"/>
  <c r="AA1483" i="3"/>
  <c r="AB1483" i="3" s="1"/>
  <c r="AG1483" i="3"/>
  <c r="AH1483" i="3" s="1"/>
  <c r="AJ1483" i="3"/>
  <c r="AL1483" i="3"/>
  <c r="AN1483" i="3"/>
  <c r="AP1483" i="3"/>
  <c r="AR1483" i="3"/>
  <c r="P1484" i="3"/>
  <c r="AY1484" i="3" s="1"/>
  <c r="AZ1484" i="3" s="1"/>
  <c r="AA1484" i="3"/>
  <c r="AB1484" i="3" s="1"/>
  <c r="AG1484" i="3"/>
  <c r="AH1484" i="3" s="1"/>
  <c r="AJ1484" i="3"/>
  <c r="AL1484" i="3"/>
  <c r="AN1484" i="3"/>
  <c r="AP1484" i="3"/>
  <c r="AR1484" i="3"/>
  <c r="P1485" i="3"/>
  <c r="Q1485" i="3" s="1"/>
  <c r="AA1485" i="3"/>
  <c r="AB1485" i="3" s="1"/>
  <c r="AG1485" i="3"/>
  <c r="AH1485" i="3" s="1"/>
  <c r="AJ1485" i="3"/>
  <c r="AL1485" i="3"/>
  <c r="AN1485" i="3"/>
  <c r="AP1485" i="3"/>
  <c r="AR1485" i="3"/>
  <c r="P1486" i="3"/>
  <c r="AD1486" i="3" s="1"/>
  <c r="AA1486" i="3"/>
  <c r="AB1486" i="3" s="1"/>
  <c r="AG1486" i="3"/>
  <c r="AH1486" i="3" s="1"/>
  <c r="AJ1486" i="3"/>
  <c r="AL1486" i="3"/>
  <c r="AN1486" i="3"/>
  <c r="AP1486" i="3"/>
  <c r="AR1486" i="3"/>
  <c r="P1487" i="3"/>
  <c r="AY1487" i="3" s="1"/>
  <c r="AZ1487" i="3" s="1"/>
  <c r="AA1487" i="3"/>
  <c r="AB1487" i="3" s="1"/>
  <c r="AG1487" i="3"/>
  <c r="AH1487" i="3" s="1"/>
  <c r="AJ1487" i="3"/>
  <c r="AL1487" i="3"/>
  <c r="AN1487" i="3"/>
  <c r="AP1487" i="3"/>
  <c r="AR1487" i="3"/>
  <c r="P1488" i="3"/>
  <c r="AD1488" i="3" s="1"/>
  <c r="AA1488" i="3"/>
  <c r="AB1488" i="3" s="1"/>
  <c r="AG1488" i="3"/>
  <c r="AH1488" i="3" s="1"/>
  <c r="AJ1488" i="3"/>
  <c r="AL1488" i="3"/>
  <c r="AN1488" i="3"/>
  <c r="AP1488" i="3"/>
  <c r="AR1488" i="3"/>
  <c r="P1489" i="3"/>
  <c r="AA1489" i="3"/>
  <c r="AB1489" i="3" s="1"/>
  <c r="AG1489" i="3"/>
  <c r="AH1489" i="3" s="1"/>
  <c r="AJ1489" i="3"/>
  <c r="AL1489" i="3"/>
  <c r="AN1489" i="3"/>
  <c r="AP1489" i="3"/>
  <c r="AR1489" i="3"/>
  <c r="P1490" i="3"/>
  <c r="T1490" i="3" s="1"/>
  <c r="AA1490" i="3"/>
  <c r="AB1490" i="3" s="1"/>
  <c r="AG1490" i="3"/>
  <c r="AH1490" i="3" s="1"/>
  <c r="AJ1490" i="3"/>
  <c r="AL1490" i="3"/>
  <c r="AN1490" i="3"/>
  <c r="AP1490" i="3"/>
  <c r="AR1490" i="3"/>
  <c r="P1491" i="3"/>
  <c r="AA1491" i="3"/>
  <c r="AB1491" i="3" s="1"/>
  <c r="AG1491" i="3"/>
  <c r="AH1491" i="3" s="1"/>
  <c r="AJ1491" i="3"/>
  <c r="AL1491" i="3"/>
  <c r="AN1491" i="3"/>
  <c r="AP1491" i="3"/>
  <c r="AR1491" i="3"/>
  <c r="P1492" i="3"/>
  <c r="Q1492" i="3" s="1"/>
  <c r="AA1492" i="3"/>
  <c r="AB1492" i="3" s="1"/>
  <c r="AG1492" i="3"/>
  <c r="AH1492" i="3" s="1"/>
  <c r="AJ1492" i="3"/>
  <c r="AL1492" i="3"/>
  <c r="AN1492" i="3"/>
  <c r="AP1492" i="3"/>
  <c r="AR1492" i="3"/>
  <c r="P1493" i="3"/>
  <c r="T1493" i="3" s="1"/>
  <c r="AA1493" i="3"/>
  <c r="AB1493" i="3" s="1"/>
  <c r="AG1493" i="3"/>
  <c r="AH1493" i="3" s="1"/>
  <c r="AJ1493" i="3"/>
  <c r="AL1493" i="3"/>
  <c r="AN1493" i="3"/>
  <c r="AP1493" i="3"/>
  <c r="AR1493" i="3"/>
  <c r="P1494" i="3"/>
  <c r="AD1494" i="3" s="1"/>
  <c r="AA1494" i="3"/>
  <c r="AB1494" i="3" s="1"/>
  <c r="AG1494" i="3"/>
  <c r="AH1494" i="3" s="1"/>
  <c r="AJ1494" i="3"/>
  <c r="AL1494" i="3"/>
  <c r="AN1494" i="3"/>
  <c r="AP1494" i="3"/>
  <c r="AR1494" i="3"/>
  <c r="P1495" i="3"/>
  <c r="AY1495" i="3" s="1"/>
  <c r="AZ1495" i="3" s="1"/>
  <c r="AA1495" i="3"/>
  <c r="AB1495" i="3" s="1"/>
  <c r="AG1495" i="3"/>
  <c r="AH1495" i="3" s="1"/>
  <c r="AJ1495" i="3"/>
  <c r="AL1495" i="3"/>
  <c r="AN1495" i="3"/>
  <c r="AP1495" i="3"/>
  <c r="AR1495" i="3"/>
  <c r="P1496" i="3"/>
  <c r="T1496" i="3" s="1"/>
  <c r="AA1496" i="3"/>
  <c r="AB1496" i="3" s="1"/>
  <c r="AG1496" i="3"/>
  <c r="AH1496" i="3" s="1"/>
  <c r="AJ1496" i="3"/>
  <c r="AL1496" i="3"/>
  <c r="AN1496" i="3"/>
  <c r="AP1496" i="3"/>
  <c r="AR1496" i="3"/>
  <c r="P1497" i="3"/>
  <c r="T1497" i="3" s="1"/>
  <c r="AA1497" i="3"/>
  <c r="AB1497" i="3" s="1"/>
  <c r="AG1497" i="3"/>
  <c r="AH1497" i="3" s="1"/>
  <c r="AJ1497" i="3"/>
  <c r="AL1497" i="3"/>
  <c r="AN1497" i="3"/>
  <c r="AP1497" i="3"/>
  <c r="AR1497" i="3"/>
  <c r="P1498" i="3"/>
  <c r="T1498" i="3" s="1"/>
  <c r="AA1498" i="3"/>
  <c r="AB1498" i="3" s="1"/>
  <c r="AG1498" i="3"/>
  <c r="AH1498" i="3" s="1"/>
  <c r="AJ1498" i="3"/>
  <c r="AL1498" i="3"/>
  <c r="AN1498" i="3"/>
  <c r="AP1498" i="3"/>
  <c r="AR1498" i="3"/>
  <c r="P1499" i="3"/>
  <c r="T1499" i="3" s="1"/>
  <c r="AA1499" i="3"/>
  <c r="AB1499" i="3" s="1"/>
  <c r="AG1499" i="3"/>
  <c r="AH1499" i="3" s="1"/>
  <c r="AJ1499" i="3"/>
  <c r="AL1499" i="3"/>
  <c r="AN1499" i="3"/>
  <c r="AP1499" i="3"/>
  <c r="AR1499" i="3"/>
  <c r="P1500" i="3"/>
  <c r="Q1500" i="3" s="1"/>
  <c r="AA1500" i="3"/>
  <c r="AB1500" i="3" s="1"/>
  <c r="AG1500" i="3"/>
  <c r="AH1500" i="3" s="1"/>
  <c r="AJ1500" i="3"/>
  <c r="AL1500" i="3"/>
  <c r="AN1500" i="3"/>
  <c r="AP1500" i="3"/>
  <c r="AR1500" i="3"/>
  <c r="P1501" i="3"/>
  <c r="T1501" i="3" s="1"/>
  <c r="AA1501" i="3"/>
  <c r="AB1501" i="3" s="1"/>
  <c r="AG1501" i="3"/>
  <c r="AH1501" i="3" s="1"/>
  <c r="AJ1501" i="3"/>
  <c r="AL1501" i="3"/>
  <c r="AN1501" i="3"/>
  <c r="AP1501" i="3"/>
  <c r="AR1501" i="3"/>
  <c r="P1502" i="3"/>
  <c r="AD1502" i="3" s="1"/>
  <c r="Q1502" i="3"/>
  <c r="AA1502" i="3"/>
  <c r="AB1502" i="3" s="1"/>
  <c r="AG1502" i="3"/>
  <c r="AH1502" i="3" s="1"/>
  <c r="AJ1502" i="3"/>
  <c r="AL1502" i="3"/>
  <c r="AN1502" i="3"/>
  <c r="AP1502" i="3"/>
  <c r="AR1502" i="3"/>
  <c r="P1503" i="3"/>
  <c r="AY1503" i="3" s="1"/>
  <c r="AZ1503" i="3" s="1"/>
  <c r="AA1503" i="3"/>
  <c r="AB1503" i="3" s="1"/>
  <c r="AG1503" i="3"/>
  <c r="AH1503" i="3" s="1"/>
  <c r="AJ1503" i="3"/>
  <c r="AL1503" i="3"/>
  <c r="AN1503" i="3"/>
  <c r="AP1503" i="3"/>
  <c r="AR1503" i="3"/>
  <c r="P1504" i="3"/>
  <c r="AB1504" i="3"/>
  <c r="AG1504" i="3"/>
  <c r="AH1504" i="3" s="1"/>
  <c r="AJ1504" i="3"/>
  <c r="AP1504" i="3"/>
  <c r="AR1504" i="3"/>
  <c r="P1505" i="3"/>
  <c r="Q1505" i="3" s="1"/>
  <c r="AA1505" i="3"/>
  <c r="AB1505" i="3" s="1"/>
  <c r="AG1505" i="3"/>
  <c r="AH1505" i="3" s="1"/>
  <c r="AJ1505" i="3"/>
  <c r="AL1505" i="3"/>
  <c r="AN1505" i="3"/>
  <c r="AP1505" i="3"/>
  <c r="AR1505" i="3"/>
  <c r="P1506" i="3"/>
  <c r="AB1506" i="3"/>
  <c r="AJ1506" i="3"/>
  <c r="AP1506" i="3"/>
  <c r="AR1506" i="3"/>
  <c r="P1507" i="3"/>
  <c r="AY1507" i="3" s="1"/>
  <c r="AZ1507" i="3" s="1"/>
  <c r="AA1507" i="3"/>
  <c r="AB1507" i="3" s="1"/>
  <c r="AG1507" i="3"/>
  <c r="AH1507" i="3" s="1"/>
  <c r="AJ1507" i="3"/>
  <c r="AL1507" i="3"/>
  <c r="AN1507" i="3"/>
  <c r="AP1507" i="3"/>
  <c r="AR1507" i="3"/>
  <c r="P149" i="3"/>
  <c r="AA4" i="3"/>
  <c r="AA5" i="3"/>
  <c r="AA6" i="3"/>
  <c r="AA10" i="3"/>
  <c r="AA11" i="3"/>
  <c r="AA12" i="3"/>
  <c r="AA14" i="3"/>
  <c r="AA15" i="3"/>
  <c r="AA20" i="3"/>
  <c r="AA22" i="3"/>
  <c r="AA23" i="3"/>
  <c r="AA24" i="3"/>
  <c r="AA25" i="3"/>
  <c r="AA26" i="3"/>
  <c r="AA27" i="3"/>
  <c r="AA28" i="3"/>
  <c r="AA29" i="3"/>
  <c r="AA30" i="3"/>
  <c r="AA31" i="3"/>
  <c r="AA33" i="3"/>
  <c r="AA34" i="3"/>
  <c r="AA35" i="3"/>
  <c r="AA36" i="3"/>
  <c r="AA37" i="3"/>
  <c r="AA38" i="3"/>
  <c r="AA39" i="3"/>
  <c r="AA40" i="3"/>
  <c r="AA41" i="3"/>
  <c r="AA42" i="3"/>
  <c r="AA43" i="3"/>
  <c r="AA44" i="3"/>
  <c r="AA45" i="3"/>
  <c r="AA46" i="3"/>
  <c r="AA47" i="3"/>
  <c r="AA48" i="3"/>
  <c r="AA49" i="3"/>
  <c r="AA50" i="3"/>
  <c r="AA51" i="3"/>
  <c r="AA52" i="3"/>
  <c r="AA55" i="3"/>
  <c r="AA56" i="3"/>
  <c r="AA57" i="3"/>
  <c r="AA58" i="3"/>
  <c r="AA61" i="3"/>
  <c r="AA63" i="3"/>
  <c r="AA64" i="3"/>
  <c r="AA65" i="3"/>
  <c r="AA68" i="3"/>
  <c r="AA69" i="3"/>
  <c r="AA71" i="3"/>
  <c r="AA72" i="3"/>
  <c r="AA73" i="3"/>
  <c r="AA74" i="3"/>
  <c r="AA75" i="3"/>
  <c r="AA76" i="3"/>
  <c r="AA78" i="3"/>
  <c r="AA79" i="3"/>
  <c r="AA83" i="3"/>
  <c r="AA84" i="3"/>
  <c r="AA86" i="3"/>
  <c r="AA87" i="3"/>
  <c r="AA89" i="3"/>
  <c r="AA92" i="3"/>
  <c r="AA93" i="3"/>
  <c r="AA94" i="3"/>
  <c r="AA103" i="3"/>
  <c r="AA105" i="3"/>
  <c r="AA106" i="3"/>
  <c r="AA107" i="3"/>
  <c r="AA108" i="3"/>
  <c r="AA110" i="3"/>
  <c r="AA111" i="3"/>
  <c r="AA112" i="3"/>
  <c r="AA120" i="3"/>
  <c r="AA126" i="3"/>
  <c r="AA127" i="3"/>
  <c r="AA129" i="3"/>
  <c r="AA130" i="3"/>
  <c r="AA131" i="3"/>
  <c r="AA132" i="3"/>
  <c r="AA137" i="3"/>
  <c r="AA138" i="3"/>
  <c r="AA148" i="3"/>
  <c r="AA151" i="3"/>
  <c r="AA152" i="3"/>
  <c r="AA156" i="3"/>
  <c r="AA160" i="3"/>
  <c r="AA164" i="3"/>
  <c r="AA165" i="3"/>
  <c r="AA167" i="3"/>
  <c r="AA169" i="3"/>
  <c r="AA171" i="3"/>
  <c r="AA177" i="3"/>
  <c r="AA179" i="3"/>
  <c r="AA183" i="3"/>
  <c r="AA184" i="3"/>
  <c r="AA188" i="3"/>
  <c r="AA192"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3" i="3"/>
  <c r="AA228" i="3"/>
  <c r="AA230" i="3"/>
  <c r="AA231" i="3"/>
  <c r="AA235" i="3"/>
  <c r="AA236" i="3"/>
  <c r="AA247" i="3"/>
  <c r="AA252" i="3"/>
  <c r="AA253" i="3"/>
  <c r="AA257" i="3"/>
  <c r="AA259" i="3"/>
  <c r="AA266" i="3"/>
  <c r="AA267" i="3"/>
  <c r="AA274" i="3"/>
  <c r="AA280" i="3"/>
  <c r="AA285" i="3"/>
  <c r="AA295" i="3"/>
  <c r="AA301" i="3"/>
  <c r="AA305" i="3"/>
  <c r="AA311" i="3"/>
  <c r="AA329" i="3"/>
  <c r="AA336" i="3"/>
  <c r="AA337" i="3"/>
  <c r="AA340" i="3"/>
  <c r="AA342" i="3"/>
  <c r="AA350" i="3"/>
  <c r="AA351" i="3"/>
  <c r="AA353" i="3"/>
  <c r="AA362" i="3"/>
  <c r="AA368" i="3"/>
  <c r="AA369" i="3"/>
  <c r="AA370" i="3"/>
  <c r="AA373" i="3"/>
  <c r="AA382" i="3"/>
  <c r="AA385" i="3"/>
  <c r="AA386" i="3"/>
  <c r="AA387" i="3"/>
  <c r="AA388" i="3"/>
  <c r="AA389" i="3"/>
  <c r="AA390" i="3"/>
  <c r="AA391" i="3"/>
  <c r="AA392" i="3"/>
  <c r="AA396" i="3"/>
  <c r="AA397" i="3"/>
  <c r="AA398" i="3"/>
  <c r="AA399" i="3"/>
  <c r="AA401" i="3"/>
  <c r="AA402" i="3"/>
  <c r="AA411" i="3"/>
  <c r="AA413" i="3"/>
  <c r="AA414" i="3"/>
  <c r="AA415" i="3"/>
  <c r="AA417" i="3"/>
  <c r="AA418" i="3"/>
  <c r="AA419" i="3"/>
  <c r="AA420" i="3"/>
  <c r="AA421" i="3"/>
  <c r="AA423" i="3"/>
  <c r="AA424" i="3"/>
  <c r="AA425" i="3"/>
  <c r="AA427" i="3"/>
  <c r="AA428" i="3"/>
  <c r="AA429" i="3"/>
  <c r="AA431" i="3"/>
  <c r="AA436" i="3"/>
  <c r="AA437" i="3"/>
  <c r="AA438" i="3"/>
  <c r="AA440" i="3"/>
  <c r="AA441" i="3"/>
  <c r="AA442" i="3"/>
  <c r="AA443" i="3"/>
  <c r="AA444" i="3"/>
  <c r="AA446" i="3"/>
  <c r="AA447" i="3"/>
  <c r="AA448" i="3"/>
  <c r="AA449" i="3"/>
  <c r="AA450" i="3"/>
  <c r="AA451" i="3"/>
  <c r="AA452" i="3"/>
  <c r="AA453" i="3"/>
  <c r="AA457" i="3"/>
  <c r="AA458" i="3"/>
  <c r="AA461" i="3"/>
  <c r="AA462" i="3"/>
  <c r="AA463" i="3"/>
  <c r="AA464" i="3"/>
  <c r="AA465" i="3"/>
  <c r="AA466" i="3"/>
  <c r="AA467" i="3"/>
  <c r="AA469" i="3"/>
  <c r="AA470" i="3"/>
  <c r="AA471" i="3"/>
  <c r="AA472" i="3"/>
  <c r="AA473" i="3"/>
  <c r="AA475" i="3"/>
  <c r="AA476" i="3"/>
  <c r="AA477" i="3"/>
  <c r="AA478" i="3"/>
  <c r="AA479" i="3"/>
  <c r="AA480" i="3"/>
  <c r="AA481" i="3"/>
  <c r="AA482" i="3"/>
  <c r="AA483" i="3"/>
  <c r="AA484" i="3"/>
  <c r="AA485" i="3"/>
  <c r="AA486" i="3"/>
  <c r="AA487" i="3"/>
  <c r="AA488" i="3"/>
  <c r="AA489" i="3"/>
  <c r="AA490" i="3"/>
  <c r="AA491" i="3"/>
  <c r="AA492" i="3"/>
  <c r="AA493" i="3"/>
  <c r="AA494" i="3"/>
  <c r="AA495" i="3"/>
  <c r="AA497" i="3"/>
  <c r="AA498" i="3"/>
  <c r="AA499" i="3"/>
  <c r="AA500" i="3"/>
  <c r="AA501" i="3"/>
  <c r="AA503" i="3"/>
  <c r="AA504" i="3"/>
  <c r="AA505" i="3"/>
  <c r="AA506" i="3"/>
  <c r="AA507" i="3"/>
  <c r="AA508" i="3"/>
  <c r="AA509" i="3"/>
  <c r="AA510" i="3"/>
  <c r="AA511" i="3"/>
  <c r="AA514" i="3"/>
  <c r="AA515" i="3"/>
  <c r="AA516" i="3"/>
  <c r="AA517" i="3"/>
  <c r="AA518" i="3"/>
  <c r="AA519" i="3"/>
  <c r="AA520" i="3"/>
  <c r="AA521" i="3"/>
  <c r="AA522" i="3"/>
  <c r="AA523" i="3"/>
  <c r="AA524" i="3"/>
  <c r="AA525" i="3"/>
  <c r="AA526" i="3"/>
  <c r="AA527" i="3"/>
  <c r="AA528" i="3"/>
  <c r="AA529" i="3"/>
  <c r="AA531" i="3"/>
  <c r="AA532" i="3"/>
  <c r="AA533" i="3"/>
  <c r="AA534" i="3"/>
  <c r="AA535" i="3"/>
  <c r="AA536" i="3"/>
  <c r="AA537" i="3"/>
  <c r="AA538" i="3"/>
  <c r="AA539" i="3"/>
  <c r="AA540" i="3"/>
  <c r="AA541" i="3"/>
  <c r="AA542" i="3"/>
  <c r="AA543" i="3"/>
  <c r="AA545"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50" i="3"/>
  <c r="AA652" i="3"/>
  <c r="AA655" i="3"/>
  <c r="AA656" i="3"/>
  <c r="AA660" i="3"/>
  <c r="AA661" i="3"/>
  <c r="AA663" i="3"/>
  <c r="AA665" i="3"/>
  <c r="AA666" i="3"/>
  <c r="AA667" i="3"/>
  <c r="AA668" i="3"/>
  <c r="AA669" i="3"/>
  <c r="AA670" i="3"/>
  <c r="AA671" i="3"/>
  <c r="AA672" i="3"/>
  <c r="AA673" i="3"/>
  <c r="AA674" i="3"/>
  <c r="AA675" i="3"/>
  <c r="AA677" i="3"/>
  <c r="AA678" i="3"/>
  <c r="AA679" i="3"/>
  <c r="AA680" i="3"/>
  <c r="AA681" i="3"/>
  <c r="AA682" i="3"/>
  <c r="AA683" i="3"/>
  <c r="AA684" i="3"/>
  <c r="AA686" i="3"/>
  <c r="AA687" i="3"/>
  <c r="AA688" i="3"/>
  <c r="AA689" i="3"/>
  <c r="AA690" i="3"/>
  <c r="AA691" i="3"/>
  <c r="AA692" i="3"/>
  <c r="AA693"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40" i="3"/>
  <c r="AA1141" i="3"/>
  <c r="AA1142" i="3"/>
  <c r="AA1143" i="3"/>
  <c r="AA1144" i="3"/>
  <c r="AA1145" i="3"/>
  <c r="AA1146" i="3"/>
  <c r="AA1147" i="3"/>
  <c r="AA1148" i="3"/>
  <c r="AA1149" i="3"/>
  <c r="AA1150" i="3"/>
  <c r="AA1151"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6" i="3"/>
  <c r="AA1417" i="3"/>
  <c r="AA1418" i="3"/>
  <c r="AA1419" i="3"/>
  <c r="AA1420" i="3"/>
  <c r="AA1421" i="3"/>
  <c r="AA1422" i="3"/>
  <c r="AA1423" i="3"/>
  <c r="AA1424" i="3"/>
  <c r="AA1425" i="3"/>
  <c r="AA1427" i="3"/>
  <c r="AA1428" i="3"/>
  <c r="AA1429" i="3"/>
  <c r="AA1430" i="3"/>
  <c r="AA1431" i="3"/>
  <c r="AA1432" i="3"/>
  <c r="AA1433" i="3"/>
  <c r="AA1434" i="3"/>
  <c r="AA1435" i="3"/>
  <c r="AA1436" i="3"/>
  <c r="AA1437" i="3"/>
  <c r="AA1438" i="3"/>
  <c r="AA1440" i="3"/>
  <c r="AA1441" i="3"/>
  <c r="AA1442" i="3"/>
  <c r="AA3" i="3"/>
  <c r="AW1480" i="3" l="1"/>
  <c r="AX1480" i="3" s="1"/>
  <c r="Q1482" i="3"/>
  <c r="T1480" i="3"/>
  <c r="AD1472" i="3"/>
  <c r="AD1535" i="3"/>
  <c r="AD1478" i="3"/>
  <c r="AY1461" i="3"/>
  <c r="AZ1461" i="3" s="1"/>
  <c r="T1535" i="3"/>
  <c r="Q1535" i="3"/>
  <c r="AD1580" i="3"/>
  <c r="Q1461" i="3"/>
  <c r="AW1458" i="3"/>
  <c r="AX1458" i="3" s="1"/>
  <c r="T1469" i="3"/>
  <c r="AW1487" i="3"/>
  <c r="AX1487" i="3" s="1"/>
  <c r="AD1482" i="3"/>
  <c r="AW1561" i="3"/>
  <c r="AX1561" i="3" s="1"/>
  <c r="AY1559" i="3"/>
  <c r="AZ1559" i="3" s="1"/>
  <c r="AD1507" i="3"/>
  <c r="T1472" i="3"/>
  <c r="T1455" i="3"/>
  <c r="Q1527" i="3"/>
  <c r="Q1507" i="3"/>
  <c r="AY1469" i="3"/>
  <c r="AZ1469" i="3" s="1"/>
  <c r="AW1496" i="3"/>
  <c r="AX1496" i="3" s="1"/>
  <c r="AW1469" i="3"/>
  <c r="AX1469" i="3" s="1"/>
  <c r="AW1472" i="3"/>
  <c r="AX1472" i="3" s="1"/>
  <c r="T1559" i="3"/>
  <c r="AY1501" i="3"/>
  <c r="AZ1501" i="3" s="1"/>
  <c r="AY1455" i="3"/>
  <c r="AZ1455" i="3" s="1"/>
  <c r="T1492" i="3"/>
  <c r="T1450" i="3"/>
  <c r="Q1529" i="3"/>
  <c r="AY1447" i="3"/>
  <c r="AZ1447" i="3" s="1"/>
  <c r="AD1587" i="3"/>
  <c r="AD1547" i="3"/>
  <c r="AD1495" i="3"/>
  <c r="T1453" i="3"/>
  <c r="AW1447" i="3"/>
  <c r="AX1447" i="3" s="1"/>
  <c r="Q1580" i="3"/>
  <c r="Q1561" i="3"/>
  <c r="AD1500" i="3"/>
  <c r="AW1483" i="3"/>
  <c r="AX1483" i="3" s="1"/>
  <c r="Q1453" i="3"/>
  <c r="T1587" i="3"/>
  <c r="T1549" i="3"/>
  <c r="Q1547" i="3"/>
  <c r="T1495" i="3"/>
  <c r="Q1458" i="3"/>
  <c r="Q1587" i="3"/>
  <c r="AW1560" i="3"/>
  <c r="AX1560" i="3" s="1"/>
  <c r="AW1519" i="3"/>
  <c r="AX1519" i="3" s="1"/>
  <c r="T1500" i="3"/>
  <c r="AY1443" i="3"/>
  <c r="AZ1443" i="3" s="1"/>
  <c r="AY1529" i="3"/>
  <c r="AZ1529" i="3" s="1"/>
  <c r="AY1457" i="3"/>
  <c r="AZ1457" i="3" s="1"/>
  <c r="AW1450" i="3"/>
  <c r="AX1450" i="3" s="1"/>
  <c r="AW1595" i="3"/>
  <c r="AX1595" i="3" s="1"/>
  <c r="T1503" i="3"/>
  <c r="Q1498" i="3"/>
  <c r="AZ1521" i="3"/>
  <c r="T1505" i="3"/>
  <c r="AY1477" i="3"/>
  <c r="AZ1477" i="3" s="1"/>
  <c r="T1461" i="3"/>
  <c r="AD1590" i="3"/>
  <c r="AY1580" i="3"/>
  <c r="AZ1580" i="3" s="1"/>
  <c r="AW1563" i="3"/>
  <c r="AX1563" i="3" s="1"/>
  <c r="AY1453" i="3"/>
  <c r="AZ1453" i="3" s="1"/>
  <c r="AD1447" i="3"/>
  <c r="AW1580" i="3"/>
  <c r="AX1580" i="3" s="1"/>
  <c r="Q1472" i="3"/>
  <c r="AY1549" i="3"/>
  <c r="AZ1549" i="3" s="1"/>
  <c r="Q1544" i="3"/>
  <c r="AD1536" i="3"/>
  <c r="AW1500" i="3"/>
  <c r="AX1500" i="3" s="1"/>
  <c r="AW1495" i="3"/>
  <c r="AX1495" i="3" s="1"/>
  <c r="T1483" i="3"/>
  <c r="T1447" i="3"/>
  <c r="T1575" i="3"/>
  <c r="AW1549" i="3"/>
  <c r="AX1549" i="3" s="1"/>
  <c r="AD1529" i="3"/>
  <c r="T1502" i="3"/>
  <c r="AY1498" i="3"/>
  <c r="AZ1498" i="3" s="1"/>
  <c r="AY1490" i="3"/>
  <c r="AZ1490" i="3" s="1"/>
  <c r="Q1466" i="3"/>
  <c r="AW1455" i="3"/>
  <c r="AX1455" i="3" s="1"/>
  <c r="AW1591" i="3"/>
  <c r="AX1591" i="3" s="1"/>
  <c r="AY1588" i="3"/>
  <c r="AZ1588" i="3" s="1"/>
  <c r="AW1585" i="3"/>
  <c r="AX1585" i="3" s="1"/>
  <c r="AW1575" i="3"/>
  <c r="AX1575" i="3" s="1"/>
  <c r="AY1572" i="3"/>
  <c r="AZ1572" i="3" s="1"/>
  <c r="AW1542" i="3"/>
  <c r="AX1542" i="3" s="1"/>
  <c r="AY1517" i="3"/>
  <c r="AZ1517" i="3" s="1"/>
  <c r="AW1490" i="3"/>
  <c r="AX1490" i="3" s="1"/>
  <c r="AY1485" i="3"/>
  <c r="AZ1485" i="3" s="1"/>
  <c r="AD1469" i="3"/>
  <c r="AW1588" i="3"/>
  <c r="AX1588" i="3" s="1"/>
  <c r="AW1517" i="3"/>
  <c r="AX1517" i="3" s="1"/>
  <c r="AD1503" i="3"/>
  <c r="T1494" i="3"/>
  <c r="AY1594" i="3"/>
  <c r="AZ1594" i="3" s="1"/>
  <c r="Q1494" i="3"/>
  <c r="AY1483" i="3"/>
  <c r="AZ1483" i="3" s="1"/>
  <c r="AW1478" i="3"/>
  <c r="AX1478" i="3" s="1"/>
  <c r="AW1594" i="3"/>
  <c r="AX1594" i="3" s="1"/>
  <c r="T1574" i="3"/>
  <c r="AY1552" i="3"/>
  <c r="AZ1552" i="3" s="1"/>
  <c r="AW1547" i="3"/>
  <c r="AX1547" i="3" s="1"/>
  <c r="T1539" i="3"/>
  <c r="AD1527" i="3"/>
  <c r="Q1509" i="3"/>
  <c r="AY1445" i="3"/>
  <c r="AZ1445" i="3" s="1"/>
  <c r="AW1552" i="3"/>
  <c r="AX1552" i="3" s="1"/>
  <c r="Q1503" i="3"/>
  <c r="AD1477" i="3"/>
  <c r="AY1583" i="3"/>
  <c r="AZ1583" i="3" s="1"/>
  <c r="AY1573" i="3"/>
  <c r="AZ1573" i="3" s="1"/>
  <c r="AY1486" i="3"/>
  <c r="AZ1486" i="3" s="1"/>
  <c r="AY1581" i="3"/>
  <c r="AZ1581" i="3" s="1"/>
  <c r="AD1563" i="3"/>
  <c r="AD1519" i="3"/>
  <c r="AY1508" i="3"/>
  <c r="AZ1508" i="3" s="1"/>
  <c r="AD1455" i="3"/>
  <c r="AW1508" i="3"/>
  <c r="AX1508" i="3" s="1"/>
  <c r="AY1502" i="3"/>
  <c r="AZ1502" i="3" s="1"/>
  <c r="T1477" i="3"/>
  <c r="AD1575" i="3"/>
  <c r="AY1543" i="3"/>
  <c r="AZ1543" i="3" s="1"/>
  <c r="AD1490" i="3"/>
  <c r="T1482" i="3"/>
  <c r="AD1480" i="3"/>
  <c r="Q1477" i="3"/>
  <c r="AW1474" i="3"/>
  <c r="AX1474" i="3" s="1"/>
  <c r="AW1466" i="3"/>
  <c r="AX1466" i="3" s="1"/>
  <c r="AD1458" i="3"/>
  <c r="AY1451" i="3"/>
  <c r="AZ1451" i="3" s="1"/>
  <c r="AD1591" i="3"/>
  <c r="AD1588" i="3"/>
  <c r="AD1585" i="3"/>
  <c r="Q1563" i="3"/>
  <c r="T1560" i="3"/>
  <c r="AD1549" i="3"/>
  <c r="AW1529" i="3"/>
  <c r="AX1529" i="3" s="1"/>
  <c r="Q1519" i="3"/>
  <c r="AD1517" i="3"/>
  <c r="AY1494" i="3"/>
  <c r="AZ1494" i="3" s="1"/>
  <c r="AW1494" i="3"/>
  <c r="AX1494" i="3" s="1"/>
  <c r="AY1539" i="3"/>
  <c r="AZ1539" i="3" s="1"/>
  <c r="AW1503" i="3"/>
  <c r="AX1503" i="3" s="1"/>
  <c r="AD1496" i="3"/>
  <c r="Q1488" i="3"/>
  <c r="AD1483" i="3"/>
  <c r="AD1594" i="3"/>
  <c r="AY1590" i="3"/>
  <c r="AZ1590" i="3" s="1"/>
  <c r="AY1587" i="3"/>
  <c r="AZ1587" i="3" s="1"/>
  <c r="T1585" i="3"/>
  <c r="AW1574" i="3"/>
  <c r="AX1574" i="3" s="1"/>
  <c r="T1568" i="3"/>
  <c r="AD1561" i="3"/>
  <c r="AD1552" i="3"/>
  <c r="AY1527" i="3"/>
  <c r="AZ1527" i="3" s="1"/>
  <c r="AY1449" i="3"/>
  <c r="AZ1449" i="3" s="1"/>
  <c r="AW1590" i="3"/>
  <c r="AX1590" i="3" s="1"/>
  <c r="Q1568" i="3"/>
  <c r="AW1555" i="3"/>
  <c r="AX1555" i="3" s="1"/>
  <c r="AW1527" i="3"/>
  <c r="AX1527" i="3" s="1"/>
  <c r="T1445" i="3"/>
  <c r="T1594" i="3"/>
  <c r="AD1576" i="3"/>
  <c r="AW1544" i="3"/>
  <c r="AX1544" i="3" s="1"/>
  <c r="AY1519" i="3"/>
  <c r="AZ1519" i="3" s="1"/>
  <c r="Q1445" i="3"/>
  <c r="T1589" i="3"/>
  <c r="T1573" i="3"/>
  <c r="Q1552" i="3"/>
  <c r="AW1507" i="3"/>
  <c r="AX1507" i="3" s="1"/>
  <c r="AY1505" i="3"/>
  <c r="AZ1505" i="3" s="1"/>
  <c r="AW1502" i="3"/>
  <c r="AX1502" i="3" s="1"/>
  <c r="AY1500" i="3"/>
  <c r="AZ1500" i="3" s="1"/>
  <c r="AW1498" i="3"/>
  <c r="AX1498" i="3" s="1"/>
  <c r="AD1498" i="3"/>
  <c r="AY1492" i="3"/>
  <c r="AZ1492" i="3" s="1"/>
  <c r="T1487" i="3"/>
  <c r="T1486" i="3"/>
  <c r="AW1482" i="3"/>
  <c r="AX1482" i="3" s="1"/>
  <c r="T1468" i="3"/>
  <c r="AD1450" i="3"/>
  <c r="AW1443" i="3"/>
  <c r="AX1443" i="3" s="1"/>
  <c r="AD1443" i="3"/>
  <c r="T1596" i="3"/>
  <c r="Q1595" i="3"/>
  <c r="Q1589" i="3"/>
  <c r="AY1585" i="3"/>
  <c r="AZ1585" i="3" s="1"/>
  <c r="AW1583" i="3"/>
  <c r="AX1583" i="3" s="1"/>
  <c r="AD1583" i="3"/>
  <c r="T1582" i="3"/>
  <c r="Q1577" i="3"/>
  <c r="AY1575" i="3"/>
  <c r="AZ1575" i="3" s="1"/>
  <c r="AY1574" i="3"/>
  <c r="AZ1574" i="3" s="1"/>
  <c r="AD1574" i="3"/>
  <c r="AD1559" i="3"/>
  <c r="AY1542" i="3"/>
  <c r="AZ1542" i="3" s="1"/>
  <c r="T1532" i="3"/>
  <c r="AY1525" i="3"/>
  <c r="AZ1525" i="3" s="1"/>
  <c r="AW1492" i="3"/>
  <c r="AX1492" i="3" s="1"/>
  <c r="AD1492" i="3"/>
  <c r="Q1487" i="3"/>
  <c r="Q1486" i="3"/>
  <c r="Q1478" i="3"/>
  <c r="AY1465" i="3"/>
  <c r="AZ1465" i="3" s="1"/>
  <c r="AY1463" i="3"/>
  <c r="AZ1463" i="3" s="1"/>
  <c r="Q1596" i="3"/>
  <c r="Q1582" i="3"/>
  <c r="AY1568" i="3"/>
  <c r="AZ1568" i="3" s="1"/>
  <c r="AY1566" i="3"/>
  <c r="AZ1566" i="3" s="1"/>
  <c r="AY1565" i="3"/>
  <c r="AZ1565" i="3" s="1"/>
  <c r="AD1560" i="3"/>
  <c r="AW1559" i="3"/>
  <c r="AX1559" i="3" s="1"/>
  <c r="AD1555" i="3"/>
  <c r="T1547" i="3"/>
  <c r="AD1542" i="3"/>
  <c r="Q1532" i="3"/>
  <c r="Q1525" i="3"/>
  <c r="AY1511" i="3"/>
  <c r="AZ1511" i="3" s="1"/>
  <c r="AD1508" i="3"/>
  <c r="AD1463" i="3"/>
  <c r="AY1567" i="3"/>
  <c r="AZ1567" i="3" s="1"/>
  <c r="AD1516" i="3"/>
  <c r="AW1511" i="3"/>
  <c r="AX1511" i="3" s="1"/>
  <c r="AD1511" i="3"/>
  <c r="Q1480" i="3"/>
  <c r="AW1465" i="3"/>
  <c r="AX1465" i="3" s="1"/>
  <c r="AD1465" i="3"/>
  <c r="AW1463" i="3"/>
  <c r="AX1463" i="3" s="1"/>
  <c r="AW1461" i="3"/>
  <c r="AX1461" i="3" s="1"/>
  <c r="AY1459" i="3"/>
  <c r="AZ1459" i="3" s="1"/>
  <c r="T1458" i="3"/>
  <c r="AW1453" i="3"/>
  <c r="AX1453" i="3" s="1"/>
  <c r="AW1451" i="3"/>
  <c r="AX1451" i="3" s="1"/>
  <c r="AD1451" i="3"/>
  <c r="Q1450" i="3"/>
  <c r="AW1445" i="3"/>
  <c r="AX1445" i="3" s="1"/>
  <c r="Q1443" i="3"/>
  <c r="Q1590" i="3"/>
  <c r="AW1576" i="3"/>
  <c r="AX1576" i="3" s="1"/>
  <c r="AW1568" i="3"/>
  <c r="AX1568" i="3" s="1"/>
  <c r="AW1567" i="3"/>
  <c r="AX1567" i="3" s="1"/>
  <c r="AD1567" i="3"/>
  <c r="AW1566" i="3"/>
  <c r="AX1566" i="3" s="1"/>
  <c r="AD1566" i="3"/>
  <c r="T1565" i="3"/>
  <c r="AY1561" i="3"/>
  <c r="AZ1561" i="3" s="1"/>
  <c r="Q1555" i="3"/>
  <c r="AD1543" i="3"/>
  <c r="AY1535" i="3"/>
  <c r="AZ1535" i="3" s="1"/>
  <c r="AD1524" i="3"/>
  <c r="AW1516" i="3"/>
  <c r="AX1516" i="3" s="1"/>
  <c r="T1508" i="3"/>
  <c r="AW1459" i="3"/>
  <c r="AX1459" i="3" s="1"/>
  <c r="AD1459" i="3"/>
  <c r="AD1589" i="3"/>
  <c r="AY1582" i="3"/>
  <c r="AZ1582" i="3" s="1"/>
  <c r="AY1577" i="3"/>
  <c r="AZ1577" i="3" s="1"/>
  <c r="AY1557" i="3"/>
  <c r="AZ1557" i="3" s="1"/>
  <c r="AW1543" i="3"/>
  <c r="AX1543" i="3" s="1"/>
  <c r="T1542" i="3"/>
  <c r="AW1524" i="3"/>
  <c r="AX1524" i="3" s="1"/>
  <c r="AY1509" i="3"/>
  <c r="AZ1509" i="3" s="1"/>
  <c r="Q1495" i="3"/>
  <c r="Q1490" i="3"/>
  <c r="AW1486" i="3"/>
  <c r="AX1486" i="3" s="1"/>
  <c r="T1485" i="3"/>
  <c r="T1463" i="3"/>
  <c r="Q1451" i="3"/>
  <c r="AD1596" i="3"/>
  <c r="AY1595" i="3"/>
  <c r="AZ1595" i="3" s="1"/>
  <c r="AW1589" i="3"/>
  <c r="AX1589" i="3" s="1"/>
  <c r="AY1586" i="3"/>
  <c r="AZ1586" i="3" s="1"/>
  <c r="AD1582" i="3"/>
  <c r="AW1577" i="3"/>
  <c r="AX1577" i="3" s="1"/>
  <c r="AD1577" i="3"/>
  <c r="T1567" i="3"/>
  <c r="T1566" i="3"/>
  <c r="Q1560" i="3"/>
  <c r="Q1543" i="3"/>
  <c r="AY1532" i="3"/>
  <c r="AZ1532" i="3" s="1"/>
  <c r="AD1532" i="3"/>
  <c r="T1530" i="3"/>
  <c r="T1524" i="3"/>
  <c r="T1516" i="3"/>
  <c r="T1511" i="3"/>
  <c r="AW1509" i="3"/>
  <c r="AX1509" i="3" s="1"/>
  <c r="AD1509" i="3"/>
  <c r="AY1496" i="3"/>
  <c r="AZ1496" i="3" s="1"/>
  <c r="AD1487" i="3"/>
  <c r="AY1478" i="3"/>
  <c r="AZ1478" i="3" s="1"/>
  <c r="Q1465" i="3"/>
  <c r="Q1459" i="3"/>
  <c r="AW1596" i="3"/>
  <c r="AX1596" i="3" s="1"/>
  <c r="AD1595" i="3"/>
  <c r="T1557" i="3"/>
  <c r="Q1524" i="3"/>
  <c r="Q1516" i="3"/>
  <c r="AD1558" i="3"/>
  <c r="AZ1558" i="3" s="1"/>
  <c r="AZ1553" i="3"/>
  <c r="AD1550" i="3"/>
  <c r="AZ1550" i="3" s="1"/>
  <c r="AD1548" i="3"/>
  <c r="AZ1548" i="3" s="1"/>
  <c r="AD1545" i="3"/>
  <c r="AZ1545" i="3" s="1"/>
  <c r="AD1540" i="3"/>
  <c r="AZ1515" i="3"/>
  <c r="AD1514" i="3"/>
  <c r="AX1514" i="3" s="1"/>
  <c r="AD1506" i="3"/>
  <c r="AX1506" i="3" s="1"/>
  <c r="AW1592" i="3"/>
  <c r="AX1592" i="3" s="1"/>
  <c r="AD1592" i="3"/>
  <c r="Q1592" i="3"/>
  <c r="AY1579" i="3"/>
  <c r="AZ1579" i="3" s="1"/>
  <c r="T1579" i="3"/>
  <c r="T1578" i="3"/>
  <c r="Q1578" i="3"/>
  <c r="AY1534" i="3"/>
  <c r="AZ1534" i="3" s="1"/>
  <c r="Q1534" i="3"/>
  <c r="AD1534" i="3"/>
  <c r="AW1534" i="3"/>
  <c r="AX1534" i="3" s="1"/>
  <c r="T1534" i="3"/>
  <c r="Q1523" i="3"/>
  <c r="AD1523" i="3"/>
  <c r="AW1523" i="3"/>
  <c r="AX1523" i="3" s="1"/>
  <c r="T1523" i="3"/>
  <c r="AY1523" i="3"/>
  <c r="AZ1523" i="3" s="1"/>
  <c r="Q1588" i="3"/>
  <c r="AW1579" i="3"/>
  <c r="AX1579" i="3" s="1"/>
  <c r="AW1578" i="3"/>
  <c r="AX1578" i="3" s="1"/>
  <c r="AD1578" i="3"/>
  <c r="Q1564" i="3"/>
  <c r="AD1564" i="3"/>
  <c r="AW1564" i="3"/>
  <c r="AX1564" i="3" s="1"/>
  <c r="AY1564" i="3"/>
  <c r="AZ1564" i="3" s="1"/>
  <c r="T1564" i="3"/>
  <c r="AY1570" i="3"/>
  <c r="AZ1570" i="3" s="1"/>
  <c r="T1570" i="3"/>
  <c r="AW1570" i="3"/>
  <c r="AX1570" i="3" s="1"/>
  <c r="AD1570" i="3"/>
  <c r="T1593" i="3"/>
  <c r="T1569" i="3"/>
  <c r="AD1569" i="3"/>
  <c r="AW1569" i="3"/>
  <c r="AX1569" i="3" s="1"/>
  <c r="AY1593" i="3"/>
  <c r="AZ1593" i="3" s="1"/>
  <c r="T1592" i="3"/>
  <c r="Q1584" i="3"/>
  <c r="AD1584" i="3"/>
  <c r="AW1584" i="3"/>
  <c r="AX1584" i="3" s="1"/>
  <c r="AY1584" i="3"/>
  <c r="AZ1584" i="3" s="1"/>
  <c r="AY1591" i="3"/>
  <c r="AZ1591" i="3" s="1"/>
  <c r="Q1586" i="3"/>
  <c r="AD1586" i="3"/>
  <c r="AW1586" i="3"/>
  <c r="AX1586" i="3" s="1"/>
  <c r="AY1571" i="3"/>
  <c r="AZ1571" i="3" s="1"/>
  <c r="T1571" i="3"/>
  <c r="AW1571" i="3"/>
  <c r="AX1571" i="3" s="1"/>
  <c r="AD1571" i="3"/>
  <c r="AW1593" i="3"/>
  <c r="AX1593" i="3" s="1"/>
  <c r="AD1593" i="3"/>
  <c r="Q1591" i="3"/>
  <c r="Q1583" i="3"/>
  <c r="Q1579" i="3"/>
  <c r="AY1576" i="3"/>
  <c r="AZ1576" i="3" s="1"/>
  <c r="T1576" i="3"/>
  <c r="AY1569" i="3"/>
  <c r="AZ1569" i="3" s="1"/>
  <c r="Q1572" i="3"/>
  <c r="AD1572" i="3"/>
  <c r="AW1572" i="3"/>
  <c r="AX1572" i="3" s="1"/>
  <c r="AY1562" i="3"/>
  <c r="AZ1562" i="3" s="1"/>
  <c r="T1562" i="3"/>
  <c r="Q1562" i="3"/>
  <c r="AD1562" i="3"/>
  <c r="AW1562" i="3"/>
  <c r="AX1562" i="3" s="1"/>
  <c r="AY1554" i="3"/>
  <c r="AZ1554" i="3" s="1"/>
  <c r="T1554" i="3"/>
  <c r="Q1554" i="3"/>
  <c r="AD1554" i="3"/>
  <c r="AW1554" i="3"/>
  <c r="AX1554" i="3" s="1"/>
  <c r="Q1541" i="3"/>
  <c r="AD1541" i="3"/>
  <c r="AW1541" i="3"/>
  <c r="AX1541" i="3" s="1"/>
  <c r="T1541" i="3"/>
  <c r="AY1541" i="3"/>
  <c r="AZ1541" i="3" s="1"/>
  <c r="Q1581" i="3"/>
  <c r="AD1581" i="3"/>
  <c r="AW1581" i="3"/>
  <c r="AX1581" i="3" s="1"/>
  <c r="Q1556" i="3"/>
  <c r="AD1556" i="3"/>
  <c r="AW1556" i="3"/>
  <c r="AX1556" i="3" s="1"/>
  <c r="AY1556" i="3"/>
  <c r="AZ1556" i="3" s="1"/>
  <c r="T1556" i="3"/>
  <c r="Q1546" i="3"/>
  <c r="AD1546" i="3"/>
  <c r="AW1546" i="3"/>
  <c r="AX1546" i="3" s="1"/>
  <c r="T1546" i="3"/>
  <c r="AY1544" i="3"/>
  <c r="AZ1544" i="3" s="1"/>
  <c r="T1544" i="3"/>
  <c r="AW1536" i="3"/>
  <c r="AX1536" i="3" s="1"/>
  <c r="AY1546" i="3"/>
  <c r="AZ1546" i="3" s="1"/>
  <c r="AX1522" i="3"/>
  <c r="AZ1522" i="3"/>
  <c r="T1563" i="3"/>
  <c r="T1555" i="3"/>
  <c r="AW1573" i="3"/>
  <c r="AX1573" i="3" s="1"/>
  <c r="AD1573" i="3"/>
  <c r="AW1565" i="3"/>
  <c r="AX1565" i="3" s="1"/>
  <c r="AD1565" i="3"/>
  <c r="AW1557" i="3"/>
  <c r="AX1557" i="3" s="1"/>
  <c r="AD1557" i="3"/>
  <c r="AY1536" i="3"/>
  <c r="AZ1536" i="3" s="1"/>
  <c r="T1536" i="3"/>
  <c r="Q1538" i="3"/>
  <c r="AD1538" i="3"/>
  <c r="AW1538" i="3"/>
  <c r="AX1538" i="3" s="1"/>
  <c r="T1538" i="3"/>
  <c r="AZ1518" i="3"/>
  <c r="Q1533" i="3"/>
  <c r="Q1530" i="3"/>
  <c r="AY1526" i="3"/>
  <c r="AZ1526" i="3" s="1"/>
  <c r="Q1526" i="3"/>
  <c r="AD1526" i="3"/>
  <c r="AW1526" i="3"/>
  <c r="AX1526" i="3" s="1"/>
  <c r="Q1531" i="3"/>
  <c r="AD1531" i="3"/>
  <c r="AW1531" i="3"/>
  <c r="AX1531" i="3" s="1"/>
  <c r="T1531" i="3"/>
  <c r="Q1528" i="3"/>
  <c r="AD1528" i="3"/>
  <c r="AW1528" i="3"/>
  <c r="AX1528" i="3" s="1"/>
  <c r="T1528" i="3"/>
  <c r="AW1539" i="3"/>
  <c r="AX1539" i="3" s="1"/>
  <c r="AD1539" i="3"/>
  <c r="AY1533" i="3"/>
  <c r="AZ1533" i="3" s="1"/>
  <c r="AY1531" i="3"/>
  <c r="AZ1531" i="3" s="1"/>
  <c r="AY1530" i="3"/>
  <c r="AZ1530" i="3" s="1"/>
  <c r="AW1525" i="3"/>
  <c r="AX1525" i="3" s="1"/>
  <c r="AD1525" i="3"/>
  <c r="Q1517" i="3"/>
  <c r="AW1533" i="3"/>
  <c r="AX1533" i="3" s="1"/>
  <c r="AD1533" i="3"/>
  <c r="AW1530" i="3"/>
  <c r="AX1530" i="3" s="1"/>
  <c r="AY1528" i="3"/>
  <c r="AZ1528" i="3" s="1"/>
  <c r="AZ1510" i="3"/>
  <c r="AX1510" i="3"/>
  <c r="AD1520" i="3"/>
  <c r="AX1520" i="3" s="1"/>
  <c r="AX1515" i="3"/>
  <c r="AD1512" i="3"/>
  <c r="AZ1512" i="3" s="1"/>
  <c r="AZ1504" i="3"/>
  <c r="AX1504" i="3"/>
  <c r="AD1475" i="3"/>
  <c r="AZ1475" i="3" s="1"/>
  <c r="AY1474" i="3"/>
  <c r="AZ1474" i="3" s="1"/>
  <c r="AZ1467" i="3"/>
  <c r="AY1493" i="3"/>
  <c r="AZ1493" i="3" s="1"/>
  <c r="AW1488" i="3"/>
  <c r="AX1488" i="3" s="1"/>
  <c r="T1507" i="3"/>
  <c r="Q1497" i="3"/>
  <c r="AD1497" i="3"/>
  <c r="AW1497" i="3"/>
  <c r="AX1497" i="3" s="1"/>
  <c r="AY1497" i="3"/>
  <c r="AZ1497" i="3" s="1"/>
  <c r="Q1496" i="3"/>
  <c r="AY1491" i="3"/>
  <c r="AZ1491" i="3" s="1"/>
  <c r="T1491" i="3"/>
  <c r="Q1491" i="3"/>
  <c r="AD1491" i="3"/>
  <c r="AW1491" i="3"/>
  <c r="AX1491" i="3" s="1"/>
  <c r="AY1499" i="3"/>
  <c r="AZ1499" i="3" s="1"/>
  <c r="Q1499" i="3"/>
  <c r="AD1499" i="3"/>
  <c r="AW1499" i="3"/>
  <c r="AX1499" i="3" s="1"/>
  <c r="Q1493" i="3"/>
  <c r="AD1493" i="3"/>
  <c r="AW1493" i="3"/>
  <c r="AX1493" i="3" s="1"/>
  <c r="Q1489" i="3"/>
  <c r="AD1489" i="3"/>
  <c r="AW1489" i="3"/>
  <c r="AX1489" i="3" s="1"/>
  <c r="AY1489" i="3"/>
  <c r="AZ1489" i="3" s="1"/>
  <c r="T1489" i="3"/>
  <c r="Q1501" i="3"/>
  <c r="AD1501" i="3"/>
  <c r="AW1501" i="3"/>
  <c r="AX1501" i="3" s="1"/>
  <c r="AY1488" i="3"/>
  <c r="AZ1488" i="3" s="1"/>
  <c r="T1488" i="3"/>
  <c r="AW1505" i="3"/>
  <c r="AX1505" i="3" s="1"/>
  <c r="AD1505" i="3"/>
  <c r="AY1471" i="3"/>
  <c r="AZ1471" i="3" s="1"/>
  <c r="T1471" i="3"/>
  <c r="Q1471" i="3"/>
  <c r="AD1471" i="3"/>
  <c r="AW1471" i="3"/>
  <c r="AX1471" i="3" s="1"/>
  <c r="AW1470" i="3"/>
  <c r="AX1470" i="3" s="1"/>
  <c r="AD1470" i="3"/>
  <c r="AY1479" i="3"/>
  <c r="AZ1479" i="3" s="1"/>
  <c r="AD1479" i="3"/>
  <c r="AX1479" i="3" s="1"/>
  <c r="Q1476" i="3"/>
  <c r="AD1476" i="3"/>
  <c r="AW1476" i="3"/>
  <c r="AX1476" i="3" s="1"/>
  <c r="T1476" i="3"/>
  <c r="AD1481" i="3"/>
  <c r="AZ1481" i="3" s="1"/>
  <c r="Q1484" i="3"/>
  <c r="AD1484" i="3"/>
  <c r="AW1484" i="3"/>
  <c r="AX1484" i="3" s="1"/>
  <c r="T1484" i="3"/>
  <c r="Q1470" i="3"/>
  <c r="Q1473" i="3"/>
  <c r="AD1473" i="3"/>
  <c r="AW1473" i="3"/>
  <c r="AX1473" i="3" s="1"/>
  <c r="T1473" i="3"/>
  <c r="AW1485" i="3"/>
  <c r="AX1485" i="3" s="1"/>
  <c r="AD1485" i="3"/>
  <c r="AY1470" i="3"/>
  <c r="AZ1470" i="3" s="1"/>
  <c r="AY1464" i="3"/>
  <c r="AZ1464" i="3" s="1"/>
  <c r="Q1464" i="3"/>
  <c r="Q1446" i="3"/>
  <c r="AD1446" i="3"/>
  <c r="AW1446" i="3"/>
  <c r="AX1446" i="3" s="1"/>
  <c r="AY1446" i="3"/>
  <c r="AZ1446" i="3" s="1"/>
  <c r="T1446" i="3"/>
  <c r="AY1444" i="3"/>
  <c r="AZ1444" i="3" s="1"/>
  <c r="T1444" i="3"/>
  <c r="Q1444" i="3"/>
  <c r="AD1444" i="3"/>
  <c r="AW1444" i="3"/>
  <c r="AX1444" i="3" s="1"/>
  <c r="AW1464" i="3"/>
  <c r="AX1464" i="3" s="1"/>
  <c r="AD1464" i="3"/>
  <c r="AY1452" i="3"/>
  <c r="AZ1452" i="3" s="1"/>
  <c r="Q1452" i="3"/>
  <c r="AD1452" i="3"/>
  <c r="AW1452" i="3"/>
  <c r="AX1452" i="3" s="1"/>
  <c r="AD1466" i="3"/>
  <c r="AY1460" i="3"/>
  <c r="AZ1460" i="3" s="1"/>
  <c r="Q1460" i="3"/>
  <c r="AD1460" i="3"/>
  <c r="AW1460" i="3"/>
  <c r="AX1460" i="3" s="1"/>
  <c r="Q1448" i="3"/>
  <c r="AD1448" i="3"/>
  <c r="AW1448" i="3"/>
  <c r="AX1448" i="3" s="1"/>
  <c r="AY1448" i="3"/>
  <c r="AZ1448" i="3" s="1"/>
  <c r="Q1462" i="3"/>
  <c r="AD1462" i="3"/>
  <c r="AW1462" i="3"/>
  <c r="AX1462" i="3" s="1"/>
  <c r="T1462" i="3"/>
  <c r="AD1454" i="3"/>
  <c r="AX1454" i="3" s="1"/>
  <c r="Q1468" i="3"/>
  <c r="AD1468" i="3"/>
  <c r="AW1468" i="3"/>
  <c r="AX1468" i="3" s="1"/>
  <c r="AY1462" i="3"/>
  <c r="AZ1462" i="3" s="1"/>
  <c r="Q1456" i="3"/>
  <c r="AD1456" i="3"/>
  <c r="AW1456" i="3"/>
  <c r="AX1456" i="3" s="1"/>
  <c r="T1466" i="3"/>
  <c r="T1457" i="3"/>
  <c r="T1449" i="3"/>
  <c r="AW1457" i="3"/>
  <c r="AX1457" i="3" s="1"/>
  <c r="AD1457" i="3"/>
  <c r="AW1449" i="3"/>
  <c r="AX1449" i="3" s="1"/>
  <c r="AD1449" i="3"/>
  <c r="AG4" i="3"/>
  <c r="AH4" i="3" s="1"/>
  <c r="AG5" i="3"/>
  <c r="AG6" i="3"/>
  <c r="AH6" i="3" s="1"/>
  <c r="AG7" i="3"/>
  <c r="AH7" i="3" s="1"/>
  <c r="AG10" i="3"/>
  <c r="AH10" i="3" s="1"/>
  <c r="AG11" i="3"/>
  <c r="AH11" i="3" s="1"/>
  <c r="AG12" i="3"/>
  <c r="AH12" i="3" s="1"/>
  <c r="AG14" i="3"/>
  <c r="AH14" i="3" s="1"/>
  <c r="AG15" i="3"/>
  <c r="AH15" i="3" s="1"/>
  <c r="AG19" i="3"/>
  <c r="AH19" i="3" s="1"/>
  <c r="AG20" i="3"/>
  <c r="AH20" i="3" s="1"/>
  <c r="AG22" i="3"/>
  <c r="AH22" i="3" s="1"/>
  <c r="AG23" i="3"/>
  <c r="AH23" i="3" s="1"/>
  <c r="AG24" i="3"/>
  <c r="AH24" i="3" s="1"/>
  <c r="AG25" i="3"/>
  <c r="AH25" i="3" s="1"/>
  <c r="AG26" i="3"/>
  <c r="AH26" i="3" s="1"/>
  <c r="AG27" i="3"/>
  <c r="AH27" i="3" s="1"/>
  <c r="AG28" i="3"/>
  <c r="AG29" i="3"/>
  <c r="AG30" i="3"/>
  <c r="AG31" i="3"/>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H44" i="3" s="1"/>
  <c r="AG45" i="3"/>
  <c r="AG46" i="3"/>
  <c r="AG47" i="3"/>
  <c r="AH47" i="3" s="1"/>
  <c r="AG48" i="3"/>
  <c r="AH48" i="3" s="1"/>
  <c r="AG49" i="3"/>
  <c r="AH49" i="3" s="1"/>
  <c r="AG50" i="3"/>
  <c r="AG51" i="3"/>
  <c r="AH51" i="3" s="1"/>
  <c r="AG52" i="3"/>
  <c r="AH52" i="3" s="1"/>
  <c r="AG54" i="3"/>
  <c r="AH54" i="3" s="1"/>
  <c r="AG55" i="3"/>
  <c r="AH55" i="3" s="1"/>
  <c r="AG56" i="3"/>
  <c r="AH56" i="3" s="1"/>
  <c r="AG57" i="3"/>
  <c r="AG58" i="3"/>
  <c r="AH58" i="3" s="1"/>
  <c r="AG59" i="3"/>
  <c r="AH59" i="3" s="1"/>
  <c r="AG61" i="3"/>
  <c r="AH61" i="3" s="1"/>
  <c r="AG63" i="3"/>
  <c r="AH63" i="3" s="1"/>
  <c r="AG64" i="3"/>
  <c r="AH64" i="3" s="1"/>
  <c r="AG65" i="3"/>
  <c r="AG68" i="3"/>
  <c r="AG69" i="3"/>
  <c r="AH69" i="3" s="1"/>
  <c r="AG71" i="3"/>
  <c r="AH71" i="3" s="1"/>
  <c r="AG72" i="3"/>
  <c r="AH72" i="3" s="1"/>
  <c r="AG73" i="3"/>
  <c r="AG74" i="3"/>
  <c r="AH74" i="3" s="1"/>
  <c r="AG75" i="3"/>
  <c r="AH75" i="3" s="1"/>
  <c r="AG76" i="3"/>
  <c r="AH76" i="3" s="1"/>
  <c r="AG77" i="3"/>
  <c r="AH77" i="3" s="1"/>
  <c r="AG78" i="3"/>
  <c r="AG79" i="3"/>
  <c r="AH79" i="3" s="1"/>
  <c r="AG83" i="3"/>
  <c r="AH83" i="3" s="1"/>
  <c r="AG84" i="3"/>
  <c r="AH84" i="3" s="1"/>
  <c r="AG86" i="3"/>
  <c r="AH86" i="3" s="1"/>
  <c r="AG87" i="3"/>
  <c r="AH87" i="3" s="1"/>
  <c r="AG89" i="3"/>
  <c r="AG92" i="3"/>
  <c r="AG93" i="3"/>
  <c r="AH93" i="3" s="1"/>
  <c r="AG94" i="3"/>
  <c r="AH94" i="3" s="1"/>
  <c r="AG96" i="3"/>
  <c r="AH96" i="3" s="1"/>
  <c r="AG100" i="3"/>
  <c r="AH100" i="3" s="1"/>
  <c r="AG103" i="3"/>
  <c r="AH103" i="3" s="1"/>
  <c r="AG105" i="3"/>
  <c r="AH105" i="3" s="1"/>
  <c r="AG106" i="3"/>
  <c r="AH106" i="3" s="1"/>
  <c r="AG107" i="3"/>
  <c r="AH107" i="3" s="1"/>
  <c r="AG108" i="3"/>
  <c r="AG110" i="3"/>
  <c r="AH110" i="3" s="1"/>
  <c r="AG111" i="3"/>
  <c r="AH111" i="3" s="1"/>
  <c r="AG112" i="3"/>
  <c r="AH112" i="3" s="1"/>
  <c r="AG117" i="3"/>
  <c r="AH117" i="3" s="1"/>
  <c r="AG120" i="3"/>
  <c r="AH120" i="3" s="1"/>
  <c r="AG122" i="3"/>
  <c r="AG124" i="3"/>
  <c r="AG126" i="3"/>
  <c r="AH126" i="3" s="1"/>
  <c r="AG127" i="3"/>
  <c r="AH127" i="3" s="1"/>
  <c r="AG128" i="3"/>
  <c r="AH128" i="3" s="1"/>
  <c r="AG129" i="3"/>
  <c r="AH129" i="3" s="1"/>
  <c r="AG130" i="3"/>
  <c r="AG131" i="3"/>
  <c r="AH131" i="3" s="1"/>
  <c r="AG132" i="3"/>
  <c r="AH132" i="3" s="1"/>
  <c r="AG137" i="3"/>
  <c r="AH137" i="3" s="1"/>
  <c r="AG138" i="3"/>
  <c r="AH138" i="3" s="1"/>
  <c r="AG142" i="3"/>
  <c r="AH142" i="3" s="1"/>
  <c r="AG148" i="3"/>
  <c r="AH148" i="3" s="1"/>
  <c r="AG151" i="3"/>
  <c r="AH151" i="3" s="1"/>
  <c r="AG152" i="3"/>
  <c r="AH152" i="3" s="1"/>
  <c r="AG156" i="3"/>
  <c r="AG160" i="3"/>
  <c r="AH160" i="3" s="1"/>
  <c r="AG164" i="3"/>
  <c r="AG165" i="3"/>
  <c r="AH165" i="3" s="1"/>
  <c r="AG167" i="3"/>
  <c r="AH167" i="3" s="1"/>
  <c r="AG169" i="3"/>
  <c r="AG170" i="3"/>
  <c r="AH170" i="3" s="1"/>
  <c r="AG171" i="3"/>
  <c r="AH171" i="3" s="1"/>
  <c r="AG177" i="3"/>
  <c r="AH177" i="3" s="1"/>
  <c r="AG179" i="3"/>
  <c r="AH179" i="3" s="1"/>
  <c r="AG183" i="3"/>
  <c r="AH183" i="3" s="1"/>
  <c r="AG184" i="3"/>
  <c r="AH184" i="3" s="1"/>
  <c r="AG192" i="3"/>
  <c r="AH192" i="3" s="1"/>
  <c r="AG194" i="3"/>
  <c r="AH194" i="3" s="1"/>
  <c r="AG196" i="3"/>
  <c r="AH196" i="3" s="1"/>
  <c r="AG197" i="3"/>
  <c r="AG198" i="3"/>
  <c r="AH198" i="3" s="1"/>
  <c r="AG199" i="3"/>
  <c r="AH199" i="3" s="1"/>
  <c r="AG200" i="3"/>
  <c r="AH200" i="3" s="1"/>
  <c r="AG201" i="3"/>
  <c r="AH201" i="3" s="1"/>
  <c r="AG202" i="3"/>
  <c r="AH202" i="3" s="1"/>
  <c r="AG203" i="3"/>
  <c r="AH203" i="3" s="1"/>
  <c r="AG204" i="3"/>
  <c r="AG205" i="3"/>
  <c r="AG206" i="3"/>
  <c r="AH206" i="3" s="1"/>
  <c r="AG207" i="3"/>
  <c r="AH207" i="3" s="1"/>
  <c r="AG208" i="3"/>
  <c r="AH208" i="3" s="1"/>
  <c r="AG209" i="3"/>
  <c r="AH209" i="3" s="1"/>
  <c r="AG210" i="3"/>
  <c r="AH210" i="3" s="1"/>
  <c r="AG211" i="3"/>
  <c r="AH211" i="3" s="1"/>
  <c r="AG212" i="3"/>
  <c r="AH212" i="3" s="1"/>
  <c r="AG213" i="3"/>
  <c r="AG214" i="3"/>
  <c r="AG215" i="3"/>
  <c r="AH215" i="3" s="1"/>
  <c r="AG216" i="3"/>
  <c r="AH216" i="3" s="1"/>
  <c r="AG217" i="3"/>
  <c r="AH217" i="3" s="1"/>
  <c r="AG218" i="3"/>
  <c r="AG219" i="3"/>
  <c r="AH219" i="3" s="1"/>
  <c r="AG221" i="3"/>
  <c r="AH221" i="3" s="1"/>
  <c r="AG223" i="3"/>
  <c r="AH223" i="3" s="1"/>
  <c r="AG228" i="3"/>
  <c r="AH228" i="3" s="1"/>
  <c r="AG230" i="3"/>
  <c r="AH230" i="3" s="1"/>
  <c r="AG231" i="3"/>
  <c r="AH231" i="3" s="1"/>
  <c r="AG235" i="3"/>
  <c r="AH235" i="3" s="1"/>
  <c r="AG236" i="3"/>
  <c r="AH236" i="3" s="1"/>
  <c r="AG247" i="3"/>
  <c r="AH247" i="3" s="1"/>
  <c r="AH248" i="3"/>
  <c r="AG252" i="3"/>
  <c r="AG253" i="3"/>
  <c r="AG257" i="3"/>
  <c r="AH257" i="3" s="1"/>
  <c r="AG259" i="3"/>
  <c r="AH259" i="3" s="1"/>
  <c r="AG266" i="3"/>
  <c r="AH266" i="3" s="1"/>
  <c r="AG267" i="3"/>
  <c r="AH267" i="3" s="1"/>
  <c r="AG274" i="3"/>
  <c r="AG279" i="3"/>
  <c r="AH279" i="3" s="1"/>
  <c r="AG280" i="3"/>
  <c r="AH280" i="3" s="1"/>
  <c r="AG285" i="3"/>
  <c r="AH285" i="3" s="1"/>
  <c r="AG295" i="3"/>
  <c r="AH295" i="3" s="1"/>
  <c r="AG301" i="3"/>
  <c r="AH301" i="3" s="1"/>
  <c r="AG305" i="3"/>
  <c r="AH305" i="3" s="1"/>
  <c r="AG307" i="3"/>
  <c r="AH307" i="3" s="1"/>
  <c r="AG311" i="3"/>
  <c r="AH311" i="3" s="1"/>
  <c r="AG314" i="3"/>
  <c r="AH314" i="3" s="1"/>
  <c r="AG317" i="3"/>
  <c r="AG320" i="3"/>
  <c r="AG321" i="3"/>
  <c r="AH321" i="3" s="1"/>
  <c r="AG322" i="3"/>
  <c r="AH322" i="3" s="1"/>
  <c r="AG329" i="3"/>
  <c r="AH329" i="3" s="1"/>
  <c r="AG330" i="3"/>
  <c r="AH330" i="3" s="1"/>
  <c r="AG336" i="3"/>
  <c r="AG337" i="3"/>
  <c r="AH337" i="3" s="1"/>
  <c r="AG340" i="3"/>
  <c r="AG341" i="3"/>
  <c r="AH341" i="3" s="1"/>
  <c r="AG342" i="3"/>
  <c r="AH342" i="3" s="1"/>
  <c r="AG344" i="3"/>
  <c r="AH344" i="3" s="1"/>
  <c r="AG345" i="3"/>
  <c r="AH345" i="3" s="1"/>
  <c r="AG346" i="3"/>
  <c r="AH346" i="3" s="1"/>
  <c r="AG347" i="3"/>
  <c r="AH347" i="3" s="1"/>
  <c r="AG350" i="3"/>
  <c r="AG351" i="3"/>
  <c r="AH351" i="3" s="1"/>
  <c r="AG352" i="3"/>
  <c r="AH352" i="3" s="1"/>
  <c r="AG353" i="3"/>
  <c r="AH353" i="3" s="1"/>
  <c r="AG355" i="3"/>
  <c r="AH355" i="3" s="1"/>
  <c r="AG357" i="3"/>
  <c r="AH357" i="3" s="1"/>
  <c r="AH358" i="3"/>
  <c r="AG359" i="3"/>
  <c r="AH359" i="3" s="1"/>
  <c r="AG361" i="3"/>
  <c r="AH361" i="3" s="1"/>
  <c r="AG362" i="3"/>
  <c r="AH362" i="3" s="1"/>
  <c r="AG365" i="3"/>
  <c r="AH365" i="3" s="1"/>
  <c r="AG368" i="3"/>
  <c r="AH368" i="3" s="1"/>
  <c r="AG369" i="3"/>
  <c r="AH369" i="3" s="1"/>
  <c r="AG370" i="3"/>
  <c r="AG372" i="3"/>
  <c r="AH372" i="3" s="1"/>
  <c r="AG373" i="3"/>
  <c r="AH373" i="3" s="1"/>
  <c r="AG376" i="3"/>
  <c r="AG380" i="3"/>
  <c r="AG382" i="3"/>
  <c r="AH382" i="3" s="1"/>
  <c r="AG383" i="3"/>
  <c r="AH383" i="3" s="1"/>
  <c r="AG385" i="3"/>
  <c r="AH385" i="3" s="1"/>
  <c r="AG386" i="3"/>
  <c r="AH386" i="3" s="1"/>
  <c r="AG387" i="3"/>
  <c r="AH387" i="3" s="1"/>
  <c r="AG388" i="3"/>
  <c r="AG389" i="3"/>
  <c r="AG390" i="3"/>
  <c r="AH390" i="3" s="1"/>
  <c r="AG391" i="3"/>
  <c r="AH391" i="3" s="1"/>
  <c r="AG392" i="3"/>
  <c r="AH392" i="3" s="1"/>
  <c r="AG396" i="3"/>
  <c r="AH396" i="3" s="1"/>
  <c r="AG397" i="3"/>
  <c r="AG398" i="3"/>
  <c r="AH398" i="3" s="1"/>
  <c r="AG399" i="3"/>
  <c r="AH399" i="3" s="1"/>
  <c r="AG400" i="3"/>
  <c r="AH400" i="3" s="1"/>
  <c r="AG401" i="3"/>
  <c r="AH401" i="3" s="1"/>
  <c r="AG402" i="3"/>
  <c r="AG404" i="3"/>
  <c r="AG410" i="3"/>
  <c r="AG411" i="3"/>
  <c r="AH411" i="3" s="1"/>
  <c r="AG412" i="3"/>
  <c r="AG413" i="3"/>
  <c r="AH413" i="3" s="1"/>
  <c r="AG414" i="3"/>
  <c r="AG415" i="3"/>
  <c r="AH415" i="3" s="1"/>
  <c r="AG417" i="3"/>
  <c r="AH417" i="3" s="1"/>
  <c r="AG418" i="3"/>
  <c r="AH418" i="3" s="1"/>
  <c r="AG419" i="3"/>
  <c r="AH419" i="3" s="1"/>
  <c r="AG420" i="3"/>
  <c r="AG421" i="3"/>
  <c r="AH421" i="3" s="1"/>
  <c r="AG423" i="3"/>
  <c r="AH423" i="3" s="1"/>
  <c r="AG424" i="3"/>
  <c r="AH424" i="3" s="1"/>
  <c r="AG425" i="3"/>
  <c r="AH425" i="3" s="1"/>
  <c r="AG427" i="3"/>
  <c r="AH427" i="3" s="1"/>
  <c r="AG428" i="3"/>
  <c r="AG429" i="3"/>
  <c r="AG431" i="3"/>
  <c r="AH431" i="3" s="1"/>
  <c r="AG432" i="3"/>
  <c r="AG434" i="3"/>
  <c r="AG436" i="3"/>
  <c r="AG437" i="3"/>
  <c r="AG438" i="3"/>
  <c r="AG440" i="3"/>
  <c r="AH440" i="3" s="1"/>
  <c r="AG441" i="3"/>
  <c r="AH441" i="3" s="1"/>
  <c r="AG442" i="3"/>
  <c r="AG443" i="3"/>
  <c r="AH443" i="3" s="1"/>
  <c r="AG444" i="3"/>
  <c r="AH444" i="3" s="1"/>
  <c r="AG446" i="3"/>
  <c r="AG447" i="3"/>
  <c r="AH447" i="3" s="1"/>
  <c r="AG448" i="3"/>
  <c r="AH448" i="3" s="1"/>
  <c r="AG449" i="3"/>
  <c r="AG450" i="3"/>
  <c r="AG451" i="3"/>
  <c r="AH451" i="3" s="1"/>
  <c r="AG452" i="3"/>
  <c r="AG453" i="3"/>
  <c r="AH453" i="3" s="1"/>
  <c r="AG457" i="3"/>
  <c r="AH457" i="3" s="1"/>
  <c r="AG458" i="3"/>
  <c r="AG461" i="3"/>
  <c r="AH461" i="3" s="1"/>
  <c r="AG462" i="3"/>
  <c r="AH462" i="3" s="1"/>
  <c r="AG463" i="3"/>
  <c r="AH463" i="3" s="1"/>
  <c r="AG464" i="3"/>
  <c r="AH464" i="3" s="1"/>
  <c r="AG465" i="3"/>
  <c r="AH465" i="3" s="1"/>
  <c r="AG466" i="3"/>
  <c r="AH466" i="3" s="1"/>
  <c r="AG467" i="3"/>
  <c r="AH467" i="3" s="1"/>
  <c r="AG469" i="3"/>
  <c r="AG470" i="3"/>
  <c r="AG471" i="3"/>
  <c r="AH471" i="3" s="1"/>
  <c r="AG472" i="3"/>
  <c r="AH472" i="3" s="1"/>
  <c r="AG473" i="3"/>
  <c r="AH473" i="3" s="1"/>
  <c r="AG475" i="3"/>
  <c r="AH475" i="3" s="1"/>
  <c r="AG476" i="3"/>
  <c r="AH476" i="3" s="1"/>
  <c r="AG477" i="3"/>
  <c r="AG478" i="3"/>
  <c r="AG479" i="3"/>
  <c r="AH479" i="3" s="1"/>
  <c r="AG480" i="3"/>
  <c r="AH480" i="3" s="1"/>
  <c r="AG481" i="3"/>
  <c r="AH481" i="3" s="1"/>
  <c r="AG482" i="3"/>
  <c r="AG483" i="3"/>
  <c r="AH483" i="3" s="1"/>
  <c r="AG484" i="3"/>
  <c r="AH484" i="3" s="1"/>
  <c r="AG485" i="3"/>
  <c r="AG486" i="3"/>
  <c r="AG487" i="3"/>
  <c r="AH487" i="3" s="1"/>
  <c r="AG488" i="3"/>
  <c r="AH488" i="3" s="1"/>
  <c r="AG489" i="3"/>
  <c r="AH489" i="3" s="1"/>
  <c r="AG490" i="3"/>
  <c r="AH490" i="3" s="1"/>
  <c r="AG491" i="3"/>
  <c r="AH491" i="3" s="1"/>
  <c r="AG492" i="3"/>
  <c r="AH492" i="3" s="1"/>
  <c r="AG493" i="3"/>
  <c r="AG494" i="3"/>
  <c r="AG495" i="3"/>
  <c r="AH495" i="3" s="1"/>
  <c r="AG497" i="3"/>
  <c r="AH497" i="3" s="1"/>
  <c r="AG498" i="3"/>
  <c r="AH498" i="3" s="1"/>
  <c r="AG499" i="3"/>
  <c r="AH499" i="3" s="1"/>
  <c r="AG500" i="3"/>
  <c r="AH500" i="3" s="1"/>
  <c r="AG501" i="3"/>
  <c r="AH501" i="3" s="1"/>
  <c r="AG503" i="3"/>
  <c r="AH503" i="3" s="1"/>
  <c r="AG504" i="3"/>
  <c r="AH504" i="3" s="1"/>
  <c r="AG505" i="3"/>
  <c r="AH505" i="3" s="1"/>
  <c r="AG506" i="3"/>
  <c r="AG507" i="3"/>
  <c r="AH507" i="3" s="1"/>
  <c r="AG508" i="3"/>
  <c r="AH508" i="3" s="1"/>
  <c r="AG509" i="3"/>
  <c r="AG510" i="3"/>
  <c r="AH510" i="3" s="1"/>
  <c r="AG511" i="3"/>
  <c r="AH511" i="3" s="1"/>
  <c r="AG514" i="3"/>
  <c r="AG515" i="3"/>
  <c r="AH515" i="3" s="1"/>
  <c r="AG516" i="3"/>
  <c r="AH516" i="3" s="1"/>
  <c r="AG517" i="3"/>
  <c r="AG518" i="3"/>
  <c r="AG519" i="3"/>
  <c r="AH519" i="3" s="1"/>
  <c r="AG520" i="3"/>
  <c r="AH520" i="3" s="1"/>
  <c r="AG521" i="3"/>
  <c r="AH521" i="3" s="1"/>
  <c r="AG522" i="3"/>
  <c r="AG523" i="3"/>
  <c r="AH523" i="3" s="1"/>
  <c r="AG524" i="3"/>
  <c r="AG525" i="3"/>
  <c r="AG526" i="3"/>
  <c r="AH526" i="3" s="1"/>
  <c r="AG527" i="3"/>
  <c r="AH527" i="3" s="1"/>
  <c r="AG528" i="3"/>
  <c r="AH528" i="3" s="1"/>
  <c r="AG529" i="3"/>
  <c r="AH529" i="3" s="1"/>
  <c r="AG531" i="3"/>
  <c r="AH531" i="3" s="1"/>
  <c r="AG532" i="3"/>
  <c r="AH532" i="3" s="1"/>
  <c r="AG533" i="3"/>
  <c r="AH533" i="3" s="1"/>
  <c r="AG534" i="3"/>
  <c r="AH534" i="3" s="1"/>
  <c r="AG535" i="3"/>
  <c r="AH535" i="3" s="1"/>
  <c r="AG536" i="3"/>
  <c r="AH536" i="3" s="1"/>
  <c r="AG537" i="3"/>
  <c r="AH537" i="3" s="1"/>
  <c r="AG538" i="3"/>
  <c r="AG539" i="3"/>
  <c r="AH539" i="3" s="1"/>
  <c r="AG540" i="3"/>
  <c r="AG541" i="3"/>
  <c r="AG542" i="3"/>
  <c r="AG543" i="3"/>
  <c r="AH543" i="3" s="1"/>
  <c r="AG545" i="3"/>
  <c r="AH545" i="3" s="1"/>
  <c r="AG547" i="3"/>
  <c r="AH547" i="3" s="1"/>
  <c r="AG548" i="3"/>
  <c r="AG549" i="3"/>
  <c r="AG550" i="3"/>
  <c r="AH550" i="3" s="1"/>
  <c r="AG551" i="3"/>
  <c r="AH551" i="3" s="1"/>
  <c r="AG552" i="3"/>
  <c r="AH552" i="3" s="1"/>
  <c r="AG553" i="3"/>
  <c r="AH553" i="3" s="1"/>
  <c r="AG554" i="3"/>
  <c r="AH554" i="3" s="1"/>
  <c r="AG555" i="3"/>
  <c r="AH555" i="3" s="1"/>
  <c r="AG556" i="3"/>
  <c r="AG557" i="3"/>
  <c r="AG558" i="3"/>
  <c r="AG559" i="3"/>
  <c r="AH559" i="3" s="1"/>
  <c r="AG560" i="3"/>
  <c r="AH560" i="3" s="1"/>
  <c r="AG561" i="3"/>
  <c r="AH561" i="3" s="1"/>
  <c r="AG562" i="3"/>
  <c r="AG563" i="3"/>
  <c r="AH563" i="3" s="1"/>
  <c r="AG564" i="3"/>
  <c r="AG565" i="3"/>
  <c r="AG566" i="3"/>
  <c r="AG567" i="3"/>
  <c r="AH567" i="3" s="1"/>
  <c r="AG568" i="3"/>
  <c r="AH568" i="3" s="1"/>
  <c r="AG569" i="3"/>
  <c r="AH569" i="3" s="1"/>
  <c r="AG570" i="3"/>
  <c r="AH570" i="3" s="1"/>
  <c r="AG571" i="3"/>
  <c r="AH571" i="3" s="1"/>
  <c r="AG572" i="3"/>
  <c r="AG573" i="3"/>
  <c r="AG574" i="3"/>
  <c r="AG575" i="3"/>
  <c r="AH575" i="3" s="1"/>
  <c r="AG576" i="3"/>
  <c r="AH576" i="3" s="1"/>
  <c r="AG577" i="3"/>
  <c r="AH577" i="3" s="1"/>
  <c r="AG578" i="3"/>
  <c r="AG579" i="3"/>
  <c r="AH579" i="3" s="1"/>
  <c r="AG580" i="3"/>
  <c r="AG581" i="3"/>
  <c r="AG582" i="3"/>
  <c r="AH582" i="3" s="1"/>
  <c r="AG583" i="3"/>
  <c r="AH583" i="3" s="1"/>
  <c r="AG584" i="3"/>
  <c r="AH584" i="3" s="1"/>
  <c r="AG585" i="3"/>
  <c r="AH585" i="3" s="1"/>
  <c r="AG586" i="3"/>
  <c r="AH586" i="3" s="1"/>
  <c r="AG587" i="3"/>
  <c r="AH587" i="3" s="1"/>
  <c r="AG588" i="3"/>
  <c r="AG589" i="3"/>
  <c r="AG590" i="3"/>
  <c r="AG591" i="3"/>
  <c r="AH591" i="3" s="1"/>
  <c r="AG592" i="3"/>
  <c r="AH592" i="3" s="1"/>
  <c r="AG593" i="3"/>
  <c r="AH593" i="3" s="1"/>
  <c r="AG594" i="3"/>
  <c r="AG595" i="3"/>
  <c r="AH595" i="3" s="1"/>
  <c r="AG596" i="3"/>
  <c r="AG597" i="3"/>
  <c r="AG598" i="3"/>
  <c r="AG599" i="3"/>
  <c r="AH599" i="3" s="1"/>
  <c r="AG600" i="3"/>
  <c r="AH600" i="3" s="1"/>
  <c r="AG601" i="3"/>
  <c r="AH601" i="3" s="1"/>
  <c r="AG602" i="3"/>
  <c r="AH602" i="3" s="1"/>
  <c r="AG603" i="3"/>
  <c r="AH603" i="3" s="1"/>
  <c r="AG604" i="3"/>
  <c r="AG605" i="3"/>
  <c r="AG606" i="3"/>
  <c r="AG607" i="3"/>
  <c r="AG608" i="3"/>
  <c r="AH608" i="3" s="1"/>
  <c r="AG609" i="3"/>
  <c r="AH609" i="3" s="1"/>
  <c r="AG610" i="3"/>
  <c r="AG611" i="3"/>
  <c r="AH611" i="3" s="1"/>
  <c r="AG612" i="3"/>
  <c r="AG613" i="3"/>
  <c r="AG614" i="3"/>
  <c r="AH614" i="3" s="1"/>
  <c r="AG615" i="3"/>
  <c r="AH615" i="3" s="1"/>
  <c r="AG616" i="3"/>
  <c r="AH616" i="3" s="1"/>
  <c r="AG617" i="3"/>
  <c r="AG618" i="3"/>
  <c r="AH618" i="3" s="1"/>
  <c r="AG619" i="3"/>
  <c r="AH619" i="3" s="1"/>
  <c r="AG620" i="3"/>
  <c r="AG621" i="3"/>
  <c r="AG622" i="3"/>
  <c r="AG623" i="3"/>
  <c r="AH623" i="3" s="1"/>
  <c r="AG624" i="3"/>
  <c r="AH624" i="3" s="1"/>
  <c r="AG625" i="3"/>
  <c r="AH625" i="3" s="1"/>
  <c r="AG626" i="3"/>
  <c r="AG627" i="3"/>
  <c r="AH627" i="3" s="1"/>
  <c r="AG628" i="3"/>
  <c r="AG629" i="3"/>
  <c r="AG630" i="3"/>
  <c r="AH630" i="3" s="1"/>
  <c r="AG631" i="3"/>
  <c r="AH631" i="3" s="1"/>
  <c r="AG632" i="3"/>
  <c r="AH632" i="3" s="1"/>
  <c r="AG633" i="3"/>
  <c r="AH633" i="3" s="1"/>
  <c r="AG634" i="3"/>
  <c r="AH634" i="3" s="1"/>
  <c r="AG635" i="3"/>
  <c r="AH635" i="3" s="1"/>
  <c r="AG636" i="3"/>
  <c r="AG637" i="3"/>
  <c r="AG638" i="3"/>
  <c r="AG639" i="3"/>
  <c r="AH639" i="3" s="1"/>
  <c r="AG640" i="3"/>
  <c r="AH640" i="3" s="1"/>
  <c r="AG641" i="3"/>
  <c r="AH641" i="3" s="1"/>
  <c r="AG642" i="3"/>
  <c r="AG643" i="3"/>
  <c r="AH643" i="3" s="1"/>
  <c r="AG644" i="3"/>
  <c r="AG645" i="3"/>
  <c r="AG646" i="3"/>
  <c r="AH646" i="3" s="1"/>
  <c r="AG647" i="3"/>
  <c r="AH647" i="3" s="1"/>
  <c r="AG648" i="3"/>
  <c r="AH648" i="3" s="1"/>
  <c r="AG649" i="3"/>
  <c r="AG650" i="3"/>
  <c r="AH650" i="3" s="1"/>
  <c r="AG651" i="3"/>
  <c r="AH651" i="3" s="1"/>
  <c r="AG652" i="3"/>
  <c r="AG653" i="3"/>
  <c r="AG654" i="3"/>
  <c r="AG655" i="3"/>
  <c r="AH655" i="3" s="1"/>
  <c r="AG656" i="3"/>
  <c r="AH656" i="3" s="1"/>
  <c r="AG657" i="3"/>
  <c r="AH657" i="3" s="1"/>
  <c r="AG658" i="3"/>
  <c r="AH658" i="3" s="1"/>
  <c r="AG659" i="3"/>
  <c r="AH659" i="3" s="1"/>
  <c r="AG660" i="3"/>
  <c r="AG661" i="3"/>
  <c r="AG662" i="3"/>
  <c r="AH662" i="3" s="1"/>
  <c r="AG663" i="3"/>
  <c r="AH663" i="3" s="1"/>
  <c r="AG664" i="3"/>
  <c r="AH664" i="3" s="1"/>
  <c r="AG665" i="3"/>
  <c r="AH665" i="3" s="1"/>
  <c r="AG666" i="3"/>
  <c r="AH666" i="3" s="1"/>
  <c r="AG667" i="3"/>
  <c r="AH667" i="3" s="1"/>
  <c r="AG668" i="3"/>
  <c r="AG669" i="3"/>
  <c r="AG670" i="3"/>
  <c r="AG671" i="3"/>
  <c r="AH671" i="3" s="1"/>
  <c r="AG672" i="3"/>
  <c r="AH672" i="3" s="1"/>
  <c r="AG673" i="3"/>
  <c r="AH673" i="3" s="1"/>
  <c r="AG674" i="3"/>
  <c r="AG675" i="3"/>
  <c r="AH675" i="3" s="1"/>
  <c r="AG676" i="3"/>
  <c r="AG677" i="3"/>
  <c r="AG678" i="3"/>
  <c r="AH678" i="3" s="1"/>
  <c r="AG679" i="3"/>
  <c r="AH679" i="3" s="1"/>
  <c r="AG680" i="3"/>
  <c r="AH680" i="3" s="1"/>
  <c r="AG681" i="3"/>
  <c r="AG682" i="3"/>
  <c r="AH682" i="3" s="1"/>
  <c r="AG683" i="3"/>
  <c r="AH683" i="3" s="1"/>
  <c r="AG684" i="3"/>
  <c r="AG685" i="3"/>
  <c r="AG686" i="3"/>
  <c r="AG687" i="3"/>
  <c r="AH687" i="3" s="1"/>
  <c r="AG688" i="3"/>
  <c r="AH688" i="3" s="1"/>
  <c r="AG689" i="3"/>
  <c r="AH689" i="3" s="1"/>
  <c r="AG690" i="3"/>
  <c r="AG691" i="3"/>
  <c r="AH691" i="3" s="1"/>
  <c r="AG692" i="3"/>
  <c r="AG693" i="3"/>
  <c r="AG694" i="3"/>
  <c r="AH694" i="3" s="1"/>
  <c r="AG695" i="3"/>
  <c r="AH695" i="3" s="1"/>
  <c r="AG696" i="3"/>
  <c r="AH696" i="3" s="1"/>
  <c r="AG697" i="3"/>
  <c r="AH697" i="3" s="1"/>
  <c r="AG698" i="3"/>
  <c r="AH698" i="3" s="1"/>
  <c r="AG699" i="3"/>
  <c r="AH699" i="3" s="1"/>
  <c r="AG700" i="3"/>
  <c r="AG701" i="3"/>
  <c r="AG702" i="3"/>
  <c r="AG703" i="3"/>
  <c r="AH703" i="3" s="1"/>
  <c r="AG704" i="3"/>
  <c r="AG705" i="3"/>
  <c r="AH705" i="3" s="1"/>
  <c r="AG706" i="3"/>
  <c r="AG707" i="3"/>
  <c r="AH707" i="3" s="1"/>
  <c r="AG708" i="3"/>
  <c r="AG709" i="3"/>
  <c r="AG710" i="3"/>
  <c r="AG711" i="3"/>
  <c r="AH711" i="3" s="1"/>
  <c r="AG712" i="3"/>
  <c r="AH712" i="3" s="1"/>
  <c r="AG713" i="3"/>
  <c r="AG714" i="3"/>
  <c r="AH714" i="3" s="1"/>
  <c r="AG715" i="3"/>
  <c r="AH715" i="3" s="1"/>
  <c r="AG716" i="3"/>
  <c r="AG717" i="3"/>
  <c r="AG718" i="3"/>
  <c r="AG719" i="3"/>
  <c r="AH719" i="3" s="1"/>
  <c r="AG720" i="3"/>
  <c r="AH720" i="3" s="1"/>
  <c r="AG721" i="3"/>
  <c r="AH721" i="3" s="1"/>
  <c r="AG722" i="3"/>
  <c r="AG723" i="3"/>
  <c r="AH723" i="3" s="1"/>
  <c r="AG724" i="3"/>
  <c r="AG725" i="3"/>
  <c r="AG726" i="3"/>
  <c r="AH726" i="3" s="1"/>
  <c r="AG727" i="3"/>
  <c r="AH727" i="3" s="1"/>
  <c r="AG728" i="3"/>
  <c r="AH728" i="3" s="1"/>
  <c r="AG729" i="3"/>
  <c r="AH729" i="3" s="1"/>
  <c r="AG730" i="3"/>
  <c r="AH730" i="3" s="1"/>
  <c r="AG731" i="3"/>
  <c r="AH731" i="3" s="1"/>
  <c r="AG732" i="3"/>
  <c r="AG733" i="3"/>
  <c r="AG734" i="3"/>
  <c r="AG735" i="3"/>
  <c r="AG736" i="3"/>
  <c r="AH736" i="3" s="1"/>
  <c r="AG737" i="3"/>
  <c r="AH737" i="3" s="1"/>
  <c r="AG738" i="3"/>
  <c r="AG739" i="3"/>
  <c r="AH739" i="3" s="1"/>
  <c r="AG740" i="3"/>
  <c r="AG741" i="3"/>
  <c r="AG742" i="3"/>
  <c r="AH742" i="3" s="1"/>
  <c r="AG743" i="3"/>
  <c r="AH743" i="3" s="1"/>
  <c r="AG744" i="3"/>
  <c r="AH744" i="3" s="1"/>
  <c r="AG745" i="3"/>
  <c r="AH745" i="3" s="1"/>
  <c r="AG746" i="3"/>
  <c r="AH746" i="3" s="1"/>
  <c r="AG747" i="3"/>
  <c r="AH747" i="3" s="1"/>
  <c r="AG748" i="3"/>
  <c r="AG749" i="3"/>
  <c r="AG750" i="3"/>
  <c r="AG751" i="3"/>
  <c r="AH751" i="3" s="1"/>
  <c r="AG752" i="3"/>
  <c r="AH752" i="3" s="1"/>
  <c r="AG753" i="3"/>
  <c r="AH753" i="3" s="1"/>
  <c r="AG754" i="3"/>
  <c r="AG755" i="3"/>
  <c r="AH755" i="3" s="1"/>
  <c r="AG756" i="3"/>
  <c r="AG757" i="3"/>
  <c r="AG758" i="3"/>
  <c r="AH758" i="3" s="1"/>
  <c r="AG759" i="3"/>
  <c r="AH759" i="3" s="1"/>
  <c r="AG760" i="3"/>
  <c r="AH760" i="3" s="1"/>
  <c r="AG761" i="3"/>
  <c r="AH761" i="3" s="1"/>
  <c r="AG762" i="3"/>
  <c r="AH762" i="3" s="1"/>
  <c r="AG763" i="3"/>
  <c r="AH763" i="3" s="1"/>
  <c r="AG764" i="3"/>
  <c r="AG765" i="3"/>
  <c r="AG766" i="3"/>
  <c r="AG767" i="3"/>
  <c r="AH767" i="3" s="1"/>
  <c r="AG768" i="3"/>
  <c r="AG769" i="3"/>
  <c r="AH769" i="3" s="1"/>
  <c r="AG770" i="3"/>
  <c r="AG771" i="3"/>
  <c r="AH771" i="3" s="1"/>
  <c r="AG772" i="3"/>
  <c r="AG773" i="3"/>
  <c r="AG774" i="3"/>
  <c r="AG775" i="3"/>
  <c r="AH775" i="3" s="1"/>
  <c r="AG776" i="3"/>
  <c r="AH776" i="3" s="1"/>
  <c r="AG777" i="3"/>
  <c r="AH777" i="3" s="1"/>
  <c r="AG778" i="3"/>
  <c r="AH778" i="3" s="1"/>
  <c r="AG779" i="3"/>
  <c r="AH779" i="3" s="1"/>
  <c r="AG780" i="3"/>
  <c r="AG781" i="3"/>
  <c r="AG782" i="3"/>
  <c r="AG783" i="3"/>
  <c r="AH783" i="3" s="1"/>
  <c r="AG784" i="3"/>
  <c r="AH784" i="3" s="1"/>
  <c r="AG785" i="3"/>
  <c r="AH785" i="3" s="1"/>
  <c r="AG786" i="3"/>
  <c r="AG787" i="3"/>
  <c r="AH787" i="3" s="1"/>
  <c r="AG788" i="3"/>
  <c r="AG789" i="3"/>
  <c r="AG790" i="3"/>
  <c r="AH790" i="3" s="1"/>
  <c r="AG791" i="3"/>
  <c r="AH791" i="3" s="1"/>
  <c r="AG792" i="3"/>
  <c r="AH792" i="3" s="1"/>
  <c r="AG793" i="3"/>
  <c r="AG794" i="3"/>
  <c r="AH794" i="3" s="1"/>
  <c r="AG795" i="3"/>
  <c r="AH795" i="3" s="1"/>
  <c r="AG796" i="3"/>
  <c r="AG797" i="3"/>
  <c r="AG798" i="3"/>
  <c r="AG799" i="3"/>
  <c r="AH799" i="3" s="1"/>
  <c r="AG800" i="3"/>
  <c r="AH800" i="3" s="1"/>
  <c r="AG801" i="3"/>
  <c r="AH801" i="3" s="1"/>
  <c r="AG802" i="3"/>
  <c r="AG803" i="3"/>
  <c r="AH803" i="3" s="1"/>
  <c r="AG804" i="3"/>
  <c r="AG805" i="3"/>
  <c r="AG806" i="3"/>
  <c r="AG807" i="3"/>
  <c r="AH807" i="3" s="1"/>
  <c r="AG808" i="3"/>
  <c r="AH808" i="3" s="1"/>
  <c r="AG809" i="3"/>
  <c r="AH809" i="3" s="1"/>
  <c r="AG810" i="3"/>
  <c r="AH810" i="3" s="1"/>
  <c r="AG811" i="3"/>
  <c r="AH811" i="3" s="1"/>
  <c r="AG812" i="3"/>
  <c r="AG813" i="3"/>
  <c r="AG814" i="3"/>
  <c r="AG815" i="3"/>
  <c r="AH815" i="3" s="1"/>
  <c r="AG816" i="3"/>
  <c r="AH816" i="3" s="1"/>
  <c r="AG817" i="3"/>
  <c r="AH817" i="3" s="1"/>
  <c r="AG818" i="3"/>
  <c r="AG819" i="3"/>
  <c r="AH819" i="3" s="1"/>
  <c r="AG820" i="3"/>
  <c r="AG821" i="3"/>
  <c r="AG822" i="3"/>
  <c r="AH822" i="3" s="1"/>
  <c r="AG823" i="3"/>
  <c r="AH823" i="3" s="1"/>
  <c r="AG824" i="3"/>
  <c r="AH824" i="3" s="1"/>
  <c r="AG825" i="3"/>
  <c r="AH825" i="3" s="1"/>
  <c r="AG826" i="3"/>
  <c r="AH826" i="3" s="1"/>
  <c r="AG827" i="3"/>
  <c r="AH827" i="3" s="1"/>
  <c r="AG828" i="3"/>
  <c r="AG829" i="3"/>
  <c r="AG830" i="3"/>
  <c r="AG831" i="3"/>
  <c r="AH831" i="3" s="1"/>
  <c r="AG832" i="3"/>
  <c r="AH832" i="3" s="1"/>
  <c r="AG833" i="3"/>
  <c r="AH833" i="3" s="1"/>
  <c r="AG834" i="3"/>
  <c r="AG835" i="3"/>
  <c r="AH835" i="3" s="1"/>
  <c r="AG836" i="3"/>
  <c r="AG837" i="3"/>
  <c r="AG838" i="3"/>
  <c r="AH838" i="3" s="1"/>
  <c r="AG839" i="3"/>
  <c r="AH839" i="3" s="1"/>
  <c r="AG840" i="3"/>
  <c r="AH840" i="3" s="1"/>
  <c r="AG841" i="3"/>
  <c r="AH841" i="3" s="1"/>
  <c r="AG842" i="3"/>
  <c r="AH842" i="3" s="1"/>
  <c r="AG843" i="3"/>
  <c r="AH843" i="3" s="1"/>
  <c r="AG844" i="3"/>
  <c r="AG845" i="3"/>
  <c r="AG846" i="3"/>
  <c r="AG847" i="3"/>
  <c r="AH847" i="3" s="1"/>
  <c r="AG848" i="3"/>
  <c r="AH848" i="3" s="1"/>
  <c r="AG849" i="3"/>
  <c r="AH849" i="3" s="1"/>
  <c r="AG850" i="3"/>
  <c r="AG851" i="3"/>
  <c r="AH851" i="3" s="1"/>
  <c r="AG852" i="3"/>
  <c r="AG853" i="3"/>
  <c r="AG854" i="3"/>
  <c r="AH854" i="3" s="1"/>
  <c r="AG855" i="3"/>
  <c r="AH855" i="3" s="1"/>
  <c r="AG856" i="3"/>
  <c r="AH856" i="3" s="1"/>
  <c r="AG857" i="3"/>
  <c r="AH857" i="3" s="1"/>
  <c r="AG858" i="3"/>
  <c r="AH858" i="3" s="1"/>
  <c r="AG859" i="3"/>
  <c r="AH859" i="3" s="1"/>
  <c r="AG860" i="3"/>
  <c r="AG861" i="3"/>
  <c r="AG862" i="3"/>
  <c r="AG863" i="3"/>
  <c r="AH863" i="3" s="1"/>
  <c r="AG864" i="3"/>
  <c r="AH864" i="3" s="1"/>
  <c r="AG865" i="3"/>
  <c r="AH865" i="3" s="1"/>
  <c r="AG866" i="3"/>
  <c r="AG867" i="3"/>
  <c r="AH867" i="3" s="1"/>
  <c r="AG868" i="3"/>
  <c r="AG869" i="3"/>
  <c r="AG870" i="3"/>
  <c r="AH870" i="3" s="1"/>
  <c r="AG871" i="3"/>
  <c r="AH871" i="3" s="1"/>
  <c r="AG872" i="3"/>
  <c r="AH872" i="3" s="1"/>
  <c r="AG873" i="3"/>
  <c r="AH873" i="3" s="1"/>
  <c r="AG874" i="3"/>
  <c r="AH874" i="3" s="1"/>
  <c r="AG875" i="3"/>
  <c r="AH875" i="3" s="1"/>
  <c r="AG876" i="3"/>
  <c r="AG877" i="3"/>
  <c r="AG878" i="3"/>
  <c r="AG879" i="3"/>
  <c r="AH879" i="3" s="1"/>
  <c r="AG880" i="3"/>
  <c r="AH880" i="3" s="1"/>
  <c r="AG881" i="3"/>
  <c r="AH881" i="3" s="1"/>
  <c r="AG882" i="3"/>
  <c r="AG883" i="3"/>
  <c r="AH883" i="3" s="1"/>
  <c r="AG884" i="3"/>
  <c r="AG885" i="3"/>
  <c r="AG886" i="3"/>
  <c r="AH886" i="3" s="1"/>
  <c r="AG887" i="3"/>
  <c r="AH887" i="3" s="1"/>
  <c r="AG888" i="3"/>
  <c r="AH888" i="3" s="1"/>
  <c r="AG889" i="3"/>
  <c r="AH889" i="3" s="1"/>
  <c r="AG890" i="3"/>
  <c r="AH890" i="3" s="1"/>
  <c r="AG891" i="3"/>
  <c r="AH891" i="3" s="1"/>
  <c r="AG892" i="3"/>
  <c r="AG893" i="3"/>
  <c r="AG894" i="3"/>
  <c r="AG895" i="3"/>
  <c r="AH895" i="3" s="1"/>
  <c r="AG896" i="3"/>
  <c r="AH896" i="3" s="1"/>
  <c r="AG897" i="3"/>
  <c r="AH897" i="3" s="1"/>
  <c r="AG898" i="3"/>
  <c r="AG899" i="3"/>
  <c r="AH899" i="3" s="1"/>
  <c r="AG900" i="3"/>
  <c r="AG901" i="3"/>
  <c r="AG902" i="3"/>
  <c r="AG903" i="3"/>
  <c r="AH903" i="3" s="1"/>
  <c r="AG904" i="3"/>
  <c r="AH904" i="3" s="1"/>
  <c r="AG905" i="3"/>
  <c r="AH905" i="3" s="1"/>
  <c r="AG906" i="3"/>
  <c r="AH906" i="3" s="1"/>
  <c r="AG907" i="3"/>
  <c r="AH907" i="3" s="1"/>
  <c r="AG908" i="3"/>
  <c r="AG909" i="3"/>
  <c r="AG910" i="3"/>
  <c r="AG911" i="3"/>
  <c r="AH911" i="3" s="1"/>
  <c r="AG912" i="3"/>
  <c r="AH912" i="3" s="1"/>
  <c r="AG913" i="3"/>
  <c r="AH913" i="3" s="1"/>
  <c r="AG914" i="3"/>
  <c r="AG915" i="3"/>
  <c r="AH915" i="3" s="1"/>
  <c r="AG916" i="3"/>
  <c r="AG917" i="3"/>
  <c r="AG918" i="3"/>
  <c r="AH918" i="3" s="1"/>
  <c r="AG919" i="3"/>
  <c r="AH919" i="3" s="1"/>
  <c r="AG920" i="3"/>
  <c r="AH920" i="3" s="1"/>
  <c r="AG921" i="3"/>
  <c r="AH921" i="3" s="1"/>
  <c r="AG922" i="3"/>
  <c r="AH922" i="3" s="1"/>
  <c r="AG923" i="3"/>
  <c r="AH923" i="3" s="1"/>
  <c r="AG924" i="3"/>
  <c r="AG925" i="3"/>
  <c r="AG926" i="3"/>
  <c r="AG927" i="3"/>
  <c r="AH927" i="3" s="1"/>
  <c r="AG928" i="3"/>
  <c r="AH928" i="3" s="1"/>
  <c r="AG929" i="3"/>
  <c r="AH929" i="3" s="1"/>
  <c r="AG930" i="3"/>
  <c r="AG931" i="3"/>
  <c r="AH931" i="3" s="1"/>
  <c r="AG932" i="3"/>
  <c r="AG933" i="3"/>
  <c r="AG934" i="3"/>
  <c r="AH934" i="3" s="1"/>
  <c r="AG935" i="3"/>
  <c r="AH935" i="3" s="1"/>
  <c r="AG936" i="3"/>
  <c r="AH936" i="3" s="1"/>
  <c r="AG937" i="3"/>
  <c r="AH937" i="3" s="1"/>
  <c r="AG938" i="3"/>
  <c r="AH938" i="3" s="1"/>
  <c r="AG939" i="3"/>
  <c r="AH939" i="3" s="1"/>
  <c r="AG940" i="3"/>
  <c r="AG941" i="3"/>
  <c r="AG942" i="3"/>
  <c r="AG943" i="3"/>
  <c r="AH943" i="3" s="1"/>
  <c r="AG944" i="3"/>
  <c r="AH944" i="3" s="1"/>
  <c r="AG945" i="3"/>
  <c r="AH945" i="3" s="1"/>
  <c r="AG946" i="3"/>
  <c r="AG947" i="3"/>
  <c r="AH947" i="3" s="1"/>
  <c r="AG948" i="3"/>
  <c r="AG949" i="3"/>
  <c r="AG950" i="3"/>
  <c r="AH950" i="3" s="1"/>
  <c r="AG951" i="3"/>
  <c r="AH951" i="3" s="1"/>
  <c r="AG952" i="3"/>
  <c r="AH952" i="3" s="1"/>
  <c r="AG953" i="3"/>
  <c r="AH953" i="3" s="1"/>
  <c r="AG954" i="3"/>
  <c r="AH954" i="3" s="1"/>
  <c r="AG955" i="3"/>
  <c r="AH955" i="3" s="1"/>
  <c r="AG956" i="3"/>
  <c r="AG957" i="3"/>
  <c r="AG958" i="3"/>
  <c r="AG959" i="3"/>
  <c r="AH959" i="3" s="1"/>
  <c r="AG960" i="3"/>
  <c r="AH960" i="3" s="1"/>
  <c r="AG961" i="3"/>
  <c r="AH961" i="3" s="1"/>
  <c r="AG962" i="3"/>
  <c r="AG963" i="3"/>
  <c r="AH963" i="3" s="1"/>
  <c r="AG964" i="3"/>
  <c r="AG965" i="3"/>
  <c r="AG966" i="3"/>
  <c r="AH966" i="3" s="1"/>
  <c r="AG967" i="3"/>
  <c r="AH967" i="3" s="1"/>
  <c r="AG968" i="3"/>
  <c r="AH968" i="3" s="1"/>
  <c r="AG969" i="3"/>
  <c r="AH969" i="3" s="1"/>
  <c r="AG970" i="3"/>
  <c r="AH970" i="3" s="1"/>
  <c r="AG971" i="3"/>
  <c r="AH971" i="3" s="1"/>
  <c r="AG972" i="3"/>
  <c r="AG973" i="3"/>
  <c r="AG974" i="3"/>
  <c r="AG975" i="3"/>
  <c r="AH975" i="3" s="1"/>
  <c r="AG976" i="3"/>
  <c r="AH976" i="3" s="1"/>
  <c r="AG977" i="3"/>
  <c r="AH977" i="3" s="1"/>
  <c r="AG978" i="3"/>
  <c r="AG979" i="3"/>
  <c r="AH979" i="3" s="1"/>
  <c r="AG980" i="3"/>
  <c r="AG981" i="3"/>
  <c r="AG982" i="3"/>
  <c r="AH982" i="3" s="1"/>
  <c r="AG983" i="3"/>
  <c r="AH983" i="3" s="1"/>
  <c r="AG984" i="3"/>
  <c r="AH984" i="3" s="1"/>
  <c r="AG985" i="3"/>
  <c r="AH985" i="3" s="1"/>
  <c r="AG986" i="3"/>
  <c r="AH986" i="3" s="1"/>
  <c r="AG987" i="3"/>
  <c r="AH987" i="3" s="1"/>
  <c r="AG988" i="3"/>
  <c r="AG989" i="3"/>
  <c r="AG990" i="3"/>
  <c r="AG991" i="3"/>
  <c r="AH991" i="3" s="1"/>
  <c r="AG992" i="3"/>
  <c r="AH992" i="3" s="1"/>
  <c r="AG993" i="3"/>
  <c r="AH993" i="3" s="1"/>
  <c r="AG994" i="3"/>
  <c r="AG995" i="3"/>
  <c r="AH995" i="3" s="1"/>
  <c r="AG996" i="3"/>
  <c r="AG997" i="3"/>
  <c r="AG998" i="3"/>
  <c r="AH998" i="3" s="1"/>
  <c r="AG999" i="3"/>
  <c r="AH999" i="3" s="1"/>
  <c r="AG1000" i="3"/>
  <c r="AH1000" i="3" s="1"/>
  <c r="AG1001" i="3"/>
  <c r="AH1001" i="3" s="1"/>
  <c r="AG1002" i="3"/>
  <c r="AH1002" i="3" s="1"/>
  <c r="AG1003" i="3"/>
  <c r="AH1003" i="3" s="1"/>
  <c r="AG1004" i="3"/>
  <c r="AG1005" i="3"/>
  <c r="AG1006" i="3"/>
  <c r="AG1007" i="3"/>
  <c r="AH1007" i="3" s="1"/>
  <c r="AG1008" i="3"/>
  <c r="AH1008" i="3" s="1"/>
  <c r="AG1009" i="3"/>
  <c r="AH1009" i="3" s="1"/>
  <c r="AG1010" i="3"/>
  <c r="AG1011" i="3"/>
  <c r="AH1011" i="3" s="1"/>
  <c r="AG1012" i="3"/>
  <c r="AG1013" i="3"/>
  <c r="AG1014" i="3"/>
  <c r="AH1014" i="3" s="1"/>
  <c r="AG1015" i="3"/>
  <c r="AH1015" i="3" s="1"/>
  <c r="AG1016" i="3"/>
  <c r="AH1016" i="3" s="1"/>
  <c r="AG1017" i="3"/>
  <c r="AG1018" i="3"/>
  <c r="AH1018" i="3" s="1"/>
  <c r="AG1019" i="3"/>
  <c r="AH1019" i="3" s="1"/>
  <c r="AG1020" i="3"/>
  <c r="AG1021" i="3"/>
  <c r="AG1022" i="3"/>
  <c r="AG1023" i="3"/>
  <c r="AH1023" i="3" s="1"/>
  <c r="AG1024" i="3"/>
  <c r="AH1024" i="3" s="1"/>
  <c r="AG1025" i="3"/>
  <c r="AH1025" i="3" s="1"/>
  <c r="AG1026" i="3"/>
  <c r="AG1027" i="3"/>
  <c r="AH1027" i="3" s="1"/>
  <c r="AG1028" i="3"/>
  <c r="AG1029" i="3"/>
  <c r="AG1030" i="3"/>
  <c r="AH1030" i="3" s="1"/>
  <c r="AG1031" i="3"/>
  <c r="AH1031" i="3" s="1"/>
  <c r="AG1032" i="3"/>
  <c r="AH1032" i="3" s="1"/>
  <c r="AG1033" i="3"/>
  <c r="AH1033" i="3" s="1"/>
  <c r="AG1034" i="3"/>
  <c r="AH1034" i="3" s="1"/>
  <c r="AG1035" i="3"/>
  <c r="AH1035" i="3" s="1"/>
  <c r="AG1036" i="3"/>
  <c r="AG1037" i="3"/>
  <c r="AG1038" i="3"/>
  <c r="AG1039" i="3"/>
  <c r="AH1039" i="3" s="1"/>
  <c r="AG1040" i="3"/>
  <c r="AH1040" i="3" s="1"/>
  <c r="AG1041" i="3"/>
  <c r="AH1041" i="3" s="1"/>
  <c r="AG1042" i="3"/>
  <c r="AG1043" i="3"/>
  <c r="AH1043" i="3" s="1"/>
  <c r="AG1044" i="3"/>
  <c r="AG1045" i="3"/>
  <c r="AG1046" i="3"/>
  <c r="AG1047" i="3"/>
  <c r="AH1047" i="3" s="1"/>
  <c r="AG1048" i="3"/>
  <c r="AH1048" i="3" s="1"/>
  <c r="AG1049" i="3"/>
  <c r="AH1049" i="3" s="1"/>
  <c r="AG1050" i="3"/>
  <c r="AH1050" i="3" s="1"/>
  <c r="AG1051" i="3"/>
  <c r="AH1051" i="3" s="1"/>
  <c r="AG1052" i="3"/>
  <c r="AG1053" i="3"/>
  <c r="AG1054" i="3"/>
  <c r="AG1055" i="3"/>
  <c r="AH1055" i="3" s="1"/>
  <c r="AG1056" i="3"/>
  <c r="AH1056" i="3" s="1"/>
  <c r="AG1057" i="3"/>
  <c r="AH1057" i="3" s="1"/>
  <c r="AG1058" i="3"/>
  <c r="AG1059" i="3"/>
  <c r="AH1059" i="3" s="1"/>
  <c r="AG1060" i="3"/>
  <c r="AG1061" i="3"/>
  <c r="AG1062" i="3"/>
  <c r="AH1062" i="3" s="1"/>
  <c r="AG1063" i="3"/>
  <c r="AH1063" i="3" s="1"/>
  <c r="AG1064" i="3"/>
  <c r="AH1064" i="3" s="1"/>
  <c r="AG1065" i="3"/>
  <c r="AH1065" i="3" s="1"/>
  <c r="AG1066" i="3"/>
  <c r="AH1066" i="3" s="1"/>
  <c r="AG1067" i="3"/>
  <c r="AH1067" i="3" s="1"/>
  <c r="AG1068" i="3"/>
  <c r="AG1069" i="3"/>
  <c r="AG1070" i="3"/>
  <c r="AG1071" i="3"/>
  <c r="AH1071" i="3" s="1"/>
  <c r="AG1072" i="3"/>
  <c r="AH1072" i="3" s="1"/>
  <c r="AG1073" i="3"/>
  <c r="AH1073" i="3" s="1"/>
  <c r="AG1074" i="3"/>
  <c r="AG1075" i="3"/>
  <c r="AH1075" i="3" s="1"/>
  <c r="AG1076" i="3"/>
  <c r="AG1077" i="3"/>
  <c r="AG1078" i="3"/>
  <c r="AH1078" i="3" s="1"/>
  <c r="AG1079" i="3"/>
  <c r="AH1079" i="3" s="1"/>
  <c r="AG1080" i="3"/>
  <c r="AH1080" i="3" s="1"/>
  <c r="AG1081" i="3"/>
  <c r="AH1081" i="3" s="1"/>
  <c r="AG1082" i="3"/>
  <c r="AH1082" i="3" s="1"/>
  <c r="AG1083" i="3"/>
  <c r="AH1083" i="3" s="1"/>
  <c r="AG1084" i="3"/>
  <c r="AG1085" i="3"/>
  <c r="AG1086" i="3"/>
  <c r="AG1087" i="3"/>
  <c r="AH1087" i="3" s="1"/>
  <c r="AG1088" i="3"/>
  <c r="AH1088" i="3" s="1"/>
  <c r="AG1089" i="3"/>
  <c r="AH1089" i="3" s="1"/>
  <c r="AG1090" i="3"/>
  <c r="AG1091" i="3"/>
  <c r="AH1091" i="3" s="1"/>
  <c r="AG1092" i="3"/>
  <c r="AG1093" i="3"/>
  <c r="AG1094" i="3"/>
  <c r="AH1094" i="3" s="1"/>
  <c r="AG1095" i="3"/>
  <c r="AH1095" i="3" s="1"/>
  <c r="AG1096" i="3"/>
  <c r="AH1096" i="3" s="1"/>
  <c r="AG1097" i="3"/>
  <c r="AG1098" i="3"/>
  <c r="AH1098" i="3" s="1"/>
  <c r="AG1099" i="3"/>
  <c r="AH1099" i="3" s="1"/>
  <c r="AG1100" i="3"/>
  <c r="AG1101" i="3"/>
  <c r="AG1102" i="3"/>
  <c r="AG1103" i="3"/>
  <c r="AH1103" i="3" s="1"/>
  <c r="AG1104" i="3"/>
  <c r="AH1104" i="3" s="1"/>
  <c r="AG1105" i="3"/>
  <c r="AH1105" i="3" s="1"/>
  <c r="AG1106" i="3"/>
  <c r="AG1107" i="3"/>
  <c r="AH1107" i="3" s="1"/>
  <c r="AG1108" i="3"/>
  <c r="AG1109" i="3"/>
  <c r="AG1110" i="3"/>
  <c r="AG1111" i="3"/>
  <c r="AH1111" i="3" s="1"/>
  <c r="AG1112" i="3"/>
  <c r="AH1112" i="3" s="1"/>
  <c r="AG1113" i="3"/>
  <c r="AH1113" i="3" s="1"/>
  <c r="AG1114" i="3"/>
  <c r="AH1114" i="3" s="1"/>
  <c r="AG1115" i="3"/>
  <c r="AH1115" i="3" s="1"/>
  <c r="AG1116" i="3"/>
  <c r="AG1117" i="3"/>
  <c r="AG1118" i="3"/>
  <c r="AG1119" i="3"/>
  <c r="AH1119" i="3" s="1"/>
  <c r="AG1120" i="3"/>
  <c r="AH1120" i="3" s="1"/>
  <c r="AG1121" i="3"/>
  <c r="AH1121" i="3" s="1"/>
  <c r="AG1122" i="3"/>
  <c r="AG1123" i="3"/>
  <c r="AH1123" i="3" s="1"/>
  <c r="AG1124" i="3"/>
  <c r="AG1125" i="3"/>
  <c r="AG1126" i="3"/>
  <c r="AH1126" i="3" s="1"/>
  <c r="AG1127" i="3"/>
  <c r="AH1127" i="3" s="1"/>
  <c r="AG1128" i="3"/>
  <c r="AH1128" i="3" s="1"/>
  <c r="AG1129" i="3"/>
  <c r="AG1130" i="3"/>
  <c r="AH1130" i="3" s="1"/>
  <c r="AG1131" i="3"/>
  <c r="AH1131" i="3" s="1"/>
  <c r="AG1132" i="3"/>
  <c r="AG1133" i="3"/>
  <c r="AG1134" i="3"/>
  <c r="AG1135" i="3"/>
  <c r="AH1135" i="3" s="1"/>
  <c r="AG1136" i="3"/>
  <c r="AG1137" i="3"/>
  <c r="AH1137" i="3" s="1"/>
  <c r="AG1138" i="3"/>
  <c r="AG1139" i="3"/>
  <c r="AH1139" i="3" s="1"/>
  <c r="AG1140" i="3"/>
  <c r="AG1141" i="3"/>
  <c r="AG1142" i="3"/>
  <c r="AH1142" i="3" s="1"/>
  <c r="AG1143" i="3"/>
  <c r="AH1143" i="3" s="1"/>
  <c r="AG1144" i="3"/>
  <c r="AH1144" i="3" s="1"/>
  <c r="AG1145" i="3"/>
  <c r="AH1145" i="3" s="1"/>
  <c r="AG1146" i="3"/>
  <c r="AH1146" i="3" s="1"/>
  <c r="AG1147" i="3"/>
  <c r="AH1147" i="3" s="1"/>
  <c r="AG1148" i="3"/>
  <c r="AG1149" i="3"/>
  <c r="AG1150" i="3"/>
  <c r="AG1151" i="3"/>
  <c r="AH1151" i="3" s="1"/>
  <c r="AG1152" i="3"/>
  <c r="AH1152" i="3" s="1"/>
  <c r="AG1153" i="3"/>
  <c r="AH1153" i="3" s="1"/>
  <c r="AG1154" i="3"/>
  <c r="AG1155" i="3"/>
  <c r="AH1155" i="3" s="1"/>
  <c r="AG1156" i="3"/>
  <c r="AG1157" i="3"/>
  <c r="AG1158" i="3"/>
  <c r="AH1158" i="3" s="1"/>
  <c r="AG1159" i="3"/>
  <c r="AH1159" i="3" s="1"/>
  <c r="AG1160" i="3"/>
  <c r="AH1160" i="3" s="1"/>
  <c r="AG1161" i="3"/>
  <c r="AG1162" i="3"/>
  <c r="AH1162" i="3" s="1"/>
  <c r="AG1163" i="3"/>
  <c r="AH1163" i="3" s="1"/>
  <c r="AG1164" i="3"/>
  <c r="AG1165" i="3"/>
  <c r="AG1166" i="3"/>
  <c r="AG1167" i="3"/>
  <c r="AH1167" i="3" s="1"/>
  <c r="AG1168" i="3"/>
  <c r="AH1168" i="3" s="1"/>
  <c r="AG1169" i="3"/>
  <c r="AH1169" i="3" s="1"/>
  <c r="AG1170" i="3"/>
  <c r="AG1171" i="3"/>
  <c r="AH1171" i="3" s="1"/>
  <c r="AG1172" i="3"/>
  <c r="AG1173" i="3"/>
  <c r="AG1174" i="3"/>
  <c r="AH1174" i="3" s="1"/>
  <c r="AG1175" i="3"/>
  <c r="AH1175" i="3" s="1"/>
  <c r="AG1176" i="3"/>
  <c r="AH1176" i="3" s="1"/>
  <c r="AG1177" i="3"/>
  <c r="AH1177" i="3" s="1"/>
  <c r="AG1178" i="3"/>
  <c r="AH1178" i="3" s="1"/>
  <c r="AG1179" i="3"/>
  <c r="AH1179" i="3" s="1"/>
  <c r="AG1180" i="3"/>
  <c r="AG1181" i="3"/>
  <c r="AG1182" i="3"/>
  <c r="AG1183" i="3"/>
  <c r="AH1183" i="3" s="1"/>
  <c r="AG1184" i="3"/>
  <c r="AG1185" i="3"/>
  <c r="AH1185" i="3" s="1"/>
  <c r="AG1186" i="3"/>
  <c r="AG1187" i="3"/>
  <c r="AH1187" i="3" s="1"/>
  <c r="AG1188" i="3"/>
  <c r="AG1189" i="3"/>
  <c r="AG1190" i="3"/>
  <c r="AH1190" i="3" s="1"/>
  <c r="AG1191" i="3"/>
  <c r="AH1191" i="3" s="1"/>
  <c r="AG1192" i="3"/>
  <c r="AH1192" i="3" s="1"/>
  <c r="AG1193" i="3"/>
  <c r="AG1194" i="3"/>
  <c r="AH1194" i="3" s="1"/>
  <c r="AG1195" i="3"/>
  <c r="AH1195" i="3" s="1"/>
  <c r="AG1196" i="3"/>
  <c r="AG1197" i="3"/>
  <c r="AG1198" i="3"/>
  <c r="AG1199" i="3"/>
  <c r="AH1199" i="3" s="1"/>
  <c r="AG1200" i="3"/>
  <c r="AH1200" i="3" s="1"/>
  <c r="AG1201" i="3"/>
  <c r="AH1201" i="3" s="1"/>
  <c r="AG1202" i="3"/>
  <c r="AG1203" i="3"/>
  <c r="AH1203" i="3" s="1"/>
  <c r="AG1204" i="3"/>
  <c r="AG1205" i="3"/>
  <c r="AG1206" i="3"/>
  <c r="AH1206" i="3" s="1"/>
  <c r="AG1207" i="3"/>
  <c r="AH1207" i="3" s="1"/>
  <c r="AG1208" i="3"/>
  <c r="AH1208" i="3" s="1"/>
  <c r="AG1209" i="3"/>
  <c r="AH1209" i="3" s="1"/>
  <c r="AG1210" i="3"/>
  <c r="AG1211" i="3"/>
  <c r="AH1211" i="3" s="1"/>
  <c r="AG1212" i="3"/>
  <c r="AG1213" i="3"/>
  <c r="AG1214" i="3"/>
  <c r="AG1215" i="3"/>
  <c r="AH1215" i="3" s="1"/>
  <c r="AG1216" i="3"/>
  <c r="AH1216" i="3" s="1"/>
  <c r="AG1217" i="3"/>
  <c r="AH1217" i="3" s="1"/>
  <c r="AG1218" i="3"/>
  <c r="AG1219" i="3"/>
  <c r="AH1219" i="3" s="1"/>
  <c r="AG1220" i="3"/>
  <c r="AG1221" i="3"/>
  <c r="AG1222" i="3"/>
  <c r="AG1223" i="3"/>
  <c r="AH1223" i="3" s="1"/>
  <c r="AG1224" i="3"/>
  <c r="AH1224" i="3" s="1"/>
  <c r="AG1225" i="3"/>
  <c r="AG1226" i="3"/>
  <c r="AH1226" i="3" s="1"/>
  <c r="AG1227" i="3"/>
  <c r="AH1227" i="3" s="1"/>
  <c r="AG1228" i="3"/>
  <c r="AG1229" i="3"/>
  <c r="AG1230" i="3"/>
  <c r="AG1231" i="3"/>
  <c r="AH1231" i="3" s="1"/>
  <c r="AG1232" i="3"/>
  <c r="AH1232" i="3" s="1"/>
  <c r="AG1233" i="3"/>
  <c r="AH1233" i="3" s="1"/>
  <c r="AG1234" i="3"/>
  <c r="AG1235" i="3"/>
  <c r="AH1235" i="3" s="1"/>
  <c r="AG1236" i="3"/>
  <c r="AG1237" i="3"/>
  <c r="AG1238" i="3"/>
  <c r="AH1238" i="3" s="1"/>
  <c r="AG1239" i="3"/>
  <c r="AH1239" i="3" s="1"/>
  <c r="AG1240" i="3"/>
  <c r="AH1240" i="3" s="1"/>
  <c r="AG1241" i="3"/>
  <c r="AH1241" i="3" s="1"/>
  <c r="AG1242" i="3"/>
  <c r="AH1242" i="3" s="1"/>
  <c r="AG1243" i="3"/>
  <c r="AH1243" i="3" s="1"/>
  <c r="AG1244" i="3"/>
  <c r="AG1245" i="3"/>
  <c r="AG1246" i="3"/>
  <c r="AG1247" i="3"/>
  <c r="AH1247" i="3" s="1"/>
  <c r="AG1248" i="3"/>
  <c r="AH1248" i="3" s="1"/>
  <c r="AG1249" i="3"/>
  <c r="AH1249" i="3" s="1"/>
  <c r="AG1250" i="3"/>
  <c r="AG1251" i="3"/>
  <c r="AH1251" i="3" s="1"/>
  <c r="AG1252" i="3"/>
  <c r="AG1253" i="3"/>
  <c r="AG1254" i="3"/>
  <c r="AH1254" i="3" s="1"/>
  <c r="AG1255" i="3"/>
  <c r="AH1255" i="3" s="1"/>
  <c r="AG1256" i="3"/>
  <c r="AH1256" i="3" s="1"/>
  <c r="AG1257" i="3"/>
  <c r="AG1258" i="3"/>
  <c r="AH1258" i="3" s="1"/>
  <c r="AG1259" i="3"/>
  <c r="AH1259" i="3" s="1"/>
  <c r="AG1260" i="3"/>
  <c r="AG1261" i="3"/>
  <c r="AG1262" i="3"/>
  <c r="AG1263" i="3"/>
  <c r="AH1263" i="3" s="1"/>
  <c r="AG1264" i="3"/>
  <c r="AG1265" i="3"/>
  <c r="AH1265" i="3" s="1"/>
  <c r="AG1266" i="3"/>
  <c r="AG1267" i="3"/>
  <c r="AH1267" i="3" s="1"/>
  <c r="AG1268" i="3"/>
  <c r="AG1269" i="3"/>
  <c r="AG1270" i="3"/>
  <c r="AG1271" i="3"/>
  <c r="AH1271" i="3" s="1"/>
  <c r="AG1272" i="3"/>
  <c r="AH1272" i="3" s="1"/>
  <c r="AG1273" i="3"/>
  <c r="AH1273" i="3" s="1"/>
  <c r="AG1274" i="3"/>
  <c r="AH1274" i="3" s="1"/>
  <c r="AG1275" i="3"/>
  <c r="AH1275" i="3" s="1"/>
  <c r="AG1276" i="3"/>
  <c r="AG1277" i="3"/>
  <c r="AG1278" i="3"/>
  <c r="AG1279" i="3"/>
  <c r="AH1279" i="3" s="1"/>
  <c r="AG1280" i="3"/>
  <c r="AH1280" i="3" s="1"/>
  <c r="AG1281" i="3"/>
  <c r="AH1281" i="3" s="1"/>
  <c r="AG1282" i="3"/>
  <c r="AG1283" i="3"/>
  <c r="AH1283" i="3" s="1"/>
  <c r="AG1284" i="3"/>
  <c r="AG1285" i="3"/>
  <c r="AG1286" i="3"/>
  <c r="AH1286" i="3" s="1"/>
  <c r="AG1287" i="3"/>
  <c r="AH1287" i="3" s="1"/>
  <c r="AG1288" i="3"/>
  <c r="AH1288" i="3" s="1"/>
  <c r="AG1289" i="3"/>
  <c r="AG1290" i="3"/>
  <c r="AH1290" i="3" s="1"/>
  <c r="AG1291" i="3"/>
  <c r="AH1291" i="3" s="1"/>
  <c r="AG1292" i="3"/>
  <c r="AG1293" i="3"/>
  <c r="AG1294" i="3"/>
  <c r="AG1295" i="3"/>
  <c r="AH1295" i="3" s="1"/>
  <c r="AG1296" i="3"/>
  <c r="AH1296" i="3" s="1"/>
  <c r="AG1297" i="3"/>
  <c r="AH1297" i="3" s="1"/>
  <c r="AG1298" i="3"/>
  <c r="AG1299" i="3"/>
  <c r="AH1299" i="3" s="1"/>
  <c r="AG1300" i="3"/>
  <c r="AG1301" i="3"/>
  <c r="AG1302" i="3"/>
  <c r="AH1302" i="3" s="1"/>
  <c r="AG1303" i="3"/>
  <c r="AH1303" i="3" s="1"/>
  <c r="AG1304" i="3"/>
  <c r="AH1304" i="3" s="1"/>
  <c r="AG1305" i="3"/>
  <c r="AH1305" i="3" s="1"/>
  <c r="AG1306" i="3"/>
  <c r="AH1306" i="3" s="1"/>
  <c r="AG1307" i="3"/>
  <c r="AH1307" i="3" s="1"/>
  <c r="AG1308" i="3"/>
  <c r="AG1309" i="3"/>
  <c r="AG1310" i="3"/>
  <c r="AG1311" i="3"/>
  <c r="AH1311" i="3" s="1"/>
  <c r="AG1312" i="3"/>
  <c r="AG1313" i="3"/>
  <c r="AH1313" i="3" s="1"/>
  <c r="AG1314" i="3"/>
  <c r="AG1315" i="3"/>
  <c r="AH1315" i="3" s="1"/>
  <c r="AG1316" i="3"/>
  <c r="AG1317" i="3"/>
  <c r="AG1318" i="3"/>
  <c r="AH1318" i="3" s="1"/>
  <c r="AG1319" i="3"/>
  <c r="AH1319" i="3" s="1"/>
  <c r="AG1320" i="3"/>
  <c r="AH1320" i="3" s="1"/>
  <c r="AG1321" i="3"/>
  <c r="AG1322" i="3"/>
  <c r="AH1322" i="3" s="1"/>
  <c r="AG1323" i="3"/>
  <c r="AH1323" i="3" s="1"/>
  <c r="AG1324" i="3"/>
  <c r="AG1325" i="3"/>
  <c r="AG1326" i="3"/>
  <c r="AG1327" i="3"/>
  <c r="AH1327" i="3" s="1"/>
  <c r="AG1328" i="3"/>
  <c r="AH1328" i="3" s="1"/>
  <c r="AG1329" i="3"/>
  <c r="AH1329" i="3" s="1"/>
  <c r="AG1330" i="3"/>
  <c r="AG1331" i="3"/>
  <c r="AH1331" i="3" s="1"/>
  <c r="AG1332" i="3"/>
  <c r="AG1333" i="3"/>
  <c r="AG1334" i="3"/>
  <c r="AG1335" i="3"/>
  <c r="AH1335" i="3" s="1"/>
  <c r="AG1336" i="3"/>
  <c r="AH1336" i="3" s="1"/>
  <c r="AG1337" i="3"/>
  <c r="AH1337" i="3" s="1"/>
  <c r="AG1338" i="3"/>
  <c r="AH1338" i="3" s="1"/>
  <c r="AG1339" i="3"/>
  <c r="AH1339" i="3" s="1"/>
  <c r="AG1340" i="3"/>
  <c r="AG1341" i="3"/>
  <c r="AG1342" i="3"/>
  <c r="AG1343" i="3"/>
  <c r="AH1343" i="3" s="1"/>
  <c r="AG1344" i="3"/>
  <c r="AH1344" i="3" s="1"/>
  <c r="AG1345" i="3"/>
  <c r="AH1345" i="3" s="1"/>
  <c r="AG1346" i="3"/>
  <c r="AG1347" i="3"/>
  <c r="AH1347" i="3" s="1"/>
  <c r="AG1348" i="3"/>
  <c r="AG1349" i="3"/>
  <c r="AG1350" i="3"/>
  <c r="AH1350" i="3" s="1"/>
  <c r="AG1351" i="3"/>
  <c r="AH1351" i="3" s="1"/>
  <c r="AG1352" i="3"/>
  <c r="AH1352" i="3" s="1"/>
  <c r="AG1353" i="3"/>
  <c r="AH1353" i="3" s="1"/>
  <c r="AG1354" i="3"/>
  <c r="AH1354" i="3" s="1"/>
  <c r="AG1355" i="3"/>
  <c r="AH1355" i="3" s="1"/>
  <c r="AG1356" i="3"/>
  <c r="AG1357" i="3"/>
  <c r="AG1358" i="3"/>
  <c r="AG1359" i="3"/>
  <c r="AH1359" i="3" s="1"/>
  <c r="AG1360" i="3"/>
  <c r="AH1360" i="3" s="1"/>
  <c r="AG1361" i="3"/>
  <c r="AH1361" i="3" s="1"/>
  <c r="AG1362" i="3"/>
  <c r="AG1363" i="3"/>
  <c r="AH1363" i="3" s="1"/>
  <c r="AG1364" i="3"/>
  <c r="AG1365" i="3"/>
  <c r="AG1366" i="3"/>
  <c r="AG1367" i="3"/>
  <c r="AH1367" i="3" s="1"/>
  <c r="AG1368" i="3"/>
  <c r="AH1368" i="3" s="1"/>
  <c r="AG1369" i="3"/>
  <c r="AH1369" i="3" s="1"/>
  <c r="AG1370" i="3"/>
  <c r="AH1370" i="3" s="1"/>
  <c r="AG1371" i="3"/>
  <c r="AH1371" i="3" s="1"/>
  <c r="AG1372" i="3"/>
  <c r="AG1373" i="3"/>
  <c r="AG1374" i="3"/>
  <c r="AG1375" i="3"/>
  <c r="AH1375" i="3" s="1"/>
  <c r="AG1376" i="3"/>
  <c r="AH1376" i="3" s="1"/>
  <c r="AG1377" i="3"/>
  <c r="AH1377" i="3" s="1"/>
  <c r="AG1378" i="3"/>
  <c r="AG1379" i="3"/>
  <c r="AH1379" i="3" s="1"/>
  <c r="AG1380" i="3"/>
  <c r="AG1381" i="3"/>
  <c r="AG1382" i="3"/>
  <c r="AH1382" i="3" s="1"/>
  <c r="AG1383" i="3"/>
  <c r="AH1383" i="3" s="1"/>
  <c r="AG1384" i="3"/>
  <c r="AH1384" i="3" s="1"/>
  <c r="AG1385" i="3"/>
  <c r="AH1385" i="3" s="1"/>
  <c r="AG1386" i="3"/>
  <c r="AH1386" i="3" s="1"/>
  <c r="AG1387" i="3"/>
  <c r="AH1387" i="3" s="1"/>
  <c r="AG1388" i="3"/>
  <c r="AG1389" i="3"/>
  <c r="AG1390" i="3"/>
  <c r="AG1391" i="3"/>
  <c r="AH1391" i="3" s="1"/>
  <c r="AG1392" i="3"/>
  <c r="AH1392" i="3" s="1"/>
  <c r="AG1393" i="3"/>
  <c r="AH1393" i="3" s="1"/>
  <c r="AG1394" i="3"/>
  <c r="AG1395" i="3"/>
  <c r="AH1395" i="3" s="1"/>
  <c r="AG1396" i="3"/>
  <c r="AG1397" i="3"/>
  <c r="AG1398" i="3"/>
  <c r="AH1398" i="3" s="1"/>
  <c r="AG1399" i="3"/>
  <c r="AH1399" i="3" s="1"/>
  <c r="AG1400" i="3"/>
  <c r="AH1400" i="3" s="1"/>
  <c r="AG1401" i="3"/>
  <c r="AH1401" i="3" s="1"/>
  <c r="AG1402" i="3"/>
  <c r="AH1402" i="3" s="1"/>
  <c r="AG1403" i="3"/>
  <c r="AH1403" i="3" s="1"/>
  <c r="AG1404" i="3"/>
  <c r="AG1405" i="3"/>
  <c r="AG1406" i="3"/>
  <c r="AG1407" i="3"/>
  <c r="AH1407" i="3" s="1"/>
  <c r="AG1408" i="3"/>
  <c r="AH1408" i="3" s="1"/>
  <c r="AG1409" i="3"/>
  <c r="AH1409" i="3" s="1"/>
  <c r="AG1410" i="3"/>
  <c r="AG1411" i="3"/>
  <c r="AH1411" i="3" s="1"/>
  <c r="AG1412" i="3"/>
  <c r="AG1416" i="3"/>
  <c r="AH1416" i="3" s="1"/>
  <c r="AG1417" i="3"/>
  <c r="AH1417" i="3" s="1"/>
  <c r="AG1418" i="3"/>
  <c r="AH1418" i="3" s="1"/>
  <c r="AG1419" i="3"/>
  <c r="AH1419" i="3" s="1"/>
  <c r="AG1420" i="3"/>
  <c r="AG1421" i="3"/>
  <c r="AH1421" i="3" s="1"/>
  <c r="AG1422" i="3"/>
  <c r="AH1422" i="3" s="1"/>
  <c r="AG1423" i="3"/>
  <c r="AH1423" i="3" s="1"/>
  <c r="AG1424" i="3"/>
  <c r="AH1424" i="3" s="1"/>
  <c r="AG1425" i="3"/>
  <c r="AH1425" i="3" s="1"/>
  <c r="AG1427" i="3"/>
  <c r="AH1427" i="3" s="1"/>
  <c r="AG1428" i="3"/>
  <c r="AG1429" i="3"/>
  <c r="AH1429" i="3" s="1"/>
  <c r="AG1430" i="3"/>
  <c r="AH1430" i="3" s="1"/>
  <c r="AG1431" i="3"/>
  <c r="AH1431" i="3" s="1"/>
  <c r="AG1432" i="3"/>
  <c r="AH1432" i="3" s="1"/>
  <c r="AG1433" i="3"/>
  <c r="AH1433" i="3" s="1"/>
  <c r="AG1434" i="3"/>
  <c r="AG1435" i="3"/>
  <c r="AH1435" i="3" s="1"/>
  <c r="AG1436" i="3"/>
  <c r="AH1436" i="3" s="1"/>
  <c r="AG1437" i="3"/>
  <c r="AG1438" i="3"/>
  <c r="AH1438" i="3" s="1"/>
  <c r="AG1439" i="3"/>
  <c r="AH1439" i="3" s="1"/>
  <c r="AG1440" i="3"/>
  <c r="AH1440" i="3" s="1"/>
  <c r="AG1441" i="3"/>
  <c r="AH1441" i="3" s="1"/>
  <c r="AG1442" i="3"/>
  <c r="AG3" i="3"/>
  <c r="AH3" i="3" s="1"/>
  <c r="AJ4" i="3"/>
  <c r="AL4" i="3"/>
  <c r="AN4" i="3"/>
  <c r="AP4" i="3"/>
  <c r="AR4" i="3"/>
  <c r="AH5" i="3"/>
  <c r="AJ5" i="3"/>
  <c r="AL5" i="3"/>
  <c r="AN5" i="3"/>
  <c r="AP5" i="3"/>
  <c r="AR5" i="3"/>
  <c r="AJ6" i="3"/>
  <c r="AL6" i="3"/>
  <c r="AN6" i="3"/>
  <c r="AP6" i="3"/>
  <c r="AR6" i="3"/>
  <c r="AJ7" i="3"/>
  <c r="AL7" i="3"/>
  <c r="AN7" i="3"/>
  <c r="AP7" i="3"/>
  <c r="AR7" i="3"/>
  <c r="AJ8" i="3"/>
  <c r="AN8" i="3"/>
  <c r="AP8" i="3"/>
  <c r="AR8" i="3"/>
  <c r="AJ9" i="3"/>
  <c r="AL9" i="3"/>
  <c r="AP9" i="3"/>
  <c r="AR9" i="3"/>
  <c r="AJ10" i="3"/>
  <c r="AL10" i="3"/>
  <c r="AN10" i="3"/>
  <c r="AP10" i="3"/>
  <c r="AR10" i="3"/>
  <c r="AJ11" i="3"/>
  <c r="AL11" i="3"/>
  <c r="AN11" i="3"/>
  <c r="AP11" i="3"/>
  <c r="AR11" i="3"/>
  <c r="AJ12" i="3"/>
  <c r="AL12" i="3"/>
  <c r="AN12" i="3"/>
  <c r="AP12" i="3"/>
  <c r="AR12" i="3"/>
  <c r="AJ13" i="3"/>
  <c r="AL13" i="3"/>
  <c r="AP13" i="3"/>
  <c r="AR13" i="3"/>
  <c r="AJ14" i="3"/>
  <c r="AL14" i="3"/>
  <c r="AN14" i="3"/>
  <c r="AP14" i="3"/>
  <c r="AR14" i="3"/>
  <c r="AJ15" i="3"/>
  <c r="AL15" i="3"/>
  <c r="AN15" i="3"/>
  <c r="AP15" i="3"/>
  <c r="AR15" i="3"/>
  <c r="AJ16" i="3"/>
  <c r="AL16" i="3"/>
  <c r="AP16" i="3"/>
  <c r="AR16" i="3"/>
  <c r="AJ17" i="3"/>
  <c r="AP17" i="3"/>
  <c r="AR17" i="3"/>
  <c r="AJ18" i="3"/>
  <c r="AL18" i="3"/>
  <c r="AP18" i="3"/>
  <c r="AR18" i="3"/>
  <c r="AJ19" i="3"/>
  <c r="AL19" i="3"/>
  <c r="AP19" i="3"/>
  <c r="AR19" i="3"/>
  <c r="AJ20" i="3"/>
  <c r="AL20" i="3"/>
  <c r="AN20" i="3"/>
  <c r="AP20" i="3"/>
  <c r="AR20" i="3"/>
  <c r="AJ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J52" i="3"/>
  <c r="AL52" i="3"/>
  <c r="AN52" i="3"/>
  <c r="AP52" i="3"/>
  <c r="AR52" i="3"/>
  <c r="AJ53" i="3"/>
  <c r="AP53" i="3"/>
  <c r="AR53" i="3"/>
  <c r="AJ54" i="3"/>
  <c r="AP54" i="3"/>
  <c r="AR54" i="3"/>
  <c r="AJ55" i="3"/>
  <c r="AL55" i="3"/>
  <c r="AN55" i="3"/>
  <c r="AP55" i="3"/>
  <c r="AR55" i="3"/>
  <c r="AJ56" i="3"/>
  <c r="AL56" i="3"/>
  <c r="AN56" i="3"/>
  <c r="AP56" i="3"/>
  <c r="AR56" i="3"/>
  <c r="AH57" i="3"/>
  <c r="AJ57" i="3"/>
  <c r="AL57" i="3"/>
  <c r="AN57" i="3"/>
  <c r="AP57" i="3"/>
  <c r="AR57" i="3"/>
  <c r="AJ58" i="3"/>
  <c r="AL58" i="3"/>
  <c r="AN58" i="3"/>
  <c r="AP58" i="3"/>
  <c r="AR58" i="3"/>
  <c r="AJ59" i="3"/>
  <c r="AP59" i="3"/>
  <c r="AR59" i="3"/>
  <c r="AJ60" i="3"/>
  <c r="AL60" i="3"/>
  <c r="AP60" i="3"/>
  <c r="AR60" i="3"/>
  <c r="AJ61" i="3"/>
  <c r="AL61" i="3"/>
  <c r="AN61" i="3"/>
  <c r="AP61" i="3"/>
  <c r="AR61" i="3"/>
  <c r="AJ62" i="3"/>
  <c r="AP62" i="3"/>
  <c r="AR62" i="3"/>
  <c r="AJ63" i="3"/>
  <c r="AL63" i="3"/>
  <c r="AN63" i="3"/>
  <c r="AP63" i="3"/>
  <c r="AR63" i="3"/>
  <c r="AJ64" i="3"/>
  <c r="AL64" i="3"/>
  <c r="AN64" i="3"/>
  <c r="AP64" i="3"/>
  <c r="AR64" i="3"/>
  <c r="AH65" i="3"/>
  <c r="AJ65" i="3"/>
  <c r="AL65" i="3"/>
  <c r="AN65" i="3"/>
  <c r="AP65" i="3"/>
  <c r="AR65" i="3"/>
  <c r="AJ66" i="3"/>
  <c r="AL66" i="3"/>
  <c r="AP66" i="3"/>
  <c r="AR66" i="3"/>
  <c r="AJ67" i="3"/>
  <c r="AL67" i="3"/>
  <c r="AN67" i="3"/>
  <c r="AP67" i="3"/>
  <c r="AR67" i="3"/>
  <c r="AH68" i="3"/>
  <c r="AJ68" i="3"/>
  <c r="AL68" i="3"/>
  <c r="AN68" i="3"/>
  <c r="AP68" i="3"/>
  <c r="AR68" i="3"/>
  <c r="AJ69" i="3"/>
  <c r="AL69" i="3"/>
  <c r="AN69" i="3"/>
  <c r="AP69" i="3"/>
  <c r="AR69" i="3"/>
  <c r="AJ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J77" i="3"/>
  <c r="AP77" i="3"/>
  <c r="AR77" i="3"/>
  <c r="AH78" i="3"/>
  <c r="AJ78" i="3"/>
  <c r="AL78" i="3"/>
  <c r="AN78" i="3"/>
  <c r="AP78" i="3"/>
  <c r="AR78" i="3"/>
  <c r="AJ79" i="3"/>
  <c r="AL79" i="3"/>
  <c r="AN79" i="3"/>
  <c r="AP79" i="3"/>
  <c r="AR79" i="3"/>
  <c r="AJ80" i="3"/>
  <c r="AL80" i="3"/>
  <c r="AP80" i="3"/>
  <c r="AR80" i="3"/>
  <c r="AJ81" i="3"/>
  <c r="AL81" i="3"/>
  <c r="AP81" i="3"/>
  <c r="AR81" i="3"/>
  <c r="AJ82" i="3"/>
  <c r="AP82" i="3"/>
  <c r="AR82" i="3"/>
  <c r="AJ83" i="3"/>
  <c r="AL83" i="3"/>
  <c r="AN83" i="3"/>
  <c r="AP83" i="3"/>
  <c r="AR83" i="3"/>
  <c r="AJ84" i="3"/>
  <c r="AL84" i="3"/>
  <c r="AN84" i="3"/>
  <c r="AP84" i="3"/>
  <c r="AR84" i="3"/>
  <c r="AJ85" i="3"/>
  <c r="AL85" i="3"/>
  <c r="AP85" i="3"/>
  <c r="AR85" i="3"/>
  <c r="AJ86" i="3"/>
  <c r="AL86" i="3"/>
  <c r="AN86" i="3"/>
  <c r="AP86" i="3"/>
  <c r="AR86" i="3"/>
  <c r="AJ87" i="3"/>
  <c r="AL87" i="3"/>
  <c r="AN87" i="3"/>
  <c r="AP87" i="3"/>
  <c r="AR87" i="3"/>
  <c r="AJ88" i="3"/>
  <c r="AP88" i="3"/>
  <c r="AR88" i="3"/>
  <c r="AH89" i="3"/>
  <c r="AJ89" i="3"/>
  <c r="AL89" i="3"/>
  <c r="AN89" i="3"/>
  <c r="AP89" i="3"/>
  <c r="AR89" i="3"/>
  <c r="AJ90" i="3"/>
  <c r="AL90" i="3"/>
  <c r="AP90" i="3"/>
  <c r="AR90" i="3"/>
  <c r="AJ91" i="3"/>
  <c r="AP91" i="3"/>
  <c r="AR91" i="3"/>
  <c r="AH92" i="3"/>
  <c r="AJ92" i="3"/>
  <c r="AL92" i="3"/>
  <c r="AN92" i="3"/>
  <c r="AP92" i="3"/>
  <c r="AR92" i="3"/>
  <c r="AJ93" i="3"/>
  <c r="AL93" i="3"/>
  <c r="AN93" i="3"/>
  <c r="AP93" i="3"/>
  <c r="AR93" i="3"/>
  <c r="AJ94" i="3"/>
  <c r="AL94" i="3"/>
  <c r="AN94" i="3"/>
  <c r="AP94" i="3"/>
  <c r="AR94" i="3"/>
  <c r="AJ95" i="3"/>
  <c r="AP95" i="3"/>
  <c r="AR95" i="3"/>
  <c r="AJ96" i="3"/>
  <c r="AL96" i="3"/>
  <c r="AP96" i="3"/>
  <c r="AR96" i="3"/>
  <c r="AJ97" i="3"/>
  <c r="AP97" i="3"/>
  <c r="AR97" i="3"/>
  <c r="AJ98" i="3"/>
  <c r="AL98" i="3"/>
  <c r="AP98" i="3"/>
  <c r="AR98" i="3"/>
  <c r="AJ99" i="3"/>
  <c r="AL99" i="3"/>
  <c r="AP99" i="3"/>
  <c r="AR99" i="3"/>
  <c r="AJ100" i="3"/>
  <c r="AP100" i="3"/>
  <c r="AR100" i="3"/>
  <c r="AJ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P113" i="3"/>
  <c r="AR113" i="3"/>
  <c r="AJ114" i="3"/>
  <c r="AL114" i="3"/>
  <c r="AN114" i="3"/>
  <c r="AP114" i="3"/>
  <c r="AR114" i="3"/>
  <c r="AJ115" i="3"/>
  <c r="AL115" i="3"/>
  <c r="AN115" i="3"/>
  <c r="AP115" i="3"/>
  <c r="AR115" i="3"/>
  <c r="AJ116" i="3"/>
  <c r="AL116" i="3"/>
  <c r="AP116" i="3"/>
  <c r="AR116" i="3"/>
  <c r="AJ117" i="3"/>
  <c r="AL117" i="3"/>
  <c r="AP117" i="3"/>
  <c r="AR117" i="3"/>
  <c r="AJ118" i="3"/>
  <c r="AL118" i="3"/>
  <c r="AN118" i="3"/>
  <c r="AP118" i="3"/>
  <c r="AR118" i="3"/>
  <c r="AJ119" i="3"/>
  <c r="AL119" i="3"/>
  <c r="AP119" i="3"/>
  <c r="AR119" i="3"/>
  <c r="AJ120" i="3"/>
  <c r="AL120" i="3"/>
  <c r="AN120" i="3"/>
  <c r="AP120" i="3"/>
  <c r="AR120" i="3"/>
  <c r="AJ121" i="3"/>
  <c r="AL121" i="3"/>
  <c r="AN121" i="3"/>
  <c r="AP121" i="3"/>
  <c r="AR121" i="3"/>
  <c r="AH122" i="3"/>
  <c r="AJ122" i="3"/>
  <c r="AL122" i="3"/>
  <c r="AP122" i="3"/>
  <c r="AR122" i="3"/>
  <c r="AJ123" i="3"/>
  <c r="AP123" i="3"/>
  <c r="AR123" i="3"/>
  <c r="AH124" i="3"/>
  <c r="AJ124" i="3"/>
  <c r="AP124" i="3"/>
  <c r="AR124" i="3"/>
  <c r="AJ125" i="3"/>
  <c r="AL125" i="3"/>
  <c r="AP125" i="3"/>
  <c r="AR125" i="3"/>
  <c r="AJ126" i="3"/>
  <c r="AL126" i="3"/>
  <c r="AN126" i="3"/>
  <c r="AP126" i="3"/>
  <c r="AR126" i="3"/>
  <c r="AJ127" i="3"/>
  <c r="AL127" i="3"/>
  <c r="AN127" i="3"/>
  <c r="AP127" i="3"/>
  <c r="AR127" i="3"/>
  <c r="AJ128" i="3"/>
  <c r="AL128" i="3"/>
  <c r="AN128" i="3"/>
  <c r="AP128" i="3"/>
  <c r="AR128" i="3"/>
  <c r="AJ129" i="3"/>
  <c r="AL129" i="3"/>
  <c r="AN129" i="3"/>
  <c r="AP129" i="3"/>
  <c r="AR129" i="3"/>
  <c r="AH130" i="3"/>
  <c r="AJ130" i="3"/>
  <c r="AL130" i="3"/>
  <c r="AN130" i="3"/>
  <c r="AP130" i="3"/>
  <c r="AR130" i="3"/>
  <c r="AJ131" i="3"/>
  <c r="AL131" i="3"/>
  <c r="AN131" i="3"/>
  <c r="AP131" i="3"/>
  <c r="AR131" i="3"/>
  <c r="AJ132" i="3"/>
  <c r="AL132" i="3"/>
  <c r="AN132" i="3"/>
  <c r="AP132" i="3"/>
  <c r="AR132" i="3"/>
  <c r="AJ133" i="3"/>
  <c r="AL133" i="3"/>
  <c r="AP133" i="3"/>
  <c r="AR133" i="3"/>
  <c r="AP134" i="3"/>
  <c r="AR134" i="3"/>
  <c r="AJ135" i="3"/>
  <c r="AL135" i="3"/>
  <c r="AN135" i="3"/>
  <c r="AP135" i="3"/>
  <c r="AR135" i="3"/>
  <c r="AJ136" i="3"/>
  <c r="AL136" i="3"/>
  <c r="AP136" i="3"/>
  <c r="AR136" i="3"/>
  <c r="AJ137" i="3"/>
  <c r="AL137" i="3"/>
  <c r="AN137" i="3"/>
  <c r="AP137" i="3"/>
  <c r="AR137" i="3"/>
  <c r="AJ138" i="3"/>
  <c r="AL138" i="3"/>
  <c r="AN138" i="3"/>
  <c r="AP138" i="3"/>
  <c r="AR138" i="3"/>
  <c r="AJ139" i="3"/>
  <c r="AL139" i="3"/>
  <c r="AP139" i="3"/>
  <c r="AR139" i="3"/>
  <c r="AJ140" i="3"/>
  <c r="AL140" i="3"/>
  <c r="AP140" i="3"/>
  <c r="AR140" i="3"/>
  <c r="AJ141" i="3"/>
  <c r="AL141" i="3"/>
  <c r="AP141" i="3"/>
  <c r="AR141" i="3"/>
  <c r="AJ142" i="3"/>
  <c r="AL142" i="3"/>
  <c r="AP142" i="3"/>
  <c r="AR142" i="3"/>
  <c r="AJ143" i="3"/>
  <c r="AL143" i="3"/>
  <c r="AN143" i="3"/>
  <c r="AP143" i="3"/>
  <c r="AR143" i="3"/>
  <c r="AJ144" i="3"/>
  <c r="AL144" i="3"/>
  <c r="AN144" i="3"/>
  <c r="AP144" i="3"/>
  <c r="AR144" i="3"/>
  <c r="AJ145" i="3"/>
  <c r="AP145" i="3"/>
  <c r="AR145" i="3"/>
  <c r="AJ146" i="3"/>
  <c r="AP146" i="3"/>
  <c r="AR146" i="3"/>
  <c r="AJ147" i="3"/>
  <c r="AL147" i="3"/>
  <c r="AP147" i="3"/>
  <c r="AR147" i="3"/>
  <c r="AJ148" i="3"/>
  <c r="AL148" i="3"/>
  <c r="AN148" i="3"/>
  <c r="AP148" i="3"/>
  <c r="AR148" i="3"/>
  <c r="AJ149" i="3"/>
  <c r="AL149" i="3"/>
  <c r="AP149" i="3"/>
  <c r="AR149" i="3"/>
  <c r="AJ150" i="3"/>
  <c r="AL150" i="3"/>
  <c r="AP150" i="3"/>
  <c r="AR150" i="3"/>
  <c r="AJ151" i="3"/>
  <c r="AL151" i="3"/>
  <c r="AN151" i="3"/>
  <c r="AP151" i="3"/>
  <c r="AR151" i="3"/>
  <c r="AJ152" i="3"/>
  <c r="AL152" i="3"/>
  <c r="AN152" i="3"/>
  <c r="AP152" i="3"/>
  <c r="AR152" i="3"/>
  <c r="AJ153" i="3"/>
  <c r="AL153" i="3"/>
  <c r="AP153" i="3"/>
  <c r="AR153" i="3"/>
  <c r="AJ154" i="3"/>
  <c r="AL154" i="3"/>
  <c r="AP154" i="3"/>
  <c r="AR154" i="3"/>
  <c r="AJ155" i="3"/>
  <c r="AP155" i="3"/>
  <c r="AR155" i="3"/>
  <c r="AH156" i="3"/>
  <c r="AJ156" i="3"/>
  <c r="AL156" i="3"/>
  <c r="AN156" i="3"/>
  <c r="AP156" i="3"/>
  <c r="AR156" i="3"/>
  <c r="AJ157" i="3"/>
  <c r="AP157" i="3"/>
  <c r="AR157" i="3"/>
  <c r="AH158" i="3"/>
  <c r="AJ158" i="3"/>
  <c r="AL158" i="3"/>
  <c r="AP158" i="3"/>
  <c r="AR158" i="3"/>
  <c r="AJ159" i="3"/>
  <c r="AP159" i="3"/>
  <c r="AR159" i="3"/>
  <c r="AJ160" i="3"/>
  <c r="AL160" i="3"/>
  <c r="AN160" i="3"/>
  <c r="AP160" i="3"/>
  <c r="AR160" i="3"/>
  <c r="AJ161" i="3"/>
  <c r="AL161" i="3"/>
  <c r="AP161" i="3"/>
  <c r="AR161" i="3"/>
  <c r="AJ162" i="3"/>
  <c r="AL162" i="3"/>
  <c r="AN162" i="3"/>
  <c r="AP162" i="3"/>
  <c r="AR162" i="3"/>
  <c r="AJ163" i="3"/>
  <c r="AL163" i="3"/>
  <c r="AP163" i="3"/>
  <c r="AR163" i="3"/>
  <c r="AH164" i="3"/>
  <c r="AJ164" i="3"/>
  <c r="AL164" i="3"/>
  <c r="AN164" i="3"/>
  <c r="AP164" i="3"/>
  <c r="AR164" i="3"/>
  <c r="AJ165" i="3"/>
  <c r="AL165" i="3"/>
  <c r="AN165" i="3"/>
  <c r="AP165" i="3"/>
  <c r="AR165" i="3"/>
  <c r="AJ166" i="3"/>
  <c r="AL166" i="3"/>
  <c r="AP166" i="3"/>
  <c r="AR166" i="3"/>
  <c r="AJ167" i="3"/>
  <c r="AL167" i="3"/>
  <c r="AN167" i="3"/>
  <c r="AP167" i="3"/>
  <c r="AR167" i="3"/>
  <c r="AJ168" i="3"/>
  <c r="AL168" i="3"/>
  <c r="AP168" i="3"/>
  <c r="AR168" i="3"/>
  <c r="AH169" i="3"/>
  <c r="AJ169" i="3"/>
  <c r="AL169" i="3"/>
  <c r="AN169" i="3"/>
  <c r="AP169" i="3"/>
  <c r="AR169" i="3"/>
  <c r="AJ170" i="3"/>
  <c r="AP170" i="3"/>
  <c r="AR170" i="3"/>
  <c r="AJ171" i="3"/>
  <c r="AL171" i="3"/>
  <c r="AN171" i="3"/>
  <c r="AP171" i="3"/>
  <c r="AR171" i="3"/>
  <c r="AJ172" i="3"/>
  <c r="AL172" i="3"/>
  <c r="AP172" i="3"/>
  <c r="AR172" i="3"/>
  <c r="AJ173" i="3"/>
  <c r="AL173" i="3"/>
  <c r="AP173" i="3"/>
  <c r="AR173" i="3"/>
  <c r="AJ174" i="3"/>
  <c r="AL174" i="3"/>
  <c r="AP174" i="3"/>
  <c r="AR174" i="3"/>
  <c r="AJ175" i="3"/>
  <c r="AL175" i="3"/>
  <c r="AP175" i="3"/>
  <c r="AR175" i="3"/>
  <c r="AJ176" i="3"/>
  <c r="AP176" i="3"/>
  <c r="AR176" i="3"/>
  <c r="AJ177" i="3"/>
  <c r="AL177" i="3"/>
  <c r="AN177" i="3"/>
  <c r="AP177" i="3"/>
  <c r="AR177" i="3"/>
  <c r="AJ178" i="3"/>
  <c r="AL178" i="3"/>
  <c r="AP178" i="3"/>
  <c r="AR178" i="3"/>
  <c r="AJ179" i="3"/>
  <c r="AL179" i="3"/>
  <c r="AN179" i="3"/>
  <c r="AP179" i="3"/>
  <c r="AR179" i="3"/>
  <c r="AJ180" i="3"/>
  <c r="AP180" i="3"/>
  <c r="AR180" i="3"/>
  <c r="AJ181" i="3"/>
  <c r="AL181" i="3"/>
  <c r="AP181" i="3"/>
  <c r="AR181" i="3"/>
  <c r="AJ182" i="3"/>
  <c r="AL182" i="3"/>
  <c r="AP182" i="3"/>
  <c r="AR182" i="3"/>
  <c r="AJ183" i="3"/>
  <c r="AL183" i="3"/>
  <c r="AN183" i="3"/>
  <c r="AP183" i="3"/>
  <c r="AR183" i="3"/>
  <c r="AJ184" i="3"/>
  <c r="AL184" i="3"/>
  <c r="AN184" i="3"/>
  <c r="AP184" i="3"/>
  <c r="AR184" i="3"/>
  <c r="AJ185" i="3"/>
  <c r="AP185" i="3"/>
  <c r="AR185" i="3"/>
  <c r="AJ186" i="3"/>
  <c r="AL186" i="3"/>
  <c r="AP186" i="3"/>
  <c r="AR186" i="3"/>
  <c r="AJ187" i="3"/>
  <c r="AL187" i="3"/>
  <c r="AP187" i="3"/>
  <c r="AR187" i="3"/>
  <c r="AH188" i="3"/>
  <c r="AJ188" i="3"/>
  <c r="AL188" i="3"/>
  <c r="AN188" i="3"/>
  <c r="AP188" i="3"/>
  <c r="AR188" i="3"/>
  <c r="AJ189" i="3"/>
  <c r="AL189" i="3"/>
  <c r="AP189" i="3"/>
  <c r="AR189" i="3"/>
  <c r="AJ190" i="3"/>
  <c r="AL190" i="3"/>
  <c r="AP190" i="3"/>
  <c r="AR190" i="3"/>
  <c r="AJ191" i="3"/>
  <c r="AL191" i="3"/>
  <c r="AP191" i="3"/>
  <c r="AR191" i="3"/>
  <c r="AJ192" i="3"/>
  <c r="AL192" i="3"/>
  <c r="AN192" i="3"/>
  <c r="AP192" i="3"/>
  <c r="AR192" i="3"/>
  <c r="AJ193" i="3"/>
  <c r="AL193" i="3"/>
  <c r="AP193" i="3"/>
  <c r="AR193" i="3"/>
  <c r="AJ194" i="3"/>
  <c r="AL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H218" i="3"/>
  <c r="AJ218" i="3"/>
  <c r="AL218" i="3"/>
  <c r="AN218" i="3"/>
  <c r="AP218" i="3"/>
  <c r="AR218" i="3"/>
  <c r="AJ219" i="3"/>
  <c r="AL219" i="3"/>
  <c r="AN219" i="3"/>
  <c r="AP219" i="3"/>
  <c r="AR219" i="3"/>
  <c r="AJ220" i="3"/>
  <c r="AP220" i="3"/>
  <c r="AR220" i="3"/>
  <c r="AJ221" i="3"/>
  <c r="AL221" i="3"/>
  <c r="AP221" i="3"/>
  <c r="AR221" i="3"/>
  <c r="AJ222" i="3"/>
  <c r="AL222" i="3"/>
  <c r="AP222" i="3"/>
  <c r="AR222" i="3"/>
  <c r="AJ223" i="3"/>
  <c r="AL223" i="3"/>
  <c r="AN223" i="3"/>
  <c r="AP223" i="3"/>
  <c r="AR223" i="3"/>
  <c r="AJ224" i="3"/>
  <c r="AL224" i="3"/>
  <c r="AN224" i="3"/>
  <c r="AP224" i="3"/>
  <c r="AR224" i="3"/>
  <c r="AJ225" i="3"/>
  <c r="AL225" i="3"/>
  <c r="AP225" i="3"/>
  <c r="AR225" i="3"/>
  <c r="AJ226" i="3"/>
  <c r="AL226" i="3"/>
  <c r="AP226" i="3"/>
  <c r="AR226" i="3"/>
  <c r="AJ227" i="3"/>
  <c r="AL227" i="3"/>
  <c r="AN227" i="3"/>
  <c r="AP227" i="3"/>
  <c r="AR227" i="3"/>
  <c r="AJ228" i="3"/>
  <c r="AL228" i="3"/>
  <c r="AN228" i="3"/>
  <c r="AP228" i="3"/>
  <c r="AR228" i="3"/>
  <c r="AJ229" i="3"/>
  <c r="AL229" i="3"/>
  <c r="AP229" i="3"/>
  <c r="AR229" i="3"/>
  <c r="AJ230" i="3"/>
  <c r="AL230" i="3"/>
  <c r="AN230" i="3"/>
  <c r="AP230" i="3"/>
  <c r="AR230" i="3"/>
  <c r="AJ231" i="3"/>
  <c r="AL231" i="3"/>
  <c r="AN231" i="3"/>
  <c r="AP231" i="3"/>
  <c r="AR231" i="3"/>
  <c r="AJ232" i="3"/>
  <c r="AL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P237" i="3"/>
  <c r="AR237" i="3"/>
  <c r="AJ238" i="3"/>
  <c r="AL238" i="3"/>
  <c r="AN238" i="3"/>
  <c r="AP238" i="3"/>
  <c r="AR238" i="3"/>
  <c r="AJ239" i="3"/>
  <c r="AL239" i="3"/>
  <c r="AP239" i="3"/>
  <c r="AR239" i="3"/>
  <c r="AJ240" i="3"/>
  <c r="AL240" i="3"/>
  <c r="AP240" i="3"/>
  <c r="AR240" i="3"/>
  <c r="AJ241" i="3"/>
  <c r="AL241" i="3"/>
  <c r="AP241" i="3"/>
  <c r="AR241" i="3"/>
  <c r="AJ242" i="3"/>
  <c r="AL242" i="3"/>
  <c r="AN242" i="3"/>
  <c r="AP242" i="3"/>
  <c r="AR242" i="3"/>
  <c r="AJ243" i="3"/>
  <c r="AL243" i="3"/>
  <c r="AP243" i="3"/>
  <c r="AR243" i="3"/>
  <c r="AJ244" i="3"/>
  <c r="AL244" i="3"/>
  <c r="AP244" i="3"/>
  <c r="AR244" i="3"/>
  <c r="AJ245" i="3"/>
  <c r="AL245" i="3"/>
  <c r="AP245" i="3"/>
  <c r="AR245" i="3"/>
  <c r="AJ246" i="3"/>
  <c r="AL246" i="3"/>
  <c r="AP246" i="3"/>
  <c r="AR246" i="3"/>
  <c r="AJ247" i="3"/>
  <c r="AL247" i="3"/>
  <c r="AN247" i="3"/>
  <c r="AP247" i="3"/>
  <c r="AR247" i="3"/>
  <c r="AJ248" i="3"/>
  <c r="AL248" i="3"/>
  <c r="AP248" i="3"/>
  <c r="AR248" i="3"/>
  <c r="AJ249" i="3"/>
  <c r="AL249" i="3"/>
  <c r="AN249" i="3"/>
  <c r="AP249" i="3"/>
  <c r="AR249" i="3"/>
  <c r="AJ250" i="3"/>
  <c r="AL250" i="3"/>
  <c r="AP250" i="3"/>
  <c r="AR250" i="3"/>
  <c r="AJ251" i="3"/>
  <c r="AP251" i="3"/>
  <c r="AR251" i="3"/>
  <c r="AH252" i="3"/>
  <c r="AJ252" i="3"/>
  <c r="AL252" i="3"/>
  <c r="AN252" i="3"/>
  <c r="AP252" i="3"/>
  <c r="AR252" i="3"/>
  <c r="AH253" i="3"/>
  <c r="AJ253" i="3"/>
  <c r="AL253" i="3"/>
  <c r="AN253" i="3"/>
  <c r="AP253" i="3"/>
  <c r="AR253" i="3"/>
  <c r="AJ254" i="3"/>
  <c r="AL254" i="3"/>
  <c r="AN254" i="3"/>
  <c r="AP254" i="3"/>
  <c r="AR254" i="3"/>
  <c r="AJ255" i="3"/>
  <c r="AL255" i="3"/>
  <c r="AP255" i="3"/>
  <c r="AR255" i="3"/>
  <c r="AJ256" i="3"/>
  <c r="AP256" i="3"/>
  <c r="AR256" i="3"/>
  <c r="AJ257" i="3"/>
  <c r="AL257" i="3"/>
  <c r="AN257" i="3"/>
  <c r="AP257" i="3"/>
  <c r="AR257" i="3"/>
  <c r="AJ258" i="3"/>
  <c r="AL258" i="3"/>
  <c r="AN258" i="3"/>
  <c r="AP258" i="3"/>
  <c r="AR258" i="3"/>
  <c r="AJ259" i="3"/>
  <c r="AL259" i="3"/>
  <c r="AN259" i="3"/>
  <c r="AP259" i="3"/>
  <c r="AR259" i="3"/>
  <c r="AJ260" i="3"/>
  <c r="AL260" i="3"/>
  <c r="AP260" i="3"/>
  <c r="AR260" i="3"/>
  <c r="AJ261" i="3"/>
  <c r="AL261" i="3"/>
  <c r="AN261" i="3"/>
  <c r="AP261" i="3"/>
  <c r="AR261" i="3"/>
  <c r="AJ262" i="3"/>
  <c r="AL262" i="3"/>
  <c r="AP262" i="3"/>
  <c r="AR262" i="3"/>
  <c r="AJ263" i="3"/>
  <c r="AL263" i="3"/>
  <c r="AP263" i="3"/>
  <c r="AR263" i="3"/>
  <c r="AJ264" i="3"/>
  <c r="AL264" i="3"/>
  <c r="AN264" i="3"/>
  <c r="AP264" i="3"/>
  <c r="AR264" i="3"/>
  <c r="AJ265" i="3"/>
  <c r="AL265" i="3"/>
  <c r="AP265" i="3"/>
  <c r="AR265" i="3"/>
  <c r="AJ266" i="3"/>
  <c r="AL266" i="3"/>
  <c r="AN266" i="3"/>
  <c r="AP266" i="3"/>
  <c r="AR266" i="3"/>
  <c r="AJ267" i="3"/>
  <c r="AL267" i="3"/>
  <c r="AN267" i="3"/>
  <c r="AP267" i="3"/>
  <c r="AR267" i="3"/>
  <c r="AJ268" i="3"/>
  <c r="AP268" i="3"/>
  <c r="AR268" i="3"/>
  <c r="AJ269" i="3"/>
  <c r="AP269" i="3"/>
  <c r="AR269" i="3"/>
  <c r="AJ270" i="3"/>
  <c r="AL270" i="3"/>
  <c r="AP270" i="3"/>
  <c r="AR270" i="3"/>
  <c r="AJ271" i="3"/>
  <c r="AP271" i="3"/>
  <c r="AR271" i="3"/>
  <c r="AJ272" i="3"/>
  <c r="AL272" i="3"/>
  <c r="AP272" i="3"/>
  <c r="AR272" i="3"/>
  <c r="AJ273" i="3"/>
  <c r="AL273" i="3"/>
  <c r="AN273" i="3"/>
  <c r="AP273" i="3"/>
  <c r="AR273" i="3"/>
  <c r="AH274" i="3"/>
  <c r="AJ274" i="3"/>
  <c r="AL274" i="3"/>
  <c r="AN274" i="3"/>
  <c r="AP274" i="3"/>
  <c r="AR274" i="3"/>
  <c r="AJ275" i="3"/>
  <c r="AL275" i="3"/>
  <c r="AP275" i="3"/>
  <c r="AR275" i="3"/>
  <c r="AJ276" i="3"/>
  <c r="AL276" i="3"/>
  <c r="AP276" i="3"/>
  <c r="AR276" i="3"/>
  <c r="AJ277" i="3"/>
  <c r="AL277" i="3"/>
  <c r="AN277" i="3"/>
  <c r="AP277" i="3"/>
  <c r="AR277" i="3"/>
  <c r="AJ278" i="3"/>
  <c r="AL278" i="3"/>
  <c r="AN278" i="3"/>
  <c r="AP278" i="3"/>
  <c r="AR278" i="3"/>
  <c r="AJ279" i="3"/>
  <c r="AL279" i="3"/>
  <c r="AP279" i="3"/>
  <c r="AR279" i="3"/>
  <c r="AJ280" i="3"/>
  <c r="AL280" i="3"/>
  <c r="AN280" i="3"/>
  <c r="AP280" i="3"/>
  <c r="AR280" i="3"/>
  <c r="AJ281" i="3"/>
  <c r="AL281" i="3"/>
  <c r="AP281" i="3"/>
  <c r="AR281" i="3"/>
  <c r="AJ282" i="3"/>
  <c r="AL282" i="3"/>
  <c r="AN282" i="3"/>
  <c r="AP282" i="3"/>
  <c r="AR282" i="3"/>
  <c r="AJ283" i="3"/>
  <c r="AL283" i="3"/>
  <c r="AN283" i="3"/>
  <c r="AP283" i="3"/>
  <c r="AR283" i="3"/>
  <c r="AJ284" i="3"/>
  <c r="AL284" i="3"/>
  <c r="AP284" i="3"/>
  <c r="AR284" i="3"/>
  <c r="AJ285" i="3"/>
  <c r="AL285" i="3"/>
  <c r="AN285" i="3"/>
  <c r="AP285" i="3"/>
  <c r="AR285" i="3"/>
  <c r="AJ286" i="3"/>
  <c r="AL286" i="3"/>
  <c r="AP286" i="3"/>
  <c r="AR286" i="3"/>
  <c r="AJ287" i="3"/>
  <c r="AL287" i="3"/>
  <c r="AP287" i="3"/>
  <c r="AR287" i="3"/>
  <c r="AJ288" i="3"/>
  <c r="AL288" i="3"/>
  <c r="AP288" i="3"/>
  <c r="AR288" i="3"/>
  <c r="AJ289" i="3"/>
  <c r="AL289" i="3"/>
  <c r="AP289" i="3"/>
  <c r="AR289" i="3"/>
  <c r="AJ290" i="3"/>
  <c r="AL290" i="3"/>
  <c r="AN290" i="3"/>
  <c r="AP290" i="3"/>
  <c r="AR290" i="3"/>
  <c r="AJ291" i="3"/>
  <c r="AL291" i="3"/>
  <c r="AP291" i="3"/>
  <c r="AR291" i="3"/>
  <c r="AJ292" i="3"/>
  <c r="AL292" i="3"/>
  <c r="AP292" i="3"/>
  <c r="AR292" i="3"/>
  <c r="AJ293" i="3"/>
  <c r="AL293" i="3"/>
  <c r="AP293" i="3"/>
  <c r="AR293" i="3"/>
  <c r="AJ294" i="3"/>
  <c r="AL294" i="3"/>
  <c r="AN294" i="3"/>
  <c r="AP294" i="3"/>
  <c r="AR294" i="3"/>
  <c r="AJ295" i="3"/>
  <c r="AL295" i="3"/>
  <c r="AN295" i="3"/>
  <c r="AP295" i="3"/>
  <c r="AR295" i="3"/>
  <c r="AJ296" i="3"/>
  <c r="AL296" i="3"/>
  <c r="AP296" i="3"/>
  <c r="AR296" i="3"/>
  <c r="AJ297" i="3"/>
  <c r="AL297" i="3"/>
  <c r="AP297" i="3"/>
  <c r="AR297" i="3"/>
  <c r="AJ298" i="3"/>
  <c r="AL298" i="3"/>
  <c r="AN298" i="3"/>
  <c r="AP298" i="3"/>
  <c r="AR298" i="3"/>
  <c r="AJ299" i="3"/>
  <c r="AL299" i="3"/>
  <c r="AP299" i="3"/>
  <c r="AR299" i="3"/>
  <c r="AJ300" i="3"/>
  <c r="AL300" i="3"/>
  <c r="AP300" i="3"/>
  <c r="AR300" i="3"/>
  <c r="AJ301" i="3"/>
  <c r="AL301" i="3"/>
  <c r="AN301" i="3"/>
  <c r="AP301" i="3"/>
  <c r="AR301" i="3"/>
  <c r="AJ302" i="3"/>
  <c r="AL302" i="3"/>
  <c r="AP302" i="3"/>
  <c r="AR302" i="3"/>
  <c r="AJ303" i="3"/>
  <c r="AL303" i="3"/>
  <c r="AP303" i="3"/>
  <c r="AR303" i="3"/>
  <c r="AJ304" i="3"/>
  <c r="AL304" i="3"/>
  <c r="AP304" i="3"/>
  <c r="AR304" i="3"/>
  <c r="AJ305" i="3"/>
  <c r="AL305" i="3"/>
  <c r="AN305" i="3"/>
  <c r="AP305" i="3"/>
  <c r="AR305" i="3"/>
  <c r="AJ306" i="3"/>
  <c r="AL306" i="3"/>
  <c r="AN306" i="3"/>
  <c r="AP306" i="3"/>
  <c r="AR306" i="3"/>
  <c r="AJ307" i="3"/>
  <c r="AL307" i="3"/>
  <c r="AP307" i="3"/>
  <c r="AR307" i="3"/>
  <c r="AJ308" i="3"/>
  <c r="AL308" i="3"/>
  <c r="AP308" i="3"/>
  <c r="AR308" i="3"/>
  <c r="AJ309" i="3"/>
  <c r="AL309" i="3"/>
  <c r="AP309" i="3"/>
  <c r="AR309" i="3"/>
  <c r="AJ310" i="3"/>
  <c r="AL310" i="3"/>
  <c r="AP310" i="3"/>
  <c r="AR310" i="3"/>
  <c r="AJ311" i="3"/>
  <c r="AL311" i="3"/>
  <c r="AN311" i="3"/>
  <c r="AP311" i="3"/>
  <c r="AR311" i="3"/>
  <c r="AJ312" i="3"/>
  <c r="AL312" i="3"/>
  <c r="AP312" i="3"/>
  <c r="AR312" i="3"/>
  <c r="AJ313" i="3"/>
  <c r="AL313" i="3"/>
  <c r="AP313" i="3"/>
  <c r="AR313" i="3"/>
  <c r="AJ314" i="3"/>
  <c r="AP314" i="3"/>
  <c r="AR314" i="3"/>
  <c r="AJ315" i="3"/>
  <c r="AL315" i="3"/>
  <c r="AP315" i="3"/>
  <c r="AR315" i="3"/>
  <c r="AJ316" i="3"/>
  <c r="AL316" i="3"/>
  <c r="AP316" i="3"/>
  <c r="AR316" i="3"/>
  <c r="AH317" i="3"/>
  <c r="AJ317" i="3"/>
  <c r="AL317" i="3"/>
  <c r="AP317" i="3"/>
  <c r="AR317" i="3"/>
  <c r="AJ318" i="3"/>
  <c r="AL318" i="3"/>
  <c r="AP318" i="3"/>
  <c r="AR318" i="3"/>
  <c r="AJ319" i="3"/>
  <c r="AL319" i="3"/>
  <c r="AP319" i="3"/>
  <c r="AR319" i="3"/>
  <c r="AH320" i="3"/>
  <c r="AJ320" i="3"/>
  <c r="AL320" i="3"/>
  <c r="AP320" i="3"/>
  <c r="AR320" i="3"/>
  <c r="AJ321" i="3"/>
  <c r="AL321" i="3"/>
  <c r="AP321" i="3"/>
  <c r="AR321" i="3"/>
  <c r="AJ322" i="3"/>
  <c r="AL322" i="3"/>
  <c r="AP322" i="3"/>
  <c r="AR322" i="3"/>
  <c r="AJ323" i="3"/>
  <c r="AL323" i="3"/>
  <c r="AP323" i="3"/>
  <c r="AR323" i="3"/>
  <c r="AJ324" i="3"/>
  <c r="AL324" i="3"/>
  <c r="AN324" i="3"/>
  <c r="AP324" i="3"/>
  <c r="AR324" i="3"/>
  <c r="AJ325" i="3"/>
  <c r="AL325" i="3"/>
  <c r="AP325" i="3"/>
  <c r="AR325" i="3"/>
  <c r="AJ326" i="3"/>
  <c r="AL326" i="3"/>
  <c r="AP326" i="3"/>
  <c r="AR326" i="3"/>
  <c r="AJ327" i="3"/>
  <c r="AL327" i="3"/>
  <c r="AR327" i="3"/>
  <c r="AJ328" i="3"/>
  <c r="AL328" i="3"/>
  <c r="AN328" i="3"/>
  <c r="AP328" i="3"/>
  <c r="AR328" i="3"/>
  <c r="AJ329" i="3"/>
  <c r="AL329" i="3"/>
  <c r="AN329" i="3"/>
  <c r="AP329" i="3"/>
  <c r="AR329" i="3"/>
  <c r="AJ330" i="3"/>
  <c r="AL330" i="3"/>
  <c r="AP330" i="3"/>
  <c r="AR330" i="3"/>
  <c r="AJ331" i="3"/>
  <c r="AL331" i="3"/>
  <c r="AP331" i="3"/>
  <c r="AR331" i="3"/>
  <c r="AJ332" i="3"/>
  <c r="AL332" i="3"/>
  <c r="AP332" i="3"/>
  <c r="AR332" i="3"/>
  <c r="AJ333" i="3"/>
  <c r="AL333" i="3"/>
  <c r="AN333" i="3"/>
  <c r="AP333" i="3"/>
  <c r="AR333" i="3"/>
  <c r="AJ334" i="3"/>
  <c r="AL334" i="3"/>
  <c r="AN334" i="3"/>
  <c r="AP334" i="3"/>
  <c r="AR334" i="3"/>
  <c r="AJ335" i="3"/>
  <c r="AL335" i="3"/>
  <c r="AP335" i="3"/>
  <c r="AR335" i="3"/>
  <c r="AH336" i="3"/>
  <c r="AJ336" i="3"/>
  <c r="AL336" i="3"/>
  <c r="AN336" i="3"/>
  <c r="AP336" i="3"/>
  <c r="AR336" i="3"/>
  <c r="AJ337" i="3"/>
  <c r="AL337" i="3"/>
  <c r="AN337" i="3"/>
  <c r="AP337" i="3"/>
  <c r="AR337" i="3"/>
  <c r="AJ338" i="3"/>
  <c r="AL338" i="3"/>
  <c r="AP338" i="3"/>
  <c r="AR338" i="3"/>
  <c r="AJ339" i="3"/>
  <c r="AL339" i="3"/>
  <c r="AP339" i="3"/>
  <c r="AR339" i="3"/>
  <c r="AH340" i="3"/>
  <c r="AJ340" i="3"/>
  <c r="AL340" i="3"/>
  <c r="AN340" i="3"/>
  <c r="AP340" i="3"/>
  <c r="AR340" i="3"/>
  <c r="AJ341" i="3"/>
  <c r="AL341" i="3"/>
  <c r="AP341" i="3"/>
  <c r="AR341" i="3"/>
  <c r="AJ342" i="3"/>
  <c r="AL342" i="3"/>
  <c r="AN342" i="3"/>
  <c r="AP342" i="3"/>
  <c r="AR342" i="3"/>
  <c r="AJ343" i="3"/>
  <c r="AL343" i="3"/>
  <c r="AP343" i="3"/>
  <c r="AR343" i="3"/>
  <c r="AJ344" i="3"/>
  <c r="AL344" i="3"/>
  <c r="AP344" i="3"/>
  <c r="AR344" i="3"/>
  <c r="AJ345" i="3"/>
  <c r="AL345" i="3"/>
  <c r="AP345" i="3"/>
  <c r="AR345" i="3"/>
  <c r="AJ346" i="3"/>
  <c r="AL346" i="3"/>
  <c r="AP346" i="3"/>
  <c r="AR346" i="3"/>
  <c r="AJ347" i="3"/>
  <c r="AL347" i="3"/>
  <c r="AP347" i="3"/>
  <c r="AR347" i="3"/>
  <c r="AJ348" i="3"/>
  <c r="AL348" i="3"/>
  <c r="AN348" i="3"/>
  <c r="AP348" i="3"/>
  <c r="AR348" i="3"/>
  <c r="AJ349" i="3"/>
  <c r="AL349" i="3"/>
  <c r="AP349" i="3"/>
  <c r="AR349" i="3"/>
  <c r="AH350" i="3"/>
  <c r="AJ350" i="3"/>
  <c r="AL350" i="3"/>
  <c r="AN350" i="3"/>
  <c r="AP350" i="3"/>
  <c r="AR350" i="3"/>
  <c r="AJ351" i="3"/>
  <c r="AL351" i="3"/>
  <c r="AN351" i="3"/>
  <c r="AP351" i="3"/>
  <c r="AR351" i="3"/>
  <c r="AJ352" i="3"/>
  <c r="AL352" i="3"/>
  <c r="AP352" i="3"/>
  <c r="AR352" i="3"/>
  <c r="AJ353" i="3"/>
  <c r="AL353" i="3"/>
  <c r="AN353" i="3"/>
  <c r="AP353" i="3"/>
  <c r="AR353" i="3"/>
  <c r="AJ354" i="3"/>
  <c r="AL354" i="3"/>
  <c r="AP354" i="3"/>
  <c r="AR354" i="3"/>
  <c r="AJ355" i="3"/>
  <c r="AL355" i="3"/>
  <c r="AP355" i="3"/>
  <c r="AR355" i="3"/>
  <c r="AJ356" i="3"/>
  <c r="AL356" i="3"/>
  <c r="AN356" i="3"/>
  <c r="AP356" i="3"/>
  <c r="AR356" i="3"/>
  <c r="AJ357" i="3"/>
  <c r="AL357" i="3"/>
  <c r="AP357" i="3"/>
  <c r="AR357" i="3"/>
  <c r="AJ358" i="3"/>
  <c r="AL358" i="3"/>
  <c r="AP358" i="3"/>
  <c r="AR358" i="3"/>
  <c r="AJ359" i="3"/>
  <c r="AP359" i="3"/>
  <c r="AR359" i="3"/>
  <c r="AJ360" i="3"/>
  <c r="AL360" i="3"/>
  <c r="AP360" i="3"/>
  <c r="AR360" i="3"/>
  <c r="AJ361" i="3"/>
  <c r="AL361" i="3"/>
  <c r="AP361" i="3"/>
  <c r="AR361" i="3"/>
  <c r="AJ362" i="3"/>
  <c r="AL362" i="3"/>
  <c r="AN362" i="3"/>
  <c r="AP362" i="3"/>
  <c r="AR362" i="3"/>
  <c r="AJ363" i="3"/>
  <c r="AL363" i="3"/>
  <c r="AP363" i="3"/>
  <c r="AR363" i="3"/>
  <c r="AJ364" i="3"/>
  <c r="AL364" i="3"/>
  <c r="AP364" i="3"/>
  <c r="AR364" i="3"/>
  <c r="AJ365" i="3"/>
  <c r="AL365" i="3"/>
  <c r="AP365" i="3"/>
  <c r="AR365" i="3"/>
  <c r="AJ366" i="3"/>
  <c r="AL366" i="3"/>
  <c r="AP366" i="3"/>
  <c r="AR366" i="3"/>
  <c r="AJ367" i="3"/>
  <c r="AL367" i="3"/>
  <c r="AN367" i="3"/>
  <c r="AP367" i="3"/>
  <c r="AR367" i="3"/>
  <c r="AJ368" i="3"/>
  <c r="AL368" i="3"/>
  <c r="AN368" i="3"/>
  <c r="AP368" i="3"/>
  <c r="AR368" i="3"/>
  <c r="AJ369" i="3"/>
  <c r="AL369" i="3"/>
  <c r="AN369" i="3"/>
  <c r="AP369" i="3"/>
  <c r="AR369" i="3"/>
  <c r="AH370" i="3"/>
  <c r="AJ370" i="3"/>
  <c r="AL370" i="3"/>
  <c r="AN370" i="3"/>
  <c r="AP370" i="3"/>
  <c r="AR370" i="3"/>
  <c r="AJ371" i="3"/>
  <c r="AL371" i="3"/>
  <c r="AP371" i="3"/>
  <c r="AR371" i="3"/>
  <c r="AJ372" i="3"/>
  <c r="AL372" i="3"/>
  <c r="AP372" i="3"/>
  <c r="AR372" i="3"/>
  <c r="AJ373" i="3"/>
  <c r="AL373" i="3"/>
  <c r="AN373" i="3"/>
  <c r="AP373" i="3"/>
  <c r="AR373" i="3"/>
  <c r="AJ374" i="3"/>
  <c r="AL374" i="3"/>
  <c r="AP374" i="3"/>
  <c r="AR374" i="3"/>
  <c r="AJ375" i="3"/>
  <c r="AP375" i="3"/>
  <c r="AR375" i="3"/>
  <c r="AH376" i="3"/>
  <c r="AJ376" i="3"/>
  <c r="AL376" i="3"/>
  <c r="AP376" i="3"/>
  <c r="AR376" i="3"/>
  <c r="AJ377" i="3"/>
  <c r="AL377" i="3"/>
  <c r="AN377" i="3"/>
  <c r="AP377" i="3"/>
  <c r="AR377" i="3"/>
  <c r="AJ378" i="3"/>
  <c r="AL378" i="3"/>
  <c r="AP378" i="3"/>
  <c r="AR378" i="3"/>
  <c r="AJ379" i="3"/>
  <c r="AL379" i="3"/>
  <c r="AN379" i="3"/>
  <c r="AP379" i="3"/>
  <c r="AR379" i="3"/>
  <c r="AH380" i="3"/>
  <c r="AJ380" i="3"/>
  <c r="AL380" i="3"/>
  <c r="AP380" i="3"/>
  <c r="AR380" i="3"/>
  <c r="AJ381" i="3"/>
  <c r="AL381" i="3"/>
  <c r="AP381" i="3"/>
  <c r="AR381" i="3"/>
  <c r="AJ382" i="3"/>
  <c r="AL382" i="3"/>
  <c r="AN382" i="3"/>
  <c r="AP382" i="3"/>
  <c r="AR382" i="3"/>
  <c r="AJ383" i="3"/>
  <c r="AL383" i="3"/>
  <c r="AP383" i="3"/>
  <c r="AR383" i="3"/>
  <c r="AJ384" i="3"/>
  <c r="AL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J393" i="3"/>
  <c r="AL393" i="3"/>
  <c r="AP393" i="3"/>
  <c r="AR393" i="3"/>
  <c r="AJ394" i="3"/>
  <c r="AL394" i="3"/>
  <c r="AP394" i="3"/>
  <c r="AR394" i="3"/>
  <c r="AJ395" i="3"/>
  <c r="AL395" i="3"/>
  <c r="AN395" i="3"/>
  <c r="AP395" i="3"/>
  <c r="AR395"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P400" i="3"/>
  <c r="AR400" i="3"/>
  <c r="AJ401" i="3"/>
  <c r="AL401" i="3"/>
  <c r="AN401" i="3"/>
  <c r="AP401" i="3"/>
  <c r="AR401" i="3"/>
  <c r="AH402" i="3"/>
  <c r="AJ402" i="3"/>
  <c r="AL402" i="3"/>
  <c r="AN402" i="3"/>
  <c r="AP402" i="3"/>
  <c r="AR402" i="3"/>
  <c r="AJ403" i="3"/>
  <c r="AL403" i="3"/>
  <c r="AN403" i="3"/>
  <c r="AP403" i="3"/>
  <c r="AR403" i="3"/>
  <c r="AH404" i="3"/>
  <c r="AJ404" i="3"/>
  <c r="AL404" i="3"/>
  <c r="AP404" i="3"/>
  <c r="AR404" i="3"/>
  <c r="AJ405" i="3"/>
  <c r="AL405" i="3"/>
  <c r="AP405" i="3"/>
  <c r="AR405" i="3"/>
  <c r="AJ406" i="3"/>
  <c r="AL406" i="3"/>
  <c r="AP406" i="3"/>
  <c r="AR406" i="3"/>
  <c r="AJ407" i="3"/>
  <c r="AL407" i="3"/>
  <c r="AN407" i="3"/>
  <c r="AP407" i="3"/>
  <c r="AR407" i="3"/>
  <c r="AJ408" i="3"/>
  <c r="AL408" i="3"/>
  <c r="AP408" i="3"/>
  <c r="AR408" i="3"/>
  <c r="AJ409" i="3"/>
  <c r="AL409" i="3"/>
  <c r="AP409" i="3"/>
  <c r="AR409" i="3"/>
  <c r="AH410" i="3"/>
  <c r="AJ410" i="3"/>
  <c r="AL410" i="3"/>
  <c r="AP410" i="3"/>
  <c r="AR410" i="3"/>
  <c r="AJ411" i="3"/>
  <c r="AL411" i="3"/>
  <c r="AN411" i="3"/>
  <c r="AP411" i="3"/>
  <c r="AR411" i="3"/>
  <c r="AH412" i="3"/>
  <c r="AJ412" i="3"/>
  <c r="AL412" i="3"/>
  <c r="AP412" i="3"/>
  <c r="AR412"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P422" i="3"/>
  <c r="AR422" i="3"/>
  <c r="AJ423" i="3"/>
  <c r="AL423" i="3"/>
  <c r="AN423" i="3"/>
  <c r="AP423" i="3"/>
  <c r="AR423" i="3"/>
  <c r="AJ424" i="3"/>
  <c r="AL424" i="3"/>
  <c r="AN424" i="3"/>
  <c r="AP424" i="3"/>
  <c r="AR424" i="3"/>
  <c r="AJ425" i="3"/>
  <c r="AL425" i="3"/>
  <c r="AN425" i="3"/>
  <c r="AP425" i="3"/>
  <c r="AR425" i="3"/>
  <c r="AJ426" i="3"/>
  <c r="AL426" i="3"/>
  <c r="AP426" i="3"/>
  <c r="AR426" i="3"/>
  <c r="AJ427" i="3"/>
  <c r="AL427" i="3"/>
  <c r="AN427" i="3"/>
  <c r="AP427" i="3"/>
  <c r="AR427" i="3"/>
  <c r="AH428" i="3"/>
  <c r="AJ428" i="3"/>
  <c r="AL428" i="3"/>
  <c r="AN428" i="3"/>
  <c r="AP428" i="3"/>
  <c r="AR428" i="3"/>
  <c r="AH429" i="3"/>
  <c r="AJ429" i="3"/>
  <c r="AL429" i="3"/>
  <c r="AN429" i="3"/>
  <c r="AP429" i="3"/>
  <c r="AR429" i="3"/>
  <c r="AJ430" i="3"/>
  <c r="AL430" i="3"/>
  <c r="AP430" i="3"/>
  <c r="AR430" i="3"/>
  <c r="AJ431" i="3"/>
  <c r="AL431" i="3"/>
  <c r="AN431" i="3"/>
  <c r="AP431" i="3"/>
  <c r="AR431" i="3"/>
  <c r="AH432" i="3"/>
  <c r="AJ432" i="3"/>
  <c r="AL432" i="3"/>
  <c r="AP432" i="3"/>
  <c r="AR432" i="3"/>
  <c r="AJ433" i="3"/>
  <c r="AL433" i="3"/>
  <c r="AP433" i="3"/>
  <c r="AR433" i="3"/>
  <c r="AH434" i="3"/>
  <c r="AJ434" i="3"/>
  <c r="AL434" i="3"/>
  <c r="AP434" i="3"/>
  <c r="AR434" i="3"/>
  <c r="AJ435" i="3"/>
  <c r="AL435" i="3"/>
  <c r="AP435" i="3"/>
  <c r="AR435" i="3"/>
  <c r="AH436" i="3"/>
  <c r="AJ436" i="3"/>
  <c r="AL436" i="3"/>
  <c r="AN436" i="3"/>
  <c r="AP436" i="3"/>
  <c r="AR436" i="3"/>
  <c r="AH437" i="3"/>
  <c r="AJ437" i="3"/>
  <c r="AL437" i="3"/>
  <c r="AN437" i="3"/>
  <c r="AP437" i="3"/>
  <c r="AR437" i="3"/>
  <c r="AH438" i="3"/>
  <c r="AJ438" i="3"/>
  <c r="AL438" i="3"/>
  <c r="AN438" i="3"/>
  <c r="AP438" i="3"/>
  <c r="AR438" i="3"/>
  <c r="AJ439" i="3"/>
  <c r="AL439" i="3"/>
  <c r="AP439" i="3"/>
  <c r="AR439" i="3"/>
  <c r="AJ440" i="3"/>
  <c r="AL440" i="3"/>
  <c r="AN440" i="3"/>
  <c r="AP440" i="3"/>
  <c r="AR440"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P445" i="3"/>
  <c r="AR445" i="3"/>
  <c r="AH446" i="3"/>
  <c r="AJ446" i="3"/>
  <c r="AL446" i="3"/>
  <c r="AN446" i="3"/>
  <c r="AP446" i="3"/>
  <c r="AR446" i="3"/>
  <c r="AJ447" i="3"/>
  <c r="AL447" i="3"/>
  <c r="AN447" i="3"/>
  <c r="AP447" i="3"/>
  <c r="AR447"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J453" i="3"/>
  <c r="AL453" i="3"/>
  <c r="AN453" i="3"/>
  <c r="AP453" i="3"/>
  <c r="AR453" i="3"/>
  <c r="AJ454" i="3"/>
  <c r="AL454" i="3"/>
  <c r="AP454" i="3"/>
  <c r="AR454" i="3"/>
  <c r="AJ455" i="3"/>
  <c r="AL455" i="3"/>
  <c r="AP455" i="3"/>
  <c r="AR455" i="3"/>
  <c r="AJ456" i="3"/>
  <c r="AL456" i="3"/>
  <c r="AP456" i="3"/>
  <c r="AR456" i="3"/>
  <c r="AJ457" i="3"/>
  <c r="AL457" i="3"/>
  <c r="AN457" i="3"/>
  <c r="AP457" i="3"/>
  <c r="AR457" i="3"/>
  <c r="AH458" i="3"/>
  <c r="AJ458" i="3"/>
  <c r="AL458" i="3"/>
  <c r="AN458" i="3"/>
  <c r="AP458" i="3"/>
  <c r="AR458" i="3"/>
  <c r="AJ459" i="3"/>
  <c r="AL459" i="3"/>
  <c r="AP459" i="3"/>
  <c r="AR459" i="3"/>
  <c r="AJ460" i="3"/>
  <c r="AL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H470" i="3"/>
  <c r="AJ470" i="3"/>
  <c r="AL470" i="3"/>
  <c r="AN470" i="3"/>
  <c r="AP470" i="3"/>
  <c r="AR470" i="3"/>
  <c r="AJ471" i="3"/>
  <c r="AL471" i="3"/>
  <c r="AN471" i="3"/>
  <c r="AP471" i="3"/>
  <c r="AR471" i="3"/>
  <c r="AJ472" i="3"/>
  <c r="AL472" i="3"/>
  <c r="AN472" i="3"/>
  <c r="AP472" i="3"/>
  <c r="AR472" i="3"/>
  <c r="AJ473" i="3"/>
  <c r="AL473" i="3"/>
  <c r="AN473" i="3"/>
  <c r="AP473" i="3"/>
  <c r="AR473" i="3"/>
  <c r="AJ474" i="3"/>
  <c r="AL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H482"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P502" i="3"/>
  <c r="AR502" i="3"/>
  <c r="AJ503" i="3"/>
  <c r="AL503" i="3"/>
  <c r="AN503" i="3"/>
  <c r="AP503" i="3"/>
  <c r="AR503" i="3"/>
  <c r="AJ504" i="3"/>
  <c r="AL504" i="3"/>
  <c r="AN504" i="3"/>
  <c r="AP504" i="3"/>
  <c r="AR504" i="3"/>
  <c r="AJ505" i="3"/>
  <c r="AL505" i="3"/>
  <c r="AN505" i="3"/>
  <c r="AP505" i="3"/>
  <c r="AR505" i="3"/>
  <c r="AH506" i="3"/>
  <c r="AJ506" i="3"/>
  <c r="AL506" i="3"/>
  <c r="AN506" i="3"/>
  <c r="AP506" i="3"/>
  <c r="AR506" i="3"/>
  <c r="AJ507" i="3"/>
  <c r="AL507" i="3"/>
  <c r="AN507" i="3"/>
  <c r="AP507" i="3"/>
  <c r="AR507"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P512" i="3"/>
  <c r="AR512" i="3"/>
  <c r="AJ513" i="3"/>
  <c r="AL513" i="3"/>
  <c r="AP513" i="3"/>
  <c r="AR513" i="3"/>
  <c r="AH514" i="3"/>
  <c r="AJ514" i="3"/>
  <c r="AL514" i="3"/>
  <c r="AN514" i="3"/>
  <c r="AP514" i="3"/>
  <c r="AR514" i="3"/>
  <c r="AJ515" i="3"/>
  <c r="AL515" i="3"/>
  <c r="AN515" i="3"/>
  <c r="AP515" i="3"/>
  <c r="AR515"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P544" i="3"/>
  <c r="AR544" i="3"/>
  <c r="AJ545" i="3"/>
  <c r="AL545" i="3"/>
  <c r="AN545" i="3"/>
  <c r="AP545" i="3"/>
  <c r="AR545" i="3"/>
  <c r="AJ546" i="3"/>
  <c r="AL546" i="3"/>
  <c r="AP546" i="3"/>
  <c r="AR546" i="3"/>
  <c r="AJ547" i="3"/>
  <c r="AL547" i="3"/>
  <c r="AN547" i="3"/>
  <c r="AP547" i="3"/>
  <c r="AR547" i="3"/>
  <c r="AH548" i="3"/>
  <c r="AJ548" i="3"/>
  <c r="AL548" i="3"/>
  <c r="AN548" i="3"/>
  <c r="AP548" i="3"/>
  <c r="AR548" i="3"/>
  <c r="AH549"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H578" i="3"/>
  <c r="AJ578" i="3"/>
  <c r="AL578" i="3"/>
  <c r="AN578" i="3"/>
  <c r="AP578" i="3"/>
  <c r="AR578" i="3"/>
  <c r="AJ579" i="3"/>
  <c r="AL579" i="3"/>
  <c r="AN579" i="3"/>
  <c r="AP579" i="3"/>
  <c r="AR579" i="3"/>
  <c r="AH580" i="3"/>
  <c r="AJ580" i="3"/>
  <c r="AL580" i="3"/>
  <c r="AN580" i="3"/>
  <c r="AP580" i="3"/>
  <c r="AR580" i="3"/>
  <c r="AH581"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H626" i="3"/>
  <c r="AJ626" i="3"/>
  <c r="AL626" i="3"/>
  <c r="AN626" i="3"/>
  <c r="AP626" i="3"/>
  <c r="AR626" i="3"/>
  <c r="AJ627" i="3"/>
  <c r="AL627" i="3"/>
  <c r="AN627" i="3"/>
  <c r="AP627" i="3"/>
  <c r="AR627" i="3"/>
  <c r="AH628" i="3"/>
  <c r="AJ628" i="3"/>
  <c r="AL628" i="3"/>
  <c r="AN628" i="3"/>
  <c r="AP628" i="3"/>
  <c r="AR628" i="3"/>
  <c r="AH629"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P648" i="3"/>
  <c r="AR648" i="3"/>
  <c r="AH649" i="3"/>
  <c r="AJ649" i="3"/>
  <c r="AL649" i="3"/>
  <c r="AP649" i="3"/>
  <c r="AR649" i="3"/>
  <c r="AJ650" i="3"/>
  <c r="AL650" i="3"/>
  <c r="AN650" i="3"/>
  <c r="AP650" i="3"/>
  <c r="AR650" i="3"/>
  <c r="AJ651" i="3"/>
  <c r="AL651" i="3"/>
  <c r="AP651" i="3"/>
  <c r="AR651" i="3"/>
  <c r="AH652" i="3"/>
  <c r="AJ652" i="3"/>
  <c r="AL652" i="3"/>
  <c r="AN652" i="3"/>
  <c r="AP652" i="3"/>
  <c r="AR652" i="3"/>
  <c r="AH653" i="3"/>
  <c r="AJ653" i="3"/>
  <c r="AL653" i="3"/>
  <c r="AP653" i="3"/>
  <c r="AR653" i="3"/>
  <c r="AH654" i="3"/>
  <c r="AJ654" i="3"/>
  <c r="AL654" i="3"/>
  <c r="AP654" i="3"/>
  <c r="AR654" i="3"/>
  <c r="AJ655" i="3"/>
  <c r="AL655" i="3"/>
  <c r="AN655" i="3"/>
  <c r="AP655" i="3"/>
  <c r="AR655" i="3"/>
  <c r="AJ656" i="3"/>
  <c r="AL656" i="3"/>
  <c r="AN656" i="3"/>
  <c r="AP656" i="3"/>
  <c r="AR656" i="3"/>
  <c r="AJ657" i="3"/>
  <c r="AL657" i="3"/>
  <c r="AP657" i="3"/>
  <c r="AR657" i="3"/>
  <c r="AJ658" i="3"/>
  <c r="AL658" i="3"/>
  <c r="AP658" i="3"/>
  <c r="AR658" i="3"/>
  <c r="AJ659" i="3"/>
  <c r="AL659" i="3"/>
  <c r="AP659" i="3"/>
  <c r="AR659" i="3"/>
  <c r="AH660" i="3"/>
  <c r="AJ660" i="3"/>
  <c r="AL660" i="3"/>
  <c r="AN660" i="3"/>
  <c r="AP660" i="3"/>
  <c r="AR660" i="3"/>
  <c r="AH661" i="3"/>
  <c r="AJ661" i="3"/>
  <c r="AL661" i="3"/>
  <c r="AN661" i="3"/>
  <c r="AP661" i="3"/>
  <c r="AR661" i="3"/>
  <c r="AJ662" i="3"/>
  <c r="AL662" i="3"/>
  <c r="AP662" i="3"/>
  <c r="AR662" i="3"/>
  <c r="AJ663" i="3"/>
  <c r="AL663" i="3"/>
  <c r="AN663" i="3"/>
  <c r="AP663" i="3"/>
  <c r="AR663" i="3"/>
  <c r="AJ664" i="3"/>
  <c r="AL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H674" i="3"/>
  <c r="AJ674" i="3"/>
  <c r="AL674" i="3"/>
  <c r="AN674" i="3"/>
  <c r="AP674" i="3"/>
  <c r="AR674" i="3"/>
  <c r="AJ675" i="3"/>
  <c r="AL675" i="3"/>
  <c r="AN675" i="3"/>
  <c r="AP675" i="3"/>
  <c r="AR675" i="3"/>
  <c r="AH676" i="3"/>
  <c r="AJ676" i="3"/>
  <c r="AL676" i="3"/>
  <c r="AP676" i="3"/>
  <c r="AR676" i="3"/>
  <c r="AH677"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J694" i="3"/>
  <c r="AL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H735" i="3"/>
  <c r="AJ735" i="3"/>
  <c r="AL735" i="3"/>
  <c r="AN735" i="3"/>
  <c r="AP735" i="3"/>
  <c r="AR735" i="3"/>
  <c r="AJ736" i="3"/>
  <c r="AL736" i="3"/>
  <c r="AN736" i="3"/>
  <c r="AP736" i="3"/>
  <c r="AR736"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H770"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J790" i="3"/>
  <c r="AL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H818" i="3"/>
  <c r="AJ818" i="3"/>
  <c r="AL818" i="3"/>
  <c r="AN818" i="3"/>
  <c r="AP818" i="3"/>
  <c r="AR818" i="3"/>
  <c r="AJ819" i="3"/>
  <c r="AL819" i="3"/>
  <c r="AN819" i="3"/>
  <c r="AP819" i="3"/>
  <c r="AR819" i="3"/>
  <c r="AH820" i="3"/>
  <c r="AJ820" i="3"/>
  <c r="AL820" i="3"/>
  <c r="AN820" i="3"/>
  <c r="AP820" i="3"/>
  <c r="AR820" i="3"/>
  <c r="AH821"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J870" i="3"/>
  <c r="AL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H914" i="3"/>
  <c r="AJ914" i="3"/>
  <c r="AL914" i="3"/>
  <c r="AN914" i="3"/>
  <c r="AP914" i="3"/>
  <c r="AR914" i="3"/>
  <c r="AJ915" i="3"/>
  <c r="AL915" i="3"/>
  <c r="AN915" i="3"/>
  <c r="AP915" i="3"/>
  <c r="AR915" i="3"/>
  <c r="AH916" i="3"/>
  <c r="AJ916" i="3"/>
  <c r="AL916" i="3"/>
  <c r="AN916" i="3"/>
  <c r="AP916" i="3"/>
  <c r="AR916" i="3"/>
  <c r="AH917"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H964" i="3"/>
  <c r="AJ964" i="3"/>
  <c r="AL964" i="3"/>
  <c r="AN964" i="3"/>
  <c r="AP964" i="3"/>
  <c r="AR964" i="3"/>
  <c r="AH965"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H1138" i="3"/>
  <c r="AJ1138" i="3"/>
  <c r="AL1138" i="3"/>
  <c r="AN1138" i="3"/>
  <c r="AP1138" i="3"/>
  <c r="AR1138" i="3"/>
  <c r="AJ1139" i="3"/>
  <c r="AL1139" i="3"/>
  <c r="AP1139" i="3"/>
  <c r="AR1139" i="3"/>
  <c r="AH1140"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H1282" i="3"/>
  <c r="AJ1282" i="3"/>
  <c r="AL1282" i="3"/>
  <c r="AP1282" i="3"/>
  <c r="AR1282" i="3"/>
  <c r="AJ1283" i="3"/>
  <c r="AL1283" i="3"/>
  <c r="AN1283" i="3"/>
  <c r="AP1283" i="3"/>
  <c r="AR1283" i="3"/>
  <c r="AH1284" i="3"/>
  <c r="AJ1284" i="3"/>
  <c r="AL1284" i="3"/>
  <c r="AN1284" i="3"/>
  <c r="AP1284" i="3"/>
  <c r="AR1284" i="3"/>
  <c r="AH1285" i="3"/>
  <c r="AJ1285" i="3"/>
  <c r="AL1285" i="3"/>
  <c r="AN1285" i="3"/>
  <c r="AP1285" i="3"/>
  <c r="AR1285" i="3"/>
  <c r="AJ1286" i="3"/>
  <c r="AL1286" i="3"/>
  <c r="AN1286" i="3"/>
  <c r="AP1286" i="3"/>
  <c r="AR1286"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J1413" i="3"/>
  <c r="AL1413" i="3"/>
  <c r="AN1413" i="3"/>
  <c r="AP1413" i="3"/>
  <c r="AR1413" i="3"/>
  <c r="AJ1414" i="3"/>
  <c r="AP1414" i="3"/>
  <c r="AR1414" i="3"/>
  <c r="AJ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J1438" i="3"/>
  <c r="AL1438" i="3"/>
  <c r="AN1438" i="3"/>
  <c r="AP1438" i="3"/>
  <c r="AR1438" i="3"/>
  <c r="AJ1439" i="3"/>
  <c r="AP1439" i="3"/>
  <c r="AR1439" i="3"/>
  <c r="AJ1440" i="3"/>
  <c r="AL1440" i="3"/>
  <c r="AN1440" i="3"/>
  <c r="AP1440" i="3"/>
  <c r="AR1440" i="3"/>
  <c r="AJ1441" i="3"/>
  <c r="AL1441" i="3"/>
  <c r="AN1441" i="3"/>
  <c r="AP1441" i="3"/>
  <c r="AR1441" i="3"/>
  <c r="AH1442" i="3"/>
  <c r="AJ1442" i="3"/>
  <c r="AL1442" i="3"/>
  <c r="AN1442" i="3"/>
  <c r="AP1442" i="3"/>
  <c r="AR1442" i="3"/>
  <c r="AR3" i="3"/>
  <c r="AP3" i="3"/>
  <c r="AN3" i="3"/>
  <c r="AL3" i="3"/>
  <c r="AJ3" i="3"/>
  <c r="AZ1514" i="3" l="1"/>
  <c r="AZ1454" i="3"/>
  <c r="AX1512" i="3"/>
  <c r="AX1545" i="3"/>
  <c r="AX1540" i="3"/>
  <c r="AZ1540" i="3"/>
  <c r="AZ1506" i="3"/>
  <c r="AX1550" i="3"/>
  <c r="AZ1520" i="3"/>
  <c r="AX1475" i="3"/>
  <c r="AX1548" i="3"/>
  <c r="AX1481" i="3"/>
  <c r="AX1558" i="3"/>
  <c r="AB1442" i="3"/>
  <c r="P1442" i="3"/>
  <c r="AB1441" i="3"/>
  <c r="P1441" i="3"/>
  <c r="AB1440" i="3"/>
  <c r="P1440" i="3"/>
  <c r="T1440" i="3" s="1"/>
  <c r="AB1439" i="3"/>
  <c r="P1439" i="3"/>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AB512" i="3"/>
  <c r="P512" i="3"/>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AB406" i="3"/>
  <c r="P406" i="3"/>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T382" i="3" s="1"/>
  <c r="AB381" i="3"/>
  <c r="P381" i="3"/>
  <c r="AB380" i="3"/>
  <c r="P380" i="3"/>
  <c r="AB379" i="3"/>
  <c r="P379" i="3"/>
  <c r="AB378" i="3"/>
  <c r="P378" i="3"/>
  <c r="AB377" i="3"/>
  <c r="P377" i="3"/>
  <c r="AB376" i="3"/>
  <c r="P376" i="3"/>
  <c r="AB375" i="3"/>
  <c r="P375" i="3"/>
  <c r="AB374" i="3"/>
  <c r="P374" i="3"/>
  <c r="AB373" i="3"/>
  <c r="P373" i="3"/>
  <c r="AB372" i="3"/>
  <c r="P372" i="3"/>
  <c r="AB371" i="3"/>
  <c r="P371" i="3"/>
  <c r="AB370" i="3"/>
  <c r="P370" i="3"/>
  <c r="AB369" i="3"/>
  <c r="P369" i="3"/>
  <c r="AB368" i="3"/>
  <c r="P368" i="3"/>
  <c r="AB367" i="3"/>
  <c r="P367" i="3"/>
  <c r="AB366" i="3"/>
  <c r="P366" i="3"/>
  <c r="AB365" i="3"/>
  <c r="P365" i="3"/>
  <c r="AB364" i="3"/>
  <c r="P364" i="3"/>
  <c r="AB363" i="3"/>
  <c r="P363" i="3"/>
  <c r="AB362" i="3"/>
  <c r="P362" i="3"/>
  <c r="AB361" i="3"/>
  <c r="P361" i="3"/>
  <c r="AB360" i="3"/>
  <c r="P360" i="3"/>
  <c r="AB359" i="3"/>
  <c r="P359" i="3"/>
  <c r="AB358" i="3"/>
  <c r="P358" i="3"/>
  <c r="AB357" i="3"/>
  <c r="P357" i="3"/>
  <c r="AB356" i="3"/>
  <c r="P356" i="3"/>
  <c r="AB355" i="3"/>
  <c r="P355" i="3"/>
  <c r="AB354" i="3"/>
  <c r="P354" i="3"/>
  <c r="AB353" i="3"/>
  <c r="P353" i="3"/>
  <c r="T353" i="3" s="1"/>
  <c r="AB352" i="3"/>
  <c r="P352" i="3"/>
  <c r="AB351" i="3"/>
  <c r="P351" i="3"/>
  <c r="AB350" i="3"/>
  <c r="P350" i="3"/>
  <c r="AB349" i="3"/>
  <c r="P349" i="3"/>
  <c r="AB348" i="3"/>
  <c r="P348" i="3"/>
  <c r="AB347" i="3"/>
  <c r="P347" i="3"/>
  <c r="AB346" i="3"/>
  <c r="P346" i="3"/>
  <c r="AB345" i="3"/>
  <c r="P345" i="3"/>
  <c r="AB344" i="3"/>
  <c r="P344" i="3"/>
  <c r="AB343" i="3"/>
  <c r="P343" i="3"/>
  <c r="AB342" i="3"/>
  <c r="P342" i="3"/>
  <c r="T342" i="3" s="1"/>
  <c r="AB341" i="3"/>
  <c r="P341" i="3"/>
  <c r="AB340" i="3"/>
  <c r="P340" i="3"/>
  <c r="AB339" i="3"/>
  <c r="P339" i="3"/>
  <c r="AB338" i="3"/>
  <c r="P338" i="3"/>
  <c r="AB337" i="3"/>
  <c r="P337" i="3"/>
  <c r="T337" i="3" s="1"/>
  <c r="AB336" i="3"/>
  <c r="P336" i="3"/>
  <c r="AB335" i="3"/>
  <c r="P335" i="3"/>
  <c r="AB334" i="3"/>
  <c r="P334" i="3"/>
  <c r="AB333" i="3"/>
  <c r="P333" i="3"/>
  <c r="AB332" i="3"/>
  <c r="P332" i="3"/>
  <c r="AB331" i="3"/>
  <c r="P331" i="3"/>
  <c r="AB330" i="3"/>
  <c r="P330" i="3"/>
  <c r="AB329" i="3"/>
  <c r="P329" i="3"/>
  <c r="T329" i="3" s="1"/>
  <c r="AB328" i="3"/>
  <c r="P328" i="3"/>
  <c r="AB327" i="3"/>
  <c r="P327" i="3"/>
  <c r="AB326" i="3"/>
  <c r="Q326" i="3"/>
  <c r="AB325" i="3"/>
  <c r="P325" i="3"/>
  <c r="AB324" i="3"/>
  <c r="P324" i="3"/>
  <c r="AB323" i="3"/>
  <c r="P323" i="3"/>
  <c r="AB322" i="3"/>
  <c r="P322" i="3"/>
  <c r="AB321" i="3"/>
  <c r="P321" i="3"/>
  <c r="AB320" i="3"/>
  <c r="P320" i="3"/>
  <c r="AB319" i="3"/>
  <c r="P319" i="3"/>
  <c r="AB318" i="3"/>
  <c r="P318" i="3"/>
  <c r="AB317" i="3"/>
  <c r="P317" i="3"/>
  <c r="AB316" i="3"/>
  <c r="P316" i="3"/>
  <c r="AB315" i="3"/>
  <c r="P315" i="3"/>
  <c r="AB314" i="3"/>
  <c r="P314" i="3"/>
  <c r="AB313" i="3"/>
  <c r="P313" i="3"/>
  <c r="AB312" i="3"/>
  <c r="P312" i="3"/>
  <c r="AB311" i="3"/>
  <c r="P311" i="3"/>
  <c r="T311" i="3" s="1"/>
  <c r="AB310" i="3"/>
  <c r="P310" i="3"/>
  <c r="AB309" i="3"/>
  <c r="P309" i="3"/>
  <c r="AB308" i="3"/>
  <c r="P308" i="3"/>
  <c r="AB307" i="3"/>
  <c r="P307" i="3"/>
  <c r="AB306" i="3"/>
  <c r="P306" i="3"/>
  <c r="AB305" i="3"/>
  <c r="P305" i="3"/>
  <c r="AB304" i="3"/>
  <c r="P304" i="3"/>
  <c r="AB303" i="3"/>
  <c r="P303" i="3"/>
  <c r="AB302" i="3"/>
  <c r="P302" i="3"/>
  <c r="AB301" i="3"/>
  <c r="P301" i="3"/>
  <c r="AB300" i="3"/>
  <c r="P300" i="3"/>
  <c r="AB299" i="3"/>
  <c r="P299" i="3"/>
  <c r="AB298" i="3"/>
  <c r="P298" i="3"/>
  <c r="AB297" i="3"/>
  <c r="P297" i="3"/>
  <c r="AB296" i="3"/>
  <c r="P296" i="3"/>
  <c r="AB295" i="3"/>
  <c r="P295" i="3"/>
  <c r="Q295" i="3" s="1"/>
  <c r="AB294" i="3"/>
  <c r="P294" i="3"/>
  <c r="AB293" i="3"/>
  <c r="P293" i="3"/>
  <c r="AB292" i="3"/>
  <c r="P292" i="3"/>
  <c r="AB291" i="3"/>
  <c r="P291" i="3"/>
  <c r="AB290" i="3"/>
  <c r="P290" i="3"/>
  <c r="AB289" i="3"/>
  <c r="P289" i="3"/>
  <c r="AB288" i="3"/>
  <c r="P288" i="3"/>
  <c r="AB287" i="3"/>
  <c r="P287" i="3"/>
  <c r="AB286" i="3"/>
  <c r="P286" i="3"/>
  <c r="AB285" i="3"/>
  <c r="P285" i="3"/>
  <c r="AB284" i="3"/>
  <c r="P284" i="3"/>
  <c r="AB283" i="3"/>
  <c r="P283" i="3"/>
  <c r="AB282" i="3"/>
  <c r="P282" i="3"/>
  <c r="AB281" i="3"/>
  <c r="P281" i="3"/>
  <c r="AB280" i="3"/>
  <c r="P280" i="3"/>
  <c r="AB279" i="3"/>
  <c r="P279" i="3"/>
  <c r="AB278" i="3"/>
  <c r="P278" i="3"/>
  <c r="AB277" i="3"/>
  <c r="P277" i="3"/>
  <c r="AB276" i="3"/>
  <c r="P276" i="3"/>
  <c r="P275" i="3"/>
  <c r="AB274" i="3"/>
  <c r="P274" i="3"/>
  <c r="AB273" i="3"/>
  <c r="P273" i="3"/>
  <c r="AB272" i="3"/>
  <c r="P272" i="3"/>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AB157" i="3"/>
  <c r="P157" i="3"/>
  <c r="AB156" i="3"/>
  <c r="P156" i="3"/>
  <c r="AB155" i="3"/>
  <c r="P155" i="3"/>
  <c r="AB154" i="3"/>
  <c r="P154" i="3"/>
  <c r="AB153" i="3"/>
  <c r="P153" i="3"/>
  <c r="AB152" i="3"/>
  <c r="P152" i="3"/>
  <c r="AB151" i="3"/>
  <c r="P151" i="3"/>
  <c r="AB150" i="3"/>
  <c r="P150" i="3"/>
  <c r="AB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Q79" i="3" s="1"/>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B64" i="3"/>
  <c r="P64" i="3"/>
  <c r="AD64" i="3" s="1"/>
  <c r="AB63" i="3"/>
  <c r="P63" i="3"/>
  <c r="AB62" i="3"/>
  <c r="P62" i="3"/>
  <c r="AB61" i="3"/>
  <c r="P61" i="3"/>
  <c r="AB60" i="3"/>
  <c r="P60" i="3"/>
  <c r="AB59" i="3"/>
  <c r="P59" i="3"/>
  <c r="AB58" i="3"/>
  <c r="P58" i="3"/>
  <c r="AB57" i="3"/>
  <c r="P57" i="3"/>
  <c r="AB56" i="3"/>
  <c r="P56" i="3"/>
  <c r="Q56" i="3" s="1"/>
  <c r="AB55" i="3"/>
  <c r="P55" i="3"/>
  <c r="T55" i="3" s="1"/>
  <c r="AB54" i="3"/>
  <c r="P54" i="3"/>
  <c r="AB53" i="3"/>
  <c r="P53" i="3"/>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B3" i="3"/>
  <c r="P3" i="3"/>
  <c r="H3" i="3"/>
  <c r="T986" i="3" l="1"/>
  <c r="Q584" i="3"/>
  <c r="Q1431" i="3"/>
  <c r="Q1015" i="3"/>
  <c r="T583" i="3"/>
  <c r="T1367" i="3"/>
  <c r="Q560" i="3"/>
  <c r="Q1244" i="3"/>
  <c r="Q1267" i="3"/>
  <c r="Q1173" i="3"/>
  <c r="Q1370" i="3"/>
  <c r="Q754" i="3"/>
  <c r="T981" i="3"/>
  <c r="T1333" i="3"/>
  <c r="Q428" i="3"/>
  <c r="AD526" i="3"/>
  <c r="Q880" i="3"/>
  <c r="AD887" i="3"/>
  <c r="Q946" i="3"/>
  <c r="AD949" i="3"/>
  <c r="Q973" i="3"/>
  <c r="AD545" i="3"/>
  <c r="Q778" i="3"/>
  <c r="Q1116" i="3"/>
  <c r="T25" i="3"/>
  <c r="AD40" i="3"/>
  <c r="T561" i="3"/>
  <c r="T576" i="3"/>
  <c r="T1168" i="3"/>
  <c r="Q536" i="3"/>
  <c r="T1157" i="3"/>
  <c r="T1247" i="3"/>
  <c r="Q482" i="3"/>
  <c r="Q535" i="3"/>
  <c r="T573" i="3"/>
  <c r="Q601" i="3"/>
  <c r="T758" i="3"/>
  <c r="Q782" i="3"/>
  <c r="T794" i="3"/>
  <c r="Q896" i="3"/>
  <c r="Q912" i="3"/>
  <c r="T930" i="3"/>
  <c r="T999" i="3"/>
  <c r="T1006" i="3"/>
  <c r="T1035" i="3"/>
  <c r="Q1059" i="3"/>
  <c r="Q1075" i="3"/>
  <c r="T1109" i="3"/>
  <c r="T1122" i="3"/>
  <c r="Q1175" i="3"/>
  <c r="T1184" i="3"/>
  <c r="T1237"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T581" i="3"/>
  <c r="Q609" i="3"/>
  <c r="Q622" i="3"/>
  <c r="Q772" i="3"/>
  <c r="Q888" i="3"/>
  <c r="T900" i="3"/>
  <c r="Q1047" i="3"/>
  <c r="Q1171" i="3"/>
  <c r="Q1186" i="3"/>
  <c r="T1231" i="3"/>
  <c r="AD771" i="3"/>
  <c r="Q771" i="3"/>
  <c r="AD1029" i="3"/>
  <c r="Q1029" i="3"/>
  <c r="Q908" i="3"/>
  <c r="T908" i="3"/>
  <c r="T924" i="3"/>
  <c r="Q924" i="3"/>
  <c r="T937" i="3"/>
  <c r="Q937" i="3"/>
  <c r="Q55" i="3"/>
  <c r="AD434" i="3"/>
  <c r="AZ434" i="3" s="1"/>
  <c r="AD455" i="3"/>
  <c r="AX455" i="3" s="1"/>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AD544" i="3"/>
  <c r="AX544" i="3" s="1"/>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479" i="3"/>
  <c r="T520" i="3"/>
  <c r="T752" i="3"/>
  <c r="Q752" i="3"/>
  <c r="T762" i="3"/>
  <c r="Q762" i="3"/>
  <c r="Q1063" i="3"/>
  <c r="T1063" i="3"/>
  <c r="AD29"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W56" i="3"/>
  <c r="AX56" i="3" s="1"/>
  <c r="AY56" i="3"/>
  <c r="AZ56" i="3" s="1"/>
  <c r="AY57" i="3"/>
  <c r="AZ57" i="3" s="1"/>
  <c r="AW57" i="3"/>
  <c r="AX57" i="3" s="1"/>
  <c r="AY60" i="3"/>
  <c r="AZ60" i="3" s="1"/>
  <c r="AW67" i="3"/>
  <c r="AX67" i="3" s="1"/>
  <c r="AY67" i="3"/>
  <c r="AZ67" i="3" s="1"/>
  <c r="AD70" i="3"/>
  <c r="AX70" i="3" s="1"/>
  <c r="AD72" i="3"/>
  <c r="AY72" i="3"/>
  <c r="AZ72" i="3" s="1"/>
  <c r="AW72" i="3"/>
  <c r="AX72" i="3" s="1"/>
  <c r="AD74" i="3"/>
  <c r="AY74" i="3"/>
  <c r="AZ74" i="3" s="1"/>
  <c r="AW74" i="3"/>
  <c r="AX74" i="3" s="1"/>
  <c r="AD76" i="3"/>
  <c r="AW76" i="3"/>
  <c r="AX76" i="3" s="1"/>
  <c r="AY76" i="3"/>
  <c r="AZ76" i="3" s="1"/>
  <c r="AD90" i="3"/>
  <c r="AZ90" i="3" s="1"/>
  <c r="AD92" i="3"/>
  <c r="AY92" i="3"/>
  <c r="AZ92" i="3" s="1"/>
  <c r="AW92" i="3"/>
  <c r="AX92" i="3" s="1"/>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T128" i="3"/>
  <c r="AW128" i="3"/>
  <c r="AX128" i="3" s="1"/>
  <c r="AY128" i="3"/>
  <c r="AZ128" i="3" s="1"/>
  <c r="T130" i="3"/>
  <c r="AW130" i="3"/>
  <c r="AX130" i="3" s="1"/>
  <c r="AY130" i="3"/>
  <c r="AZ130" i="3" s="1"/>
  <c r="AY132" i="3"/>
  <c r="AZ132" i="3" s="1"/>
  <c r="AW132" i="3"/>
  <c r="AX132" i="3" s="1"/>
  <c r="AY137" i="3"/>
  <c r="AZ137" i="3" s="1"/>
  <c r="AW137" i="3"/>
  <c r="AX137"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8" i="3"/>
  <c r="AZ178" i="3" s="1"/>
  <c r="AZ190" i="3"/>
  <c r="AD193" i="3"/>
  <c r="AX193" i="3" s="1"/>
  <c r="AY193" i="3"/>
  <c r="AZ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Z222" i="3" s="1"/>
  <c r="AD224" i="3"/>
  <c r="AY224" i="3"/>
  <c r="AZ224" i="3" s="1"/>
  <c r="AW224" i="3"/>
  <c r="AX224" i="3" s="1"/>
  <c r="AY252" i="3"/>
  <c r="AZ252" i="3" s="1"/>
  <c r="AW252" i="3"/>
  <c r="AX252" i="3" s="1"/>
  <c r="AY254" i="3"/>
  <c r="AZ254" i="3" s="1"/>
  <c r="AZ256" i="3"/>
  <c r="AX256" i="3"/>
  <c r="AY258" i="3"/>
  <c r="AZ258" i="3" s="1"/>
  <c r="AY260" i="3"/>
  <c r="AZ260" i="3" s="1"/>
  <c r="AY262" i="3"/>
  <c r="AZ262" i="3" s="1"/>
  <c r="AY264" i="3"/>
  <c r="AZ264" i="3" s="1"/>
  <c r="AW264" i="3"/>
  <c r="AX264" i="3" s="1"/>
  <c r="AY273" i="3"/>
  <c r="AZ273" i="3" s="1"/>
  <c r="AX273" i="3"/>
  <c r="AY306" i="3"/>
  <c r="AZ306" i="3" s="1"/>
  <c r="AY308" i="3"/>
  <c r="AZ308" i="3" s="1"/>
  <c r="AY324" i="3"/>
  <c r="AZ324" i="3" s="1"/>
  <c r="AW324" i="3"/>
  <c r="AX324" i="3" s="1"/>
  <c r="AY334" i="3"/>
  <c r="AZ334" i="3" s="1"/>
  <c r="AW334" i="3"/>
  <c r="AX334" i="3" s="1"/>
  <c r="AY356" i="3"/>
  <c r="AZ356"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Y397" i="3"/>
  <c r="AZ397" i="3" s="1"/>
  <c r="AW397" i="3"/>
  <c r="AX397" i="3" s="1"/>
  <c r="AY399" i="3"/>
  <c r="AZ399" i="3" s="1"/>
  <c r="AW399" i="3"/>
  <c r="AX399" i="3" s="1"/>
  <c r="AY401" i="3"/>
  <c r="AZ401" i="3" s="1"/>
  <c r="AW401" i="3"/>
  <c r="AX401" i="3" s="1"/>
  <c r="AW403" i="3"/>
  <c r="AX403" i="3" s="1"/>
  <c r="AY403" i="3"/>
  <c r="AZ403" i="3" s="1"/>
  <c r="AD403" i="3"/>
  <c r="AX409" i="3"/>
  <c r="AZ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X432" i="3"/>
  <c r="AZ432" i="3"/>
  <c r="AW448" i="3"/>
  <c r="AX448" i="3" s="1"/>
  <c r="AY448" i="3"/>
  <c r="AZ448" i="3" s="1"/>
  <c r="AW450" i="3"/>
  <c r="AX450" i="3" s="1"/>
  <c r="AY450" i="3"/>
  <c r="AZ450" i="3" s="1"/>
  <c r="AY469" i="3"/>
  <c r="AZ469" i="3" s="1"/>
  <c r="AW469" i="3"/>
  <c r="AX469" i="3" s="1"/>
  <c r="AY472" i="3"/>
  <c r="AZ472" i="3" s="1"/>
  <c r="AW472" i="3"/>
  <c r="AX472" i="3" s="1"/>
  <c r="AY477" i="3"/>
  <c r="AZ477" i="3" s="1"/>
  <c r="AW477" i="3"/>
  <c r="AX477" i="3" s="1"/>
  <c r="AY479" i="3"/>
  <c r="AZ479" i="3" s="1"/>
  <c r="AW479" i="3"/>
  <c r="AX479" i="3" s="1"/>
  <c r="Q479" i="3"/>
  <c r="Q491" i="3"/>
  <c r="AY491" i="3"/>
  <c r="AZ491" i="3" s="1"/>
  <c r="AW491" i="3"/>
  <c r="AX491" i="3" s="1"/>
  <c r="T491" i="3"/>
  <c r="AY494" i="3"/>
  <c r="AZ494" i="3" s="1"/>
  <c r="AW494" i="3"/>
  <c r="AX494" i="3" s="1"/>
  <c r="AY496" i="3"/>
  <c r="AZ496" i="3" s="1"/>
  <c r="AD496" i="3"/>
  <c r="AX496" i="3" s="1"/>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X62" i="3"/>
  <c r="AZ62" i="3"/>
  <c r="AY63" i="3"/>
  <c r="AZ63" i="3" s="1"/>
  <c r="AW63" i="3"/>
  <c r="AX63" i="3" s="1"/>
  <c r="AD63" i="3"/>
  <c r="AY69" i="3"/>
  <c r="AZ69" i="3" s="1"/>
  <c r="AW69" i="3"/>
  <c r="AX69" i="3" s="1"/>
  <c r="AD78" i="3"/>
  <c r="AW78" i="3"/>
  <c r="AX78" i="3" s="1"/>
  <c r="AY78" i="3"/>
  <c r="AZ78" i="3" s="1"/>
  <c r="AY83" i="3"/>
  <c r="AZ83" i="3" s="1"/>
  <c r="AW83" i="3"/>
  <c r="AX83" i="3" s="1"/>
  <c r="Q83" i="3"/>
  <c r="AW118" i="3"/>
  <c r="AX118" i="3" s="1"/>
  <c r="AY118" i="3"/>
  <c r="AZ118" i="3" s="1"/>
  <c r="AY121" i="3"/>
  <c r="AZ121" i="3" s="1"/>
  <c r="AZ125" i="3"/>
  <c r="AX125" i="3"/>
  <c r="AY143" i="3"/>
  <c r="AZ143" i="3" s="1"/>
  <c r="AW177" i="3"/>
  <c r="AX177" i="3" s="1"/>
  <c r="AY177" i="3"/>
  <c r="AZ177" i="3" s="1"/>
  <c r="AX180" i="3"/>
  <c r="AZ180" i="3"/>
  <c r="AY183" i="3"/>
  <c r="AZ183" i="3" s="1"/>
  <c r="AW183" i="3"/>
  <c r="AX183"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T247" i="3"/>
  <c r="AY247" i="3"/>
  <c r="AZ247" i="3" s="1"/>
  <c r="AW247" i="3"/>
  <c r="AX247" i="3" s="1"/>
  <c r="AY249" i="3"/>
  <c r="AZ249" i="3" s="1"/>
  <c r="AY266" i="3"/>
  <c r="AZ266" i="3" s="1"/>
  <c r="AW266" i="3"/>
  <c r="AX266" i="3" s="1"/>
  <c r="AY270" i="3"/>
  <c r="AZ270" i="3" s="1"/>
  <c r="AW270" i="3"/>
  <c r="AX270" i="3" s="1"/>
  <c r="AY278" i="3"/>
  <c r="AZ278" i="3" s="1"/>
  <c r="AX278" i="3"/>
  <c r="AZ284" i="3"/>
  <c r="AX284" i="3"/>
  <c r="AY305" i="3"/>
  <c r="AZ305" i="3" s="1"/>
  <c r="AW305" i="3"/>
  <c r="AX305" i="3" s="1"/>
  <c r="T305" i="3"/>
  <c r="AY336" i="3"/>
  <c r="AZ336" i="3" s="1"/>
  <c r="AW336" i="3"/>
  <c r="AX336" i="3" s="1"/>
  <c r="AY367" i="3"/>
  <c r="AZ367" i="3" s="1"/>
  <c r="AW367" i="3"/>
  <c r="AX367" i="3" s="1"/>
  <c r="AW377" i="3"/>
  <c r="AX377" i="3" s="1"/>
  <c r="AY377" i="3"/>
  <c r="AZ377" i="3" s="1"/>
  <c r="AY379" i="3"/>
  <c r="AZ379" i="3" s="1"/>
  <c r="AW379" i="3"/>
  <c r="AX379"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41" i="3"/>
  <c r="AX441" i="3" s="1"/>
  <c r="AY441" i="3"/>
  <c r="AZ441" i="3" s="1"/>
  <c r="AY452" i="3"/>
  <c r="AZ452" i="3" s="1"/>
  <c r="AW452" i="3"/>
  <c r="AX452" i="3" s="1"/>
  <c r="AY458" i="3"/>
  <c r="AZ458" i="3" s="1"/>
  <c r="AW458" i="3"/>
  <c r="AX458" i="3" s="1"/>
  <c r="AD458" i="3"/>
  <c r="AY461" i="3"/>
  <c r="AZ461" i="3" s="1"/>
  <c r="AW461" i="3"/>
  <c r="AX461" i="3" s="1"/>
  <c r="AY463" i="3"/>
  <c r="AZ463" i="3" s="1"/>
  <c r="AW463" i="3"/>
  <c r="AX463" i="3" s="1"/>
  <c r="AD465" i="3"/>
  <c r="AY465" i="3"/>
  <c r="AZ465" i="3" s="1"/>
  <c r="AW465" i="3"/>
  <c r="AX465" i="3" s="1"/>
  <c r="AY468" i="3"/>
  <c r="AZ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Z664" i="3"/>
  <c r="AW666" i="3"/>
  <c r="AX666" i="3" s="1"/>
  <c r="AY666" i="3"/>
  <c r="AZ666" i="3" s="1"/>
  <c r="AY668" i="3"/>
  <c r="AZ668" i="3" s="1"/>
  <c r="AW668" i="3"/>
  <c r="AX668" i="3" s="1"/>
  <c r="AW670" i="3"/>
  <c r="AX670" i="3" s="1"/>
  <c r="AY670" i="3"/>
  <c r="AZ670" i="3" s="1"/>
  <c r="AD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X790" i="3"/>
  <c r="AZ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Y20" i="3"/>
  <c r="AZ20" i="3" s="1"/>
  <c r="AW20" i="3"/>
  <c r="AX20" i="3" s="1"/>
  <c r="AD20" i="3"/>
  <c r="T3" i="3"/>
  <c r="S3" i="3" s="1"/>
  <c r="AC3" i="3" s="1"/>
  <c r="AY3" i="3"/>
  <c r="AZ3" i="3" s="1"/>
  <c r="AW3" i="3"/>
  <c r="AX3" i="3" s="1"/>
  <c r="AW10" i="3"/>
  <c r="AX10" i="3" s="1"/>
  <c r="AY10" i="3"/>
  <c r="AZ10" i="3" s="1"/>
  <c r="AX13" i="3"/>
  <c r="AZ13" i="3"/>
  <c r="Q20"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AX60" i="3" s="1"/>
  <c r="Q63" i="3"/>
  <c r="AY64" i="3"/>
  <c r="AZ64" i="3" s="1"/>
  <c r="AW64" i="3"/>
  <c r="AX64" i="3" s="1"/>
  <c r="AW65" i="3"/>
  <c r="AX65" i="3" s="1"/>
  <c r="AY65" i="3"/>
  <c r="AZ65" i="3" s="1"/>
  <c r="T65" i="3"/>
  <c r="Q69" i="3"/>
  <c r="Q71" i="3"/>
  <c r="AY71" i="3"/>
  <c r="AZ71" i="3" s="1"/>
  <c r="AW71" i="3"/>
  <c r="AX71" i="3" s="1"/>
  <c r="Q73" i="3"/>
  <c r="AW73" i="3"/>
  <c r="AX73" i="3" s="1"/>
  <c r="AY73" i="3"/>
  <c r="AZ73" i="3" s="1"/>
  <c r="AY75" i="3"/>
  <c r="AZ75" i="3" s="1"/>
  <c r="AW75" i="3"/>
  <c r="AX75" i="3" s="1"/>
  <c r="Q75" i="3"/>
  <c r="AZ91" i="3"/>
  <c r="AX91" i="3"/>
  <c r="AY93" i="3"/>
  <c r="AZ93" i="3" s="1"/>
  <c r="AW93" i="3"/>
  <c r="AX93" i="3" s="1"/>
  <c r="AY98" i="3"/>
  <c r="AZ98" i="3" s="1"/>
  <c r="AY105" i="3"/>
  <c r="AZ105" i="3" s="1"/>
  <c r="AW105" i="3"/>
  <c r="AX105" i="3" s="1"/>
  <c r="AW107" i="3"/>
  <c r="AX107" i="3" s="1"/>
  <c r="AY107" i="3"/>
  <c r="AZ107" i="3" s="1"/>
  <c r="AY109" i="3"/>
  <c r="AZ109" i="3" s="1"/>
  <c r="T111" i="3"/>
  <c r="AY111" i="3"/>
  <c r="AZ111" i="3" s="1"/>
  <c r="AW111" i="3"/>
  <c r="AX111" i="3" s="1"/>
  <c r="AY113" i="3"/>
  <c r="AZ113" i="3" s="1"/>
  <c r="AY115" i="3"/>
  <c r="AZ115" i="3" s="1"/>
  <c r="AY127" i="3"/>
  <c r="AZ127" i="3" s="1"/>
  <c r="AW127" i="3"/>
  <c r="AX127" i="3" s="1"/>
  <c r="T127" i="3"/>
  <c r="AX161" i="3"/>
  <c r="AZ161" i="3"/>
  <c r="AY168" i="3"/>
  <c r="AZ168" i="3" s="1"/>
  <c r="AY172" i="3"/>
  <c r="AZ172" i="3" s="1"/>
  <c r="T177" i="3"/>
  <c r="AD189" i="3"/>
  <c r="AX189" i="3" s="1"/>
  <c r="Q192" i="3"/>
  <c r="AY194" i="3"/>
  <c r="AZ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Z221" i="3" s="1"/>
  <c r="AD223" i="3"/>
  <c r="AY223" i="3"/>
  <c r="AZ223" i="3" s="1"/>
  <c r="AW223" i="3"/>
  <c r="AX223" i="3" s="1"/>
  <c r="AZ225" i="3"/>
  <c r="AX225" i="3"/>
  <c r="AD227" i="3"/>
  <c r="AY227" i="3"/>
  <c r="AZ227" i="3" s="1"/>
  <c r="AW227" i="3"/>
  <c r="AX227" i="3" s="1"/>
  <c r="AD229" i="3"/>
  <c r="AX229" i="3" s="1"/>
  <c r="AY229" i="3"/>
  <c r="AZ229" i="3" s="1"/>
  <c r="AD231" i="3"/>
  <c r="AY231" i="3"/>
  <c r="AZ231" i="3" s="1"/>
  <c r="AW231" i="3"/>
  <c r="AX231" i="3" s="1"/>
  <c r="AD233" i="3"/>
  <c r="AY233" i="3"/>
  <c r="AZ233" i="3" s="1"/>
  <c r="AW233" i="3"/>
  <c r="AX233" i="3" s="1"/>
  <c r="AY242" i="3"/>
  <c r="AZ242" i="3" s="1"/>
  <c r="AW242" i="3"/>
  <c r="AX242" i="3" s="1"/>
  <c r="AY244" i="3"/>
  <c r="AZ244" i="3" s="1"/>
  <c r="T253" i="3"/>
  <c r="AY253" i="3"/>
  <c r="AZ253" i="3" s="1"/>
  <c r="AW253" i="3"/>
  <c r="AX253" i="3" s="1"/>
  <c r="AY257" i="3"/>
  <c r="AZ257" i="3" s="1"/>
  <c r="AW257" i="3"/>
  <c r="AX257" i="3" s="1"/>
  <c r="T257" i="3"/>
  <c r="AY274" i="3"/>
  <c r="AZ274" i="3" s="1"/>
  <c r="AW274" i="3"/>
  <c r="AX274" i="3" s="1"/>
  <c r="AY280" i="3"/>
  <c r="AZ280" i="3" s="1"/>
  <c r="AW280" i="3"/>
  <c r="AX280" i="3" s="1"/>
  <c r="AY299" i="3"/>
  <c r="AZ299" i="3" s="1"/>
  <c r="AX299" i="3"/>
  <c r="AY301" i="3"/>
  <c r="AZ301" i="3" s="1"/>
  <c r="AW301" i="3"/>
  <c r="AX301" i="3" s="1"/>
  <c r="T301" i="3"/>
  <c r="Q305" i="3"/>
  <c r="AZ312" i="3"/>
  <c r="AX312" i="3"/>
  <c r="AY315" i="3"/>
  <c r="AZ315" i="3" s="1"/>
  <c r="AX315" i="3"/>
  <c r="AY328" i="3"/>
  <c r="AZ328" i="3" s="1"/>
  <c r="AW328" i="3"/>
  <c r="AX328" i="3" s="1"/>
  <c r="AY333" i="3"/>
  <c r="AZ333" i="3" s="1"/>
  <c r="AW333" i="3"/>
  <c r="AX333" i="3" s="1"/>
  <c r="AY350" i="3"/>
  <c r="AZ350" i="3" s="1"/>
  <c r="AW350" i="3"/>
  <c r="AX350" i="3" s="1"/>
  <c r="AY360" i="3"/>
  <c r="AZ360" i="3" s="1"/>
  <c r="AY362" i="3"/>
  <c r="AZ362" i="3" s="1"/>
  <c r="AW362" i="3"/>
  <c r="AX362" i="3" s="1"/>
  <c r="T369" i="3"/>
  <c r="AY369" i="3"/>
  <c r="AZ369" i="3" s="1"/>
  <c r="AW369" i="3"/>
  <c r="AX369" i="3" s="1"/>
  <c r="AW386" i="3"/>
  <c r="AX386" i="3" s="1"/>
  <c r="AY386" i="3"/>
  <c r="AZ386" i="3" s="1"/>
  <c r="AY388" i="3"/>
  <c r="AZ388" i="3" s="1"/>
  <c r="AW388" i="3"/>
  <c r="AX388" i="3" s="1"/>
  <c r="AW390" i="3"/>
  <c r="AX390" i="3" s="1"/>
  <c r="AY390" i="3"/>
  <c r="AZ390" i="3" s="1"/>
  <c r="AY392" i="3"/>
  <c r="AZ392" i="3" s="1"/>
  <c r="AW392" i="3"/>
  <c r="AX392" i="3" s="1"/>
  <c r="AY396" i="3"/>
  <c r="AZ396" i="3" s="1"/>
  <c r="AW396" i="3"/>
  <c r="AX396" i="3" s="1"/>
  <c r="AY398" i="3"/>
  <c r="AZ398" i="3" s="1"/>
  <c r="AW398" i="3"/>
  <c r="AX398" i="3" s="1"/>
  <c r="AW402" i="3"/>
  <c r="AX402" i="3" s="1"/>
  <c r="AY402" i="3"/>
  <c r="AZ402" i="3" s="1"/>
  <c r="AZ408" i="3"/>
  <c r="AX408" i="3"/>
  <c r="Q411" i="3"/>
  <c r="AZ412" i="3"/>
  <c r="AX412" i="3"/>
  <c r="AY413" i="3"/>
  <c r="AZ413" i="3" s="1"/>
  <c r="AW413" i="3"/>
  <c r="AX413" i="3" s="1"/>
  <c r="Q414" i="3"/>
  <c r="AY415" i="3"/>
  <c r="AZ415" i="3" s="1"/>
  <c r="AW415" i="3"/>
  <c r="AX415" i="3" s="1"/>
  <c r="AD415" i="3"/>
  <c r="Q418" i="3"/>
  <c r="T419" i="3"/>
  <c r="Q427" i="3"/>
  <c r="AZ430" i="3"/>
  <c r="AX430" i="3"/>
  <c r="AY444" i="3"/>
  <c r="AZ444" i="3" s="1"/>
  <c r="AW444" i="3"/>
  <c r="AX444" i="3" s="1"/>
  <c r="Q444" i="3"/>
  <c r="Q458" i="3"/>
  <c r="AZ459" i="3"/>
  <c r="AX459"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X512" i="3"/>
  <c r="AZ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Z653" i="3"/>
  <c r="AX653" i="3"/>
  <c r="T655" i="3"/>
  <c r="AW655" i="3"/>
  <c r="AX655" i="3" s="1"/>
  <c r="AY655" i="3"/>
  <c r="AZ655" i="3" s="1"/>
  <c r="AD672" i="3"/>
  <c r="AY672" i="3"/>
  <c r="AZ672" i="3" s="1"/>
  <c r="AW672" i="3"/>
  <c r="AX672" i="3" s="1"/>
  <c r="Q675" i="3"/>
  <c r="AW675" i="3"/>
  <c r="AX675" i="3" s="1"/>
  <c r="AY675" i="3"/>
  <c r="AZ675" i="3" s="1"/>
  <c r="AZ694" i="3"/>
  <c r="AX694" i="3"/>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AW7" i="3"/>
  <c r="AX7" i="3" s="1"/>
  <c r="AY7" i="3"/>
  <c r="AZ7" i="3" s="1"/>
  <c r="AW12" i="3"/>
  <c r="AX12" i="3" s="1"/>
  <c r="AY12" i="3"/>
  <c r="AZ12" i="3" s="1"/>
  <c r="Q12" i="3"/>
  <c r="AY16" i="3"/>
  <c r="AZ16" i="3" s="1"/>
  <c r="AX16" i="3"/>
  <c r="AZ17" i="3"/>
  <c r="AX17" i="3"/>
  <c r="AX18" i="3"/>
  <c r="AZ18" i="3"/>
  <c r="AW26" i="3"/>
  <c r="AX26" i="3" s="1"/>
  <c r="AY26" i="3"/>
  <c r="AZ26" i="3" s="1"/>
  <c r="AY29" i="3"/>
  <c r="AZ29" i="3" s="1"/>
  <c r="AW29" i="3"/>
  <c r="AX29" i="3" s="1"/>
  <c r="Q29"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Z59" i="3" s="1"/>
  <c r="AW61" i="3"/>
  <c r="AX61" i="3" s="1"/>
  <c r="AY61" i="3"/>
  <c r="AZ61" i="3" s="1"/>
  <c r="T63" i="3"/>
  <c r="Q64" i="3"/>
  <c r="Q65" i="3"/>
  <c r="AW79" i="3"/>
  <c r="AX79" i="3" s="1"/>
  <c r="AY79" i="3"/>
  <c r="AZ79" i="3" s="1"/>
  <c r="AX82" i="3"/>
  <c r="AD84" i="3"/>
  <c r="AW84" i="3"/>
  <c r="AX84" i="3" s="1"/>
  <c r="AY84" i="3"/>
  <c r="AZ84" i="3" s="1"/>
  <c r="AD86" i="3"/>
  <c r="AY86" i="3"/>
  <c r="AZ86" i="3" s="1"/>
  <c r="AW86" i="3"/>
  <c r="AX86" i="3" s="1"/>
  <c r="AD88" i="3"/>
  <c r="AX88" i="3" s="1"/>
  <c r="Q93" i="3"/>
  <c r="AZ95" i="3"/>
  <c r="AX95" i="3"/>
  <c r="T120" i="3"/>
  <c r="AW120" i="3"/>
  <c r="AX120" i="3" s="1"/>
  <c r="AY120" i="3"/>
  <c r="AZ120" i="3" s="1"/>
  <c r="AY135" i="3"/>
  <c r="AZ135" i="3" s="1"/>
  <c r="AY144" i="3"/>
  <c r="AZ144" i="3" s="1"/>
  <c r="AW144" i="3"/>
  <c r="AX144" i="3" s="1"/>
  <c r="AW148" i="3"/>
  <c r="AX148" i="3" s="1"/>
  <c r="AY148" i="3"/>
  <c r="AZ148" i="3" s="1"/>
  <c r="AY150" i="3"/>
  <c r="AZ150" i="3" s="1"/>
  <c r="AY152" i="3"/>
  <c r="AZ152" i="3" s="1"/>
  <c r="AW152" i="3"/>
  <c r="AX152" i="3" s="1"/>
  <c r="T156" i="3"/>
  <c r="AW156" i="3"/>
  <c r="AX156" i="3" s="1"/>
  <c r="AY156" i="3"/>
  <c r="AZ156" i="3" s="1"/>
  <c r="AW163" i="3"/>
  <c r="AX163" i="3" s="1"/>
  <c r="AY163" i="3"/>
  <c r="AZ163" i="3" s="1"/>
  <c r="AZ176" i="3"/>
  <c r="AX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Z220" i="3" s="1"/>
  <c r="T235" i="3"/>
  <c r="AY235" i="3"/>
  <c r="AZ235" i="3" s="1"/>
  <c r="AW235" i="3"/>
  <c r="AX235" i="3" s="1"/>
  <c r="T267" i="3"/>
  <c r="AY267" i="3"/>
  <c r="AZ267" i="3" s="1"/>
  <c r="AW267" i="3"/>
  <c r="AX267" i="3" s="1"/>
  <c r="AY271" i="3"/>
  <c r="AZ271" i="3" s="1"/>
  <c r="T274" i="3"/>
  <c r="AY277" i="3"/>
  <c r="AZ277" i="3" s="1"/>
  <c r="AW277" i="3"/>
  <c r="AX277" i="3" s="1"/>
  <c r="T280" i="3"/>
  <c r="AY283" i="3"/>
  <c r="AZ283" i="3" s="1"/>
  <c r="AW283" i="3"/>
  <c r="AX283" i="3" s="1"/>
  <c r="AY290" i="3"/>
  <c r="AZ290" i="3" s="1"/>
  <c r="AW290" i="3"/>
  <c r="AX290" i="3" s="1"/>
  <c r="AY295" i="3"/>
  <c r="AZ295" i="3" s="1"/>
  <c r="AW295" i="3"/>
  <c r="AX295" i="3" s="1"/>
  <c r="T295" i="3"/>
  <c r="Q301" i="3"/>
  <c r="AY311" i="3"/>
  <c r="AZ311" i="3" s="1"/>
  <c r="AW311" i="3"/>
  <c r="AX311" i="3" s="1"/>
  <c r="AY319" i="3"/>
  <c r="AZ319" i="3" s="1"/>
  <c r="AX319" i="3"/>
  <c r="AY337" i="3"/>
  <c r="AZ337" i="3" s="1"/>
  <c r="AW337" i="3"/>
  <c r="AX337" i="3" s="1"/>
  <c r="AY340" i="3"/>
  <c r="AZ340" i="3" s="1"/>
  <c r="AW340" i="3"/>
  <c r="AX340" i="3" s="1"/>
  <c r="AY342" i="3"/>
  <c r="AZ342" i="3" s="1"/>
  <c r="AW342" i="3"/>
  <c r="AX342" i="3" s="1"/>
  <c r="T350" i="3"/>
  <c r="AY373" i="3"/>
  <c r="AZ373" i="3" s="1"/>
  <c r="AW373" i="3"/>
  <c r="AX373" i="3" s="1"/>
  <c r="AY376" i="3"/>
  <c r="AZ376" i="3" s="1"/>
  <c r="AX407" i="3"/>
  <c r="AY407" i="3"/>
  <c r="AZ407" i="3" s="1"/>
  <c r="T411" i="3"/>
  <c r="Q413" i="3"/>
  <c r="T414" i="3"/>
  <c r="AY421" i="3"/>
  <c r="AZ421" i="3" s="1"/>
  <c r="AW421" i="3"/>
  <c r="AX421" i="3" s="1"/>
  <c r="AW425" i="3"/>
  <c r="AX425" i="3" s="1"/>
  <c r="AY425" i="3"/>
  <c r="AZ425" i="3" s="1"/>
  <c r="T425" i="3"/>
  <c r="AD431" i="3"/>
  <c r="AZ433" i="3"/>
  <c r="AX433" i="3"/>
  <c r="AY453" i="3"/>
  <c r="AZ453" i="3" s="1"/>
  <c r="AW453" i="3"/>
  <c r="AX453" i="3" s="1"/>
  <c r="AD457" i="3"/>
  <c r="AW457" i="3"/>
  <c r="AX457" i="3" s="1"/>
  <c r="AY457" i="3"/>
  <c r="AZ457" i="3" s="1"/>
  <c r="T458"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AX513" i="3"/>
  <c r="AZ513" i="3"/>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X659" i="3"/>
  <c r="AZ659" i="3"/>
  <c r="AY661" i="3"/>
  <c r="AZ661" i="3" s="1"/>
  <c r="AW661" i="3"/>
  <c r="AX661" i="3" s="1"/>
  <c r="T661" i="3"/>
  <c r="AD680" i="3"/>
  <c r="AY680" i="3"/>
  <c r="AZ680" i="3" s="1"/>
  <c r="AW680" i="3"/>
  <c r="AX680" i="3" s="1"/>
  <c r="AW682" i="3"/>
  <c r="AX682" i="3" s="1"/>
  <c r="AY682" i="3"/>
  <c r="AZ682" i="3" s="1"/>
  <c r="AZ685" i="3"/>
  <c r="AX685" i="3"/>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AX1439" i="3"/>
  <c r="AZ1439" i="3"/>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X1309" i="3"/>
  <c r="AZ1309" i="3"/>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Z1282" i="3"/>
  <c r="AX1282" i="3"/>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X1413" i="3"/>
  <c r="AY1413" i="3"/>
  <c r="AZ1413"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AY8" i="3"/>
  <c r="AZ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D54" i="3"/>
  <c r="AX54" i="3" s="1"/>
  <c r="AY58" i="3"/>
  <c r="AZ58" i="3" s="1"/>
  <c r="AW58" i="3"/>
  <c r="AX58" i="3" s="1"/>
  <c r="AD68" i="3"/>
  <c r="AW68" i="3"/>
  <c r="AX68" i="3" s="1"/>
  <c r="AY68" i="3"/>
  <c r="AZ68" i="3" s="1"/>
  <c r="AD80" i="3"/>
  <c r="AX80" i="3" s="1"/>
  <c r="Q87" i="3"/>
  <c r="AW87" i="3"/>
  <c r="AX87" i="3" s="1"/>
  <c r="AY87" i="3"/>
  <c r="AZ87" i="3" s="1"/>
  <c r="AY89" i="3"/>
  <c r="AZ89" i="3" s="1"/>
  <c r="AW89" i="3"/>
  <c r="AX89" i="3" s="1"/>
  <c r="AD94" i="3"/>
  <c r="AY94" i="3"/>
  <c r="AZ94" i="3" s="1"/>
  <c r="AW94" i="3"/>
  <c r="AX94" i="3" s="1"/>
  <c r="AD96" i="3"/>
  <c r="AX96" i="3" s="1"/>
  <c r="AY96" i="3"/>
  <c r="AZ96" i="3" s="1"/>
  <c r="AZ101" i="3"/>
  <c r="AX101" i="3"/>
  <c r="AW103" i="3"/>
  <c r="AX103" i="3" s="1"/>
  <c r="AY103" i="3"/>
  <c r="AZ103" i="3" s="1"/>
  <c r="AW126" i="3"/>
  <c r="AX126" i="3" s="1"/>
  <c r="AY126" i="3"/>
  <c r="AZ126" i="3" s="1"/>
  <c r="AY129" i="3"/>
  <c r="AZ129" i="3" s="1"/>
  <c r="AW129" i="3"/>
  <c r="AX129" i="3" s="1"/>
  <c r="AW131" i="3"/>
  <c r="AX131" i="3" s="1"/>
  <c r="AY131" i="3"/>
  <c r="AZ131" i="3" s="1"/>
  <c r="AY136" i="3"/>
  <c r="AZ136" i="3" s="1"/>
  <c r="T138" i="3"/>
  <c r="AW138" i="3"/>
  <c r="AX138" i="3" s="1"/>
  <c r="AY138" i="3"/>
  <c r="AZ138" i="3" s="1"/>
  <c r="AY140" i="3"/>
  <c r="AZ140" i="3" s="1"/>
  <c r="AX149" i="3"/>
  <c r="AY149" i="3"/>
  <c r="AZ149" i="3" s="1"/>
  <c r="AY151" i="3"/>
  <c r="AZ151" i="3" s="1"/>
  <c r="AW151" i="3"/>
  <c r="AX151" i="3" s="1"/>
  <c r="AZ155" i="3"/>
  <c r="AX157" i="3"/>
  <c r="AZ157" i="3"/>
  <c r="AW162" i="3"/>
  <c r="AX162" i="3" s="1"/>
  <c r="AY162" i="3"/>
  <c r="AZ162" i="3" s="1"/>
  <c r="AW164" i="3"/>
  <c r="AX164" i="3" s="1"/>
  <c r="AY164" i="3"/>
  <c r="AZ164" i="3" s="1"/>
  <c r="AW179" i="3"/>
  <c r="AX179" i="3" s="1"/>
  <c r="AY179" i="3"/>
  <c r="AZ179" i="3" s="1"/>
  <c r="AY184" i="3"/>
  <c r="AZ184" i="3" s="1"/>
  <c r="AW184" i="3"/>
  <c r="AX184" i="3" s="1"/>
  <c r="AD188" i="3"/>
  <c r="AW188" i="3"/>
  <c r="AX188" i="3" s="1"/>
  <c r="AY188" i="3"/>
  <c r="AZ188" i="3" s="1"/>
  <c r="AD191" i="3"/>
  <c r="AZ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D228" i="3"/>
  <c r="AY228" i="3"/>
  <c r="AZ228" i="3" s="1"/>
  <c r="AW228" i="3"/>
  <c r="AX228" i="3" s="1"/>
  <c r="AD230" i="3"/>
  <c r="AY230" i="3"/>
  <c r="AZ230" i="3" s="1"/>
  <c r="AW230" i="3"/>
  <c r="AX230" i="3" s="1"/>
  <c r="AD232" i="3"/>
  <c r="AZ232" i="3" s="1"/>
  <c r="AY234" i="3"/>
  <c r="AZ234" i="3" s="1"/>
  <c r="AY241" i="3"/>
  <c r="AZ241" i="3" s="1"/>
  <c r="AX241" i="3"/>
  <c r="AY250" i="3"/>
  <c r="AZ250" i="3" s="1"/>
  <c r="T259" i="3"/>
  <c r="AY259" i="3"/>
  <c r="AZ259" i="3" s="1"/>
  <c r="AW259" i="3"/>
  <c r="AX259" i="3" s="1"/>
  <c r="AY261" i="3"/>
  <c r="AZ261" i="3" s="1"/>
  <c r="AW261" i="3"/>
  <c r="AX261" i="3" s="1"/>
  <c r="AY276" i="3"/>
  <c r="AZ276" i="3" s="1"/>
  <c r="AY282" i="3"/>
  <c r="AZ282" i="3" s="1"/>
  <c r="AW282" i="3"/>
  <c r="AX282" i="3" s="1"/>
  <c r="AY285" i="3"/>
  <c r="AZ285" i="3" s="1"/>
  <c r="AW285" i="3"/>
  <c r="AX285" i="3" s="1"/>
  <c r="AY294" i="3"/>
  <c r="AZ294" i="3" s="1"/>
  <c r="AW294" i="3"/>
  <c r="AX294" i="3" s="1"/>
  <c r="AY298" i="3"/>
  <c r="AZ298" i="3" s="1"/>
  <c r="AW298" i="3"/>
  <c r="AX298" i="3" s="1"/>
  <c r="AZ300" i="3"/>
  <c r="AY303" i="3"/>
  <c r="AZ303" i="3" s="1"/>
  <c r="AX303" i="3"/>
  <c r="AX316" i="3"/>
  <c r="AY323" i="3"/>
  <c r="AZ323" i="3" s="1"/>
  <c r="AZ326" i="3"/>
  <c r="AX326" i="3"/>
  <c r="AY329" i="3"/>
  <c r="AZ329" i="3" s="1"/>
  <c r="AW329" i="3"/>
  <c r="AX329" i="3" s="1"/>
  <c r="AY348" i="3"/>
  <c r="AZ348" i="3" s="1"/>
  <c r="AW348" i="3"/>
  <c r="AX348" i="3" s="1"/>
  <c r="AY351" i="3"/>
  <c r="AZ351" i="3" s="1"/>
  <c r="AW351" i="3"/>
  <c r="AX351" i="3" s="1"/>
  <c r="AY353" i="3"/>
  <c r="AZ353" i="3" s="1"/>
  <c r="AW353" i="3"/>
  <c r="AX353" i="3" s="1"/>
  <c r="AW368" i="3"/>
  <c r="AX368" i="3" s="1"/>
  <c r="AY368" i="3"/>
  <c r="AZ368" i="3" s="1"/>
  <c r="AW370" i="3"/>
  <c r="AX370" i="3" s="1"/>
  <c r="AY370" i="3"/>
  <c r="AZ370" i="3" s="1"/>
  <c r="AX375" i="3"/>
  <c r="AZ375" i="3"/>
  <c r="AX406" i="3"/>
  <c r="AY406" i="3"/>
  <c r="AZ406" i="3" s="1"/>
  <c r="AX422" i="3"/>
  <c r="AZ422" i="3"/>
  <c r="AW423" i="3"/>
  <c r="AX423" i="3" s="1"/>
  <c r="AY423" i="3"/>
  <c r="AZ423" i="3" s="1"/>
  <c r="AY428" i="3"/>
  <c r="AZ428" i="3" s="1"/>
  <c r="AW428" i="3"/>
  <c r="AX428" i="3" s="1"/>
  <c r="AD428" i="3"/>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Z456" i="3"/>
  <c r="AX456" i="3"/>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X658" i="3"/>
  <c r="AZ658" i="3"/>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Z1139" i="3"/>
  <c r="AX1139" i="3"/>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Q436" i="3"/>
  <c r="Q452" i="3"/>
  <c r="Q462" i="3"/>
  <c r="AD462" i="3"/>
  <c r="T462" i="3"/>
  <c r="AD502" i="3"/>
  <c r="AX502" i="3" s="1"/>
  <c r="AD564" i="3"/>
  <c r="T564" i="3"/>
  <c r="AD756" i="3"/>
  <c r="T756" i="3"/>
  <c r="T893" i="3"/>
  <c r="Q893" i="3"/>
  <c r="AD893" i="3"/>
  <c r="T992" i="3"/>
  <c r="Q992" i="3"/>
  <c r="AD992" i="3"/>
  <c r="AD1092" i="3"/>
  <c r="T1092" i="3"/>
  <c r="Q1092" i="3"/>
  <c r="Q879" i="3"/>
  <c r="AD879" i="3"/>
  <c r="T879" i="3"/>
  <c r="T889" i="3"/>
  <c r="Q889" i="3"/>
  <c r="AD889" i="3"/>
  <c r="T967" i="3"/>
  <c r="AD967" i="3"/>
  <c r="Q10" i="3"/>
  <c r="Q26" i="3"/>
  <c r="Q34" i="3"/>
  <c r="Q38" i="3"/>
  <c r="AD45" i="3"/>
  <c r="Q58" i="3"/>
  <c r="AD61" i="3"/>
  <c r="AD500" i="3"/>
  <c r="T500" i="3"/>
  <c r="Q500" i="3"/>
  <c r="T743" i="3"/>
  <c r="AD743" i="3"/>
  <c r="Q745" i="3"/>
  <c r="AD745" i="3"/>
  <c r="AD780" i="3"/>
  <c r="T780" i="3"/>
  <c r="Q780" i="3"/>
  <c r="Q967" i="3"/>
  <c r="Q974" i="3"/>
  <c r="AD974" i="3"/>
  <c r="T974" i="3"/>
  <c r="T52" i="3"/>
  <c r="AD210" i="3"/>
  <c r="Q210" i="3"/>
  <c r="AD426" i="3"/>
  <c r="AZ426" i="3" s="1"/>
  <c r="AD595" i="3"/>
  <c r="T595" i="3"/>
  <c r="Q595" i="3"/>
  <c r="AD611" i="3"/>
  <c r="T611" i="3"/>
  <c r="Q611" i="3"/>
  <c r="T10" i="3"/>
  <c r="AD11" i="3"/>
  <c r="T14" i="3"/>
  <c r="AD15" i="3"/>
  <c r="AD19" i="3"/>
  <c r="AX19" i="3" s="1"/>
  <c r="T22" i="3"/>
  <c r="AD23" i="3"/>
  <c r="T26" i="3"/>
  <c r="AD27" i="3"/>
  <c r="T30" i="3"/>
  <c r="AD31" i="3"/>
  <c r="T34" i="3"/>
  <c r="AD35" i="3"/>
  <c r="T38" i="3"/>
  <c r="AD39" i="3"/>
  <c r="T42" i="3"/>
  <c r="AD43" i="3"/>
  <c r="Q45" i="3"/>
  <c r="AD46" i="3"/>
  <c r="T48" i="3"/>
  <c r="T58" i="3"/>
  <c r="Q61" i="3"/>
  <c r="T64" i="3"/>
  <c r="Q214" i="3"/>
  <c r="AD429" i="3"/>
  <c r="T429" i="3"/>
  <c r="Q429" i="3"/>
  <c r="AD475" i="3"/>
  <c r="T475" i="3"/>
  <c r="T478" i="3"/>
  <c r="AD478" i="3"/>
  <c r="Q478" i="3"/>
  <c r="AD605" i="3"/>
  <c r="T605" i="3"/>
  <c r="Q605" i="3"/>
  <c r="AD625" i="3"/>
  <c r="Q625" i="3"/>
  <c r="T727" i="3"/>
  <c r="Q743" i="3"/>
  <c r="T745" i="3"/>
  <c r="Q875" i="3"/>
  <c r="AD875" i="3"/>
  <c r="T875" i="3"/>
  <c r="T945" i="3"/>
  <c r="AD945" i="3"/>
  <c r="Q945" i="3"/>
  <c r="T285" i="3"/>
  <c r="AD52" i="3"/>
  <c r="AD57" i="3"/>
  <c r="AD402" i="3"/>
  <c r="T402" i="3"/>
  <c r="AD410" i="3"/>
  <c r="AX410" i="3" s="1"/>
  <c r="AD494" i="3"/>
  <c r="T494" i="3"/>
  <c r="Q494" i="3"/>
  <c r="AD522" i="3"/>
  <c r="T522" i="3"/>
  <c r="T524" i="3"/>
  <c r="AD524" i="3"/>
  <c r="Q524" i="3"/>
  <c r="T721" i="3"/>
  <c r="AD805" i="3"/>
  <c r="T805" i="3"/>
  <c r="Q14" i="3"/>
  <c r="Q22" i="3"/>
  <c r="Q30" i="3"/>
  <c r="Q42" i="3"/>
  <c r="Q52" i="3"/>
  <c r="AD194" i="3"/>
  <c r="Q230" i="3"/>
  <c r="T45" i="3"/>
  <c r="T61" i="3"/>
  <c r="AD10" i="3"/>
  <c r="AD14" i="3"/>
  <c r="AD22" i="3"/>
  <c r="AD26" i="3"/>
  <c r="AD30" i="3"/>
  <c r="AD34" i="3"/>
  <c r="AD38" i="3"/>
  <c r="AD42" i="3"/>
  <c r="T44" i="3"/>
  <c r="Q57" i="3"/>
  <c r="AD58" i="3"/>
  <c r="Q208" i="3"/>
  <c r="Q218" i="3"/>
  <c r="Q228" i="3"/>
  <c r="Q311" i="3"/>
  <c r="Q402" i="3"/>
  <c r="T423" i="3"/>
  <c r="Q423" i="3"/>
  <c r="AD423" i="3"/>
  <c r="Q464" i="3"/>
  <c r="Q522" i="3"/>
  <c r="AD603" i="3"/>
  <c r="T603" i="3"/>
  <c r="Q603" i="3"/>
  <c r="Q769" i="3"/>
  <c r="AD769" i="3"/>
  <c r="T769" i="3"/>
  <c r="T909" i="3"/>
  <c r="Q909" i="3"/>
  <c r="AD909" i="3"/>
  <c r="AD53" i="3"/>
  <c r="AZ53" i="3" s="1"/>
  <c r="T57" i="3"/>
  <c r="AD404" i="3"/>
  <c r="AX404" i="3" s="1"/>
  <c r="T467" i="3"/>
  <c r="AD467" i="3"/>
  <c r="Q467" i="3"/>
  <c r="AD492" i="3"/>
  <c r="T492" i="3"/>
  <c r="Q492" i="3"/>
  <c r="Q567" i="3"/>
  <c r="AD567" i="3"/>
  <c r="AD615" i="3"/>
  <c r="Q615" i="3"/>
  <c r="T767" i="3"/>
  <c r="AD767" i="3"/>
  <c r="Q767" i="3"/>
  <c r="T905" i="3"/>
  <c r="Q905" i="3"/>
  <c r="AD905" i="3"/>
  <c r="T12" i="3"/>
  <c r="T20" i="3"/>
  <c r="T24" i="3"/>
  <c r="T28" i="3"/>
  <c r="T36" i="3"/>
  <c r="T40" i="3"/>
  <c r="T50" i="3"/>
  <c r="T56" i="3"/>
  <c r="Q196" i="3"/>
  <c r="AD413" i="3"/>
  <c r="T413" i="3"/>
  <c r="T415" i="3"/>
  <c r="Q415" i="3"/>
  <c r="AD419" i="3"/>
  <c r="Q41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26" i="3"/>
  <c r="AD405" i="3"/>
  <c r="AZ405" i="3" s="1"/>
  <c r="AD416" i="3"/>
  <c r="T421" i="3"/>
  <c r="T427" i="3"/>
  <c r="AD450" i="3"/>
  <c r="T450" i="3"/>
  <c r="Q450" i="3"/>
  <c r="T486" i="3"/>
  <c r="Q488" i="3"/>
  <c r="Q495" i="3"/>
  <c r="T497" i="3"/>
  <c r="Q503" i="3"/>
  <c r="T505" i="3"/>
  <c r="Q511" i="3"/>
  <c r="Q519" i="3"/>
  <c r="AD565" i="3"/>
  <c r="AD596" i="3"/>
  <c r="T596" i="3"/>
  <c r="AD598" i="3"/>
  <c r="AD604" i="3"/>
  <c r="T604" i="3"/>
  <c r="AD606" i="3"/>
  <c r="AD612" i="3"/>
  <c r="T612" i="3"/>
  <c r="Q628" i="3"/>
  <c r="Q678" i="3"/>
  <c r="T713" i="3"/>
  <c r="T719" i="3"/>
  <c r="AD748" i="3"/>
  <c r="T764" i="3"/>
  <c r="Q775" i="3"/>
  <c r="T777" i="3"/>
  <c r="Q788" i="3"/>
  <c r="T799" i="3"/>
  <c r="AD799" i="3"/>
  <c r="Q801" i="3"/>
  <c r="AD801" i="3"/>
  <c r="Q886" i="3"/>
  <c r="T926" i="3"/>
  <c r="Q926" i="3"/>
  <c r="AD928" i="3"/>
  <c r="T928" i="3"/>
  <c r="T938" i="3"/>
  <c r="Q951" i="3"/>
  <c r="T961" i="3"/>
  <c r="AD961" i="3"/>
  <c r="Q961" i="3"/>
  <c r="AD985" i="3"/>
  <c r="T985" i="3"/>
  <c r="Q985" i="3"/>
  <c r="AD1009" i="3"/>
  <c r="Q1009" i="3"/>
  <c r="T1009" i="3"/>
  <c r="T418" i="3"/>
  <c r="AD438" i="3"/>
  <c r="T438" i="3"/>
  <c r="Q438" i="3"/>
  <c r="AD454" i="3"/>
  <c r="AX454" i="3" s="1"/>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AZ474" i="3" s="1"/>
  <c r="AD530" i="3"/>
  <c r="AZ530" i="3" s="1"/>
  <c r="AD538" i="3"/>
  <c r="T538" i="3"/>
  <c r="Q538"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29" i="3"/>
  <c r="Q420" i="3"/>
  <c r="Q480" i="3"/>
  <c r="Q499" i="3"/>
  <c r="Q507" i="3"/>
  <c r="Q515" i="3"/>
  <c r="Q526" i="3"/>
  <c r="Q614" i="3"/>
  <c r="Q627" i="3"/>
  <c r="Q630"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AX1152" i="3" s="1"/>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AD1442" i="3"/>
  <c r="T1417" i="3"/>
  <c r="E6" i="3"/>
  <c r="S4" i="3"/>
  <c r="AC4" i="3" s="1"/>
  <c r="D5" i="3"/>
  <c r="S5" i="3" s="1"/>
  <c r="AC5" i="3" s="1"/>
  <c r="AD103" i="3"/>
  <c r="Q103" i="3"/>
  <c r="AD111" i="3"/>
  <c r="Q111" i="3"/>
  <c r="AD119" i="3"/>
  <c r="AZ119" i="3" s="1"/>
  <c r="AD127" i="3"/>
  <c r="Q127" i="3"/>
  <c r="AD135" i="3"/>
  <c r="AX135" i="3" s="1"/>
  <c r="AD143" i="3"/>
  <c r="AX143" i="3" s="1"/>
  <c r="AD153" i="3"/>
  <c r="AZ153" i="3" s="1"/>
  <c r="AD165" i="3"/>
  <c r="Q165" i="3"/>
  <c r="AD169" i="3"/>
  <c r="Q169" i="3"/>
  <c r="AD173" i="3"/>
  <c r="AX173" i="3" s="1"/>
  <c r="AD177" i="3"/>
  <c r="Q177" i="3"/>
  <c r="AD181" i="3"/>
  <c r="AX181" i="3" s="1"/>
  <c r="Q3" i="3"/>
  <c r="R3" i="3" s="1"/>
  <c r="AD3" i="3"/>
  <c r="Q4" i="3"/>
  <c r="AD4" i="3"/>
  <c r="Q5" i="3"/>
  <c r="AD5" i="3"/>
  <c r="Q6" i="3"/>
  <c r="AD6" i="3"/>
  <c r="AD7" i="3"/>
  <c r="AD8" i="3"/>
  <c r="AX8" i="3" s="1"/>
  <c r="AD66" i="3"/>
  <c r="AZ66" i="3" s="1"/>
  <c r="T69" i="3"/>
  <c r="T71" i="3"/>
  <c r="T73" i="3"/>
  <c r="T75" i="3"/>
  <c r="T79" i="3"/>
  <c r="T83" i="3"/>
  <c r="T87" i="3"/>
  <c r="T89" i="3"/>
  <c r="T93" i="3"/>
  <c r="AD105" i="3"/>
  <c r="Q105" i="3"/>
  <c r="AD113" i="3"/>
  <c r="AX113" i="3" s="1"/>
  <c r="AD121" i="3"/>
  <c r="AX121" i="3" s="1"/>
  <c r="AD129" i="3"/>
  <c r="Q129" i="3"/>
  <c r="AD137" i="3"/>
  <c r="Q137" i="3"/>
  <c r="AD148" i="3"/>
  <c r="Q148" i="3"/>
  <c r="AD152" i="3"/>
  <c r="Q152" i="3"/>
  <c r="AD156" i="3"/>
  <c r="Q156" i="3"/>
  <c r="AD160" i="3"/>
  <c r="Q160" i="3"/>
  <c r="AD164" i="3"/>
  <c r="Q164" i="3"/>
  <c r="AD168" i="3"/>
  <c r="AX168" i="3" s="1"/>
  <c r="AD172" i="3"/>
  <c r="AX172" i="3" s="1"/>
  <c r="AD183" i="3"/>
  <c r="Q183" i="3"/>
  <c r="T183" i="3"/>
  <c r="AD144" i="3"/>
  <c r="AD98" i="3"/>
  <c r="AX98" i="3" s="1"/>
  <c r="T105" i="3"/>
  <c r="AD106" i="3"/>
  <c r="Q106" i="3"/>
  <c r="AD114" i="3"/>
  <c r="AX114" i="3" s="1"/>
  <c r="AD122" i="3"/>
  <c r="AZ122" i="3" s="1"/>
  <c r="T129" i="3"/>
  <c r="AD130" i="3"/>
  <c r="Q130" i="3"/>
  <c r="T137" i="3"/>
  <c r="AD138" i="3"/>
  <c r="Q138" i="3"/>
  <c r="T148" i="3"/>
  <c r="T152" i="3"/>
  <c r="AD186" i="3"/>
  <c r="AZ186" i="3" s="1"/>
  <c r="AD128" i="3"/>
  <c r="Q128" i="3"/>
  <c r="AD99" i="3"/>
  <c r="AZ99" i="3" s="1"/>
  <c r="AD107" i="3"/>
  <c r="Q107" i="3"/>
  <c r="AD115" i="3"/>
  <c r="AX115" i="3" s="1"/>
  <c r="AD123" i="3"/>
  <c r="AX123" i="3" s="1"/>
  <c r="AD131" i="3"/>
  <c r="Q131" i="3"/>
  <c r="AD147" i="3"/>
  <c r="AX147" i="3" s="1"/>
  <c r="AD151" i="3"/>
  <c r="Q151" i="3"/>
  <c r="AD159" i="3"/>
  <c r="AZ159" i="3" s="1"/>
  <c r="AD163" i="3"/>
  <c r="AD167" i="3"/>
  <c r="Q167" i="3"/>
  <c r="AD171" i="3"/>
  <c r="Q171" i="3"/>
  <c r="AD175" i="3"/>
  <c r="AX175" i="3" s="1"/>
  <c r="AD179" i="3"/>
  <c r="Q179" i="3"/>
  <c r="AD136" i="3"/>
  <c r="AX136" i="3" s="1"/>
  <c r="Q68" i="3"/>
  <c r="Q72" i="3"/>
  <c r="Q74" i="3"/>
  <c r="Q76" i="3"/>
  <c r="Q78" i="3"/>
  <c r="Q84" i="3"/>
  <c r="Q86" i="3"/>
  <c r="Q92" i="3"/>
  <c r="Q94" i="3"/>
  <c r="AD100" i="3"/>
  <c r="AZ100" i="3" s="1"/>
  <c r="T107" i="3"/>
  <c r="AD108" i="3"/>
  <c r="Q108" i="3"/>
  <c r="AD116" i="3"/>
  <c r="AX116" i="3" s="1"/>
  <c r="AD124" i="3"/>
  <c r="AX124" i="3" s="1"/>
  <c r="T131" i="3"/>
  <c r="AD132" i="3"/>
  <c r="Q132" i="3"/>
  <c r="AD140" i="3"/>
  <c r="AX140" i="3" s="1"/>
  <c r="T151" i="3"/>
  <c r="T167" i="3"/>
  <c r="T171" i="3"/>
  <c r="T179" i="3"/>
  <c r="AD184" i="3"/>
  <c r="Q184" i="3"/>
  <c r="T184" i="3"/>
  <c r="AD104" i="3"/>
  <c r="AD67" i="3"/>
  <c r="T68" i="3"/>
  <c r="AD69" i="3"/>
  <c r="AD71" i="3"/>
  <c r="T72" i="3"/>
  <c r="AD73" i="3"/>
  <c r="T74" i="3"/>
  <c r="AD75" i="3"/>
  <c r="T76" i="3"/>
  <c r="AD77" i="3"/>
  <c r="AZ77" i="3" s="1"/>
  <c r="T78" i="3"/>
  <c r="AD79" i="3"/>
  <c r="AD81" i="3"/>
  <c r="AX81" i="3" s="1"/>
  <c r="AD83" i="3"/>
  <c r="T84" i="3"/>
  <c r="AD85" i="3"/>
  <c r="AX85" i="3" s="1"/>
  <c r="T86" i="3"/>
  <c r="AD87" i="3"/>
  <c r="AD89" i="3"/>
  <c r="T92" i="3"/>
  <c r="AD93" i="3"/>
  <c r="T94" i="3"/>
  <c r="AD97" i="3"/>
  <c r="AZ97" i="3" s="1"/>
  <c r="AD109" i="3"/>
  <c r="AX109" i="3" s="1"/>
  <c r="AD117" i="3"/>
  <c r="AX117" i="3" s="1"/>
  <c r="AD141" i="3"/>
  <c r="AZ141" i="3" s="1"/>
  <c r="AD146" i="3"/>
  <c r="AZ146" i="3" s="1"/>
  <c r="AD154" i="3"/>
  <c r="AX154" i="3" s="1"/>
  <c r="AD158" i="3"/>
  <c r="AZ158" i="3" s="1"/>
  <c r="AD162" i="3"/>
  <c r="AD166" i="3"/>
  <c r="AX166" i="3" s="1"/>
  <c r="AD170" i="3"/>
  <c r="AD174" i="3"/>
  <c r="AZ174" i="3" s="1"/>
  <c r="AD178" i="3"/>
  <c r="AX178" i="3" s="1"/>
  <c r="AD182" i="3"/>
  <c r="AX182" i="3" s="1"/>
  <c r="AD187" i="3"/>
  <c r="AZ187" i="3" s="1"/>
  <c r="Q187" i="3"/>
  <c r="AD112" i="3"/>
  <c r="Q112" i="3"/>
  <c r="AD120" i="3"/>
  <c r="Q120" i="3"/>
  <c r="AD110" i="3"/>
  <c r="Q110" i="3"/>
  <c r="AD118" i="3"/>
  <c r="AD126" i="3"/>
  <c r="Q126" i="3"/>
  <c r="AD142" i="3"/>
  <c r="AX142" i="3" s="1"/>
  <c r="Q197" i="3"/>
  <c r="Q199" i="3"/>
  <c r="Q201" i="3"/>
  <c r="Q203" i="3"/>
  <c r="Q205" i="3"/>
  <c r="Q207" i="3"/>
  <c r="Q209" i="3"/>
  <c r="Q211" i="3"/>
  <c r="Q213" i="3"/>
  <c r="Q215" i="3"/>
  <c r="Q217" i="3"/>
  <c r="Q219" i="3"/>
  <c r="Q223" i="3"/>
  <c r="Q231" i="3"/>
  <c r="AD240" i="3"/>
  <c r="AZ240" i="3" s="1"/>
  <c r="AD248" i="3"/>
  <c r="T197" i="3"/>
  <c r="T199" i="3"/>
  <c r="T201" i="3"/>
  <c r="T203" i="3"/>
  <c r="T205" i="3"/>
  <c r="T207" i="3"/>
  <c r="T209" i="3"/>
  <c r="T211" i="3"/>
  <c r="T213" i="3"/>
  <c r="T215" i="3"/>
  <c r="T217" i="3"/>
  <c r="T219" i="3"/>
  <c r="T223" i="3"/>
  <c r="T231" i="3"/>
  <c r="AD249" i="3"/>
  <c r="AX249" i="3" s="1"/>
  <c r="AD254" i="3"/>
  <c r="AX254" i="3" s="1"/>
  <c r="AD258" i="3"/>
  <c r="AX258" i="3" s="1"/>
  <c r="AD266" i="3"/>
  <c r="Q266" i="3"/>
  <c r="AD242" i="3"/>
  <c r="AD250" i="3"/>
  <c r="AX250" i="3" s="1"/>
  <c r="T266" i="3"/>
  <c r="AD235" i="3"/>
  <c r="Q235" i="3"/>
  <c r="AD243" i="3"/>
  <c r="AX243" i="3" s="1"/>
  <c r="AD251" i="3"/>
  <c r="AZ251" i="3" s="1"/>
  <c r="AD253" i="3"/>
  <c r="Q253" i="3"/>
  <c r="AD257" i="3"/>
  <c r="Q257" i="3"/>
  <c r="AD261" i="3"/>
  <c r="AD265" i="3"/>
  <c r="AZ265" i="3" s="1"/>
  <c r="AD269" i="3"/>
  <c r="AD236" i="3"/>
  <c r="Q236" i="3"/>
  <c r="AD244" i="3"/>
  <c r="AX244" i="3" s="1"/>
  <c r="AD252" i="3"/>
  <c r="Q252" i="3"/>
  <c r="T188" i="3"/>
  <c r="T192" i="3"/>
  <c r="T196" i="3"/>
  <c r="T198" i="3"/>
  <c r="T200" i="3"/>
  <c r="T202" i="3"/>
  <c r="T204" i="3"/>
  <c r="T206" i="3"/>
  <c r="T208" i="3"/>
  <c r="T210" i="3"/>
  <c r="T212" i="3"/>
  <c r="T214" i="3"/>
  <c r="T216" i="3"/>
  <c r="T218" i="3"/>
  <c r="T228" i="3"/>
  <c r="T230" i="3"/>
  <c r="T236" i="3"/>
  <c r="AD237" i="3"/>
  <c r="AD245" i="3"/>
  <c r="AZ245" i="3" s="1"/>
  <c r="T252" i="3"/>
  <c r="AD260" i="3"/>
  <c r="AX260" i="3" s="1"/>
  <c r="AD264" i="3"/>
  <c r="AD268" i="3"/>
  <c r="AX268" i="3" s="1"/>
  <c r="AD238" i="3"/>
  <c r="AX238" i="3" s="1"/>
  <c r="AD246" i="3"/>
  <c r="AZ246" i="3" s="1"/>
  <c r="AD239" i="3"/>
  <c r="AZ239" i="3" s="1"/>
  <c r="AD247" i="3"/>
  <c r="Q247" i="3"/>
  <c r="AD259" i="3"/>
  <c r="Q259" i="3"/>
  <c r="AD267" i="3"/>
  <c r="Q267" i="3"/>
  <c r="AD335" i="3"/>
  <c r="AD343" i="3"/>
  <c r="AX343" i="3" s="1"/>
  <c r="AD351" i="3"/>
  <c r="Q351" i="3"/>
  <c r="AD356" i="3"/>
  <c r="AX356" i="3" s="1"/>
  <c r="AD360" i="3"/>
  <c r="AX360" i="3" s="1"/>
  <c r="AD368" i="3"/>
  <c r="Q368" i="3"/>
  <c r="AD377" i="3"/>
  <c r="AD340" i="3"/>
  <c r="Q340" i="3"/>
  <c r="AD348" i="3"/>
  <c r="AD376" i="3"/>
  <c r="AX376" i="3" s="1"/>
  <c r="AD477" i="3"/>
  <c r="T477" i="3"/>
  <c r="Q477" i="3"/>
  <c r="AD337" i="3"/>
  <c r="Q337" i="3"/>
  <c r="AD345" i="3"/>
  <c r="AZ345" i="3" s="1"/>
  <c r="T351" i="3"/>
  <c r="AD353" i="3"/>
  <c r="Q353" i="3"/>
  <c r="AD357" i="3"/>
  <c r="AD361" i="3"/>
  <c r="AX361" i="3" s="1"/>
  <c r="AD365" i="3"/>
  <c r="T368" i="3"/>
  <c r="AD369" i="3"/>
  <c r="Q369" i="3"/>
  <c r="AD383" i="3"/>
  <c r="AZ383" i="3" s="1"/>
  <c r="AD334" i="3"/>
  <c r="T340" i="3"/>
  <c r="AD342" i="3"/>
  <c r="Q342" i="3"/>
  <c r="AD350" i="3"/>
  <c r="Q350" i="3"/>
  <c r="AD382" i="3"/>
  <c r="Q382" i="3"/>
  <c r="T385" i="3"/>
  <c r="AD385" i="3"/>
  <c r="Q385" i="3"/>
  <c r="T387" i="3"/>
  <c r="AD387" i="3"/>
  <c r="Q387" i="3"/>
  <c r="T389" i="3"/>
  <c r="AD389" i="3"/>
  <c r="Q389" i="3"/>
  <c r="T391" i="3"/>
  <c r="AD391" i="3"/>
  <c r="Q391" i="3"/>
  <c r="AD393" i="3"/>
  <c r="AX393" i="3" s="1"/>
  <c r="AD395" i="3"/>
  <c r="AX395" i="3" s="1"/>
  <c r="T397" i="3"/>
  <c r="AD397" i="3"/>
  <c r="Q397" i="3"/>
  <c r="T399" i="3"/>
  <c r="AD399" i="3"/>
  <c r="Q399" i="3"/>
  <c r="T401" i="3"/>
  <c r="AD401" i="3"/>
  <c r="Q401" i="3"/>
  <c r="AD469" i="3"/>
  <c r="T469" i="3"/>
  <c r="Q469" i="3"/>
  <c r="AD347" i="3"/>
  <c r="AD355" i="3"/>
  <c r="AD358" i="3"/>
  <c r="AD362" i="3"/>
  <c r="Q362" i="3"/>
  <c r="AD366" i="3"/>
  <c r="AD370" i="3"/>
  <c r="Q370" i="3"/>
  <c r="AD373" i="3"/>
  <c r="Q373" i="3"/>
  <c r="T453" i="3"/>
  <c r="Q453" i="3"/>
  <c r="AD453" i="3"/>
  <c r="AD270" i="3"/>
  <c r="AD271" i="3"/>
  <c r="AX271" i="3" s="1"/>
  <c r="AD272" i="3"/>
  <c r="AX272" i="3" s="1"/>
  <c r="Q274" i="3"/>
  <c r="AD274" i="3"/>
  <c r="AD275" i="3"/>
  <c r="AD276" i="3"/>
  <c r="AX276" i="3" s="1"/>
  <c r="AD277" i="3"/>
  <c r="AD279" i="3"/>
  <c r="AZ279" i="3" s="1"/>
  <c r="Q280" i="3"/>
  <c r="AD280" i="3"/>
  <c r="AD281" i="3"/>
  <c r="AD282" i="3"/>
  <c r="AD283" i="3"/>
  <c r="Q285" i="3"/>
  <c r="AD285" i="3"/>
  <c r="AD286" i="3"/>
  <c r="AD287" i="3"/>
  <c r="AX287" i="3" s="1"/>
  <c r="AD288" i="3"/>
  <c r="AX288" i="3" s="1"/>
  <c r="AD336" i="3"/>
  <c r="Q336" i="3"/>
  <c r="AD344" i="3"/>
  <c r="AD352" i="3"/>
  <c r="AX352" i="3" s="1"/>
  <c r="AD372" i="3"/>
  <c r="AZ372" i="3" s="1"/>
  <c r="AD380" i="3"/>
  <c r="AZ380" i="3" s="1"/>
  <c r="AD461" i="3"/>
  <c r="T461" i="3"/>
  <c r="Q461" i="3"/>
  <c r="AD289" i="3"/>
  <c r="AZ289" i="3" s="1"/>
  <c r="AD290" i="3"/>
  <c r="AD291" i="3"/>
  <c r="AD292" i="3"/>
  <c r="AZ292" i="3" s="1"/>
  <c r="AD293" i="3"/>
  <c r="AZ293" i="3" s="1"/>
  <c r="AD294" i="3"/>
  <c r="AD295" i="3"/>
  <c r="AD296" i="3"/>
  <c r="AZ296" i="3" s="1"/>
  <c r="AD297" i="3"/>
  <c r="AX297" i="3" s="1"/>
  <c r="AD298" i="3"/>
  <c r="AD300" i="3"/>
  <c r="AX300" i="3" s="1"/>
  <c r="AD301" i="3"/>
  <c r="AD302" i="3"/>
  <c r="AX302" i="3" s="1"/>
  <c r="AD304" i="3"/>
  <c r="AX304" i="3" s="1"/>
  <c r="AD305" i="3"/>
  <c r="AD306" i="3"/>
  <c r="AX306" i="3" s="1"/>
  <c r="AD307" i="3"/>
  <c r="AZ307" i="3" s="1"/>
  <c r="AD308" i="3"/>
  <c r="AX308" i="3" s="1"/>
  <c r="AD310" i="3"/>
  <c r="AD311" i="3"/>
  <c r="AD313" i="3"/>
  <c r="AZ313" i="3" s="1"/>
  <c r="AD314" i="3"/>
  <c r="AD317" i="3"/>
  <c r="AD318" i="3"/>
  <c r="AZ318" i="3" s="1"/>
  <c r="AD320" i="3"/>
  <c r="AZ320" i="3" s="1"/>
  <c r="AD321" i="3"/>
  <c r="AD322" i="3"/>
  <c r="AD323" i="3"/>
  <c r="AX323" i="3" s="1"/>
  <c r="AD324" i="3"/>
  <c r="AD325" i="3"/>
  <c r="AD327" i="3"/>
  <c r="AD328" i="3"/>
  <c r="AD329" i="3"/>
  <c r="AD330" i="3"/>
  <c r="AD331" i="3"/>
  <c r="AX331" i="3" s="1"/>
  <c r="AD333" i="3"/>
  <c r="AD341" i="3"/>
  <c r="AD359" i="3"/>
  <c r="AX359" i="3" s="1"/>
  <c r="T362" i="3"/>
  <c r="AD367" i="3"/>
  <c r="T370" i="3"/>
  <c r="AD371" i="3"/>
  <c r="AX371" i="3" s="1"/>
  <c r="T373" i="3"/>
  <c r="T437" i="3"/>
  <c r="Q437" i="3"/>
  <c r="AD437" i="3"/>
  <c r="T336" i="3"/>
  <c r="AD346" i="3"/>
  <c r="AZ346" i="3" s="1"/>
  <c r="AD378" i="3"/>
  <c r="AZ378" i="3" s="1"/>
  <c r="AD384" i="3"/>
  <c r="AX384" i="3" s="1"/>
  <c r="T386" i="3"/>
  <c r="AD386" i="3"/>
  <c r="Q386" i="3"/>
  <c r="T388" i="3"/>
  <c r="AD388" i="3"/>
  <c r="Q388" i="3"/>
  <c r="T390" i="3"/>
  <c r="AD390" i="3"/>
  <c r="Q390" i="3"/>
  <c r="T392" i="3"/>
  <c r="AD392" i="3"/>
  <c r="Q392" i="3"/>
  <c r="T396" i="3"/>
  <c r="AD396" i="3"/>
  <c r="Q396" i="3"/>
  <c r="T398" i="3"/>
  <c r="AD398" i="3"/>
  <c r="Q398" i="3"/>
  <c r="AD400" i="3"/>
  <c r="AZ400" i="3" s="1"/>
  <c r="AD485" i="3"/>
  <c r="T485" i="3"/>
  <c r="Q485" i="3"/>
  <c r="T441" i="3"/>
  <c r="T449" i="3"/>
  <c r="AD439" i="3"/>
  <c r="AZ439" i="3" s="1"/>
  <c r="T443" i="3"/>
  <c r="AD447" i="3"/>
  <c r="T451" i="3"/>
  <c r="T476" i="3"/>
  <c r="T484" i="3"/>
  <c r="AD436" i="3"/>
  <c r="T440" i="3"/>
  <c r="AD444" i="3"/>
  <c r="T448" i="3"/>
  <c r="AD452" i="3"/>
  <c r="AD441" i="3"/>
  <c r="AD449" i="3"/>
  <c r="Q441" i="3"/>
  <c r="AD443" i="3"/>
  <c r="T447" i="3"/>
  <c r="Q449" i="3"/>
  <c r="AD451" i="3"/>
  <c r="Q457" i="3"/>
  <c r="AD460" i="3"/>
  <c r="T464" i="3"/>
  <c r="Q465" i="3"/>
  <c r="AD468" i="3"/>
  <c r="AX468" i="3" s="1"/>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AZ662" i="3" s="1"/>
  <c r="AD639" i="3"/>
  <c r="Q639" i="3"/>
  <c r="T639" i="3"/>
  <c r="T613" i="3"/>
  <c r="T615" i="3"/>
  <c r="T617" i="3"/>
  <c r="T619" i="3"/>
  <c r="T621" i="3"/>
  <c r="T623" i="3"/>
  <c r="T625" i="3"/>
  <c r="T627" i="3"/>
  <c r="T629" i="3"/>
  <c r="T631" i="3"/>
  <c r="T635" i="3"/>
  <c r="AD638" i="3"/>
  <c r="Q638" i="3"/>
  <c r="T643" i="3"/>
  <c r="AD646" i="3"/>
  <c r="Q646" i="3"/>
  <c r="AD655" i="3"/>
  <c r="Q655" i="3"/>
  <c r="AD663" i="3"/>
  <c r="Q663" i="3"/>
  <c r="AD640" i="3"/>
  <c r="Q640" i="3"/>
  <c r="AD648" i="3"/>
  <c r="AD661" i="3"/>
  <c r="Q661" i="3"/>
  <c r="AD633" i="3"/>
  <c r="Q633" i="3"/>
  <c r="AD641" i="3"/>
  <c r="Q641" i="3"/>
  <c r="AD649" i="3"/>
  <c r="AZ649" i="3" s="1"/>
  <c r="AD660" i="3"/>
  <c r="Q660" i="3"/>
  <c r="AD613" i="3"/>
  <c r="AD634" i="3"/>
  <c r="Q634" i="3"/>
  <c r="AD642" i="3"/>
  <c r="Q642" i="3"/>
  <c r="AD650" i="3"/>
  <c r="Q650" i="3"/>
  <c r="T660" i="3"/>
  <c r="AD635" i="3"/>
  <c r="Q635" i="3"/>
  <c r="AD643" i="3"/>
  <c r="Q643" i="3"/>
  <c r="AD651" i="3"/>
  <c r="AZ651" i="3" s="1"/>
  <c r="AD666" i="3"/>
  <c r="Q666" i="3"/>
  <c r="AD668" i="3"/>
  <c r="Q668" i="3"/>
  <c r="AD670" i="3"/>
  <c r="Q670" i="3"/>
  <c r="AD636" i="3"/>
  <c r="Q636" i="3"/>
  <c r="AD644" i="3"/>
  <c r="Q644" i="3"/>
  <c r="AD652" i="3"/>
  <c r="Q652" i="3"/>
  <c r="AD657" i="3"/>
  <c r="AX657" i="3" s="1"/>
  <c r="AD665" i="3"/>
  <c r="Q665" i="3"/>
  <c r="T666" i="3"/>
  <c r="T668" i="3"/>
  <c r="T670" i="3"/>
  <c r="AD637" i="3"/>
  <c r="Q637" i="3"/>
  <c r="AD645" i="3"/>
  <c r="Q645" i="3"/>
  <c r="AD654" i="3"/>
  <c r="AZ654" i="3" s="1"/>
  <c r="AD656" i="3"/>
  <c r="Q656" i="3"/>
  <c r="AD682" i="3"/>
  <c r="Q682" i="3"/>
  <c r="AD690" i="3"/>
  <c r="Q690" i="3"/>
  <c r="AD687" i="3"/>
  <c r="Q687" i="3"/>
  <c r="AD684" i="3"/>
  <c r="Q684" i="3"/>
  <c r="T687" i="3"/>
  <c r="AD692" i="3"/>
  <c r="Q692" i="3"/>
  <c r="AD681" i="3"/>
  <c r="Q681" i="3"/>
  <c r="AD689" i="3"/>
  <c r="Q689" i="3"/>
  <c r="T681" i="3"/>
  <c r="AD686" i="3"/>
  <c r="Q686" i="3"/>
  <c r="T689" i="3"/>
  <c r="AD683" i="3"/>
  <c r="Q683" i="3"/>
  <c r="AD691" i="3"/>
  <c r="Q691" i="3"/>
  <c r="T671" i="3"/>
  <c r="T672" i="3"/>
  <c r="T673" i="3"/>
  <c r="T674" i="3"/>
  <c r="T675" i="3"/>
  <c r="T677" i="3"/>
  <c r="T678" i="3"/>
  <c r="T679" i="3"/>
  <c r="T680" i="3"/>
  <c r="T683" i="3"/>
  <c r="AD688" i="3"/>
  <c r="Q688" i="3"/>
  <c r="T691"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Z870" i="3" s="1"/>
  <c r="AD922" i="3"/>
  <c r="T1133" i="3"/>
  <c r="Q1133" i="3"/>
  <c r="AD1133" i="3"/>
  <c r="AD1041" i="3"/>
  <c r="AD1042" i="3"/>
  <c r="AD1043" i="3"/>
  <c r="Q1131" i="3"/>
  <c r="AD1131" i="3"/>
  <c r="T1125" i="3"/>
  <c r="Q1125" i="3"/>
  <c r="AD1125" i="3"/>
  <c r="T1141" i="3"/>
  <c r="Q1141" i="3"/>
  <c r="AD1141" i="3"/>
  <c r="Q1123" i="3"/>
  <c r="AD1123" i="3"/>
  <c r="T1123" i="3"/>
  <c r="Q1127" i="3"/>
  <c r="Q1135" i="3"/>
  <c r="Q1143" i="3"/>
  <c r="T1147" i="3"/>
  <c r="T1151" i="3"/>
  <c r="T1155" i="3"/>
  <c r="T1127" i="3"/>
  <c r="T1135" i="3"/>
  <c r="T1143" i="3"/>
  <c r="AD1112" i="3"/>
  <c r="AD1114" i="3"/>
  <c r="Q1121" i="3"/>
  <c r="T1124" i="3"/>
  <c r="Q1129" i="3"/>
  <c r="T1132" i="3"/>
  <c r="Q1137" i="3"/>
  <c r="T1140" i="3"/>
  <c r="T1144" i="3"/>
  <c r="T1148"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5" i="3"/>
  <c r="Q1305" i="3"/>
  <c r="T1321" i="3"/>
  <c r="Q1321" i="3"/>
  <c r="AD1321" i="3"/>
  <c r="AD1278" i="3"/>
  <c r="Q1278" i="3"/>
  <c r="T1305" i="3"/>
  <c r="AD1306" i="3"/>
  <c r="Q1306" i="3"/>
  <c r="T1306" i="3"/>
  <c r="T1277" i="3"/>
  <c r="T1281" i="3"/>
  <c r="T1285" i="3"/>
  <c r="AD1285" i="3"/>
  <c r="Q1285" i="3"/>
  <c r="Q1271" i="3"/>
  <c r="AD1271" i="3"/>
  <c r="AD1279" i="3"/>
  <c r="Q1279" i="3"/>
  <c r="AD1283" i="3"/>
  <c r="Q1283" i="3"/>
  <c r="T1284" i="3"/>
  <c r="AD1284" i="3"/>
  <c r="Q1284" i="3"/>
  <c r="Q1268" i="3"/>
  <c r="Q1276" i="3"/>
  <c r="T1278"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4" i="3"/>
  <c r="AD1415" i="3"/>
  <c r="AZ1415" i="3" s="1"/>
  <c r="AD1416" i="3"/>
  <c r="T1416" i="3"/>
  <c r="T1410" i="3"/>
  <c r="T1411" i="3"/>
  <c r="T1412"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455" i="3" l="1"/>
  <c r="AX232" i="3"/>
  <c r="AZ676" i="3"/>
  <c r="AX222" i="3"/>
  <c r="AZ544" i="3"/>
  <c r="AZ189" i="3"/>
  <c r="AX240" i="3"/>
  <c r="AZ361" i="3"/>
  <c r="AZ54" i="3"/>
  <c r="AZ404" i="3"/>
  <c r="AZ182" i="3"/>
  <c r="AZ352" i="3"/>
  <c r="AZ395" i="3"/>
  <c r="AX405" i="3"/>
  <c r="AZ1152" i="3"/>
  <c r="AZ166" i="3"/>
  <c r="AX318" i="3"/>
  <c r="AX1415" i="3"/>
  <c r="AX320" i="3"/>
  <c r="AX870" i="3"/>
  <c r="AZ80" i="3"/>
  <c r="AZ371" i="3"/>
  <c r="AZ410" i="3"/>
  <c r="AZ302" i="3"/>
  <c r="AZ175" i="3"/>
  <c r="AZ297" i="3"/>
  <c r="AZ304" i="3"/>
  <c r="AX649" i="3"/>
  <c r="AX662" i="3"/>
  <c r="AZ344" i="3"/>
  <c r="AX344" i="3"/>
  <c r="AZ335" i="3"/>
  <c r="AX335" i="3"/>
  <c r="AX187" i="3"/>
  <c r="AZ460" i="3"/>
  <c r="AX460" i="3"/>
  <c r="AZ327" i="3"/>
  <c r="AX327" i="3"/>
  <c r="AZ317" i="3"/>
  <c r="AX317" i="3"/>
  <c r="AZ657" i="3"/>
  <c r="AX1414" i="3"/>
  <c r="AZ1414" i="3"/>
  <c r="AZ341" i="3"/>
  <c r="AX341" i="3"/>
  <c r="AZ325" i="3"/>
  <c r="AX325" i="3"/>
  <c r="AZ314" i="3"/>
  <c r="AX314" i="3"/>
  <c r="AX439" i="3"/>
  <c r="AZ331" i="3"/>
  <c r="AZ366" i="3"/>
  <c r="AX366" i="3"/>
  <c r="AZ365" i="3"/>
  <c r="AX365" i="3"/>
  <c r="AZ248" i="3"/>
  <c r="AX248" i="3"/>
  <c r="AZ275" i="3"/>
  <c r="AX275" i="3"/>
  <c r="AZ243" i="3"/>
  <c r="AX322" i="3"/>
  <c r="AZ322" i="3"/>
  <c r="AZ310" i="3"/>
  <c r="AX310" i="3"/>
  <c r="AZ291" i="3"/>
  <c r="AX291" i="3"/>
  <c r="AZ286" i="3"/>
  <c r="AX286" i="3"/>
  <c r="AZ281" i="3"/>
  <c r="AX281" i="3"/>
  <c r="AZ272" i="3"/>
  <c r="AZ288" i="3"/>
  <c r="AZ648" i="3"/>
  <c r="AX648" i="3"/>
  <c r="AZ330" i="3"/>
  <c r="AX330" i="3"/>
  <c r="AX321" i="3"/>
  <c r="AZ321" i="3"/>
  <c r="AX358" i="3"/>
  <c r="AZ358" i="3"/>
  <c r="AZ357" i="3"/>
  <c r="AX357" i="3"/>
  <c r="AZ237" i="3"/>
  <c r="AX237" i="3"/>
  <c r="AZ269" i="3"/>
  <c r="AX269" i="3"/>
  <c r="AX170" i="3"/>
  <c r="AZ170" i="3"/>
  <c r="AZ343" i="3"/>
  <c r="AX651" i="3"/>
  <c r="AX400" i="3"/>
  <c r="AZ268" i="3"/>
  <c r="AZ287" i="3"/>
  <c r="AX530" i="3"/>
  <c r="AX265" i="3"/>
  <c r="AX220" i="3"/>
  <c r="AX246" i="3"/>
  <c r="AZ454" i="3"/>
  <c r="AZ393" i="3"/>
  <c r="AX383" i="3"/>
  <c r="AX251" i="3"/>
  <c r="AX313" i="3"/>
  <c r="AX293" i="3"/>
  <c r="AX279" i="3"/>
  <c r="AX186" i="3"/>
  <c r="AX474" i="3"/>
  <c r="W3" i="3"/>
  <c r="AX345" i="3"/>
  <c r="AX239" i="3"/>
  <c r="AX426" i="3"/>
  <c r="AX378" i="3"/>
  <c r="AZ384" i="3"/>
  <c r="AX296" i="3"/>
  <c r="AX174" i="3"/>
  <c r="AX289" i="3"/>
  <c r="AX307" i="3"/>
  <c r="AX245" i="3"/>
  <c r="AX191" i="3"/>
  <c r="AZ359" i="3"/>
  <c r="AX292" i="3"/>
  <c r="AX221" i="3"/>
  <c r="AX372" i="3"/>
  <c r="AX380" i="3"/>
  <c r="AZ181" i="3"/>
  <c r="AZ88" i="3"/>
  <c r="AZ70" i="3"/>
  <c r="AZ116" i="3"/>
  <c r="AZ85" i="3"/>
  <c r="AZ154" i="3"/>
  <c r="AX146" i="3"/>
  <c r="AZ124" i="3"/>
  <c r="AZ117" i="3"/>
  <c r="AX100" i="3"/>
  <c r="AX66" i="3"/>
  <c r="AX90" i="3"/>
  <c r="AX122" i="3"/>
  <c r="AX153" i="3"/>
  <c r="AZ147" i="3"/>
  <c r="AZ123" i="3"/>
  <c r="AX99" i="3"/>
  <c r="AZ81" i="3"/>
  <c r="AX158" i="3"/>
  <c r="AX97" i="3"/>
  <c r="AZ142" i="3"/>
  <c r="AX141" i="3"/>
  <c r="AX53" i="3"/>
  <c r="AX119" i="3"/>
  <c r="AX159" i="3"/>
  <c r="AX77" i="3"/>
  <c r="AX59" i="3"/>
  <c r="C5" i="3"/>
  <c r="H5" i="3"/>
  <c r="R5" i="3" s="1"/>
  <c r="W5" i="3" s="1"/>
  <c r="R4" i="3"/>
  <c r="W4" i="3" s="1"/>
  <c r="E7" i="3"/>
  <c r="D6" i="3"/>
  <c r="C6" i="3" l="1"/>
  <c r="S6" i="3"/>
  <c r="AC6" i="3" s="1"/>
  <c r="B5" i="3"/>
  <c r="H6" i="3"/>
  <c r="D7" i="3"/>
  <c r="E8" i="3"/>
  <c r="Q7" i="3" l="1"/>
  <c r="T7" i="3"/>
  <c r="S7" i="3" s="1"/>
  <c r="AC7" i="3" s="1"/>
  <c r="C7" i="3"/>
  <c r="B6" i="3"/>
  <c r="D8" i="3"/>
  <c r="H7" i="3"/>
  <c r="R6" i="3"/>
  <c r="W6" i="3" s="1"/>
  <c r="T8" i="3" l="1"/>
  <c r="S8" i="3" s="1"/>
  <c r="AC8" i="3" s="1"/>
  <c r="Q8" i="3"/>
  <c r="B7" i="3"/>
  <c r="D9" i="3"/>
  <c r="C8" i="3"/>
  <c r="R7" i="3"/>
  <c r="W7" i="3" s="1"/>
  <c r="H8" i="3"/>
  <c r="E10" i="3"/>
  <c r="D10" i="3" l="1"/>
  <c r="S10" i="3" s="1"/>
  <c r="AC10" i="3" s="1"/>
  <c r="Q9" i="3"/>
  <c r="T9" i="3"/>
  <c r="S9" i="3" s="1"/>
  <c r="AC9" i="3" s="1"/>
  <c r="C9" i="3"/>
  <c r="R8" i="3"/>
  <c r="W8" i="3" s="1"/>
  <c r="H9" i="3"/>
  <c r="B8" i="3"/>
  <c r="E11" i="3"/>
  <c r="D11" i="3" l="1"/>
  <c r="S11" i="3" s="1"/>
  <c r="AC11" i="3" s="1"/>
  <c r="C10" i="3"/>
  <c r="E12" i="3"/>
  <c r="B9" i="3"/>
  <c r="R9" i="3"/>
  <c r="W9" i="3" s="1"/>
  <c r="H10" i="3"/>
  <c r="D12" i="3" l="1"/>
  <c r="C11" i="3"/>
  <c r="R10" i="3"/>
  <c r="W10" i="3" s="1"/>
  <c r="H11" i="3"/>
  <c r="E13" i="3"/>
  <c r="D13" i="3"/>
  <c r="B10" i="3"/>
  <c r="B11" i="3" s="1"/>
  <c r="C12" i="3" l="1"/>
  <c r="S12" i="3"/>
  <c r="AC12" i="3" s="1"/>
  <c r="T13" i="3"/>
  <c r="S13" i="3" s="1"/>
  <c r="AC13" i="3" s="1"/>
  <c r="Q13" i="3"/>
  <c r="R11" i="3"/>
  <c r="W11" i="3" s="1"/>
  <c r="H12" i="3"/>
  <c r="E14" i="3"/>
  <c r="D14" i="3"/>
  <c r="B12" i="3"/>
  <c r="E1522" i="3" l="1"/>
  <c r="C13" i="3"/>
  <c r="B13" i="3" s="1"/>
  <c r="H13" i="3" s="1"/>
  <c r="R12" i="3"/>
  <c r="W12" i="3" s="1"/>
  <c r="S14" i="3"/>
  <c r="AC14" i="3" s="1"/>
  <c r="D15" i="3"/>
  <c r="E15" i="3"/>
  <c r="E1523" i="3" l="1"/>
  <c r="C14" i="3"/>
  <c r="B14" i="3" s="1"/>
  <c r="H14" i="3" s="1"/>
  <c r="S15" i="3"/>
  <c r="AC15" i="3" s="1"/>
  <c r="E16" i="3"/>
  <c r="D16" i="3"/>
  <c r="R13" i="3"/>
  <c r="W13" i="3" s="1"/>
  <c r="E1524" i="3" l="1"/>
  <c r="Q16" i="3"/>
  <c r="T16" i="3"/>
  <c r="S16" i="3" s="1"/>
  <c r="AC16" i="3" s="1"/>
  <c r="C15" i="3"/>
  <c r="C16" i="3" s="1"/>
  <c r="D17" i="3"/>
  <c r="E17" i="3"/>
  <c r="R14" i="3"/>
  <c r="W14" i="3" s="1"/>
  <c r="H15" i="3"/>
  <c r="E1525" i="3" l="1"/>
  <c r="T17" i="3"/>
  <c r="S17" i="3" s="1"/>
  <c r="AC17" i="3" s="1"/>
  <c r="Q17" i="3"/>
  <c r="B15" i="3"/>
  <c r="B16" i="3" s="1"/>
  <c r="C17" i="3"/>
  <c r="R15" i="3"/>
  <c r="W15" i="3" s="1"/>
  <c r="H16" i="3"/>
  <c r="D18" i="3"/>
  <c r="E18" i="3"/>
  <c r="E1526" i="3" l="1"/>
  <c r="Q18" i="3"/>
  <c r="T18" i="3"/>
  <c r="S18" i="3" s="1"/>
  <c r="AC18" i="3" s="1"/>
  <c r="C18" i="3"/>
  <c r="D19" i="3"/>
  <c r="E19" i="3"/>
  <c r="R16" i="3"/>
  <c r="W16" i="3" s="1"/>
  <c r="H17" i="3"/>
  <c r="B17" i="3"/>
  <c r="E1527" i="3" l="1"/>
  <c r="T19" i="3"/>
  <c r="S19" i="3" s="1"/>
  <c r="Q19" i="3"/>
  <c r="B18" i="3"/>
  <c r="C19" i="3"/>
  <c r="R17" i="3"/>
  <c r="W17" i="3" s="1"/>
  <c r="H18" i="3"/>
  <c r="D20" i="3"/>
  <c r="E20" i="3"/>
  <c r="E1528" i="3" l="1"/>
  <c r="AN19" i="3"/>
  <c r="AC19" i="3" s="1"/>
  <c r="C20" i="3"/>
  <c r="R18" i="3"/>
  <c r="W18" i="3" s="1"/>
  <c r="H19" i="3"/>
  <c r="E21" i="3"/>
  <c r="D21" i="3"/>
  <c r="S20" i="3"/>
  <c r="AC20" i="3" s="1"/>
  <c r="B19" i="3"/>
  <c r="E1529" i="3" l="1"/>
  <c r="Q21" i="3"/>
  <c r="T21" i="3"/>
  <c r="S21" i="3" s="1"/>
  <c r="AC21" i="3" s="1"/>
  <c r="C21" i="3"/>
  <c r="D22" i="3"/>
  <c r="E22" i="3"/>
  <c r="B20" i="3"/>
  <c r="R19" i="3"/>
  <c r="W19" i="3" s="1"/>
  <c r="H20" i="3"/>
  <c r="E1530" i="3" l="1"/>
  <c r="B21" i="3"/>
  <c r="C22" i="3"/>
  <c r="S22" i="3"/>
  <c r="AC22" i="3" s="1"/>
  <c r="D23" i="3"/>
  <c r="E23" i="3"/>
  <c r="R20" i="3"/>
  <c r="W20" i="3" s="1"/>
  <c r="H21" i="3"/>
  <c r="E1531" i="3" l="1"/>
  <c r="B22" i="3"/>
  <c r="C23" i="3"/>
  <c r="D24" i="3"/>
  <c r="E24" i="3"/>
  <c r="S23" i="3"/>
  <c r="AC23" i="3" s="1"/>
  <c r="R21" i="3"/>
  <c r="W21" i="3" s="1"/>
  <c r="H22" i="3"/>
  <c r="E1532" i="3" l="1"/>
  <c r="B23" i="3"/>
  <c r="C24" i="3"/>
  <c r="R22" i="3"/>
  <c r="W22" i="3" s="1"/>
  <c r="H23" i="3"/>
  <c r="D25" i="3"/>
  <c r="E25" i="3"/>
  <c r="S24" i="3"/>
  <c r="AC24" i="3" s="1"/>
  <c r="E1533" i="3" l="1"/>
  <c r="C25" i="3"/>
  <c r="D26" i="3"/>
  <c r="E26" i="3"/>
  <c r="S25" i="3"/>
  <c r="AC25" i="3" s="1"/>
  <c r="R23" i="3"/>
  <c r="W23" i="3" s="1"/>
  <c r="H24" i="3"/>
  <c r="B24" i="3"/>
  <c r="E1534" i="3" l="1"/>
  <c r="C26" i="3"/>
  <c r="R24" i="3"/>
  <c r="W24" i="3" s="1"/>
  <c r="H25" i="3"/>
  <c r="D27" i="3"/>
  <c r="E27" i="3"/>
  <c r="S26" i="3"/>
  <c r="AC26" i="3" s="1"/>
  <c r="B25" i="3"/>
  <c r="E1535" i="3" l="1"/>
  <c r="C27" i="3"/>
  <c r="S27" i="3"/>
  <c r="AC27" i="3" s="1"/>
  <c r="D28" i="3"/>
  <c r="E28" i="3"/>
  <c r="R25" i="3"/>
  <c r="W25" i="3" s="1"/>
  <c r="H26" i="3"/>
  <c r="B26" i="3"/>
  <c r="E1536" i="3" l="1"/>
  <c r="C28" i="3"/>
  <c r="S28" i="3"/>
  <c r="AC28" i="3" s="1"/>
  <c r="R26" i="3"/>
  <c r="W26" i="3" s="1"/>
  <c r="H27" i="3"/>
  <c r="D29" i="3"/>
  <c r="E29" i="3"/>
  <c r="B27" i="3"/>
  <c r="E1537" i="3" l="1"/>
  <c r="B28" i="3"/>
  <c r="C29" i="3"/>
  <c r="R27" i="3"/>
  <c r="W27" i="3" s="1"/>
  <c r="H28" i="3"/>
  <c r="D30" i="3"/>
  <c r="E30" i="3"/>
  <c r="S29" i="3"/>
  <c r="AC29" i="3" s="1"/>
  <c r="E1538" i="3" l="1"/>
  <c r="C30" i="3"/>
  <c r="E31" i="3"/>
  <c r="D31" i="3"/>
  <c r="B29" i="3"/>
  <c r="S30" i="3"/>
  <c r="AC30" i="3" s="1"/>
  <c r="R28" i="3"/>
  <c r="W28" i="3" s="1"/>
  <c r="H29" i="3"/>
  <c r="E1539" i="3" l="1"/>
  <c r="C31" i="3"/>
  <c r="R29" i="3"/>
  <c r="W29" i="3" s="1"/>
  <c r="H30" i="3"/>
  <c r="S31" i="3"/>
  <c r="AC31" i="3" s="1"/>
  <c r="E32" i="3"/>
  <c r="D32" i="3"/>
  <c r="B30" i="3"/>
  <c r="E1540" i="3" l="1"/>
  <c r="T32" i="3"/>
  <c r="S32" i="3" s="1"/>
  <c r="Q32" i="3"/>
  <c r="C32" i="3"/>
  <c r="R30" i="3"/>
  <c r="W30" i="3" s="1"/>
  <c r="H31" i="3"/>
  <c r="E33" i="3"/>
  <c r="D33" i="3"/>
  <c r="B31" i="3"/>
  <c r="E1541" i="3" l="1"/>
  <c r="AH32" i="3"/>
  <c r="AC32" i="3" s="1"/>
  <c r="C33" i="3"/>
  <c r="S33" i="3"/>
  <c r="AC33" i="3" s="1"/>
  <c r="D34" i="3"/>
  <c r="E34" i="3"/>
  <c r="R31" i="3"/>
  <c r="W31" i="3" s="1"/>
  <c r="H32" i="3"/>
  <c r="B32" i="3"/>
  <c r="E1542" i="3" l="1"/>
  <c r="B33" i="3"/>
  <c r="C34" i="3"/>
  <c r="D35" i="3"/>
  <c r="E35" i="3"/>
  <c r="S34" i="3"/>
  <c r="AC34" i="3" s="1"/>
  <c r="R32" i="3"/>
  <c r="W32" i="3" s="1"/>
  <c r="H33" i="3"/>
  <c r="B34" i="3" l="1"/>
  <c r="E1543" i="3"/>
  <c r="C35" i="3"/>
  <c r="R33" i="3"/>
  <c r="W33" i="3" s="1"/>
  <c r="H34" i="3"/>
  <c r="D36" i="3"/>
  <c r="E36" i="3"/>
  <c r="S35" i="3"/>
  <c r="AC35" i="3" s="1"/>
  <c r="E1544" i="3" l="1"/>
  <c r="C36" i="3"/>
  <c r="E37" i="3"/>
  <c r="D37" i="3"/>
  <c r="S36" i="3"/>
  <c r="AC36" i="3" s="1"/>
  <c r="R34" i="3"/>
  <c r="W34" i="3" s="1"/>
  <c r="H35" i="3"/>
  <c r="B35" i="3"/>
  <c r="E1545" i="3" l="1"/>
  <c r="C37" i="3"/>
  <c r="R35" i="3"/>
  <c r="W35" i="3" s="1"/>
  <c r="H36" i="3"/>
  <c r="B36" i="3"/>
  <c r="S37" i="3"/>
  <c r="AC37" i="3" s="1"/>
  <c r="E38" i="3"/>
  <c r="D38" i="3"/>
  <c r="E1546" i="3" l="1"/>
  <c r="C38" i="3"/>
  <c r="S38" i="3"/>
  <c r="AC38" i="3" s="1"/>
  <c r="E39" i="3"/>
  <c r="D39" i="3"/>
  <c r="R36" i="3"/>
  <c r="W36" i="3" s="1"/>
  <c r="H37" i="3"/>
  <c r="B37" i="3"/>
  <c r="C39" i="3" l="1"/>
  <c r="E1547" i="3"/>
  <c r="R37" i="3"/>
  <c r="W37" i="3" s="1"/>
  <c r="H38" i="3"/>
  <c r="D40" i="3"/>
  <c r="E40" i="3"/>
  <c r="S39" i="3"/>
  <c r="AC39" i="3" s="1"/>
  <c r="B38" i="3"/>
  <c r="B39" i="3" s="1"/>
  <c r="E1548" i="3" l="1"/>
  <c r="C40" i="3"/>
  <c r="D41" i="3"/>
  <c r="E41" i="3"/>
  <c r="S40" i="3"/>
  <c r="AC40" i="3" s="1"/>
  <c r="R38" i="3"/>
  <c r="W38" i="3" s="1"/>
  <c r="H39" i="3"/>
  <c r="E1549" i="3" l="1"/>
  <c r="C41" i="3"/>
  <c r="R39" i="3"/>
  <c r="W39" i="3" s="1"/>
  <c r="H40" i="3"/>
  <c r="D42" i="3"/>
  <c r="E42" i="3"/>
  <c r="S41" i="3"/>
  <c r="AC41" i="3" s="1"/>
  <c r="B40" i="3"/>
  <c r="E1550" i="3" l="1"/>
  <c r="C42" i="3"/>
  <c r="D43" i="3"/>
  <c r="E43" i="3"/>
  <c r="S42" i="3"/>
  <c r="AC42" i="3" s="1"/>
  <c r="R40" i="3"/>
  <c r="W40" i="3" s="1"/>
  <c r="H41" i="3"/>
  <c r="B41" i="3"/>
  <c r="C43" i="3" l="1"/>
  <c r="R41" i="3"/>
  <c r="W41" i="3" s="1"/>
  <c r="H42" i="3"/>
  <c r="B42" i="3"/>
  <c r="D44" i="3"/>
  <c r="E44" i="3"/>
  <c r="S43" i="3"/>
  <c r="AC43" i="3" s="1"/>
  <c r="E1552" i="3" l="1"/>
  <c r="C44" i="3"/>
  <c r="D45" i="3"/>
  <c r="E45" i="3"/>
  <c r="S44" i="3"/>
  <c r="AC44" i="3" s="1"/>
  <c r="R42" i="3"/>
  <c r="W42" i="3" s="1"/>
  <c r="H43" i="3"/>
  <c r="B43" i="3"/>
  <c r="B44" i="3" s="1"/>
  <c r="E1553" i="3" l="1"/>
  <c r="C45" i="3"/>
  <c r="R43" i="3"/>
  <c r="W43" i="3" s="1"/>
  <c r="H44" i="3"/>
  <c r="D46" i="3"/>
  <c r="E46" i="3"/>
  <c r="S45" i="3"/>
  <c r="AC45" i="3" s="1"/>
  <c r="E1554" i="3" l="1"/>
  <c r="C46" i="3"/>
  <c r="S46" i="3"/>
  <c r="AC46" i="3" s="1"/>
  <c r="D47" i="3"/>
  <c r="E47" i="3"/>
  <c r="R44" i="3"/>
  <c r="W44" i="3" s="1"/>
  <c r="H45" i="3"/>
  <c r="B45" i="3"/>
  <c r="B46" i="3" s="1"/>
  <c r="E1555" i="3" l="1"/>
  <c r="C47" i="3"/>
  <c r="B47" i="3" s="1"/>
  <c r="S47" i="3"/>
  <c r="AC47" i="3" s="1"/>
  <c r="R45" i="3"/>
  <c r="W45" i="3" s="1"/>
  <c r="H46" i="3"/>
  <c r="D48" i="3"/>
  <c r="E48" i="3"/>
  <c r="E1556" i="3" l="1"/>
  <c r="C48" i="3"/>
  <c r="R46" i="3"/>
  <c r="W46" i="3" s="1"/>
  <c r="H47" i="3"/>
  <c r="D49" i="3"/>
  <c r="E49" i="3"/>
  <c r="S48" i="3"/>
  <c r="AC48" i="3" s="1"/>
  <c r="E1557" i="3" l="1"/>
  <c r="C49" i="3"/>
  <c r="D50" i="3"/>
  <c r="E50" i="3"/>
  <c r="B48" i="3"/>
  <c r="S49" i="3"/>
  <c r="AC49" i="3" s="1"/>
  <c r="R47" i="3"/>
  <c r="W47" i="3" s="1"/>
  <c r="H48" i="3"/>
  <c r="E1558" i="3" l="1"/>
  <c r="C50" i="3"/>
  <c r="D51" i="3"/>
  <c r="E51" i="3"/>
  <c r="R48" i="3"/>
  <c r="W48" i="3" s="1"/>
  <c r="H49" i="3"/>
  <c r="S50" i="3"/>
  <c r="AC50" i="3" s="1"/>
  <c r="B49" i="3"/>
  <c r="E1559" i="3" l="1"/>
  <c r="C51" i="3"/>
  <c r="R49" i="3"/>
  <c r="W49" i="3" s="1"/>
  <c r="H50" i="3"/>
  <c r="E52" i="3"/>
  <c r="D52" i="3"/>
  <c r="S51" i="3"/>
  <c r="AC51" i="3" s="1"/>
  <c r="B50" i="3"/>
  <c r="E1560" i="3" l="1"/>
  <c r="C52" i="3"/>
  <c r="S52" i="3"/>
  <c r="AC52" i="3" s="1"/>
  <c r="D53" i="3"/>
  <c r="E53" i="3"/>
  <c r="B51" i="3"/>
  <c r="R50" i="3"/>
  <c r="W50" i="3" s="1"/>
  <c r="H51" i="3"/>
  <c r="E1561" i="3" l="1"/>
  <c r="T53" i="3"/>
  <c r="S53" i="3" s="1"/>
  <c r="AC53" i="3" s="1"/>
  <c r="Q53" i="3"/>
  <c r="B52" i="3"/>
  <c r="C53" i="3"/>
  <c r="B53" i="3" s="1"/>
  <c r="D54" i="3"/>
  <c r="E54" i="3"/>
  <c r="R51" i="3"/>
  <c r="W51" i="3" s="1"/>
  <c r="H52" i="3"/>
  <c r="E1562" i="3" l="1"/>
  <c r="T54" i="3"/>
  <c r="S54" i="3" s="1"/>
  <c r="AC54" i="3" s="1"/>
  <c r="Q54" i="3"/>
  <c r="C54" i="3"/>
  <c r="R52" i="3"/>
  <c r="W52" i="3" s="1"/>
  <c r="H53" i="3"/>
  <c r="D55" i="3"/>
  <c r="E55" i="3"/>
  <c r="E1563" i="3" l="1"/>
  <c r="C55" i="3"/>
  <c r="D56" i="3"/>
  <c r="E56" i="3"/>
  <c r="S55" i="3"/>
  <c r="AC55" i="3" s="1"/>
  <c r="R53" i="3"/>
  <c r="W53" i="3" s="1"/>
  <c r="H54" i="3"/>
  <c r="B54" i="3"/>
  <c r="B55" i="3" l="1"/>
  <c r="E1564" i="3"/>
  <c r="C56" i="3"/>
  <c r="R54" i="3"/>
  <c r="W54" i="3" s="1"/>
  <c r="H55" i="3"/>
  <c r="D57" i="3"/>
  <c r="E57" i="3"/>
  <c r="S56" i="3"/>
  <c r="AC56" i="3" s="1"/>
  <c r="E1565" i="3" l="1"/>
  <c r="C57" i="3"/>
  <c r="D58" i="3"/>
  <c r="E58" i="3"/>
  <c r="B56" i="3"/>
  <c r="S57" i="3"/>
  <c r="AC57" i="3" s="1"/>
  <c r="R55" i="3"/>
  <c r="W55" i="3" s="1"/>
  <c r="H56" i="3"/>
  <c r="E1566" i="3" l="1"/>
  <c r="C58" i="3"/>
  <c r="D59" i="3"/>
  <c r="E59" i="3"/>
  <c r="R56" i="3"/>
  <c r="W56" i="3" s="1"/>
  <c r="H57" i="3"/>
  <c r="S58" i="3"/>
  <c r="AC58" i="3" s="1"/>
  <c r="B57" i="3"/>
  <c r="E1567" i="3" l="1"/>
  <c r="T59" i="3"/>
  <c r="S59" i="3" s="1"/>
  <c r="AC59" i="3" s="1"/>
  <c r="Q59" i="3"/>
  <c r="C59" i="3"/>
  <c r="D60" i="3"/>
  <c r="E60" i="3"/>
  <c r="R57" i="3"/>
  <c r="W57" i="3" s="1"/>
  <c r="H58" i="3"/>
  <c r="B58" i="3"/>
  <c r="E1568" i="3" l="1"/>
  <c r="T60" i="3"/>
  <c r="S60" i="3" s="1"/>
  <c r="AC60" i="3" s="1"/>
  <c r="Q60" i="3"/>
  <c r="C60" i="3"/>
  <c r="R58" i="3"/>
  <c r="W58" i="3" s="1"/>
  <c r="H59" i="3"/>
  <c r="E61" i="3"/>
  <c r="D61" i="3"/>
  <c r="B59" i="3"/>
  <c r="E1569" i="3" l="1"/>
  <c r="C61" i="3"/>
  <c r="S61" i="3"/>
  <c r="AC61" i="3" s="1"/>
  <c r="E62" i="3"/>
  <c r="D62" i="3"/>
  <c r="B60" i="3"/>
  <c r="B61" i="3" s="1"/>
  <c r="R59" i="3"/>
  <c r="W59" i="3" s="1"/>
  <c r="H60" i="3"/>
  <c r="E1570" i="3" l="1"/>
  <c r="C62" i="3"/>
  <c r="B62" i="3" s="1"/>
  <c r="Q62" i="3"/>
  <c r="T62" i="3"/>
  <c r="S62" i="3" s="1"/>
  <c r="AC62" i="3" s="1"/>
  <c r="E63" i="3"/>
  <c r="D63" i="3"/>
  <c r="R60" i="3"/>
  <c r="W60" i="3" s="1"/>
  <c r="H61" i="3"/>
  <c r="E1571" i="3" l="1"/>
  <c r="C63" i="3"/>
  <c r="R61" i="3"/>
  <c r="W61" i="3" s="1"/>
  <c r="H62" i="3"/>
  <c r="S63" i="3"/>
  <c r="AC63" i="3" s="1"/>
  <c r="D64" i="3"/>
  <c r="E64" i="3"/>
  <c r="E1572" i="3" l="1"/>
  <c r="C64" i="3"/>
  <c r="R62" i="3"/>
  <c r="W62" i="3" s="1"/>
  <c r="D65" i="3"/>
  <c r="E65" i="3"/>
  <c r="S64" i="3"/>
  <c r="AC64" i="3" s="1"/>
  <c r="B63" i="3"/>
  <c r="H63" i="3" s="1"/>
  <c r="E1573" i="3" l="1"/>
  <c r="C65" i="3"/>
  <c r="D66" i="3"/>
  <c r="E66" i="3"/>
  <c r="S65" i="3"/>
  <c r="AC65" i="3" s="1"/>
  <c r="R63" i="3"/>
  <c r="W63" i="3" s="1"/>
  <c r="B64" i="3"/>
  <c r="H64" i="3" s="1"/>
  <c r="E1574" i="3" l="1"/>
  <c r="Q66" i="3"/>
  <c r="T66" i="3"/>
  <c r="S66" i="3" s="1"/>
  <c r="AC66" i="3" s="1"/>
  <c r="C66" i="3"/>
  <c r="R64" i="3"/>
  <c r="W64" i="3" s="1"/>
  <c r="H65" i="3"/>
  <c r="B65" i="3"/>
  <c r="E67" i="3"/>
  <c r="D67" i="3"/>
  <c r="E1575" i="3" l="1"/>
  <c r="C67" i="3"/>
  <c r="T67" i="3"/>
  <c r="S67" i="3" s="1"/>
  <c r="Q67" i="3"/>
  <c r="E68" i="3"/>
  <c r="D68" i="3"/>
  <c r="B66" i="3"/>
  <c r="R65" i="3"/>
  <c r="W65" i="3" s="1"/>
  <c r="H66" i="3"/>
  <c r="C68" i="3" l="1"/>
  <c r="E1576" i="3"/>
  <c r="AH67" i="3"/>
  <c r="AC67" i="3" s="1"/>
  <c r="S68" i="3"/>
  <c r="AC68" i="3" s="1"/>
  <c r="E69" i="3"/>
  <c r="D69" i="3"/>
  <c r="C69" i="3" s="1"/>
  <c r="R66" i="3"/>
  <c r="W66" i="3" s="1"/>
  <c r="H67" i="3"/>
  <c r="B67" i="3"/>
  <c r="B68" i="3" s="1"/>
  <c r="E1577" i="3" l="1"/>
  <c r="S69" i="3"/>
  <c r="AC69" i="3" s="1"/>
  <c r="E70" i="3"/>
  <c r="D70" i="3"/>
  <c r="R67" i="3"/>
  <c r="W67" i="3" s="1"/>
  <c r="H68" i="3"/>
  <c r="B69" i="3"/>
  <c r="E1578" i="3" l="1"/>
  <c r="C70" i="3"/>
  <c r="B70" i="3" s="1"/>
  <c r="Q70" i="3"/>
  <c r="T70" i="3"/>
  <c r="S70" i="3" s="1"/>
  <c r="AC70" i="3" s="1"/>
  <c r="R68" i="3"/>
  <c r="W68" i="3" s="1"/>
  <c r="H69" i="3"/>
  <c r="E71" i="3"/>
  <c r="D71" i="3"/>
  <c r="E1579" i="3" l="1"/>
  <c r="C71" i="3"/>
  <c r="E72" i="3"/>
  <c r="D72" i="3"/>
  <c r="S71" i="3"/>
  <c r="AC71" i="3" s="1"/>
  <c r="R69" i="3"/>
  <c r="W69" i="3" s="1"/>
  <c r="H70" i="3"/>
  <c r="C72" i="3" l="1"/>
  <c r="E1580" i="3"/>
  <c r="R70" i="3"/>
  <c r="W70" i="3" s="1"/>
  <c r="H71" i="3"/>
  <c r="B71" i="3"/>
  <c r="S72" i="3"/>
  <c r="AC72" i="3" s="1"/>
  <c r="E73" i="3"/>
  <c r="D73" i="3"/>
  <c r="E1581" i="3" l="1"/>
  <c r="C73" i="3"/>
  <c r="S73" i="3"/>
  <c r="AC73" i="3" s="1"/>
  <c r="E74" i="3"/>
  <c r="D74" i="3"/>
  <c r="R71" i="3"/>
  <c r="W71" i="3" s="1"/>
  <c r="H72" i="3"/>
  <c r="B72" i="3"/>
  <c r="E1582" i="3" l="1"/>
  <c r="C74" i="3"/>
  <c r="S74" i="3"/>
  <c r="AC74" i="3" s="1"/>
  <c r="E75" i="3"/>
  <c r="D75" i="3"/>
  <c r="R72" i="3"/>
  <c r="W72" i="3" s="1"/>
  <c r="H73" i="3"/>
  <c r="B73" i="3"/>
  <c r="B74" i="3" l="1"/>
  <c r="C75" i="3"/>
  <c r="E1583" i="3"/>
  <c r="S75" i="3"/>
  <c r="AC75" i="3" s="1"/>
  <c r="E76" i="3"/>
  <c r="D76" i="3"/>
  <c r="R73" i="3"/>
  <c r="W73" i="3" s="1"/>
  <c r="H74" i="3"/>
  <c r="B75" i="3"/>
  <c r="C76" i="3" l="1"/>
  <c r="E1584" i="3"/>
  <c r="S76" i="3"/>
  <c r="AC76" i="3" s="1"/>
  <c r="E77" i="3"/>
  <c r="D77" i="3"/>
  <c r="R74" i="3"/>
  <c r="W74" i="3" s="1"/>
  <c r="H75" i="3"/>
  <c r="B76" i="3"/>
  <c r="E1585" i="3" l="1"/>
  <c r="C77" i="3"/>
  <c r="B77" i="3" s="1"/>
  <c r="Q77" i="3"/>
  <c r="T77" i="3"/>
  <c r="S77" i="3" s="1"/>
  <c r="AC77" i="3" s="1"/>
  <c r="R75" i="3"/>
  <c r="W75" i="3" s="1"/>
  <c r="H76" i="3"/>
  <c r="E78" i="3"/>
  <c r="D78" i="3"/>
  <c r="E1586" i="3" l="1"/>
  <c r="C78" i="3"/>
  <c r="B78" i="3" s="1"/>
  <c r="R76" i="3"/>
  <c r="W76" i="3" s="1"/>
  <c r="H77" i="3"/>
  <c r="S78" i="3"/>
  <c r="AC78" i="3" s="1"/>
  <c r="E79" i="3"/>
  <c r="D79" i="3"/>
  <c r="E1587" i="3" l="1"/>
  <c r="C79" i="3"/>
  <c r="E80" i="3"/>
  <c r="D80" i="3"/>
  <c r="S79" i="3"/>
  <c r="AC79" i="3" s="1"/>
  <c r="R77" i="3"/>
  <c r="W77" i="3" s="1"/>
  <c r="H78" i="3"/>
  <c r="E1588" i="3" l="1"/>
  <c r="T80" i="3"/>
  <c r="S80" i="3" s="1"/>
  <c r="AC80" i="3" s="1"/>
  <c r="Q80" i="3"/>
  <c r="C80" i="3"/>
  <c r="R78" i="3"/>
  <c r="W78" i="3" s="1"/>
  <c r="H79" i="3"/>
  <c r="B79" i="3"/>
  <c r="E81" i="3"/>
  <c r="D81" i="3"/>
  <c r="E1589" i="3" l="1"/>
  <c r="Q81" i="3"/>
  <c r="T81" i="3"/>
  <c r="S81" i="3" s="1"/>
  <c r="AC81" i="3" s="1"/>
  <c r="C81" i="3"/>
  <c r="E82" i="3"/>
  <c r="D82" i="3"/>
  <c r="R79" i="3"/>
  <c r="W79" i="3" s="1"/>
  <c r="H80" i="3"/>
  <c r="B80" i="3"/>
  <c r="E1590" i="3" l="1"/>
  <c r="C82" i="3"/>
  <c r="Q82" i="3"/>
  <c r="T82" i="3"/>
  <c r="S82" i="3" s="1"/>
  <c r="AC82" i="3" s="1"/>
  <c r="R80" i="3"/>
  <c r="W80" i="3" s="1"/>
  <c r="H81" i="3"/>
  <c r="B81" i="3"/>
  <c r="E83" i="3"/>
  <c r="D83" i="3"/>
  <c r="E1591" i="3" l="1"/>
  <c r="C83" i="3"/>
  <c r="S83" i="3"/>
  <c r="AC83" i="3" s="1"/>
  <c r="E84" i="3"/>
  <c r="D84" i="3"/>
  <c r="R81" i="3"/>
  <c r="W81" i="3" s="1"/>
  <c r="H82" i="3"/>
  <c r="B82" i="3"/>
  <c r="E1592" i="3" l="1"/>
  <c r="C84" i="3"/>
  <c r="S84" i="3"/>
  <c r="AC84" i="3" s="1"/>
  <c r="E85" i="3"/>
  <c r="D85" i="3"/>
  <c r="R82" i="3"/>
  <c r="W82" i="3" s="1"/>
  <c r="H83" i="3"/>
  <c r="B83" i="3"/>
  <c r="B84" i="3" s="1"/>
  <c r="E1593" i="3" l="1"/>
  <c r="C85" i="3"/>
  <c r="B85" i="3" s="1"/>
  <c r="T85" i="3"/>
  <c r="S85" i="3" s="1"/>
  <c r="AC85" i="3" s="1"/>
  <c r="Q85" i="3"/>
  <c r="E86" i="3"/>
  <c r="D86" i="3"/>
  <c r="R83" i="3"/>
  <c r="W83" i="3" s="1"/>
  <c r="H84" i="3"/>
  <c r="C86" i="3" l="1"/>
  <c r="E1594" i="3"/>
  <c r="R84" i="3"/>
  <c r="W84" i="3" s="1"/>
  <c r="H85" i="3"/>
  <c r="S86" i="3"/>
  <c r="AC86" i="3" s="1"/>
  <c r="E87" i="3"/>
  <c r="D87" i="3"/>
  <c r="C87" i="3" s="1"/>
  <c r="B86" i="3"/>
  <c r="E1595" i="3" l="1"/>
  <c r="E88" i="3"/>
  <c r="D88" i="3"/>
  <c r="S87" i="3"/>
  <c r="AC87" i="3" s="1"/>
  <c r="R85" i="3"/>
  <c r="W85" i="3" s="1"/>
  <c r="H86" i="3"/>
  <c r="E1596" i="3" l="1"/>
  <c r="Q88" i="3"/>
  <c r="T88" i="3"/>
  <c r="S88" i="3" s="1"/>
  <c r="AC88" i="3" s="1"/>
  <c r="C88" i="3"/>
  <c r="R86" i="3"/>
  <c r="W86" i="3" s="1"/>
  <c r="H87" i="3"/>
  <c r="B87" i="3"/>
  <c r="E89" i="3"/>
  <c r="D89" i="3"/>
  <c r="C89" i="3" l="1"/>
  <c r="E90" i="3"/>
  <c r="D90" i="3"/>
  <c r="S89" i="3"/>
  <c r="AC89" i="3" s="1"/>
  <c r="R87" i="3"/>
  <c r="W87" i="3" s="1"/>
  <c r="H88" i="3"/>
  <c r="B88" i="3"/>
  <c r="Q90" i="3" l="1"/>
  <c r="T90" i="3"/>
  <c r="S90" i="3" s="1"/>
  <c r="AC90" i="3" s="1"/>
  <c r="C90" i="3"/>
  <c r="R88" i="3"/>
  <c r="W88" i="3" s="1"/>
  <c r="H89" i="3"/>
  <c r="B89" i="3"/>
  <c r="E91" i="3"/>
  <c r="D91" i="3"/>
  <c r="T91" i="3" l="1"/>
  <c r="S91" i="3" s="1"/>
  <c r="AC91" i="3" s="1"/>
  <c r="Q91" i="3"/>
  <c r="C91" i="3"/>
  <c r="E92" i="3"/>
  <c r="D92" i="3"/>
  <c r="C92"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Q95" i="3"/>
  <c r="T95" i="3"/>
  <c r="S95" i="3" s="1"/>
  <c r="AC95" i="3" s="1"/>
  <c r="D96" i="3"/>
  <c r="R93" i="3"/>
  <c r="W93" i="3" s="1"/>
  <c r="B94" i="3"/>
  <c r="H94" i="3" s="1"/>
  <c r="T96" i="3" l="1"/>
  <c r="S96" i="3" s="1"/>
  <c r="Q96" i="3"/>
  <c r="C96" i="3"/>
  <c r="R94" i="3"/>
  <c r="W94" i="3" s="1"/>
  <c r="H95" i="3"/>
  <c r="B95" i="3"/>
  <c r="E97" i="3"/>
  <c r="D97" i="3"/>
  <c r="AN96" i="3" l="1"/>
  <c r="AC96" i="3" s="1"/>
  <c r="C97" i="3"/>
  <c r="Q97" i="3"/>
  <c r="T97" i="3"/>
  <c r="S97" i="3" s="1"/>
  <c r="AC97" i="3" s="1"/>
  <c r="D98" i="3"/>
  <c r="R95" i="3"/>
  <c r="W95" i="3" s="1"/>
  <c r="H96" i="3"/>
  <c r="B96" i="3"/>
  <c r="Q98" i="3" l="1"/>
  <c r="T98" i="3"/>
  <c r="S98" i="3" s="1"/>
  <c r="AC98" i="3" s="1"/>
  <c r="C98" i="3"/>
  <c r="R96" i="3"/>
  <c r="W96" i="3" s="1"/>
  <c r="H97" i="3"/>
  <c r="B97" i="3"/>
  <c r="D99" i="3"/>
  <c r="E99" i="3"/>
  <c r="Q99" i="3" l="1"/>
  <c r="T99" i="3"/>
  <c r="S99" i="3" s="1"/>
  <c r="AC99" i="3" s="1"/>
  <c r="C99" i="3"/>
  <c r="D100" i="3"/>
  <c r="E100" i="3"/>
  <c r="R97" i="3"/>
  <c r="W97" i="3" s="1"/>
  <c r="H98" i="3"/>
  <c r="B98" i="3"/>
  <c r="B99" i="3" s="1"/>
  <c r="Q100" i="3" l="1"/>
  <c r="T100" i="3"/>
  <c r="S100" i="3" s="1"/>
  <c r="AC100" i="3" s="1"/>
  <c r="C100" i="3"/>
  <c r="B100" i="3" s="1"/>
  <c r="R98" i="3"/>
  <c r="W98" i="3" s="1"/>
  <c r="H99" i="3"/>
  <c r="D101" i="3"/>
  <c r="E101" i="3"/>
  <c r="Q101" i="3" l="1"/>
  <c r="T101" i="3"/>
  <c r="S101" i="3" s="1"/>
  <c r="AC101" i="3" s="1"/>
  <c r="C101" i="3"/>
  <c r="R99" i="3"/>
  <c r="W99" i="3" s="1"/>
  <c r="H100" i="3"/>
  <c r="D102" i="3"/>
  <c r="Q102" i="3" l="1"/>
  <c r="T102" i="3"/>
  <c r="S102" i="3" s="1"/>
  <c r="C102" i="3"/>
  <c r="E103" i="3"/>
  <c r="D103" i="3"/>
  <c r="B101" i="3"/>
  <c r="R100" i="3"/>
  <c r="W100" i="3" s="1"/>
  <c r="H101" i="3"/>
  <c r="AH102" i="3" l="1"/>
  <c r="AC102" i="3" s="1"/>
  <c r="C103" i="3"/>
  <c r="E104" i="3"/>
  <c r="D104" i="3"/>
  <c r="R101" i="3"/>
  <c r="W101" i="3" s="1"/>
  <c r="H102" i="3"/>
  <c r="S103" i="3"/>
  <c r="AC103" i="3" s="1"/>
  <c r="B102" i="3"/>
  <c r="B103" i="3" s="1"/>
  <c r="Q104" i="3" l="1"/>
  <c r="T104" i="3"/>
  <c r="S104" i="3" s="1"/>
  <c r="C104" i="3"/>
  <c r="R102" i="3"/>
  <c r="W102" i="3" s="1"/>
  <c r="H103" i="3"/>
  <c r="E105" i="3"/>
  <c r="D105" i="3"/>
  <c r="C105" i="3" s="1"/>
  <c r="B104" i="3"/>
  <c r="AH104" i="3" l="1"/>
  <c r="AC104" i="3" s="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T109" i="3" l="1"/>
  <c r="S109" i="3" s="1"/>
  <c r="Q109" i="3"/>
  <c r="C109" i="3"/>
  <c r="B108" i="3"/>
  <c r="R107" i="3"/>
  <c r="W107" i="3" s="1"/>
  <c r="H108" i="3"/>
  <c r="E110" i="3"/>
  <c r="D110" i="3"/>
  <c r="AH109" i="3" l="1"/>
  <c r="AC109" i="3" s="1"/>
  <c r="C110" i="3"/>
  <c r="E111" i="3"/>
  <c r="D111" i="3"/>
  <c r="C111" i="3" s="1"/>
  <c r="S110" i="3"/>
  <c r="AC110" i="3" s="1"/>
  <c r="R108" i="3"/>
  <c r="W108" i="3" s="1"/>
  <c r="H109" i="3"/>
  <c r="B109" i="3"/>
  <c r="B110" i="3" l="1"/>
  <c r="R109" i="3"/>
  <c r="W109" i="3" s="1"/>
  <c r="H110" i="3"/>
  <c r="S111" i="3"/>
  <c r="AC111" i="3" s="1"/>
  <c r="E112" i="3"/>
  <c r="D112" i="3"/>
  <c r="C112" i="3" s="1"/>
  <c r="E113" i="3" l="1"/>
  <c r="D113" i="3"/>
  <c r="R110" i="3"/>
  <c r="W110" i="3" s="1"/>
  <c r="H111" i="3"/>
  <c r="S112" i="3"/>
  <c r="AC112" i="3" s="1"/>
  <c r="B111" i="3"/>
  <c r="B112" i="3" s="1"/>
  <c r="Q113" i="3" l="1"/>
  <c r="T113" i="3"/>
  <c r="S113" i="3" s="1"/>
  <c r="AC113" i="3" s="1"/>
  <c r="C113" i="3"/>
  <c r="B113" i="3" s="1"/>
  <c r="R111" i="3"/>
  <c r="W111" i="3" s="1"/>
  <c r="H112" i="3"/>
  <c r="D114" i="3"/>
  <c r="Q114" i="3" l="1"/>
  <c r="T114" i="3"/>
  <c r="S114" i="3" s="1"/>
  <c r="C114" i="3"/>
  <c r="R112" i="3"/>
  <c r="W112" i="3" s="1"/>
  <c r="H113" i="3"/>
  <c r="D115" i="3"/>
  <c r="E115" i="3"/>
  <c r="B114" i="3"/>
  <c r="AH114" i="3" l="1"/>
  <c r="AC114" i="3" s="1"/>
  <c r="T115" i="3"/>
  <c r="S115" i="3" s="1"/>
  <c r="Q115" i="3"/>
  <c r="C115" i="3"/>
  <c r="B115" i="3" s="1"/>
  <c r="E116" i="3"/>
  <c r="D116" i="3"/>
  <c r="R113" i="3"/>
  <c r="W113" i="3" s="1"/>
  <c r="H114" i="3"/>
  <c r="AH115" i="3" l="1"/>
  <c r="AC115" i="3" s="1"/>
  <c r="T116" i="3"/>
  <c r="S116" i="3" s="1"/>
  <c r="AC116" i="3" s="1"/>
  <c r="Q116" i="3"/>
  <c r="C116" i="3"/>
  <c r="E117" i="3"/>
  <c r="D117" i="3"/>
  <c r="R114" i="3"/>
  <c r="W114" i="3" s="1"/>
  <c r="H115" i="3"/>
  <c r="Q117" i="3" l="1"/>
  <c r="T117" i="3"/>
  <c r="S117" i="3" s="1"/>
  <c r="C117" i="3"/>
  <c r="R115" i="3"/>
  <c r="W115" i="3" s="1"/>
  <c r="D118" i="3"/>
  <c r="B116" i="3"/>
  <c r="H116" i="3" s="1"/>
  <c r="AN117" i="3" l="1"/>
  <c r="AC117" i="3" s="1"/>
  <c r="T118" i="3"/>
  <c r="S118" i="3" s="1"/>
  <c r="Q118" i="3"/>
  <c r="C118" i="3"/>
  <c r="R116" i="3"/>
  <c r="W116" i="3" s="1"/>
  <c r="D119" i="3"/>
  <c r="B117" i="3"/>
  <c r="AH118" i="3" l="1"/>
  <c r="AC118" i="3" s="1"/>
  <c r="C119" i="3"/>
  <c r="Q119" i="3"/>
  <c r="T119" i="3"/>
  <c r="S119" i="3" s="1"/>
  <c r="AC119" i="3" s="1"/>
  <c r="B118" i="3"/>
  <c r="H117" i="3"/>
  <c r="H118" i="3" s="1"/>
  <c r="E120" i="3"/>
  <c r="D120" i="3"/>
  <c r="C120" i="3" s="1"/>
  <c r="B119" i="3" l="1"/>
  <c r="R117" i="3"/>
  <c r="W117" i="3" s="1"/>
  <c r="E121" i="3"/>
  <c r="D121" i="3"/>
  <c r="S120" i="3"/>
  <c r="AC120" i="3" s="1"/>
  <c r="R118" i="3"/>
  <c r="W118" i="3" s="1"/>
  <c r="H119" i="3"/>
  <c r="B120" i="3"/>
  <c r="T121" i="3" l="1"/>
  <c r="S121" i="3" s="1"/>
  <c r="Q121" i="3"/>
  <c r="C121" i="3"/>
  <c r="R119" i="3"/>
  <c r="W119" i="3" s="1"/>
  <c r="H120" i="3"/>
  <c r="E122" i="3"/>
  <c r="D122" i="3"/>
  <c r="AH121" i="3" l="1"/>
  <c r="AC121" i="3" s="1"/>
  <c r="C122" i="3"/>
  <c r="Q122" i="3"/>
  <c r="T122" i="3"/>
  <c r="S122" i="3" s="1"/>
  <c r="D123" i="3"/>
  <c r="E123" i="3"/>
  <c r="R120" i="3"/>
  <c r="W120" i="3" s="1"/>
  <c r="H121" i="3"/>
  <c r="B121" i="3"/>
  <c r="Q123" i="3" l="1"/>
  <c r="T123" i="3"/>
  <c r="S123" i="3" s="1"/>
  <c r="AN122" i="3"/>
  <c r="AC122" i="3" s="1"/>
  <c r="C123" i="3"/>
  <c r="R121" i="3"/>
  <c r="W121" i="3" s="1"/>
  <c r="H122" i="3"/>
  <c r="B122" i="3"/>
  <c r="E124" i="3"/>
  <c r="D124" i="3"/>
  <c r="T124" i="3" l="1"/>
  <c r="S124" i="3" s="1"/>
  <c r="AC124" i="3" s="1"/>
  <c r="Q124" i="3"/>
  <c r="AC123" i="3"/>
  <c r="C124" i="3"/>
  <c r="D125" i="3"/>
  <c r="R122" i="3"/>
  <c r="W122" i="3" s="1"/>
  <c r="B123" i="3"/>
  <c r="B124" i="3" s="1"/>
  <c r="Q125" i="3" l="1"/>
  <c r="T125" i="3"/>
  <c r="S125" i="3" s="1"/>
  <c r="AC125" i="3" s="1"/>
  <c r="H123" i="3"/>
  <c r="R123" i="3" s="1"/>
  <c r="W123" i="3" s="1"/>
  <c r="C125" i="3"/>
  <c r="B125" i="3" s="1"/>
  <c r="E126" i="3"/>
  <c r="D126" i="3"/>
  <c r="C126" i="3" l="1"/>
  <c r="H124" i="3"/>
  <c r="R124" i="3" s="1"/>
  <c r="W124" i="3" s="1"/>
  <c r="S126" i="3"/>
  <c r="AC126" i="3" s="1"/>
  <c r="E127" i="3"/>
  <c r="D127" i="3"/>
  <c r="C127" i="3" s="1"/>
  <c r="B126" i="3"/>
  <c r="H125" i="3" l="1"/>
  <c r="R125" i="3" s="1"/>
  <c r="W125" i="3" s="1"/>
  <c r="S127" i="3"/>
  <c r="AC127" i="3" s="1"/>
  <c r="E128" i="3"/>
  <c r="D128" i="3"/>
  <c r="C128" i="3" s="1"/>
  <c r="B127" i="3"/>
  <c r="H126" i="3" l="1"/>
  <c r="H127" i="3" s="1"/>
  <c r="S128" i="3"/>
  <c r="AC128" i="3" s="1"/>
  <c r="E129" i="3"/>
  <c r="D129" i="3"/>
  <c r="B128" i="3"/>
  <c r="C129" i="3" l="1"/>
  <c r="R126" i="3"/>
  <c r="W126" i="3" s="1"/>
  <c r="S129" i="3"/>
  <c r="AC129" i="3" s="1"/>
  <c r="E130" i="3"/>
  <c r="D130" i="3"/>
  <c r="C130" i="3" s="1"/>
  <c r="R127" i="3"/>
  <c r="W127" i="3" s="1"/>
  <c r="H128" i="3"/>
  <c r="B129" i="3"/>
  <c r="S130" i="3" l="1"/>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Q133" i="3" l="1"/>
  <c r="T133" i="3"/>
  <c r="S133" i="3" s="1"/>
  <c r="AC133" i="3" s="1"/>
  <c r="C133" i="3"/>
  <c r="E134" i="3"/>
  <c r="D134" i="3"/>
  <c r="B132" i="3"/>
  <c r="R131" i="3"/>
  <c r="W131" i="3" s="1"/>
  <c r="H132" i="3"/>
  <c r="C134" i="3" l="1"/>
  <c r="T134" i="3"/>
  <c r="S134" i="3" s="1"/>
  <c r="AC134" i="3" s="1"/>
  <c r="Q134" i="3"/>
  <c r="R132" i="3"/>
  <c r="W132" i="3" s="1"/>
  <c r="H133" i="3"/>
  <c r="E135" i="3"/>
  <c r="D135" i="3"/>
  <c r="B133" i="3"/>
  <c r="Q135" i="3" l="1"/>
  <c r="T135" i="3"/>
  <c r="S135" i="3" s="1"/>
  <c r="C135" i="3"/>
  <c r="D136" i="3"/>
  <c r="R133" i="3"/>
  <c r="W133" i="3" s="1"/>
  <c r="H134" i="3"/>
  <c r="B134" i="3"/>
  <c r="B135" i="3" s="1"/>
  <c r="AH135" i="3" l="1"/>
  <c r="AC135" i="3" s="1"/>
  <c r="C136" i="3"/>
  <c r="T136" i="3"/>
  <c r="S136" i="3" s="1"/>
  <c r="AC136" i="3" s="1"/>
  <c r="Q136" i="3"/>
  <c r="E137" i="3"/>
  <c r="D137" i="3"/>
  <c r="C137" i="3" s="1"/>
  <c r="R134" i="3"/>
  <c r="W134" i="3" s="1"/>
  <c r="H135" i="3"/>
  <c r="B136" i="3"/>
  <c r="R135" i="3" l="1"/>
  <c r="W135" i="3" s="1"/>
  <c r="H136" i="3"/>
  <c r="S137" i="3"/>
  <c r="AC137" i="3" s="1"/>
  <c r="E138" i="3"/>
  <c r="D138" i="3"/>
  <c r="C138" i="3" s="1"/>
  <c r="D139" i="3" l="1"/>
  <c r="E139" i="3"/>
  <c r="R136" i="3"/>
  <c r="W136" i="3" s="1"/>
  <c r="H137" i="3"/>
  <c r="S138" i="3"/>
  <c r="AC138" i="3" s="1"/>
  <c r="B137" i="3"/>
  <c r="T139" i="3" l="1"/>
  <c r="Q139" i="3"/>
  <c r="C139" i="3"/>
  <c r="R137" i="3"/>
  <c r="W137" i="3" s="1"/>
  <c r="H138" i="3"/>
  <c r="B138" i="3"/>
  <c r="E140" i="3"/>
  <c r="D140" i="3"/>
  <c r="S139" i="3"/>
  <c r="AC139" i="3" s="1"/>
  <c r="C140" i="3" l="1"/>
  <c r="T140" i="3"/>
  <c r="S140" i="3" s="1"/>
  <c r="AC140" i="3" s="1"/>
  <c r="Q140" i="3"/>
  <c r="D141" i="3"/>
  <c r="R138" i="3"/>
  <c r="W138" i="3" s="1"/>
  <c r="H139" i="3"/>
  <c r="B139" i="3"/>
  <c r="B140" i="3" s="1"/>
  <c r="Q141" i="3" l="1"/>
  <c r="T141" i="3"/>
  <c r="S141" i="3" s="1"/>
  <c r="AC141" i="3" s="1"/>
  <c r="C141" i="3"/>
  <c r="B141" i="3" s="1"/>
  <c r="E142" i="3"/>
  <c r="D142" i="3"/>
  <c r="R139" i="3"/>
  <c r="W139" i="3" s="1"/>
  <c r="H140" i="3"/>
  <c r="C142" i="3" l="1"/>
  <c r="T142" i="3"/>
  <c r="S142" i="3" s="1"/>
  <c r="Q142" i="3"/>
  <c r="D143" i="3"/>
  <c r="R140" i="3"/>
  <c r="W140" i="3" s="1"/>
  <c r="H141" i="3"/>
  <c r="B142" i="3"/>
  <c r="AN142" i="3" l="1"/>
  <c r="AC142" i="3" s="1"/>
  <c r="C143" i="3"/>
  <c r="T143" i="3"/>
  <c r="S143" i="3" s="1"/>
  <c r="Q143" i="3"/>
  <c r="R141" i="3"/>
  <c r="W141" i="3" s="1"/>
  <c r="H142" i="3"/>
  <c r="E144" i="3"/>
  <c r="D144" i="3"/>
  <c r="C144" i="3" l="1"/>
  <c r="Q144" i="3"/>
  <c r="T144" i="3"/>
  <c r="S144" i="3" s="1"/>
  <c r="AH143" i="3"/>
  <c r="AC143" i="3" s="1"/>
  <c r="D145" i="3"/>
  <c r="R142" i="3"/>
  <c r="W142" i="3" s="1"/>
  <c r="H143" i="3"/>
  <c r="B143" i="3"/>
  <c r="B144" i="3" s="1"/>
  <c r="AH144" i="3" l="1"/>
  <c r="AC144" i="3" s="1"/>
  <c r="T145" i="3"/>
  <c r="S145" i="3" s="1"/>
  <c r="AC145" i="3" s="1"/>
  <c r="Q145" i="3"/>
  <c r="C145" i="3"/>
  <c r="R143" i="3"/>
  <c r="W143" i="3" s="1"/>
  <c r="H144" i="3"/>
  <c r="D146" i="3"/>
  <c r="E146" i="3"/>
  <c r="Q146" i="3" l="1"/>
  <c r="T146" i="3"/>
  <c r="S146" i="3" s="1"/>
  <c r="AC146" i="3" s="1"/>
  <c r="C146" i="3"/>
  <c r="B145" i="3"/>
  <c r="D147" i="3"/>
  <c r="E147" i="3"/>
  <c r="R144" i="3"/>
  <c r="W144" i="3" s="1"/>
  <c r="H145" i="3"/>
  <c r="T147" i="3" l="1"/>
  <c r="S147" i="3" s="1"/>
  <c r="AC147" i="3" s="1"/>
  <c r="Q147" i="3"/>
  <c r="C147" i="3"/>
  <c r="R145" i="3"/>
  <c r="W145" i="3" s="1"/>
  <c r="H146" i="3"/>
  <c r="D148" i="3"/>
  <c r="E148" i="3"/>
  <c r="B146" i="3"/>
  <c r="C148" i="3" l="1"/>
  <c r="D149" i="3"/>
  <c r="E149" i="3"/>
  <c r="S148" i="3"/>
  <c r="AC148" i="3" s="1"/>
  <c r="R146" i="3"/>
  <c r="W146" i="3" s="1"/>
  <c r="H147" i="3"/>
  <c r="B147" i="3"/>
  <c r="B148" i="3" s="1"/>
  <c r="Q149" i="3" l="1"/>
  <c r="T149" i="3"/>
  <c r="S149" i="3" s="1"/>
  <c r="AC149" i="3" s="1"/>
  <c r="C149" i="3"/>
  <c r="R147" i="3"/>
  <c r="W147" i="3" s="1"/>
  <c r="H148" i="3"/>
  <c r="D150" i="3"/>
  <c r="E150" i="3"/>
  <c r="T150" i="3" l="1"/>
  <c r="S150" i="3" s="1"/>
  <c r="AC150" i="3" s="1"/>
  <c r="Q150" i="3"/>
  <c r="C150" i="3"/>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Q153" i="3" l="1"/>
  <c r="T153" i="3"/>
  <c r="S153" i="3" s="1"/>
  <c r="C153" i="3"/>
  <c r="D154" i="3"/>
  <c r="E154" i="3"/>
  <c r="R151" i="3"/>
  <c r="W151" i="3" s="1"/>
  <c r="H152" i="3"/>
  <c r="B152" i="3"/>
  <c r="B153" i="3" l="1"/>
  <c r="Q154" i="3"/>
  <c r="T154" i="3"/>
  <c r="S154" i="3" s="1"/>
  <c r="AC154" i="3" s="1"/>
  <c r="AC153" i="3"/>
  <c r="C154" i="3"/>
  <c r="D155" i="3"/>
  <c r="E155" i="3"/>
  <c r="R152" i="3"/>
  <c r="W152" i="3" s="1"/>
  <c r="H153" i="3"/>
  <c r="B154" i="3"/>
  <c r="Q155" i="3" l="1"/>
  <c r="T155" i="3"/>
  <c r="S155" i="3" s="1"/>
  <c r="AC155" i="3" s="1"/>
  <c r="C155" i="3"/>
  <c r="R153" i="3"/>
  <c r="W153" i="3" s="1"/>
  <c r="H154" i="3"/>
  <c r="D156" i="3"/>
  <c r="E156" i="3"/>
  <c r="C156" i="3" l="1"/>
  <c r="S156" i="3"/>
  <c r="AC156" i="3" s="1"/>
  <c r="D157" i="3"/>
  <c r="E157" i="3"/>
  <c r="R154" i="3"/>
  <c r="W154" i="3" s="1"/>
  <c r="H155" i="3"/>
  <c r="B155" i="3"/>
  <c r="Q157" i="3" l="1"/>
  <c r="T157" i="3"/>
  <c r="S157" i="3" s="1"/>
  <c r="AC157" i="3" s="1"/>
  <c r="C157" i="3"/>
  <c r="R155" i="3"/>
  <c r="W155" i="3" s="1"/>
  <c r="H156" i="3"/>
  <c r="D158" i="3"/>
  <c r="E158" i="3"/>
  <c r="B156" i="3"/>
  <c r="B157" i="3" l="1"/>
  <c r="Q158" i="3"/>
  <c r="T158" i="3"/>
  <c r="S158" i="3" s="1"/>
  <c r="C158" i="3"/>
  <c r="R156" i="3"/>
  <c r="W156" i="3" s="1"/>
  <c r="H157" i="3"/>
  <c r="D159" i="3"/>
  <c r="E159" i="3"/>
  <c r="AN158" i="3" l="1"/>
  <c r="AC158" i="3" s="1"/>
  <c r="Q159" i="3"/>
  <c r="T159" i="3"/>
  <c r="S159" i="3" s="1"/>
  <c r="AC159" i="3" s="1"/>
  <c r="C159" i="3"/>
  <c r="D160" i="3"/>
  <c r="E160" i="3"/>
  <c r="B158" i="3"/>
  <c r="R157" i="3"/>
  <c r="W157" i="3" s="1"/>
  <c r="H158" i="3"/>
  <c r="C160" i="3" l="1"/>
  <c r="S160" i="3"/>
  <c r="AC160" i="3" s="1"/>
  <c r="R158" i="3"/>
  <c r="W158" i="3" s="1"/>
  <c r="H159" i="3"/>
  <c r="D161" i="3"/>
  <c r="E161" i="3"/>
  <c r="B159" i="3"/>
  <c r="B160" i="3" s="1"/>
  <c r="Q161" i="3" l="1"/>
  <c r="T161" i="3"/>
  <c r="S161" i="3" s="1"/>
  <c r="AC161" i="3" s="1"/>
  <c r="C161" i="3"/>
  <c r="D162" i="3"/>
  <c r="R159" i="3"/>
  <c r="W159" i="3" s="1"/>
  <c r="H160" i="3"/>
  <c r="T162" i="3" l="1"/>
  <c r="S162" i="3" s="1"/>
  <c r="Q162" i="3"/>
  <c r="C162" i="3"/>
  <c r="D163" i="3"/>
  <c r="R160" i="3"/>
  <c r="W160" i="3" s="1"/>
  <c r="H161" i="3"/>
  <c r="B161" i="3"/>
  <c r="Q163" i="3" l="1"/>
  <c r="T163" i="3"/>
  <c r="S163" i="3" s="1"/>
  <c r="AC163" i="3" s="1"/>
  <c r="AH162" i="3"/>
  <c r="AC162" i="3" s="1"/>
  <c r="C163" i="3"/>
  <c r="D164" i="3"/>
  <c r="E164" i="3"/>
  <c r="R161" i="3"/>
  <c r="W161" i="3" s="1"/>
  <c r="H162" i="3"/>
  <c r="B162" i="3"/>
  <c r="C164" i="3" l="1"/>
  <c r="R162" i="3"/>
  <c r="W162" i="3" s="1"/>
  <c r="H163" i="3"/>
  <c r="D165" i="3"/>
  <c r="E165" i="3"/>
  <c r="B163" i="3"/>
  <c r="S164" i="3"/>
  <c r="AC164" i="3" s="1"/>
  <c r="C165" i="3" l="1"/>
  <c r="D166" i="3"/>
  <c r="E166" i="3"/>
  <c r="S165" i="3"/>
  <c r="AC165" i="3" s="1"/>
  <c r="R163" i="3"/>
  <c r="W163" i="3" s="1"/>
  <c r="H164" i="3"/>
  <c r="B164" i="3"/>
  <c r="T166" i="3" l="1"/>
  <c r="S166" i="3" s="1"/>
  <c r="AC166" i="3" s="1"/>
  <c r="Q166" i="3"/>
  <c r="C166" i="3"/>
  <c r="B165" i="3"/>
  <c r="R164" i="3"/>
  <c r="W164" i="3" s="1"/>
  <c r="H165" i="3"/>
  <c r="D167" i="3"/>
  <c r="E167" i="3"/>
  <c r="C167" i="3" l="1"/>
  <c r="D168" i="3"/>
  <c r="E168" i="3"/>
  <c r="S167" i="3"/>
  <c r="AC167" i="3" s="1"/>
  <c r="R165" i="3"/>
  <c r="W165" i="3" s="1"/>
  <c r="H166" i="3"/>
  <c r="B166" i="3"/>
  <c r="T168" i="3" l="1"/>
  <c r="S168" i="3" s="1"/>
  <c r="AC168" i="3" s="1"/>
  <c r="Q168" i="3"/>
  <c r="C168" i="3"/>
  <c r="B167" i="3"/>
  <c r="R166" i="3"/>
  <c r="W166" i="3" s="1"/>
  <c r="H167" i="3"/>
  <c r="D169" i="3"/>
  <c r="E169" i="3"/>
  <c r="C169" i="3" l="1"/>
  <c r="D170" i="3"/>
  <c r="E170" i="3"/>
  <c r="S169" i="3"/>
  <c r="AC169" i="3" s="1"/>
  <c r="R167" i="3"/>
  <c r="W167" i="3" s="1"/>
  <c r="H168" i="3"/>
  <c r="B168" i="3"/>
  <c r="T170" i="3" l="1"/>
  <c r="Q170" i="3"/>
  <c r="C170" i="3"/>
  <c r="B169" i="3"/>
  <c r="R168" i="3"/>
  <c r="W168" i="3" s="1"/>
  <c r="H169" i="3"/>
  <c r="D171" i="3"/>
  <c r="E171" i="3"/>
  <c r="S170" i="3"/>
  <c r="AC170" i="3" s="1"/>
  <c r="C171" i="3" l="1"/>
  <c r="D172" i="3"/>
  <c r="E172" i="3"/>
  <c r="S171" i="3"/>
  <c r="AC171" i="3" s="1"/>
  <c r="R169" i="3"/>
  <c r="W169" i="3" s="1"/>
  <c r="H170" i="3"/>
  <c r="B170" i="3"/>
  <c r="Q172" i="3" l="1"/>
  <c r="T172" i="3"/>
  <c r="S172" i="3" s="1"/>
  <c r="AC172" i="3" s="1"/>
  <c r="C172" i="3"/>
  <c r="B171" i="3"/>
  <c r="R170" i="3"/>
  <c r="W170" i="3" s="1"/>
  <c r="H171" i="3"/>
  <c r="D173" i="3"/>
  <c r="E173" i="3"/>
  <c r="Q173" i="3" l="1"/>
  <c r="T173" i="3"/>
  <c r="S173" i="3" s="1"/>
  <c r="AC173" i="3" s="1"/>
  <c r="C173" i="3"/>
  <c r="D174" i="3"/>
  <c r="E174" i="3"/>
  <c r="R171" i="3"/>
  <c r="W171" i="3" s="1"/>
  <c r="H172" i="3"/>
  <c r="B172" i="3"/>
  <c r="Q174" i="3" l="1"/>
  <c r="T174" i="3"/>
  <c r="C174" i="3"/>
  <c r="B173" i="3"/>
  <c r="R172" i="3"/>
  <c r="W172" i="3" s="1"/>
  <c r="H173" i="3"/>
  <c r="D175" i="3"/>
  <c r="E175" i="3"/>
  <c r="S174" i="3"/>
  <c r="AC174" i="3" s="1"/>
  <c r="T175" i="3" l="1"/>
  <c r="S175" i="3" s="1"/>
  <c r="AC175" i="3" s="1"/>
  <c r="Q175" i="3"/>
  <c r="C175" i="3"/>
  <c r="D176" i="3"/>
  <c r="R173" i="3"/>
  <c r="W173" i="3" s="1"/>
  <c r="B174" i="3"/>
  <c r="Q176" i="3" l="1"/>
  <c r="T176" i="3"/>
  <c r="S176" i="3" s="1"/>
  <c r="AC176" i="3" s="1"/>
  <c r="B175" i="3"/>
  <c r="H174" i="3"/>
  <c r="R174" i="3" s="1"/>
  <c r="W174" i="3" s="1"/>
  <c r="C176" i="3"/>
  <c r="D177" i="3"/>
  <c r="E177" i="3"/>
  <c r="H175" i="3" l="1"/>
  <c r="H176" i="3" s="1"/>
  <c r="C177" i="3"/>
  <c r="D178" i="3"/>
  <c r="E178" i="3"/>
  <c r="S177" i="3"/>
  <c r="AC177" i="3" s="1"/>
  <c r="B176" i="3"/>
  <c r="T178" i="3" l="1"/>
  <c r="S178" i="3" s="1"/>
  <c r="AC178" i="3" s="1"/>
  <c r="Q178" i="3"/>
  <c r="R175" i="3"/>
  <c r="W175" i="3" s="1"/>
  <c r="C178" i="3"/>
  <c r="B177" i="3"/>
  <c r="R176" i="3"/>
  <c r="W176" i="3" s="1"/>
  <c r="H177" i="3"/>
  <c r="D179" i="3"/>
  <c r="E179" i="3"/>
  <c r="C179" i="3" l="1"/>
  <c r="D180" i="3"/>
  <c r="E180" i="3"/>
  <c r="S179" i="3"/>
  <c r="AC179" i="3" s="1"/>
  <c r="R177" i="3"/>
  <c r="W177" i="3" s="1"/>
  <c r="H178" i="3"/>
  <c r="B178" i="3"/>
  <c r="B179" i="3" s="1"/>
  <c r="T180" i="3" l="1"/>
  <c r="S180" i="3" s="1"/>
  <c r="AC180" i="3" s="1"/>
  <c r="Q180" i="3"/>
  <c r="C180" i="3"/>
  <c r="R178" i="3"/>
  <c r="W178" i="3" s="1"/>
  <c r="H179" i="3"/>
  <c r="D181" i="3"/>
  <c r="E181" i="3"/>
  <c r="T181" i="3" l="1"/>
  <c r="S181" i="3" s="1"/>
  <c r="AC181" i="3" s="1"/>
  <c r="Q181" i="3"/>
  <c r="C181" i="3"/>
  <c r="D182" i="3"/>
  <c r="R179" i="3"/>
  <c r="W179" i="3" s="1"/>
  <c r="H180" i="3"/>
  <c r="B180" i="3"/>
  <c r="B181" i="3" s="1"/>
  <c r="T182" i="3" l="1"/>
  <c r="S182" i="3" s="1"/>
  <c r="AN182" i="3" s="1"/>
  <c r="Q182" i="3"/>
  <c r="C182" i="3"/>
  <c r="D183" i="3"/>
  <c r="E183" i="3"/>
  <c r="R180" i="3"/>
  <c r="W180" i="3" s="1"/>
  <c r="H181" i="3"/>
  <c r="AH182" i="3" l="1"/>
  <c r="AC182" i="3" s="1"/>
  <c r="C183" i="3"/>
  <c r="B182" i="3"/>
  <c r="R181" i="3"/>
  <c r="W181" i="3" s="1"/>
  <c r="H182" i="3"/>
  <c r="D184" i="3"/>
  <c r="E184" i="3"/>
  <c r="S183" i="3"/>
  <c r="AC183" i="3" s="1"/>
  <c r="C184" i="3" l="1"/>
  <c r="D185" i="3"/>
  <c r="E185" i="3"/>
  <c r="S184" i="3"/>
  <c r="AC184" i="3" s="1"/>
  <c r="R182" i="3"/>
  <c r="W182" i="3" s="1"/>
  <c r="B183" i="3"/>
  <c r="B184" i="3" s="1"/>
  <c r="Q185" i="3" l="1"/>
  <c r="H183" i="3"/>
  <c r="R183" i="3" s="1"/>
  <c r="W183" i="3" s="1"/>
  <c r="C185" i="3"/>
  <c r="D186" i="3"/>
  <c r="E186" i="3"/>
  <c r="S185" i="3"/>
  <c r="AC185" i="3" s="1"/>
  <c r="Q186" i="3" l="1"/>
  <c r="T186" i="3"/>
  <c r="S186" i="3" s="1"/>
  <c r="AC186" i="3" s="1"/>
  <c r="H184" i="3"/>
  <c r="R184" i="3" s="1"/>
  <c r="W184" i="3" s="1"/>
  <c r="C186" i="3"/>
  <c r="B185" i="3"/>
  <c r="B186" i="3" s="1"/>
  <c r="H185" i="3" l="1"/>
  <c r="R185" i="3" s="1"/>
  <c r="W185" i="3" s="1"/>
  <c r="C187" i="3"/>
  <c r="D188" i="3"/>
  <c r="E188" i="3"/>
  <c r="S187" i="3"/>
  <c r="AC187" i="3" s="1"/>
  <c r="H186" i="3" l="1"/>
  <c r="R186" i="3" s="1"/>
  <c r="W186" i="3" s="1"/>
  <c r="C188" i="3"/>
  <c r="E189" i="3"/>
  <c r="D189" i="3"/>
  <c r="S188" i="3"/>
  <c r="AC188" i="3" s="1"/>
  <c r="B187" i="3"/>
  <c r="Q189" i="3" l="1"/>
  <c r="T189" i="3"/>
  <c r="S189" i="3" s="1"/>
  <c r="AC189" i="3" s="1"/>
  <c r="H187" i="3"/>
  <c r="R187" i="3" s="1"/>
  <c r="W187" i="3" s="1"/>
  <c r="B188" i="3"/>
  <c r="C189" i="3"/>
  <c r="D190" i="3"/>
  <c r="C190" i="3" l="1"/>
  <c r="T190" i="3"/>
  <c r="S190" i="3" s="1"/>
  <c r="AC190" i="3" s="1"/>
  <c r="Q190" i="3"/>
  <c r="H188" i="3"/>
  <c r="R188" i="3" s="1"/>
  <c r="W188" i="3" s="1"/>
  <c r="D191" i="3"/>
  <c r="B189" i="3"/>
  <c r="Q191" i="3" l="1"/>
  <c r="T191" i="3"/>
  <c r="S191" i="3" s="1"/>
  <c r="AC191" i="3" s="1"/>
  <c r="C191" i="3"/>
  <c r="H189" i="3"/>
  <c r="R189" i="3" s="1"/>
  <c r="W189" i="3" s="1"/>
  <c r="B190" i="3"/>
  <c r="E192" i="3"/>
  <c r="D192" i="3"/>
  <c r="C192" i="3" s="1"/>
  <c r="H190" i="3" l="1"/>
  <c r="R190" i="3" s="1"/>
  <c r="W190" i="3" s="1"/>
  <c r="S192" i="3"/>
  <c r="AC192" i="3" s="1"/>
  <c r="E193" i="3"/>
  <c r="D193" i="3"/>
  <c r="B191" i="3"/>
  <c r="Q193" i="3" l="1"/>
  <c r="T193" i="3"/>
  <c r="S193" i="3" s="1"/>
  <c r="AC193" i="3" s="1"/>
  <c r="C193" i="3"/>
  <c r="H191" i="3"/>
  <c r="R191" i="3" s="1"/>
  <c r="W191" i="3" s="1"/>
  <c r="D194" i="3"/>
  <c r="B192" i="3"/>
  <c r="C194" i="3" l="1"/>
  <c r="T194" i="3"/>
  <c r="S194" i="3" s="1"/>
  <c r="Q194" i="3"/>
  <c r="H192" i="3"/>
  <c r="R192" i="3" s="1"/>
  <c r="W192" i="3" s="1"/>
  <c r="D195" i="3"/>
  <c r="B193" i="3"/>
  <c r="AN194" i="3" l="1"/>
  <c r="AC194" i="3" s="1"/>
  <c r="T195" i="3"/>
  <c r="S195" i="3" s="1"/>
  <c r="Q195" i="3"/>
  <c r="C195" i="3"/>
  <c r="H193" i="3"/>
  <c r="R193" i="3" s="1"/>
  <c r="W193" i="3" s="1"/>
  <c r="E196" i="3"/>
  <c r="D196" i="3"/>
  <c r="C196" i="3" s="1"/>
  <c r="B194" i="3"/>
  <c r="AH195" i="3" l="1"/>
  <c r="AC195" i="3" s="1"/>
  <c r="H194" i="3"/>
  <c r="R194" i="3" s="1"/>
  <c r="W194" i="3" s="1"/>
  <c r="S196" i="3"/>
  <c r="AC196" i="3" s="1"/>
  <c r="E197" i="3"/>
  <c r="D197" i="3"/>
  <c r="B195" i="3"/>
  <c r="B196" i="3" s="1"/>
  <c r="C197" i="3" l="1"/>
  <c r="B197" i="3" s="1"/>
  <c r="H195" i="3"/>
  <c r="R195" i="3" s="1"/>
  <c r="W195" i="3" s="1"/>
  <c r="E198" i="3"/>
  <c r="D198" i="3"/>
  <c r="S197" i="3"/>
  <c r="AC197" i="3" s="1"/>
  <c r="C198" i="3" l="1"/>
  <c r="B198" i="3" s="1"/>
  <c r="H196" i="3"/>
  <c r="R196" i="3" s="1"/>
  <c r="W196" i="3" s="1"/>
  <c r="S198" i="3"/>
  <c r="AC198" i="3" s="1"/>
  <c r="E199" i="3"/>
  <c r="D199" i="3"/>
  <c r="H197" i="3" l="1"/>
  <c r="R197" i="3" s="1"/>
  <c r="W197" i="3" s="1"/>
  <c r="C199" i="3"/>
  <c r="B199" i="3" s="1"/>
  <c r="S199" i="3"/>
  <c r="AC199" i="3" s="1"/>
  <c r="E200" i="3"/>
  <c r="D200" i="3"/>
  <c r="C200" i="3" s="1"/>
  <c r="H198" i="3" l="1"/>
  <c r="R198" i="3" s="1"/>
  <c r="W198" i="3" s="1"/>
  <c r="S200" i="3"/>
  <c r="AC200" i="3" s="1"/>
  <c r="E201" i="3"/>
  <c r="D201" i="3"/>
  <c r="B200" i="3"/>
  <c r="C201" i="3" l="1"/>
  <c r="B201" i="3" s="1"/>
  <c r="H199" i="3"/>
  <c r="R199" i="3" s="1"/>
  <c r="W199" i="3" s="1"/>
  <c r="S201" i="3"/>
  <c r="AC201" i="3" s="1"/>
  <c r="E202" i="3"/>
  <c r="D202"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Q220" i="3"/>
  <c r="T220" i="3"/>
  <c r="S220" i="3" s="1"/>
  <c r="AC220" i="3" s="1"/>
  <c r="E221" i="3"/>
  <c r="D221" i="3"/>
  <c r="B219" i="3"/>
  <c r="R218" i="3"/>
  <c r="W218" i="3" s="1"/>
  <c r="H219" i="3"/>
  <c r="Q221" i="3" l="1"/>
  <c r="T221" i="3"/>
  <c r="S221" i="3" s="1"/>
  <c r="C221" i="3"/>
  <c r="E222" i="3"/>
  <c r="D222" i="3"/>
  <c r="R219" i="3"/>
  <c r="W219" i="3" s="1"/>
  <c r="H220" i="3"/>
  <c r="B220" i="3"/>
  <c r="B221" i="3" l="1"/>
  <c r="AN221" i="3"/>
  <c r="AC221" i="3" s="1"/>
  <c r="T222" i="3"/>
  <c r="S222" i="3" s="1"/>
  <c r="AC222" i="3" s="1"/>
  <c r="Q222" i="3"/>
  <c r="C222" i="3"/>
  <c r="B222" i="3" s="1"/>
  <c r="R220" i="3"/>
  <c r="W220" i="3" s="1"/>
  <c r="H221" i="3"/>
  <c r="E223" i="3"/>
  <c r="D223" i="3"/>
  <c r="C223" i="3" l="1"/>
  <c r="B223" i="3" s="1"/>
  <c r="S223" i="3"/>
  <c r="AC223" i="3" s="1"/>
  <c r="E224" i="3"/>
  <c r="D224" i="3"/>
  <c r="R221" i="3"/>
  <c r="W221" i="3" s="1"/>
  <c r="H222" i="3"/>
  <c r="T224" i="3" l="1"/>
  <c r="S224" i="3" s="1"/>
  <c r="Q224" i="3"/>
  <c r="C224" i="3"/>
  <c r="D225" i="3"/>
  <c r="R222" i="3"/>
  <c r="W222" i="3" s="1"/>
  <c r="H223" i="3"/>
  <c r="AH224" i="3" l="1"/>
  <c r="AC224" i="3" s="1"/>
  <c r="Q225" i="3"/>
  <c r="T225" i="3"/>
  <c r="S225" i="3" s="1"/>
  <c r="AC225" i="3" s="1"/>
  <c r="C225" i="3"/>
  <c r="B224" i="3"/>
  <c r="R223" i="3"/>
  <c r="W223" i="3" s="1"/>
  <c r="H224" i="3"/>
  <c r="D226" i="3"/>
  <c r="C226" i="3" l="1"/>
  <c r="Q226" i="3"/>
  <c r="T226" i="3"/>
  <c r="S226" i="3" s="1"/>
  <c r="AC226" i="3" s="1"/>
  <c r="R224" i="3"/>
  <c r="W224" i="3" s="1"/>
  <c r="H225" i="3"/>
  <c r="E227" i="3"/>
  <c r="D227" i="3"/>
  <c r="B225" i="3"/>
  <c r="C227" i="3" l="1"/>
  <c r="T227" i="3"/>
  <c r="S227" i="3" s="1"/>
  <c r="Q227" i="3"/>
  <c r="R225" i="3"/>
  <c r="W225" i="3" s="1"/>
  <c r="H226" i="3"/>
  <c r="E228" i="3"/>
  <c r="D228" i="3"/>
  <c r="C228" i="3" s="1"/>
  <c r="B226" i="3"/>
  <c r="AH227" i="3" l="1"/>
  <c r="AC227" i="3" s="1"/>
  <c r="S228" i="3"/>
  <c r="AC228" i="3" s="1"/>
  <c r="R226" i="3"/>
  <c r="W226" i="3" s="1"/>
  <c r="H227" i="3"/>
  <c r="E229" i="3"/>
  <c r="D229" i="3"/>
  <c r="B227" i="3"/>
  <c r="C229" i="3" l="1"/>
  <c r="T229" i="3"/>
  <c r="S229" i="3" s="1"/>
  <c r="AC229" i="3" s="1"/>
  <c r="Q229" i="3"/>
  <c r="E230" i="3"/>
  <c r="D230" i="3"/>
  <c r="R227" i="3"/>
  <c r="W227" i="3" s="1"/>
  <c r="H228" i="3"/>
  <c r="B228" i="3"/>
  <c r="B229" i="3" s="1"/>
  <c r="C230" i="3" l="1"/>
  <c r="B230" i="3" s="1"/>
  <c r="S230" i="3"/>
  <c r="AC230" i="3" s="1"/>
  <c r="E231" i="3"/>
  <c r="D231" i="3"/>
  <c r="R228" i="3"/>
  <c r="W228" i="3" s="1"/>
  <c r="H229" i="3"/>
  <c r="C231" i="3" l="1"/>
  <c r="R229" i="3"/>
  <c r="W229" i="3" s="1"/>
  <c r="H230" i="3"/>
  <c r="E232" i="3"/>
  <c r="D232" i="3"/>
  <c r="S231" i="3"/>
  <c r="AC231" i="3" s="1"/>
  <c r="T232" i="3" l="1"/>
  <c r="S232" i="3" s="1"/>
  <c r="AC232" i="3" s="1"/>
  <c r="Q232" i="3"/>
  <c r="C232" i="3"/>
  <c r="D233" i="3"/>
  <c r="B231" i="3"/>
  <c r="R230" i="3"/>
  <c r="W230" i="3" s="1"/>
  <c r="H231" i="3"/>
  <c r="C233" i="3" l="1"/>
  <c r="Q233" i="3"/>
  <c r="T233" i="3"/>
  <c r="S233" i="3" s="1"/>
  <c r="D234" i="3"/>
  <c r="R231" i="3"/>
  <c r="W231" i="3" s="1"/>
  <c r="B232" i="3"/>
  <c r="B233" i="3" s="1"/>
  <c r="AH233" i="3" l="1"/>
  <c r="AC233" i="3" s="1"/>
  <c r="T234" i="3"/>
  <c r="S234" i="3" s="1"/>
  <c r="Q234" i="3"/>
  <c r="C234" i="3"/>
  <c r="B234" i="3" s="1"/>
  <c r="H232" i="3"/>
  <c r="R232" i="3" s="1"/>
  <c r="W232" i="3" s="1"/>
  <c r="E235" i="3"/>
  <c r="D235" i="3"/>
  <c r="AH234" i="3" l="1"/>
  <c r="AC234" i="3" s="1"/>
  <c r="H233" i="3"/>
  <c r="R233" i="3" s="1"/>
  <c r="W233" i="3" s="1"/>
  <c r="C235" i="3"/>
  <c r="B235" i="3" s="1"/>
  <c r="S235" i="3"/>
  <c r="AC235" i="3" s="1"/>
  <c r="D236" i="3"/>
  <c r="E236" i="3"/>
  <c r="H234" i="3" l="1"/>
  <c r="R234" i="3" s="1"/>
  <c r="W234" i="3" s="1"/>
  <c r="C236" i="3"/>
  <c r="S236" i="3"/>
  <c r="AC236" i="3" s="1"/>
  <c r="E237" i="3"/>
  <c r="D237" i="3"/>
  <c r="B236" i="3"/>
  <c r="C237" i="3" l="1"/>
  <c r="Q237" i="3"/>
  <c r="T237" i="3"/>
  <c r="S237" i="3" s="1"/>
  <c r="AC237" i="3" s="1"/>
  <c r="H235" i="3"/>
  <c r="R235" i="3" s="1"/>
  <c r="W235" i="3" s="1"/>
  <c r="E238" i="3"/>
  <c r="D238" i="3"/>
  <c r="B237" i="3"/>
  <c r="C238" i="3" l="1"/>
  <c r="T238" i="3"/>
  <c r="S238" i="3" s="1"/>
  <c r="Q238" i="3"/>
  <c r="H236" i="3"/>
  <c r="R236" i="3" s="1"/>
  <c r="W236" i="3" s="1"/>
  <c r="E239" i="3"/>
  <c r="D239" i="3"/>
  <c r="AH238" i="3" l="1"/>
  <c r="AC238" i="3" s="1"/>
  <c r="C239" i="3"/>
  <c r="T239" i="3"/>
  <c r="S239" i="3" s="1"/>
  <c r="AC239" i="3" s="1"/>
  <c r="Q239" i="3"/>
  <c r="H237" i="3"/>
  <c r="R237" i="3" s="1"/>
  <c r="W237" i="3" s="1"/>
  <c r="B238" i="3"/>
  <c r="E240" i="3"/>
  <c r="D240" i="3"/>
  <c r="Q240" i="3" l="1"/>
  <c r="T240" i="3"/>
  <c r="S240" i="3" s="1"/>
  <c r="AC240" i="3" s="1"/>
  <c r="H238" i="3"/>
  <c r="R238" i="3" s="1"/>
  <c r="W238" i="3" s="1"/>
  <c r="C240" i="3"/>
  <c r="D241" i="3"/>
  <c r="B239" i="3"/>
  <c r="C241" i="3" l="1"/>
  <c r="Q241" i="3"/>
  <c r="T241" i="3"/>
  <c r="S241" i="3" s="1"/>
  <c r="AC241" i="3" s="1"/>
  <c r="H239" i="3"/>
  <c r="R239" i="3" s="1"/>
  <c r="W239" i="3" s="1"/>
  <c r="D242" i="3"/>
  <c r="B240" i="3"/>
  <c r="B241" i="3" s="1"/>
  <c r="Q242" i="3" l="1"/>
  <c r="T242" i="3"/>
  <c r="S242" i="3" s="1"/>
  <c r="C242" i="3"/>
  <c r="B242" i="3" s="1"/>
  <c r="H240" i="3"/>
  <c r="R240" i="3" s="1"/>
  <c r="W240" i="3" s="1"/>
  <c r="D243" i="3"/>
  <c r="AH242" i="3" l="1"/>
  <c r="AC242" i="3" s="1"/>
  <c r="C243" i="3"/>
  <c r="Q243" i="3"/>
  <c r="T243" i="3"/>
  <c r="S243" i="3" s="1"/>
  <c r="AC243" i="3" s="1"/>
  <c r="H241" i="3"/>
  <c r="R241" i="3" s="1"/>
  <c r="W241" i="3" s="1"/>
  <c r="D244" i="3"/>
  <c r="E244" i="3"/>
  <c r="T244" i="3" l="1"/>
  <c r="Q244" i="3"/>
  <c r="H242" i="3"/>
  <c r="R242" i="3" s="1"/>
  <c r="W242" i="3" s="1"/>
  <c r="C244" i="3"/>
  <c r="B243" i="3"/>
  <c r="D245" i="3"/>
  <c r="S244" i="3"/>
  <c r="AC244" i="3" s="1"/>
  <c r="Q245" i="3" l="1"/>
  <c r="T245" i="3"/>
  <c r="S245" i="3" s="1"/>
  <c r="AC245" i="3" s="1"/>
  <c r="H243" i="3"/>
  <c r="R243" i="3" s="1"/>
  <c r="W243" i="3" s="1"/>
  <c r="C245" i="3"/>
  <c r="D246" i="3"/>
  <c r="B244" i="3"/>
  <c r="Q246" i="3" l="1"/>
  <c r="T246" i="3"/>
  <c r="S246" i="3" s="1"/>
  <c r="AC246" i="3" s="1"/>
  <c r="C246" i="3"/>
  <c r="B245" i="3"/>
  <c r="H244" i="3"/>
  <c r="R244" i="3" s="1"/>
  <c r="W244" i="3" s="1"/>
  <c r="E247" i="3"/>
  <c r="D247" i="3"/>
  <c r="C247" i="3" l="1"/>
  <c r="H245" i="3"/>
  <c r="R245" i="3" s="1"/>
  <c r="W245" i="3" s="1"/>
  <c r="S247" i="3"/>
  <c r="AC247" i="3" s="1"/>
  <c r="E248" i="3"/>
  <c r="D248" i="3"/>
  <c r="B246" i="3"/>
  <c r="B247" i="3" s="1"/>
  <c r="C248" i="3" l="1"/>
  <c r="Q248" i="3"/>
  <c r="T248" i="3"/>
  <c r="S248" i="3" s="1"/>
  <c r="H246" i="3"/>
  <c r="R246" i="3" s="1"/>
  <c r="W246" i="3" s="1"/>
  <c r="E249" i="3"/>
  <c r="D249" i="3"/>
  <c r="AN248" i="3" l="1"/>
  <c r="AC248" i="3" s="1"/>
  <c r="T249" i="3"/>
  <c r="S249" i="3" s="1"/>
  <c r="Q249" i="3"/>
  <c r="C249" i="3"/>
  <c r="H247" i="3"/>
  <c r="R247" i="3" s="1"/>
  <c r="W247" i="3" s="1"/>
  <c r="B248" i="3"/>
  <c r="D250" i="3"/>
  <c r="AH249" i="3" l="1"/>
  <c r="AC249" i="3" s="1"/>
  <c r="T250" i="3"/>
  <c r="S250" i="3" s="1"/>
  <c r="AC250" i="3" s="1"/>
  <c r="Q250" i="3"/>
  <c r="C250" i="3"/>
  <c r="H248" i="3"/>
  <c r="R248" i="3" s="1"/>
  <c r="W248" i="3" s="1"/>
  <c r="D251" i="3"/>
  <c r="B249" i="3"/>
  <c r="C251" i="3" l="1"/>
  <c r="Q251" i="3"/>
  <c r="T251" i="3"/>
  <c r="S251" i="3" s="1"/>
  <c r="AC251" i="3" s="1"/>
  <c r="H249" i="3"/>
  <c r="R249" i="3" s="1"/>
  <c r="W249" i="3" s="1"/>
  <c r="D252" i="3"/>
  <c r="E252" i="3"/>
  <c r="B250" i="3"/>
  <c r="H250" i="3" l="1"/>
  <c r="R250" i="3" s="1"/>
  <c r="W250" i="3" s="1"/>
  <c r="C252" i="3"/>
  <c r="D253" i="3"/>
  <c r="E253" i="3"/>
  <c r="S252" i="3"/>
  <c r="AC252" i="3" s="1"/>
  <c r="B251" i="3"/>
  <c r="H251" i="3" l="1"/>
  <c r="R251" i="3" s="1"/>
  <c r="W251" i="3" s="1"/>
  <c r="C253" i="3"/>
  <c r="D254" i="3"/>
  <c r="E254" i="3"/>
  <c r="S253" i="3"/>
  <c r="AC253" i="3" s="1"/>
  <c r="B252" i="3"/>
  <c r="Q254" i="3" l="1"/>
  <c r="T254" i="3"/>
  <c r="S254" i="3" s="1"/>
  <c r="H252" i="3"/>
  <c r="R252" i="3" s="1"/>
  <c r="W252" i="3" s="1"/>
  <c r="C254" i="3"/>
  <c r="D255" i="3"/>
  <c r="E255" i="3"/>
  <c r="B253" i="3"/>
  <c r="AH254" i="3" l="1"/>
  <c r="AC254" i="3" s="1"/>
  <c r="Q255" i="3"/>
  <c r="T255" i="3"/>
  <c r="S255" i="3" s="1"/>
  <c r="AC255" i="3" s="1"/>
  <c r="H253" i="3"/>
  <c r="R253" i="3" s="1"/>
  <c r="W253" i="3" s="1"/>
  <c r="C255" i="3"/>
  <c r="D256" i="3"/>
  <c r="B254" i="3"/>
  <c r="T256" i="3" l="1"/>
  <c r="Q256" i="3"/>
  <c r="H254" i="3"/>
  <c r="R254" i="3" s="1"/>
  <c r="W254" i="3" s="1"/>
  <c r="C256" i="3"/>
  <c r="D257" i="3"/>
  <c r="E257" i="3"/>
  <c r="S256" i="3"/>
  <c r="AC256" i="3" s="1"/>
  <c r="B255" i="3"/>
  <c r="B256" i="3" l="1"/>
  <c r="H255" i="3"/>
  <c r="R255" i="3" s="1"/>
  <c r="W255" i="3" s="1"/>
  <c r="C257" i="3"/>
  <c r="D258" i="3"/>
  <c r="E258" i="3"/>
  <c r="S257" i="3"/>
  <c r="AC257" i="3" s="1"/>
  <c r="Q258" i="3" l="1"/>
  <c r="T258" i="3"/>
  <c r="S258" i="3" s="1"/>
  <c r="H256" i="3"/>
  <c r="R256" i="3" s="1"/>
  <c r="W256" i="3" s="1"/>
  <c r="C258" i="3"/>
  <c r="D259" i="3"/>
  <c r="E259" i="3"/>
  <c r="B257" i="3"/>
  <c r="AH258" i="3" l="1"/>
  <c r="AC258" i="3" s="1"/>
  <c r="H257" i="3"/>
  <c r="R257" i="3" s="1"/>
  <c r="W257" i="3" s="1"/>
  <c r="C259" i="3"/>
  <c r="D260" i="3"/>
  <c r="E260" i="3"/>
  <c r="S259" i="3"/>
  <c r="AC259" i="3" s="1"/>
  <c r="B258" i="3"/>
  <c r="Q260" i="3" l="1"/>
  <c r="T260" i="3"/>
  <c r="S260" i="3" s="1"/>
  <c r="AC260" i="3" s="1"/>
  <c r="H258" i="3"/>
  <c r="R258" i="3" s="1"/>
  <c r="W258" i="3" s="1"/>
  <c r="C260" i="3"/>
  <c r="D261" i="3"/>
  <c r="B259" i="3"/>
  <c r="B260" i="3" s="1"/>
  <c r="T261" i="3" l="1"/>
  <c r="S261" i="3" s="1"/>
  <c r="Q261" i="3"/>
  <c r="C261" i="3"/>
  <c r="H259" i="3"/>
  <c r="R259" i="3" s="1"/>
  <c r="W259" i="3" s="1"/>
  <c r="D262" i="3"/>
  <c r="AH261" i="3" l="1"/>
  <c r="AC261" i="3" s="1"/>
  <c r="Q262" i="3"/>
  <c r="T262" i="3"/>
  <c r="S262" i="3" s="1"/>
  <c r="AC262" i="3" s="1"/>
  <c r="H260" i="3"/>
  <c r="R260" i="3" s="1"/>
  <c r="W260" i="3" s="1"/>
  <c r="C262" i="3"/>
  <c r="D263" i="3"/>
  <c r="B261" i="3"/>
  <c r="T263" i="3" l="1"/>
  <c r="S263" i="3" s="1"/>
  <c r="Q263" i="3"/>
  <c r="H261" i="3"/>
  <c r="R261" i="3" s="1"/>
  <c r="W261" i="3" s="1"/>
  <c r="C263" i="3"/>
  <c r="D264" i="3"/>
  <c r="B262" i="3"/>
  <c r="B263" i="3" s="1"/>
  <c r="Q264" i="3" l="1"/>
  <c r="T264" i="3"/>
  <c r="S264" i="3" s="1"/>
  <c r="AC263" i="3"/>
  <c r="H262" i="3"/>
  <c r="R262" i="3" s="1"/>
  <c r="W262" i="3" s="1"/>
  <c r="C264" i="3"/>
  <c r="B264" i="3" s="1"/>
  <c r="D265" i="3"/>
  <c r="AH264" i="3" l="1"/>
  <c r="AC264" i="3" s="1"/>
  <c r="T265" i="3"/>
  <c r="S265" i="3" s="1"/>
  <c r="AC265" i="3" s="1"/>
  <c r="Q265" i="3"/>
  <c r="H263" i="3"/>
  <c r="R263" i="3" s="1"/>
  <c r="W263" i="3" s="1"/>
  <c r="C265" i="3"/>
  <c r="D266" i="3"/>
  <c r="E266" i="3"/>
  <c r="H264" i="3" l="1"/>
  <c r="R264" i="3" s="1"/>
  <c r="W264" i="3" s="1"/>
  <c r="C266" i="3"/>
  <c r="D267" i="3"/>
  <c r="E267" i="3"/>
  <c r="S266" i="3"/>
  <c r="AC266" i="3" s="1"/>
  <c r="B265" i="3"/>
  <c r="H265" i="3" l="1"/>
  <c r="R265" i="3" s="1"/>
  <c r="W265" i="3" s="1"/>
  <c r="C267" i="3"/>
  <c r="D268" i="3"/>
  <c r="E268" i="3"/>
  <c r="S267" i="3"/>
  <c r="AC267" i="3" s="1"/>
  <c r="B266" i="3"/>
  <c r="Q268" i="3" l="1"/>
  <c r="H266" i="3"/>
  <c r="R266" i="3" s="1"/>
  <c r="W266" i="3" s="1"/>
  <c r="B267" i="3"/>
  <c r="C268" i="3"/>
  <c r="D269" i="3"/>
  <c r="E269" i="3"/>
  <c r="S268" i="3"/>
  <c r="Q269" i="3" l="1"/>
  <c r="T269" i="3"/>
  <c r="S269" i="3" s="1"/>
  <c r="AC269" i="3" s="1"/>
  <c r="AC268" i="3"/>
  <c r="H267" i="3"/>
  <c r="R267" i="3" s="1"/>
  <c r="W267" i="3" s="1"/>
  <c r="C269" i="3"/>
  <c r="D270" i="3"/>
  <c r="B268" i="3"/>
  <c r="Q270" i="3" l="1"/>
  <c r="T270" i="3"/>
  <c r="S270" i="3" s="1"/>
  <c r="AC270" i="3" s="1"/>
  <c r="C270" i="3"/>
  <c r="H268" i="3"/>
  <c r="R268" i="3" s="1"/>
  <c r="W268" i="3" s="1"/>
  <c r="D271" i="3"/>
  <c r="B269" i="3"/>
  <c r="T271" i="3" l="1"/>
  <c r="S271" i="3" s="1"/>
  <c r="AC271" i="3" s="1"/>
  <c r="Q271" i="3"/>
  <c r="B270" i="3"/>
  <c r="C271" i="3"/>
  <c r="B271" i="3" s="1"/>
  <c r="H269" i="3"/>
  <c r="R269" i="3" s="1"/>
  <c r="W269" i="3" s="1"/>
  <c r="D272" i="3"/>
  <c r="T272" i="3" l="1"/>
  <c r="S272" i="3" s="1"/>
  <c r="AC272" i="3" s="1"/>
  <c r="Q272" i="3"/>
  <c r="C272" i="3"/>
  <c r="H270" i="3"/>
  <c r="R270" i="3" s="1"/>
  <c r="W270" i="3" s="1"/>
  <c r="E273" i="3"/>
  <c r="D273" i="3"/>
  <c r="T273" i="3" l="1"/>
  <c r="S273" i="3" s="1"/>
  <c r="Q273" i="3"/>
  <c r="C273" i="3"/>
  <c r="H271" i="3"/>
  <c r="R271" i="3" s="1"/>
  <c r="W271" i="3" s="1"/>
  <c r="B272" i="3"/>
  <c r="E274" i="3"/>
  <c r="D274" i="3"/>
  <c r="AH273" i="3" l="1"/>
  <c r="AC273" i="3" s="1"/>
  <c r="H272" i="3"/>
  <c r="R272" i="3" s="1"/>
  <c r="W272" i="3" s="1"/>
  <c r="C274" i="3"/>
  <c r="S274" i="3"/>
  <c r="AC274" i="3" s="1"/>
  <c r="E275" i="3"/>
  <c r="D275" i="3"/>
  <c r="B273" i="3"/>
  <c r="T275" i="3" l="1"/>
  <c r="S275" i="3" s="1"/>
  <c r="AC275" i="3" s="1"/>
  <c r="Q275" i="3"/>
  <c r="C275" i="3"/>
  <c r="H273" i="3"/>
  <c r="R273" i="3" s="1"/>
  <c r="W273" i="3" s="1"/>
  <c r="E276" i="3"/>
  <c r="D276" i="3"/>
  <c r="B274" i="3"/>
  <c r="B275" i="3" s="1"/>
  <c r="C276" i="3" l="1"/>
  <c r="T276" i="3"/>
  <c r="S276" i="3" s="1"/>
  <c r="AC276" i="3" s="1"/>
  <c r="Q276" i="3"/>
  <c r="H274" i="3"/>
  <c r="R274" i="3" s="1"/>
  <c r="W274" i="3" s="1"/>
  <c r="E277" i="3"/>
  <c r="D277" i="3"/>
  <c r="B276" i="3"/>
  <c r="T277" i="3" l="1"/>
  <c r="S277" i="3" s="1"/>
  <c r="Q277" i="3"/>
  <c r="C277" i="3"/>
  <c r="H275" i="3"/>
  <c r="R275" i="3" s="1"/>
  <c r="W275" i="3" s="1"/>
  <c r="E278" i="3"/>
  <c r="D278" i="3"/>
  <c r="Q278" i="3" l="1"/>
  <c r="T278" i="3"/>
  <c r="S278" i="3" s="1"/>
  <c r="AH277" i="3"/>
  <c r="AC277" i="3" s="1"/>
  <c r="C278" i="3"/>
  <c r="H276" i="3"/>
  <c r="R276" i="3" s="1"/>
  <c r="W276" i="3" s="1"/>
  <c r="B277" i="3"/>
  <c r="E279" i="3"/>
  <c r="D279" i="3"/>
  <c r="AH278" i="3" l="1"/>
  <c r="AC278" i="3" s="1"/>
  <c r="Q279" i="3"/>
  <c r="T279" i="3"/>
  <c r="S279" i="3" s="1"/>
  <c r="H277" i="3"/>
  <c r="R277" i="3" s="1"/>
  <c r="W277" i="3" s="1"/>
  <c r="C279" i="3"/>
  <c r="E280" i="3"/>
  <c r="D280" i="3"/>
  <c r="B278" i="3"/>
  <c r="AN279" i="3" l="1"/>
  <c r="AC279" i="3" s="1"/>
  <c r="C280" i="3"/>
  <c r="H278" i="3"/>
  <c r="R278" i="3" s="1"/>
  <c r="W278" i="3" s="1"/>
  <c r="E281" i="3"/>
  <c r="D281" i="3"/>
  <c r="S280" i="3"/>
  <c r="AC280" i="3" s="1"/>
  <c r="B279" i="3"/>
  <c r="B280" i="3" s="1"/>
  <c r="C281" i="3" l="1"/>
  <c r="T281" i="3"/>
  <c r="S281" i="3" s="1"/>
  <c r="AC281" i="3" s="1"/>
  <c r="Q281" i="3"/>
  <c r="H279" i="3"/>
  <c r="R279" i="3" s="1"/>
  <c r="W279" i="3" s="1"/>
  <c r="D282" i="3"/>
  <c r="B281" i="3"/>
  <c r="T282" i="3" l="1"/>
  <c r="S282" i="3" s="1"/>
  <c r="Q282" i="3"/>
  <c r="H280" i="3"/>
  <c r="R280" i="3" s="1"/>
  <c r="W280" i="3" s="1"/>
  <c r="C282" i="3"/>
  <c r="E283" i="3"/>
  <c r="D283" i="3"/>
  <c r="Q283" i="3" l="1"/>
  <c r="T283" i="3"/>
  <c r="S283" i="3" s="1"/>
  <c r="AH282" i="3"/>
  <c r="AC282" i="3" s="1"/>
  <c r="C283" i="3"/>
  <c r="H281" i="3"/>
  <c r="R281" i="3" s="1"/>
  <c r="W281" i="3" s="1"/>
  <c r="E284" i="3"/>
  <c r="D284" i="3"/>
  <c r="B282" i="3"/>
  <c r="AH283" i="3" l="1"/>
  <c r="AC283" i="3" s="1"/>
  <c r="T284" i="3"/>
  <c r="S284" i="3" s="1"/>
  <c r="AC284" i="3" s="1"/>
  <c r="Q284" i="3"/>
  <c r="H282" i="3"/>
  <c r="R282" i="3" s="1"/>
  <c r="W282" i="3" s="1"/>
  <c r="C284" i="3"/>
  <c r="E285" i="3"/>
  <c r="D285" i="3"/>
  <c r="B283" i="3"/>
  <c r="C285" i="3" l="1"/>
  <c r="H283" i="3"/>
  <c r="R283" i="3" s="1"/>
  <c r="W283" i="3" s="1"/>
  <c r="E286" i="3"/>
  <c r="D286" i="3"/>
  <c r="S285" i="3"/>
  <c r="AC285" i="3" s="1"/>
  <c r="B284" i="3"/>
  <c r="B285" i="3" s="1"/>
  <c r="C286" i="3" l="1"/>
  <c r="T286" i="3"/>
  <c r="S286" i="3" s="1"/>
  <c r="AC286" i="3" s="1"/>
  <c r="Q286" i="3"/>
  <c r="H284" i="3"/>
  <c r="R284" i="3" s="1"/>
  <c r="W284" i="3" s="1"/>
  <c r="E287" i="3"/>
  <c r="D287" i="3"/>
  <c r="B286" i="3"/>
  <c r="T287" i="3" l="1"/>
  <c r="S287" i="3" s="1"/>
  <c r="AC287" i="3" s="1"/>
  <c r="Q287" i="3"/>
  <c r="C287" i="3"/>
  <c r="B287" i="3" s="1"/>
  <c r="H285" i="3"/>
  <c r="R285" i="3" s="1"/>
  <c r="W285" i="3" s="1"/>
  <c r="D288" i="3"/>
  <c r="T288" i="3" l="1"/>
  <c r="S288" i="3" s="1"/>
  <c r="AC288" i="3" s="1"/>
  <c r="Q288" i="3"/>
  <c r="H286" i="3"/>
  <c r="R286" i="3" s="1"/>
  <c r="W286" i="3" s="1"/>
  <c r="C288" i="3"/>
  <c r="B288" i="3" s="1"/>
  <c r="E289" i="3"/>
  <c r="D289" i="3"/>
  <c r="T289" i="3" l="1"/>
  <c r="S289" i="3" s="1"/>
  <c r="AC289" i="3" s="1"/>
  <c r="Q289" i="3"/>
  <c r="C289" i="3"/>
  <c r="B289" i="3" s="1"/>
  <c r="H287" i="3"/>
  <c r="R287" i="3" s="1"/>
  <c r="W287" i="3" s="1"/>
  <c r="E290" i="3"/>
  <c r="D290" i="3"/>
  <c r="T290" i="3" l="1"/>
  <c r="S290" i="3" s="1"/>
  <c r="Q290" i="3"/>
  <c r="C290" i="3"/>
  <c r="B290" i="3" s="1"/>
  <c r="H288" i="3"/>
  <c r="R288" i="3" s="1"/>
  <c r="W288" i="3" s="1"/>
  <c r="D291" i="3"/>
  <c r="T291" i="3" l="1"/>
  <c r="S291" i="3" s="1"/>
  <c r="AC291" i="3" s="1"/>
  <c r="Q291" i="3"/>
  <c r="AH290" i="3"/>
  <c r="AC290" i="3" s="1"/>
  <c r="C291" i="3"/>
  <c r="H289" i="3"/>
  <c r="R289" i="3" s="1"/>
  <c r="W289" i="3" s="1"/>
  <c r="E292" i="3"/>
  <c r="D292" i="3"/>
  <c r="Q292" i="3" l="1"/>
  <c r="T292" i="3"/>
  <c r="S292" i="3" s="1"/>
  <c r="AC292" i="3" s="1"/>
  <c r="C292" i="3"/>
  <c r="H290" i="3"/>
  <c r="R290" i="3" s="1"/>
  <c r="W290" i="3" s="1"/>
  <c r="B291" i="3"/>
  <c r="D293" i="3"/>
  <c r="Q293" i="3" l="1"/>
  <c r="T293" i="3"/>
  <c r="S293" i="3" s="1"/>
  <c r="AC293" i="3" s="1"/>
  <c r="H291" i="3"/>
  <c r="H292" i="3" s="1"/>
  <c r="C293" i="3"/>
  <c r="E294" i="3"/>
  <c r="D294" i="3"/>
  <c r="B292" i="3"/>
  <c r="T294" i="3" l="1"/>
  <c r="Q294" i="3"/>
  <c r="C294" i="3"/>
  <c r="R291" i="3"/>
  <c r="W291" i="3" s="1"/>
  <c r="R292" i="3"/>
  <c r="W292" i="3" s="1"/>
  <c r="H293" i="3"/>
  <c r="B293" i="3"/>
  <c r="S294" i="3"/>
  <c r="E295" i="3"/>
  <c r="D295" i="3"/>
  <c r="AH294" i="3" l="1"/>
  <c r="AC294" i="3" s="1"/>
  <c r="C295" i="3"/>
  <c r="E296" i="3"/>
  <c r="D296" i="3"/>
  <c r="R293" i="3"/>
  <c r="W293" i="3" s="1"/>
  <c r="S295" i="3"/>
  <c r="AC295" i="3" s="1"/>
  <c r="B294" i="3"/>
  <c r="H294" i="3" s="1"/>
  <c r="T296" i="3" l="1"/>
  <c r="S296" i="3" s="1"/>
  <c r="AC296" i="3" s="1"/>
  <c r="Q296" i="3"/>
  <c r="C296" i="3"/>
  <c r="R294" i="3"/>
  <c r="W294" i="3" s="1"/>
  <c r="H295" i="3"/>
  <c r="B295" i="3"/>
  <c r="E297" i="3"/>
  <c r="D297" i="3"/>
  <c r="Q297" i="3" l="1"/>
  <c r="T297" i="3"/>
  <c r="S297" i="3" s="1"/>
  <c r="AC297" i="3" s="1"/>
  <c r="C297" i="3"/>
  <c r="D298" i="3"/>
  <c r="R295" i="3"/>
  <c r="W295" i="3" s="1"/>
  <c r="H296" i="3"/>
  <c r="B296" i="3"/>
  <c r="T298" i="3" l="1"/>
  <c r="S298" i="3" s="1"/>
  <c r="Q298" i="3"/>
  <c r="C298" i="3"/>
  <c r="R296" i="3"/>
  <c r="W296" i="3" s="1"/>
  <c r="H297" i="3"/>
  <c r="D299" i="3"/>
  <c r="B297" i="3"/>
  <c r="AH298" i="3" l="1"/>
  <c r="AC298" i="3" s="1"/>
  <c r="Q299" i="3"/>
  <c r="T299" i="3"/>
  <c r="S299" i="3" s="1"/>
  <c r="AC299" i="3" s="1"/>
  <c r="C299" i="3"/>
  <c r="R297" i="3"/>
  <c r="W297" i="3" s="1"/>
  <c r="H298" i="3"/>
  <c r="E300" i="3"/>
  <c r="D300" i="3"/>
  <c r="B298" i="3"/>
  <c r="T300" i="3" l="1"/>
  <c r="S300" i="3" s="1"/>
  <c r="AC300" i="3" s="1"/>
  <c r="Q300" i="3"/>
  <c r="C300" i="3"/>
  <c r="E301" i="3"/>
  <c r="D301" i="3"/>
  <c r="R298" i="3"/>
  <c r="W298" i="3" s="1"/>
  <c r="H299" i="3"/>
  <c r="B299" i="3"/>
  <c r="B300" i="3" l="1"/>
  <c r="C301" i="3"/>
  <c r="S301" i="3"/>
  <c r="AC301" i="3" s="1"/>
  <c r="E302" i="3"/>
  <c r="D302" i="3"/>
  <c r="R299" i="3"/>
  <c r="W299" i="3" s="1"/>
  <c r="H300" i="3"/>
  <c r="B301" i="3"/>
  <c r="C302" i="3" l="1"/>
  <c r="Q302" i="3"/>
  <c r="T302" i="3"/>
  <c r="S302" i="3" s="1"/>
  <c r="AC302" i="3" s="1"/>
  <c r="D303" i="3"/>
  <c r="R300" i="3"/>
  <c r="W300" i="3" s="1"/>
  <c r="H301" i="3"/>
  <c r="B302" i="3"/>
  <c r="Q303" i="3" l="1"/>
  <c r="T303" i="3"/>
  <c r="S303" i="3" s="1"/>
  <c r="AC303" i="3" s="1"/>
  <c r="C303" i="3"/>
  <c r="R301" i="3"/>
  <c r="W301" i="3" s="1"/>
  <c r="H302" i="3"/>
  <c r="E304" i="3"/>
  <c r="D304" i="3"/>
  <c r="C304" i="3" l="1"/>
  <c r="T304" i="3"/>
  <c r="S304" i="3" s="1"/>
  <c r="AC304" i="3" s="1"/>
  <c r="Q304" i="3"/>
  <c r="E305" i="3"/>
  <c r="D305" i="3"/>
  <c r="B303" i="3"/>
  <c r="B304" i="3" s="1"/>
  <c r="R302" i="3"/>
  <c r="W302" i="3" s="1"/>
  <c r="C305" i="3" l="1"/>
  <c r="H303" i="3"/>
  <c r="H304" i="3" s="1"/>
  <c r="E306" i="3"/>
  <c r="D306" i="3"/>
  <c r="S305" i="3"/>
  <c r="AC305" i="3" s="1"/>
  <c r="B305" i="3"/>
  <c r="C306" i="3" l="1"/>
  <c r="T306" i="3"/>
  <c r="S306" i="3" s="1"/>
  <c r="Q306" i="3"/>
  <c r="R303" i="3"/>
  <c r="W303" i="3" s="1"/>
  <c r="R304" i="3"/>
  <c r="W304" i="3" s="1"/>
  <c r="H305" i="3"/>
  <c r="D307" i="3"/>
  <c r="C307" i="3" l="1"/>
  <c r="T307" i="3"/>
  <c r="S307" i="3" s="1"/>
  <c r="Q307" i="3"/>
  <c r="AH306" i="3"/>
  <c r="AC306" i="3" s="1"/>
  <c r="R305" i="3"/>
  <c r="W305" i="3" s="1"/>
  <c r="D308" i="3"/>
  <c r="B306" i="3"/>
  <c r="H306" i="3" s="1"/>
  <c r="AN307" i="3" l="1"/>
  <c r="AC307" i="3" s="1"/>
  <c r="T308" i="3"/>
  <c r="S308" i="3" s="1"/>
  <c r="AC308" i="3" s="1"/>
  <c r="Q308" i="3"/>
  <c r="C308" i="3"/>
  <c r="D309" i="3"/>
  <c r="R306" i="3"/>
  <c r="W306" i="3" s="1"/>
  <c r="H307" i="3"/>
  <c r="B307" i="3"/>
  <c r="T309" i="3" l="1"/>
  <c r="S309" i="3" s="1"/>
  <c r="AC309" i="3" s="1"/>
  <c r="Q309" i="3"/>
  <c r="C309" i="3"/>
  <c r="R307" i="3"/>
  <c r="W307" i="3" s="1"/>
  <c r="E310" i="3"/>
  <c r="D310" i="3"/>
  <c r="B308" i="3"/>
  <c r="H308" i="3" s="1"/>
  <c r="C310" i="3" l="1"/>
  <c r="Q310" i="3"/>
  <c r="T310" i="3"/>
  <c r="S310" i="3" s="1"/>
  <c r="AC310" i="3" s="1"/>
  <c r="R308" i="3"/>
  <c r="W308" i="3" s="1"/>
  <c r="E311" i="3"/>
  <c r="D311" i="3"/>
  <c r="B309" i="3"/>
  <c r="H309" i="3" s="1"/>
  <c r="C311" i="3" l="1"/>
  <c r="S311" i="3"/>
  <c r="AC311" i="3" s="1"/>
  <c r="E312" i="3"/>
  <c r="D312" i="3"/>
  <c r="R309" i="3"/>
  <c r="W309" i="3" s="1"/>
  <c r="H310" i="3"/>
  <c r="B310" i="3"/>
  <c r="B311" i="3" s="1"/>
  <c r="C312" i="3" l="1"/>
  <c r="T312" i="3"/>
  <c r="S312" i="3" s="1"/>
  <c r="AC312" i="3" s="1"/>
  <c r="Q312" i="3"/>
  <c r="E313" i="3"/>
  <c r="D313" i="3"/>
  <c r="R310" i="3"/>
  <c r="W310" i="3" s="1"/>
  <c r="H311" i="3"/>
  <c r="B312" i="3"/>
  <c r="Q313" i="3" l="1"/>
  <c r="T313" i="3"/>
  <c r="S313" i="3" s="1"/>
  <c r="AC313" i="3" s="1"/>
  <c r="C313" i="3"/>
  <c r="E314" i="3"/>
  <c r="D314" i="3"/>
  <c r="R311" i="3"/>
  <c r="W311" i="3" s="1"/>
  <c r="H312" i="3"/>
  <c r="B313" i="3"/>
  <c r="C314" i="3" l="1"/>
  <c r="T314" i="3"/>
  <c r="S314" i="3" s="1"/>
  <c r="AC314" i="3" s="1"/>
  <c r="Q314" i="3"/>
  <c r="D315" i="3"/>
  <c r="R312" i="3"/>
  <c r="W312" i="3" s="1"/>
  <c r="H313" i="3"/>
  <c r="B314" i="3"/>
  <c r="T315" i="3" l="1"/>
  <c r="S315" i="3" s="1"/>
  <c r="AC315" i="3" s="1"/>
  <c r="Q315" i="3"/>
  <c r="C315" i="3"/>
  <c r="B315" i="3" s="1"/>
  <c r="E316" i="3"/>
  <c r="D316" i="3"/>
  <c r="R313" i="3"/>
  <c r="W313" i="3" s="1"/>
  <c r="H314" i="3"/>
  <c r="T316" i="3" l="1"/>
  <c r="S316" i="3" s="1"/>
  <c r="AC316" i="3" s="1"/>
  <c r="Q316" i="3"/>
  <c r="C316" i="3"/>
  <c r="D317" i="3"/>
  <c r="R314" i="3"/>
  <c r="W314" i="3" s="1"/>
  <c r="H315" i="3"/>
  <c r="B316" i="3"/>
  <c r="C317" i="3" l="1"/>
  <c r="Q317" i="3"/>
  <c r="T317" i="3"/>
  <c r="S317" i="3" s="1"/>
  <c r="D318" i="3"/>
  <c r="R315" i="3"/>
  <c r="W315" i="3" s="1"/>
  <c r="H316" i="3"/>
  <c r="B317" i="3"/>
  <c r="AN317" i="3" l="1"/>
  <c r="AC317" i="3" s="1"/>
  <c r="T318" i="3"/>
  <c r="S318" i="3" s="1"/>
  <c r="AC318" i="3" s="1"/>
  <c r="Q318" i="3"/>
  <c r="C318" i="3"/>
  <c r="B318" i="3" s="1"/>
  <c r="D319" i="3"/>
  <c r="R316" i="3"/>
  <c r="W316" i="3" s="1"/>
  <c r="H317" i="3"/>
  <c r="C319" i="3" l="1"/>
  <c r="Q319" i="3"/>
  <c r="T319" i="3"/>
  <c r="S319" i="3" s="1"/>
  <c r="AC319" i="3" s="1"/>
  <c r="D320" i="3"/>
  <c r="R317" i="3"/>
  <c r="W317" i="3" s="1"/>
  <c r="H318" i="3"/>
  <c r="B319" i="3"/>
  <c r="T320" i="3" l="1"/>
  <c r="S320" i="3" s="1"/>
  <c r="Q320" i="3"/>
  <c r="C320" i="3"/>
  <c r="R318" i="3"/>
  <c r="W318" i="3" s="1"/>
  <c r="H319" i="3"/>
  <c r="E321" i="3"/>
  <c r="D321" i="3"/>
  <c r="AN320" i="3" l="1"/>
  <c r="AC320" i="3" s="1"/>
  <c r="Q321" i="3"/>
  <c r="T321" i="3"/>
  <c r="S321" i="3" s="1"/>
  <c r="C321" i="3"/>
  <c r="R319" i="3"/>
  <c r="W319" i="3" s="1"/>
  <c r="E322" i="3"/>
  <c r="D322" i="3"/>
  <c r="B320" i="3"/>
  <c r="AN321" i="3" l="1"/>
  <c r="AC321" i="3" s="1"/>
  <c r="B321" i="3"/>
  <c r="T322" i="3"/>
  <c r="S322" i="3" s="1"/>
  <c r="Q322" i="3"/>
  <c r="H320" i="3"/>
  <c r="R320" i="3" s="1"/>
  <c r="W320" i="3" s="1"/>
  <c r="C322" i="3"/>
  <c r="B322" i="3" s="1"/>
  <c r="D323" i="3"/>
  <c r="AN322" i="3" l="1"/>
  <c r="AC322" i="3" s="1"/>
  <c r="C323" i="3"/>
  <c r="B323" i="3" s="1"/>
  <c r="Q323" i="3"/>
  <c r="T323" i="3"/>
  <c r="S323" i="3" s="1"/>
  <c r="AC323" i="3" s="1"/>
  <c r="H321" i="3"/>
  <c r="R321" i="3" s="1"/>
  <c r="W321" i="3" s="1"/>
  <c r="E324" i="3"/>
  <c r="D324" i="3"/>
  <c r="C324" i="3" l="1"/>
  <c r="T324" i="3"/>
  <c r="S324" i="3" s="1"/>
  <c r="Q324" i="3"/>
  <c r="H322" i="3"/>
  <c r="R322" i="3" s="1"/>
  <c r="W322" i="3" s="1"/>
  <c r="D325" i="3"/>
  <c r="B324" i="3"/>
  <c r="AH324" i="3" l="1"/>
  <c r="AC324" i="3" s="1"/>
  <c r="C325" i="3"/>
  <c r="T325" i="3"/>
  <c r="S325" i="3" s="1"/>
  <c r="AC325" i="3" s="1"/>
  <c r="Q325" i="3"/>
  <c r="H323" i="3"/>
  <c r="R323" i="3" s="1"/>
  <c r="W323" i="3" s="1"/>
  <c r="D326" i="3"/>
  <c r="C326" i="3" s="1"/>
  <c r="H324" i="3" l="1"/>
  <c r="R324" i="3" s="1"/>
  <c r="W324" i="3" s="1"/>
  <c r="S326" i="3"/>
  <c r="AC326" i="3" s="1"/>
  <c r="D327" i="3"/>
  <c r="B325" i="3"/>
  <c r="C327" i="3" l="1"/>
  <c r="Q327" i="3"/>
  <c r="T327" i="3"/>
  <c r="S327" i="3" s="1"/>
  <c r="AC327" i="3" s="1"/>
  <c r="H325" i="3"/>
  <c r="R325" i="3" s="1"/>
  <c r="W325" i="3" s="1"/>
  <c r="E328" i="3"/>
  <c r="D328" i="3"/>
  <c r="B326" i="3"/>
  <c r="C328" i="3" l="1"/>
  <c r="T328" i="3"/>
  <c r="S328" i="3" s="1"/>
  <c r="Q328" i="3"/>
  <c r="H326" i="3"/>
  <c r="R326" i="3" s="1"/>
  <c r="W326" i="3" s="1"/>
  <c r="E329" i="3"/>
  <c r="D329" i="3"/>
  <c r="C329" i="3" s="1"/>
  <c r="B327" i="3"/>
  <c r="AH328" i="3" l="1"/>
  <c r="AC328" i="3" s="1"/>
  <c r="H327" i="3"/>
  <c r="R327" i="3" s="1"/>
  <c r="W327" i="3" s="1"/>
  <c r="B328" i="3"/>
  <c r="S329" i="3"/>
  <c r="AC329" i="3" s="1"/>
  <c r="E330" i="3"/>
  <c r="D330" i="3"/>
  <c r="C330" i="3" l="1"/>
  <c r="T330" i="3"/>
  <c r="S330" i="3" s="1"/>
  <c r="Q330" i="3"/>
  <c r="H328" i="3"/>
  <c r="R328" i="3" s="1"/>
  <c r="W328" i="3" s="1"/>
  <c r="D331" i="3"/>
  <c r="B329" i="3"/>
  <c r="B330" i="3" s="1"/>
  <c r="AN330" i="3" l="1"/>
  <c r="AC330" i="3" s="1"/>
  <c r="C331" i="3"/>
  <c r="B331" i="3" s="1"/>
  <c r="T331" i="3"/>
  <c r="S331" i="3" s="1"/>
  <c r="AC331" i="3" s="1"/>
  <c r="Q331" i="3"/>
  <c r="H329" i="3"/>
  <c r="H330" i="3" s="1"/>
  <c r="E332" i="3"/>
  <c r="D332" i="3"/>
  <c r="C332" i="3" l="1"/>
  <c r="Q332" i="3"/>
  <c r="T332" i="3"/>
  <c r="S332" i="3" s="1"/>
  <c r="AC332" i="3" s="1"/>
  <c r="R329" i="3"/>
  <c r="W329" i="3" s="1"/>
  <c r="D333" i="3"/>
  <c r="R330" i="3"/>
  <c r="W330" i="3" s="1"/>
  <c r="H331" i="3"/>
  <c r="B332" i="3"/>
  <c r="C333" i="3" l="1"/>
  <c r="T333" i="3"/>
  <c r="S333" i="3" s="1"/>
  <c r="Q333" i="3"/>
  <c r="D334" i="3"/>
  <c r="R331" i="3"/>
  <c r="W331" i="3" s="1"/>
  <c r="H332" i="3"/>
  <c r="B333" i="3"/>
  <c r="AH333" i="3" l="1"/>
  <c r="AC333" i="3" s="1"/>
  <c r="T334" i="3"/>
  <c r="S334" i="3" s="1"/>
  <c r="Q334" i="3"/>
  <c r="C334" i="3"/>
  <c r="R332" i="3"/>
  <c r="W332" i="3" s="1"/>
  <c r="H333" i="3"/>
  <c r="D335" i="3"/>
  <c r="AH334" i="3" l="1"/>
  <c r="AC334" i="3" s="1"/>
  <c r="Q335" i="3"/>
  <c r="T335" i="3"/>
  <c r="S335" i="3" s="1"/>
  <c r="AC335" i="3" s="1"/>
  <c r="C335" i="3"/>
  <c r="D336" i="3"/>
  <c r="E336" i="3"/>
  <c r="R333" i="3"/>
  <c r="W333" i="3" s="1"/>
  <c r="B334" i="3"/>
  <c r="H334" i="3" s="1"/>
  <c r="C336" i="3" l="1"/>
  <c r="R334" i="3"/>
  <c r="W334" i="3" s="1"/>
  <c r="H335" i="3"/>
  <c r="E337" i="3"/>
  <c r="D337" i="3"/>
  <c r="S336" i="3"/>
  <c r="AC336" i="3" s="1"/>
  <c r="B335" i="3"/>
  <c r="C337" i="3" l="1"/>
  <c r="S337" i="3"/>
  <c r="AC337" i="3" s="1"/>
  <c r="E338" i="3"/>
  <c r="D338" i="3"/>
  <c r="R335" i="3"/>
  <c r="W335" i="3" s="1"/>
  <c r="H336" i="3"/>
  <c r="B336" i="3"/>
  <c r="T338" i="3" l="1"/>
  <c r="S338" i="3" s="1"/>
  <c r="AC338" i="3" s="1"/>
  <c r="Q338" i="3"/>
  <c r="C338" i="3"/>
  <c r="E339" i="3"/>
  <c r="D339" i="3"/>
  <c r="R336" i="3"/>
  <c r="W336" i="3" s="1"/>
  <c r="B337" i="3"/>
  <c r="B338" i="3" s="1"/>
  <c r="T339" i="3" l="1"/>
  <c r="S339" i="3" s="1"/>
  <c r="AC339" i="3" s="1"/>
  <c r="Q339" i="3"/>
  <c r="C339" i="3"/>
  <c r="B339" i="3" s="1"/>
  <c r="H337" i="3"/>
  <c r="R337" i="3" s="1"/>
  <c r="W337" i="3" s="1"/>
  <c r="E340" i="3"/>
  <c r="D340" i="3"/>
  <c r="C340" i="3" l="1"/>
  <c r="H338" i="3"/>
  <c r="R338" i="3" s="1"/>
  <c r="W338" i="3" s="1"/>
  <c r="E341" i="3"/>
  <c r="D341" i="3"/>
  <c r="S340" i="3"/>
  <c r="AC340" i="3" s="1"/>
  <c r="Q341" i="3" l="1"/>
  <c r="T341" i="3"/>
  <c r="S341" i="3" s="1"/>
  <c r="C341" i="3"/>
  <c r="H339" i="3"/>
  <c r="R339" i="3" s="1"/>
  <c r="W339" i="3" s="1"/>
  <c r="B340" i="3"/>
  <c r="E342" i="3"/>
  <c r="D342" i="3"/>
  <c r="AN341" i="3" l="1"/>
  <c r="AC341" i="3" s="1"/>
  <c r="H340" i="3"/>
  <c r="R340" i="3" s="1"/>
  <c r="W340" i="3" s="1"/>
  <c r="C342" i="3"/>
  <c r="S342" i="3"/>
  <c r="AC342" i="3" s="1"/>
  <c r="E343" i="3"/>
  <c r="D343" i="3"/>
  <c r="B341" i="3"/>
  <c r="Q343" i="3" l="1"/>
  <c r="T343" i="3"/>
  <c r="S343" i="3" s="1"/>
  <c r="AC343" i="3" s="1"/>
  <c r="H341" i="3"/>
  <c r="R341" i="3" s="1"/>
  <c r="W341" i="3" s="1"/>
  <c r="C343" i="3"/>
  <c r="D344" i="3"/>
  <c r="B342" i="3"/>
  <c r="T344" i="3" l="1"/>
  <c r="S344" i="3" s="1"/>
  <c r="Q344" i="3"/>
  <c r="H342" i="3"/>
  <c r="R342" i="3" s="1"/>
  <c r="W342" i="3" s="1"/>
  <c r="B343" i="3"/>
  <c r="C344" i="3"/>
  <c r="B344" i="3" s="1"/>
  <c r="E345" i="3"/>
  <c r="D345" i="3"/>
  <c r="AN344" i="3" l="1"/>
  <c r="AC344" i="3" s="1"/>
  <c r="Q345" i="3"/>
  <c r="T345" i="3"/>
  <c r="S345" i="3" s="1"/>
  <c r="H343" i="3"/>
  <c r="R343" i="3" s="1"/>
  <c r="W343" i="3" s="1"/>
  <c r="C345" i="3"/>
  <c r="B345" i="3" s="1"/>
  <c r="E346" i="3"/>
  <c r="D346" i="3"/>
  <c r="AN345" i="3" l="1"/>
  <c r="AC345" i="3" s="1"/>
  <c r="Q346" i="3"/>
  <c r="T346" i="3"/>
  <c r="S346" i="3" s="1"/>
  <c r="H344" i="3"/>
  <c r="H345" i="3" s="1"/>
  <c r="C346" i="3"/>
  <c r="D347" i="3"/>
  <c r="AN346" i="3" l="1"/>
  <c r="AC346" i="3" s="1"/>
  <c r="C347" i="3"/>
  <c r="Q347" i="3"/>
  <c r="T347" i="3"/>
  <c r="S347" i="3" s="1"/>
  <c r="R344" i="3"/>
  <c r="W344" i="3" s="1"/>
  <c r="D348" i="3"/>
  <c r="R345" i="3"/>
  <c r="W345" i="3" s="1"/>
  <c r="H346" i="3"/>
  <c r="B346" i="3"/>
  <c r="B347" i="3" s="1"/>
  <c r="AN347" i="3" l="1"/>
  <c r="AC347" i="3" s="1"/>
  <c r="C348" i="3"/>
  <c r="B348" i="3" s="1"/>
  <c r="Q348" i="3"/>
  <c r="T348" i="3"/>
  <c r="S348" i="3" s="1"/>
  <c r="R346" i="3"/>
  <c r="W346" i="3" s="1"/>
  <c r="H347" i="3"/>
  <c r="D349" i="3"/>
  <c r="AH348" i="3" l="1"/>
  <c r="AC348" i="3" s="1"/>
  <c r="C349" i="3"/>
  <c r="T349" i="3"/>
  <c r="S349" i="3" s="1"/>
  <c r="AC349" i="3" s="1"/>
  <c r="Q349" i="3"/>
  <c r="R347" i="3"/>
  <c r="W347" i="3" s="1"/>
  <c r="H348" i="3"/>
  <c r="E350" i="3"/>
  <c r="D350" i="3"/>
  <c r="C350" i="3" l="1"/>
  <c r="S350" i="3"/>
  <c r="AC350" i="3" s="1"/>
  <c r="E351" i="3"/>
  <c r="D351" i="3"/>
  <c r="R348" i="3"/>
  <c r="W348" i="3" s="1"/>
  <c r="B349" i="3"/>
  <c r="H349" i="3" s="1"/>
  <c r="B350" i="3" l="1"/>
  <c r="C351" i="3"/>
  <c r="S351" i="3"/>
  <c r="AC351" i="3" s="1"/>
  <c r="D352" i="3"/>
  <c r="E352" i="3"/>
  <c r="R349" i="3"/>
  <c r="W349" i="3" s="1"/>
  <c r="H350" i="3"/>
  <c r="Q352" i="3" l="1"/>
  <c r="T352" i="3"/>
  <c r="S352" i="3" s="1"/>
  <c r="B351" i="3"/>
  <c r="C352" i="3"/>
  <c r="E353" i="3"/>
  <c r="D353" i="3"/>
  <c r="R350" i="3"/>
  <c r="W350" i="3" s="1"/>
  <c r="H351" i="3"/>
  <c r="AN352" i="3" l="1"/>
  <c r="AC352" i="3" s="1"/>
  <c r="B352" i="3"/>
  <c r="C353" i="3"/>
  <c r="R351" i="3"/>
  <c r="W351" i="3" s="1"/>
  <c r="H352" i="3"/>
  <c r="S353" i="3"/>
  <c r="AC353" i="3" s="1"/>
  <c r="E354" i="3"/>
  <c r="D354" i="3"/>
  <c r="T354" i="3" l="1"/>
  <c r="S354" i="3" s="1"/>
  <c r="AC354" i="3" s="1"/>
  <c r="Q354" i="3"/>
  <c r="C354" i="3"/>
  <c r="R352" i="3"/>
  <c r="W352" i="3" s="1"/>
  <c r="E355" i="3"/>
  <c r="D355" i="3"/>
  <c r="B353" i="3"/>
  <c r="H353" i="3" s="1"/>
  <c r="Q355" i="3" l="1"/>
  <c r="T355" i="3"/>
  <c r="S355" i="3" s="1"/>
  <c r="C355" i="3"/>
  <c r="D356" i="3"/>
  <c r="R353" i="3"/>
  <c r="W353" i="3" s="1"/>
  <c r="H354" i="3"/>
  <c r="B354" i="3"/>
  <c r="AN355" i="3" l="1"/>
  <c r="AC355" i="3" s="1"/>
  <c r="T356" i="3"/>
  <c r="S356" i="3" s="1"/>
  <c r="Q356" i="3"/>
  <c r="B355" i="3"/>
  <c r="C356" i="3"/>
  <c r="D357" i="3"/>
  <c r="E357" i="3"/>
  <c r="R354" i="3"/>
  <c r="W354" i="3" s="1"/>
  <c r="H355" i="3"/>
  <c r="AH356" i="3" l="1"/>
  <c r="AC356" i="3" s="1"/>
  <c r="Q357" i="3"/>
  <c r="T357" i="3"/>
  <c r="S357" i="3" s="1"/>
  <c r="B356" i="3"/>
  <c r="C357" i="3"/>
  <c r="R355" i="3"/>
  <c r="W355" i="3" s="1"/>
  <c r="H356" i="3"/>
  <c r="D358" i="3"/>
  <c r="AN357" i="3" l="1"/>
  <c r="AC357" i="3" s="1"/>
  <c r="Q358" i="3"/>
  <c r="T358" i="3"/>
  <c r="S358" i="3" s="1"/>
  <c r="C358" i="3"/>
  <c r="D359" i="3"/>
  <c r="R356" i="3"/>
  <c r="W356" i="3" s="1"/>
  <c r="B357" i="3"/>
  <c r="H357" i="3" s="1"/>
  <c r="AN358" i="3" l="1"/>
  <c r="AC358" i="3" s="1"/>
  <c r="T359" i="3"/>
  <c r="S359" i="3" s="1"/>
  <c r="AC359" i="3" s="1"/>
  <c r="Q359" i="3"/>
  <c r="C359" i="3"/>
  <c r="R357" i="3"/>
  <c r="W357" i="3" s="1"/>
  <c r="D360" i="3"/>
  <c r="B358" i="3"/>
  <c r="H358" i="3" s="1"/>
  <c r="Q360" i="3" l="1"/>
  <c r="T360" i="3"/>
  <c r="S360" i="3" s="1"/>
  <c r="AC360" i="3" s="1"/>
  <c r="C360" i="3"/>
  <c r="D361" i="3"/>
  <c r="E361" i="3"/>
  <c r="R358" i="3"/>
  <c r="W358" i="3" s="1"/>
  <c r="H359" i="3"/>
  <c r="B359" i="3"/>
  <c r="Q361" i="3" l="1"/>
  <c r="T361" i="3"/>
  <c r="S361" i="3" s="1"/>
  <c r="C361" i="3"/>
  <c r="R359" i="3"/>
  <c r="W359" i="3" s="1"/>
  <c r="H360" i="3"/>
  <c r="B360" i="3"/>
  <c r="D362" i="3"/>
  <c r="E362" i="3"/>
  <c r="AN361" i="3" l="1"/>
  <c r="AC361" i="3" s="1"/>
  <c r="C362" i="3"/>
  <c r="D363" i="3"/>
  <c r="E363" i="3"/>
  <c r="S362" i="3"/>
  <c r="AC362" i="3" s="1"/>
  <c r="R360" i="3"/>
  <c r="W360" i="3" s="1"/>
  <c r="H361" i="3"/>
  <c r="B361" i="3"/>
  <c r="B362" i="3" s="1"/>
  <c r="Q363" i="3" l="1"/>
  <c r="T363" i="3"/>
  <c r="S363" i="3" s="1"/>
  <c r="AC363" i="3" s="1"/>
  <c r="C363" i="3"/>
  <c r="R361" i="3"/>
  <c r="W361" i="3" s="1"/>
  <c r="H362" i="3"/>
  <c r="D364" i="3"/>
  <c r="Q364" i="3" l="1"/>
  <c r="T364" i="3"/>
  <c r="S364" i="3" s="1"/>
  <c r="AC364" i="3" s="1"/>
  <c r="C364" i="3"/>
  <c r="D365" i="3"/>
  <c r="E365" i="3"/>
  <c r="R362" i="3"/>
  <c r="W362" i="3" s="1"/>
  <c r="B363" i="3"/>
  <c r="T365" i="3" l="1"/>
  <c r="S365" i="3" s="1"/>
  <c r="Q365" i="3"/>
  <c r="B364" i="3"/>
  <c r="H363" i="3"/>
  <c r="R363" i="3" s="1"/>
  <c r="W363" i="3" s="1"/>
  <c r="C365" i="3"/>
  <c r="D366" i="3"/>
  <c r="AN365" i="3" l="1"/>
  <c r="AC365" i="3" s="1"/>
  <c r="Q366" i="3"/>
  <c r="T366" i="3"/>
  <c r="S366" i="3" s="1"/>
  <c r="AC366" i="3" s="1"/>
  <c r="H364" i="3"/>
  <c r="R364" i="3" s="1"/>
  <c r="W364" i="3" s="1"/>
  <c r="C366" i="3"/>
  <c r="D367" i="3"/>
  <c r="E367" i="3"/>
  <c r="B365" i="3"/>
  <c r="T367" i="3" l="1"/>
  <c r="S367" i="3" s="1"/>
  <c r="Q367" i="3"/>
  <c r="H365" i="3"/>
  <c r="R365" i="3" s="1"/>
  <c r="W365" i="3" s="1"/>
  <c r="C367" i="3"/>
  <c r="D368" i="3"/>
  <c r="E368" i="3"/>
  <c r="B366" i="3"/>
  <c r="AH367" i="3" l="1"/>
  <c r="AC367" i="3" s="1"/>
  <c r="H366" i="3"/>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T371" i="3" l="1"/>
  <c r="S371" i="3" s="1"/>
  <c r="AC371" i="3" s="1"/>
  <c r="Q371" i="3"/>
  <c r="R368" i="3"/>
  <c r="W368" i="3" s="1"/>
  <c r="C371" i="3"/>
  <c r="R369" i="3"/>
  <c r="W369" i="3" s="1"/>
  <c r="H370" i="3"/>
  <c r="B370" i="3"/>
  <c r="D372" i="3"/>
  <c r="T372" i="3" l="1"/>
  <c r="S372" i="3" s="1"/>
  <c r="Q372" i="3"/>
  <c r="C372" i="3"/>
  <c r="D373" i="3"/>
  <c r="E373" i="3"/>
  <c r="R370" i="3"/>
  <c r="W370" i="3" s="1"/>
  <c r="H371" i="3"/>
  <c r="B371" i="3"/>
  <c r="AN372" i="3" l="1"/>
  <c r="AC372" i="3" s="1"/>
  <c r="C373" i="3"/>
  <c r="R371" i="3"/>
  <c r="W371" i="3" s="1"/>
  <c r="H372" i="3"/>
  <c r="B372" i="3"/>
  <c r="D374" i="3"/>
  <c r="E374" i="3"/>
  <c r="S373" i="3"/>
  <c r="AC373" i="3" s="1"/>
  <c r="Q374" i="3" l="1"/>
  <c r="T374" i="3"/>
  <c r="S374" i="3" s="1"/>
  <c r="AC374" i="3" s="1"/>
  <c r="C374" i="3"/>
  <c r="D375" i="3"/>
  <c r="E375" i="3"/>
  <c r="R372" i="3"/>
  <c r="W372" i="3" s="1"/>
  <c r="H373" i="3"/>
  <c r="B373" i="3"/>
  <c r="B374" i="3" s="1"/>
  <c r="Q375" i="3" l="1"/>
  <c r="T375" i="3"/>
  <c r="S375" i="3" s="1"/>
  <c r="AC375" i="3" s="1"/>
  <c r="C375" i="3"/>
  <c r="R373" i="3"/>
  <c r="W373" i="3" s="1"/>
  <c r="H374" i="3"/>
  <c r="D376" i="3"/>
  <c r="E376" i="3"/>
  <c r="T376" i="3" l="1"/>
  <c r="S376" i="3" s="1"/>
  <c r="Q376" i="3"/>
  <c r="C376" i="3"/>
  <c r="D377" i="3"/>
  <c r="R374" i="3"/>
  <c r="W374" i="3" s="1"/>
  <c r="H375" i="3"/>
  <c r="B375" i="3"/>
  <c r="B376" i="3" s="1"/>
  <c r="AN376" i="3" l="1"/>
  <c r="AC376" i="3" s="1"/>
  <c r="T377" i="3"/>
  <c r="S377" i="3" s="1"/>
  <c r="Q377" i="3"/>
  <c r="C377" i="3"/>
  <c r="R375" i="3"/>
  <c r="W375" i="3" s="1"/>
  <c r="H376" i="3"/>
  <c r="D378" i="3"/>
  <c r="E378" i="3"/>
  <c r="AH377" i="3" l="1"/>
  <c r="AC377" i="3" s="1"/>
  <c r="T378" i="3"/>
  <c r="S378" i="3" s="1"/>
  <c r="AC378" i="3" s="1"/>
  <c r="Q378" i="3"/>
  <c r="C378" i="3"/>
  <c r="D379" i="3"/>
  <c r="E379" i="3"/>
  <c r="R376" i="3"/>
  <c r="W376" i="3" s="1"/>
  <c r="H377" i="3"/>
  <c r="B377" i="3"/>
  <c r="B378" i="3" s="1"/>
  <c r="T379" i="3" l="1"/>
  <c r="S379" i="3" s="1"/>
  <c r="Q379" i="3"/>
  <c r="C379" i="3"/>
  <c r="R377" i="3"/>
  <c r="W377" i="3" s="1"/>
  <c r="H378" i="3"/>
  <c r="D380" i="3"/>
  <c r="E380" i="3"/>
  <c r="AH379" i="3" l="1"/>
  <c r="AC379" i="3" s="1"/>
  <c r="Q380" i="3"/>
  <c r="T380" i="3"/>
  <c r="S380" i="3" s="1"/>
  <c r="C380" i="3"/>
  <c r="D381" i="3"/>
  <c r="E381" i="3"/>
  <c r="R378" i="3"/>
  <c r="W378" i="3" s="1"/>
  <c r="H379" i="3"/>
  <c r="B379" i="3"/>
  <c r="B380" i="3" s="1"/>
  <c r="AN380" i="3" l="1"/>
  <c r="AC380" i="3" s="1"/>
  <c r="T381" i="3"/>
  <c r="S381" i="3" s="1"/>
  <c r="AC381" i="3" s="1"/>
  <c r="Q381" i="3"/>
  <c r="C381" i="3"/>
  <c r="R379" i="3"/>
  <c r="W379" i="3" s="1"/>
  <c r="H380" i="3"/>
  <c r="D382" i="3"/>
  <c r="E382" i="3"/>
  <c r="C382" i="3" l="1"/>
  <c r="D383" i="3"/>
  <c r="E383" i="3"/>
  <c r="S382" i="3"/>
  <c r="AC382" i="3" s="1"/>
  <c r="R380" i="3"/>
  <c r="W380" i="3" s="1"/>
  <c r="H381" i="3"/>
  <c r="B381" i="3"/>
  <c r="T383" i="3" l="1"/>
  <c r="Q383" i="3"/>
  <c r="B382" i="3"/>
  <c r="C383" i="3"/>
  <c r="R381" i="3"/>
  <c r="W381" i="3" s="1"/>
  <c r="H382" i="3"/>
  <c r="D384" i="3"/>
  <c r="S383" i="3"/>
  <c r="AN383" i="3" l="1"/>
  <c r="AC383" i="3" s="1"/>
  <c r="T384" i="3"/>
  <c r="S384" i="3" s="1"/>
  <c r="AC384" i="3" s="1"/>
  <c r="Q384" i="3"/>
  <c r="C384" i="3"/>
  <c r="D385" i="3"/>
  <c r="E385" i="3"/>
  <c r="R382" i="3"/>
  <c r="W382" i="3" s="1"/>
  <c r="H383" i="3"/>
  <c r="B383" i="3"/>
  <c r="B384" i="3" l="1"/>
  <c r="C385" i="3"/>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T393" i="3" l="1"/>
  <c r="S393" i="3" s="1"/>
  <c r="AC393" i="3" s="1"/>
  <c r="Q393" i="3"/>
  <c r="C393" i="3"/>
  <c r="R391" i="3"/>
  <c r="W391" i="3" s="1"/>
  <c r="H392" i="3"/>
  <c r="D394" i="3"/>
  <c r="E394" i="3"/>
  <c r="Q394" i="3" l="1"/>
  <c r="T394" i="3"/>
  <c r="S394" i="3" s="1"/>
  <c r="AC394" i="3" s="1"/>
  <c r="C394" i="3"/>
  <c r="D395" i="3"/>
  <c r="R392" i="3"/>
  <c r="W392" i="3" s="1"/>
  <c r="B393" i="3"/>
  <c r="B394" i="3" s="1"/>
  <c r="Q395" i="3" l="1"/>
  <c r="T395" i="3"/>
  <c r="S395" i="3" s="1"/>
  <c r="H393" i="3"/>
  <c r="R393" i="3" s="1"/>
  <c r="W393" i="3" s="1"/>
  <c r="C395" i="3"/>
  <c r="D396" i="3"/>
  <c r="E396" i="3"/>
  <c r="AH395" i="3" l="1"/>
  <c r="AC395" i="3" s="1"/>
  <c r="H394" i="3"/>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Q400" i="3" l="1"/>
  <c r="T400" i="3"/>
  <c r="S400" i="3" s="1"/>
  <c r="C400" i="3"/>
  <c r="H398" i="3"/>
  <c r="H399" i="3" s="1"/>
  <c r="D401" i="3"/>
  <c r="E401" i="3"/>
  <c r="B399" i="3"/>
  <c r="B400" i="3" l="1"/>
  <c r="AN400" i="3"/>
  <c r="AC400" i="3" s="1"/>
  <c r="R398" i="3"/>
  <c r="W398" i="3" s="1"/>
  <c r="C401" i="3"/>
  <c r="R399" i="3"/>
  <c r="W399" i="3" s="1"/>
  <c r="H400" i="3"/>
  <c r="D402" i="3"/>
  <c r="E402" i="3"/>
  <c r="S401" i="3"/>
  <c r="AC401" i="3" s="1"/>
  <c r="C402" i="3" l="1"/>
  <c r="E403" i="3"/>
  <c r="D403" i="3"/>
  <c r="S402" i="3"/>
  <c r="AC402" i="3" s="1"/>
  <c r="R400" i="3"/>
  <c r="W400" i="3" s="1"/>
  <c r="H401" i="3"/>
  <c r="B401" i="3"/>
  <c r="B402" i="3" s="1"/>
  <c r="T403" i="3" l="1"/>
  <c r="S403" i="3" s="1"/>
  <c r="Q403" i="3"/>
  <c r="C403" i="3"/>
  <c r="R401" i="3"/>
  <c r="W401" i="3" s="1"/>
  <c r="H402" i="3"/>
  <c r="E404" i="3"/>
  <c r="D404" i="3"/>
  <c r="AH403" i="3" l="1"/>
  <c r="AC403" i="3" s="1"/>
  <c r="T404" i="3"/>
  <c r="S404" i="3" s="1"/>
  <c r="Q404" i="3"/>
  <c r="C404" i="3"/>
  <c r="R402" i="3"/>
  <c r="W402" i="3" s="1"/>
  <c r="D405" i="3"/>
  <c r="B403" i="3"/>
  <c r="H403" i="3" s="1"/>
  <c r="AN404" i="3" l="1"/>
  <c r="AC404" i="3" s="1"/>
  <c r="T405" i="3"/>
  <c r="S405" i="3" s="1"/>
  <c r="AC405" i="3" s="1"/>
  <c r="Q405" i="3"/>
  <c r="C405" i="3"/>
  <c r="R403" i="3"/>
  <c r="W403" i="3" s="1"/>
  <c r="D406" i="3"/>
  <c r="B404" i="3"/>
  <c r="T406" i="3" l="1"/>
  <c r="S406" i="3" s="1"/>
  <c r="AC406" i="3" s="1"/>
  <c r="Q406" i="3"/>
  <c r="B405" i="3"/>
  <c r="H404" i="3"/>
  <c r="H405" i="3" s="1"/>
  <c r="C406" i="3"/>
  <c r="B406" i="3" s="1"/>
  <c r="E407" i="3"/>
  <c r="D407" i="3"/>
  <c r="Q407" i="3" l="1"/>
  <c r="T407" i="3"/>
  <c r="S407" i="3" s="1"/>
  <c r="R404" i="3"/>
  <c r="W404" i="3" s="1"/>
  <c r="C407" i="3"/>
  <c r="B407" i="3" s="1"/>
  <c r="R405" i="3"/>
  <c r="W405" i="3" s="1"/>
  <c r="H406" i="3"/>
  <c r="D408" i="3"/>
  <c r="AH407" i="3" l="1"/>
  <c r="AC407" i="3" s="1"/>
  <c r="Q408" i="3"/>
  <c r="T408" i="3"/>
  <c r="S408" i="3" s="1"/>
  <c r="AC408" i="3" s="1"/>
  <c r="C408" i="3"/>
  <c r="B408" i="3" s="1"/>
  <c r="R406" i="3"/>
  <c r="W406" i="3" s="1"/>
  <c r="H407" i="3"/>
  <c r="E409" i="3"/>
  <c r="D409" i="3"/>
  <c r="C409" i="3" l="1"/>
  <c r="T409" i="3"/>
  <c r="S409" i="3" s="1"/>
  <c r="AC409" i="3" s="1"/>
  <c r="Q409" i="3"/>
  <c r="E410" i="3"/>
  <c r="D410" i="3"/>
  <c r="B409" i="3"/>
  <c r="R407" i="3"/>
  <c r="W407" i="3" s="1"/>
  <c r="H408" i="3"/>
  <c r="C410" i="3" l="1"/>
  <c r="Q410" i="3"/>
  <c r="T410" i="3"/>
  <c r="S410" i="3" s="1"/>
  <c r="E411" i="3"/>
  <c r="D411" i="3"/>
  <c r="R408" i="3"/>
  <c r="W408" i="3" s="1"/>
  <c r="H409" i="3"/>
  <c r="B410" i="3"/>
  <c r="AN410" i="3" l="1"/>
  <c r="AC410" i="3" s="1"/>
  <c r="C411" i="3"/>
  <c r="B411" i="3" s="1"/>
  <c r="S411" i="3"/>
  <c r="AC411" i="3" s="1"/>
  <c r="R409" i="3"/>
  <c r="W409" i="3" s="1"/>
  <c r="H410" i="3"/>
  <c r="E412" i="3"/>
  <c r="D412" i="3"/>
  <c r="Q412" i="3" l="1"/>
  <c r="T412" i="3"/>
  <c r="S412" i="3" s="1"/>
  <c r="C412" i="3"/>
  <c r="B412" i="3" s="1"/>
  <c r="R410" i="3"/>
  <c r="W410" i="3" s="1"/>
  <c r="H411" i="3"/>
  <c r="E413" i="3"/>
  <c r="D413" i="3"/>
  <c r="C413" i="3" l="1"/>
  <c r="AN412" i="3"/>
  <c r="AC412" i="3" s="1"/>
  <c r="R411" i="3"/>
  <c r="W411" i="3" s="1"/>
  <c r="H412" i="3"/>
  <c r="S413" i="3"/>
  <c r="AC413" i="3" s="1"/>
  <c r="E414" i="3"/>
  <c r="D414" i="3"/>
  <c r="C414" i="3" l="1"/>
  <c r="R412" i="3"/>
  <c r="W412" i="3" s="1"/>
  <c r="S414" i="3"/>
  <c r="AC414" i="3" s="1"/>
  <c r="E415" i="3"/>
  <c r="D415" i="3"/>
  <c r="B413" i="3"/>
  <c r="H413" i="3" s="1"/>
  <c r="C415" i="3" l="1"/>
  <c r="R413" i="3"/>
  <c r="W413" i="3" s="1"/>
  <c r="S415" i="3"/>
  <c r="AC415" i="3" s="1"/>
  <c r="E416" i="3"/>
  <c r="D416" i="3"/>
  <c r="B414" i="3"/>
  <c r="H414" i="3" s="1"/>
  <c r="T416" i="3" l="1"/>
  <c r="S416" i="3" s="1"/>
  <c r="Q416" i="3"/>
  <c r="C416" i="3"/>
  <c r="R414" i="3"/>
  <c r="W414" i="3" s="1"/>
  <c r="E417" i="3"/>
  <c r="D417" i="3"/>
  <c r="B415" i="3"/>
  <c r="H415" i="3" s="1"/>
  <c r="AH416" i="3" l="1"/>
  <c r="AC416" i="3" s="1"/>
  <c r="C417" i="3"/>
  <c r="R415" i="3"/>
  <c r="W415" i="3" s="1"/>
  <c r="S417" i="3"/>
  <c r="AC417" i="3" s="1"/>
  <c r="E418" i="3"/>
  <c r="D418" i="3"/>
  <c r="B416" i="3"/>
  <c r="H416" i="3" s="1"/>
  <c r="C418" i="3" l="1"/>
  <c r="S418" i="3"/>
  <c r="AC418" i="3" s="1"/>
  <c r="R416" i="3"/>
  <c r="W416" i="3" s="1"/>
  <c r="E419" i="3"/>
  <c r="D419" i="3"/>
  <c r="B417" i="3"/>
  <c r="B418" i="3" s="1"/>
  <c r="C419" i="3" l="1"/>
  <c r="B419" i="3" s="1"/>
  <c r="H417" i="3"/>
  <c r="R417" i="3" s="1"/>
  <c r="W417" i="3" s="1"/>
  <c r="S419" i="3"/>
  <c r="AC419" i="3" s="1"/>
  <c r="D420" i="3"/>
  <c r="E420" i="3"/>
  <c r="H418" i="3" l="1"/>
  <c r="R418" i="3" s="1"/>
  <c r="W418" i="3" s="1"/>
  <c r="C420" i="3"/>
  <c r="D421" i="3"/>
  <c r="E421" i="3"/>
  <c r="S420" i="3"/>
  <c r="AC420" i="3" s="1"/>
  <c r="H419" i="3" l="1"/>
  <c r="H420" i="3" s="1"/>
  <c r="C421" i="3"/>
  <c r="B420" i="3"/>
  <c r="D422" i="3"/>
  <c r="E422" i="3"/>
  <c r="S421" i="3"/>
  <c r="AC421" i="3" s="1"/>
  <c r="Q422" i="3" l="1"/>
  <c r="T422" i="3"/>
  <c r="S422" i="3" s="1"/>
  <c r="AC422" i="3" s="1"/>
  <c r="R419" i="3"/>
  <c r="W419" i="3" s="1"/>
  <c r="C422" i="3"/>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T426" i="3" l="1"/>
  <c r="S426" i="3" s="1"/>
  <c r="AC426" i="3" s="1"/>
  <c r="Q426" i="3"/>
  <c r="C426" i="3"/>
  <c r="R424" i="3"/>
  <c r="W424" i="3" s="1"/>
  <c r="D427" i="3"/>
  <c r="E427" i="3"/>
  <c r="B425" i="3"/>
  <c r="H425" i="3" s="1"/>
  <c r="C427" i="3" l="1"/>
  <c r="S427" i="3"/>
  <c r="AC427" i="3" s="1"/>
  <c r="D428" i="3"/>
  <c r="E428" i="3"/>
  <c r="R425" i="3"/>
  <c r="W425" i="3" s="1"/>
  <c r="B426" i="3"/>
  <c r="H426" i="3" s="1"/>
  <c r="C428" i="3" l="1"/>
  <c r="S428" i="3"/>
  <c r="AC428" i="3" s="1"/>
  <c r="D429" i="3"/>
  <c r="E429" i="3"/>
  <c r="R426" i="3"/>
  <c r="W426" i="3" s="1"/>
  <c r="H427" i="3"/>
  <c r="B427" i="3"/>
  <c r="B428" i="3" l="1"/>
  <c r="C429" i="3"/>
  <c r="B429" i="3" s="1"/>
  <c r="S429" i="3"/>
  <c r="AC429" i="3" s="1"/>
  <c r="D430" i="3"/>
  <c r="E430" i="3"/>
  <c r="R427" i="3"/>
  <c r="W427" i="3" s="1"/>
  <c r="H428" i="3"/>
  <c r="Q430" i="3" l="1"/>
  <c r="C430" i="3"/>
  <c r="B430" i="3" s="1"/>
  <c r="D431" i="3"/>
  <c r="E431" i="3"/>
  <c r="S430" i="3"/>
  <c r="AC430" i="3" s="1"/>
  <c r="R428" i="3"/>
  <c r="W428" i="3" s="1"/>
  <c r="H429" i="3"/>
  <c r="C431" i="3" l="1"/>
  <c r="R429" i="3"/>
  <c r="W429" i="3" s="1"/>
  <c r="H430" i="3"/>
  <c r="D432" i="3"/>
  <c r="E432" i="3"/>
  <c r="S431" i="3"/>
  <c r="AC431" i="3" s="1"/>
  <c r="T432" i="3" l="1"/>
  <c r="S432" i="3" s="1"/>
  <c r="Q432" i="3"/>
  <c r="C432" i="3"/>
  <c r="D433" i="3"/>
  <c r="E433" i="3"/>
  <c r="R430" i="3"/>
  <c r="W430" i="3" s="1"/>
  <c r="H431" i="3"/>
  <c r="B431" i="3"/>
  <c r="AN432" i="3" l="1"/>
  <c r="AC432" i="3" s="1"/>
  <c r="T433" i="3"/>
  <c r="S433" i="3" s="1"/>
  <c r="AC433" i="3" s="1"/>
  <c r="Q433" i="3"/>
  <c r="C433" i="3"/>
  <c r="R431" i="3"/>
  <c r="W431" i="3" s="1"/>
  <c r="H432" i="3"/>
  <c r="D434" i="3"/>
  <c r="B432" i="3"/>
  <c r="T434" i="3" l="1"/>
  <c r="S434" i="3" s="1"/>
  <c r="Q434" i="3"/>
  <c r="C434" i="3"/>
  <c r="D435" i="3"/>
  <c r="E435" i="3"/>
  <c r="R432" i="3"/>
  <c r="W432" i="3" s="1"/>
  <c r="B433" i="3"/>
  <c r="H433" i="3" s="1"/>
  <c r="AN434" i="3" l="1"/>
  <c r="AC434" i="3" s="1"/>
  <c r="Q435" i="3"/>
  <c r="T435" i="3"/>
  <c r="S435" i="3" s="1"/>
  <c r="AC435" i="3" s="1"/>
  <c r="C435" i="3"/>
  <c r="R433" i="3"/>
  <c r="W433" i="3" s="1"/>
  <c r="E436" i="3"/>
  <c r="D436" i="3"/>
  <c r="C436"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Q439" i="3" l="1"/>
  <c r="T439" i="3"/>
  <c r="S439" i="3" s="1"/>
  <c r="AC439" i="3" s="1"/>
  <c r="C439" i="3"/>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B441" i="3"/>
  <c r="H441" i="3" s="1"/>
  <c r="C443" i="3" l="1"/>
  <c r="E444" i="3"/>
  <c r="D444" i="3"/>
  <c r="R441" i="3"/>
  <c r="W441" i="3" s="1"/>
  <c r="S443" i="3"/>
  <c r="AC443" i="3" s="1"/>
  <c r="B442" i="3"/>
  <c r="H442" i="3" s="1"/>
  <c r="C444" i="3" l="1"/>
  <c r="B443" i="3"/>
  <c r="R442" i="3"/>
  <c r="W442" i="3" s="1"/>
  <c r="H443" i="3"/>
  <c r="S444" i="3"/>
  <c r="AC444" i="3" s="1"/>
  <c r="E445" i="3"/>
  <c r="D445" i="3"/>
  <c r="C445" i="3" l="1"/>
  <c r="T445" i="3"/>
  <c r="S445" i="3" s="1"/>
  <c r="AC445" i="3" s="1"/>
  <c r="Q445" i="3"/>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S448" i="3"/>
  <c r="AC448" i="3" s="1"/>
  <c r="B447" i="3"/>
  <c r="H447" i="3" s="1"/>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Q454" i="3" l="1"/>
  <c r="T454" i="3"/>
  <c r="S454" i="3" s="1"/>
  <c r="AC454" i="3" s="1"/>
  <c r="C454" i="3"/>
  <c r="R452" i="3"/>
  <c r="W452" i="3" s="1"/>
  <c r="B453" i="3"/>
  <c r="H453" i="3" s="1"/>
  <c r="E455" i="3"/>
  <c r="D455" i="3"/>
  <c r="T455" i="3" l="1"/>
  <c r="S455" i="3" s="1"/>
  <c r="AC455" i="3" s="1"/>
  <c r="Q455" i="3"/>
  <c r="C455" i="3"/>
  <c r="D456" i="3"/>
  <c r="E456" i="3"/>
  <c r="R453" i="3"/>
  <c r="W453" i="3" s="1"/>
  <c r="H454" i="3"/>
  <c r="B454" i="3"/>
  <c r="Q456" i="3" l="1"/>
  <c r="T456" i="3"/>
  <c r="S456" i="3" s="1"/>
  <c r="AC456" i="3" s="1"/>
  <c r="B455" i="3"/>
  <c r="C456" i="3"/>
  <c r="D457" i="3"/>
  <c r="E457" i="3"/>
  <c r="R454" i="3"/>
  <c r="W454" i="3" s="1"/>
  <c r="H455" i="3"/>
  <c r="B456" i="3" l="1"/>
  <c r="C457" i="3"/>
  <c r="R455" i="3"/>
  <c r="W455" i="3" s="1"/>
  <c r="H456" i="3"/>
  <c r="E458" i="3"/>
  <c r="D458" i="3"/>
  <c r="S457" i="3"/>
  <c r="AC457" i="3" s="1"/>
  <c r="C458" i="3" l="1"/>
  <c r="E459" i="3"/>
  <c r="D459" i="3"/>
  <c r="S458" i="3"/>
  <c r="AC458" i="3" s="1"/>
  <c r="R456" i="3"/>
  <c r="W456" i="3" s="1"/>
  <c r="B457" i="3"/>
  <c r="H457" i="3" s="1"/>
  <c r="Q459" i="3" l="1"/>
  <c r="T459" i="3"/>
  <c r="S459" i="3" s="1"/>
  <c r="AC459" i="3" s="1"/>
  <c r="C459" i="3"/>
  <c r="R457" i="3"/>
  <c r="W457" i="3" s="1"/>
  <c r="E460" i="3"/>
  <c r="D460" i="3"/>
  <c r="B458" i="3"/>
  <c r="H458" i="3" s="1"/>
  <c r="Q460" i="3" l="1"/>
  <c r="T460" i="3"/>
  <c r="S460" i="3" s="1"/>
  <c r="AC460" i="3" s="1"/>
  <c r="C460" i="3"/>
  <c r="E461" i="3"/>
  <c r="D461" i="3"/>
  <c r="R458" i="3"/>
  <c r="W458" i="3" s="1"/>
  <c r="H459" i="3"/>
  <c r="B459" i="3"/>
  <c r="C461" i="3" l="1"/>
  <c r="R459" i="3"/>
  <c r="W459" i="3" s="1"/>
  <c r="H460" i="3"/>
  <c r="B460" i="3"/>
  <c r="S461" i="3"/>
  <c r="AC461" i="3" s="1"/>
  <c r="E462" i="3"/>
  <c r="D462" i="3"/>
  <c r="C462" i="3" l="1"/>
  <c r="E463" i="3"/>
  <c r="D463" i="3"/>
  <c r="S462" i="3"/>
  <c r="AC462" i="3" s="1"/>
  <c r="R460" i="3"/>
  <c r="W460" i="3" s="1"/>
  <c r="B461" i="3"/>
  <c r="H461" i="3" s="1"/>
  <c r="C463" i="3" l="1"/>
  <c r="R461" i="3"/>
  <c r="W461" i="3" s="1"/>
  <c r="S463" i="3"/>
  <c r="AC463" i="3" s="1"/>
  <c r="D464" i="3"/>
  <c r="E464" i="3"/>
  <c r="B462" i="3"/>
  <c r="H462" i="3" s="1"/>
  <c r="C464" i="3" l="1"/>
  <c r="D465" i="3"/>
  <c r="E465" i="3"/>
  <c r="R462" i="3"/>
  <c r="W462" i="3" s="1"/>
  <c r="S464" i="3"/>
  <c r="AC464" i="3" s="1"/>
  <c r="B463" i="3"/>
  <c r="B464" i="3" l="1"/>
  <c r="H463" i="3"/>
  <c r="H464" i="3" s="1"/>
  <c r="C465" i="3"/>
  <c r="E466" i="3"/>
  <c r="D466" i="3"/>
  <c r="S465" i="3"/>
  <c r="AC465" i="3" s="1"/>
  <c r="R463" i="3" l="1"/>
  <c r="W463" i="3" s="1"/>
  <c r="C466" i="3"/>
  <c r="E467" i="3"/>
  <c r="D467" i="3"/>
  <c r="S466" i="3"/>
  <c r="AC466" i="3" s="1"/>
  <c r="B465" i="3"/>
  <c r="R464" i="3"/>
  <c r="W464" i="3" s="1"/>
  <c r="H465" i="3"/>
  <c r="C467" i="3" l="1"/>
  <c r="R465" i="3"/>
  <c r="W465" i="3" s="1"/>
  <c r="S467" i="3"/>
  <c r="AC467" i="3" s="1"/>
  <c r="E468" i="3"/>
  <c r="D468" i="3"/>
  <c r="B466" i="3"/>
  <c r="H466" i="3" s="1"/>
  <c r="C468" i="3" l="1"/>
  <c r="T468" i="3"/>
  <c r="S468" i="3" s="1"/>
  <c r="Q468" i="3"/>
  <c r="E469" i="3"/>
  <c r="D469" i="3"/>
  <c r="C469" i="3" s="1"/>
  <c r="R466" i="3"/>
  <c r="W466" i="3" s="1"/>
  <c r="H467" i="3"/>
  <c r="B467" i="3"/>
  <c r="AH468" i="3" l="1"/>
  <c r="AC468" i="3" s="1"/>
  <c r="B468" i="3"/>
  <c r="R467" i="3"/>
  <c r="W467" i="3" s="1"/>
  <c r="H468" i="3"/>
  <c r="S469" i="3"/>
  <c r="AC469" i="3" s="1"/>
  <c r="E470" i="3"/>
  <c r="D470" i="3"/>
  <c r="C470" i="3" l="1"/>
  <c r="R468" i="3"/>
  <c r="W468" i="3" s="1"/>
  <c r="H469" i="3"/>
  <c r="S470" i="3"/>
  <c r="AC470" i="3" s="1"/>
  <c r="E471" i="3"/>
  <c r="D471" i="3"/>
  <c r="B469" i="3"/>
  <c r="C471" i="3" l="1"/>
  <c r="R469" i="3"/>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H472" i="3"/>
  <c r="B472" i="3"/>
  <c r="T474" i="3" l="1"/>
  <c r="S474" i="3" s="1"/>
  <c r="AC474" i="3" s="1"/>
  <c r="Q474" i="3"/>
  <c r="C474" i="3"/>
  <c r="E475" i="3"/>
  <c r="D475" i="3"/>
  <c r="R472" i="3"/>
  <c r="W472" i="3" s="1"/>
  <c r="H473" i="3"/>
  <c r="B473" i="3"/>
  <c r="C475" i="3" l="1"/>
  <c r="E476" i="3"/>
  <c r="D476" i="3"/>
  <c r="R473" i="3"/>
  <c r="W473" i="3" s="1"/>
  <c r="S475" i="3"/>
  <c r="AC475" i="3" s="1"/>
  <c r="B474" i="3"/>
  <c r="H474" i="3" s="1"/>
  <c r="C476" i="3" l="1"/>
  <c r="B475" i="3"/>
  <c r="R474" i="3"/>
  <c r="W474" i="3" s="1"/>
  <c r="H475" i="3"/>
  <c r="S476" i="3"/>
  <c r="AC476" i="3" s="1"/>
  <c r="E477" i="3"/>
  <c r="D477" i="3"/>
  <c r="C477" i="3" l="1"/>
  <c r="R475" i="3"/>
  <c r="W475" i="3" s="1"/>
  <c r="S477" i="3"/>
  <c r="AC477" i="3" s="1"/>
  <c r="E478" i="3"/>
  <c r="D478" i="3"/>
  <c r="C478" i="3" s="1"/>
  <c r="B476" i="3"/>
  <c r="H476" i="3" s="1"/>
  <c r="S478" i="3" l="1"/>
  <c r="AC478" i="3" s="1"/>
  <c r="R476" i="3"/>
  <c r="W476" i="3" s="1"/>
  <c r="E479" i="3"/>
  <c r="D479" i="3"/>
  <c r="C479" i="3" s="1"/>
  <c r="B477" i="3"/>
  <c r="H477" i="3" s="1"/>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S483" i="3"/>
  <c r="AC483" i="3" s="1"/>
  <c r="E484" i="3"/>
  <c r="D484" i="3"/>
  <c r="B482" i="3"/>
  <c r="H482" i="3" s="1"/>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D489" i="3"/>
  <c r="E489" i="3"/>
  <c r="B487" i="3"/>
  <c r="B488" i="3" s="1"/>
  <c r="H487" i="3" l="1"/>
  <c r="R487" i="3" s="1"/>
  <c r="W487" i="3" s="1"/>
  <c r="C489" i="3"/>
  <c r="E490" i="3"/>
  <c r="D490" i="3"/>
  <c r="S489" i="3"/>
  <c r="AC489" i="3" s="1"/>
  <c r="B489" i="3"/>
  <c r="C490" i="3" l="1"/>
  <c r="H488" i="3"/>
  <c r="R488" i="3" s="1"/>
  <c r="W488" i="3" s="1"/>
  <c r="S490" i="3"/>
  <c r="AC490" i="3" s="1"/>
  <c r="E491" i="3"/>
  <c r="D491" i="3"/>
  <c r="C491" i="3" s="1"/>
  <c r="H489" i="3" l="1"/>
  <c r="R489" i="3" s="1"/>
  <c r="W489" i="3" s="1"/>
  <c r="E492" i="3"/>
  <c r="D492" i="3"/>
  <c r="S491" i="3"/>
  <c r="AC491" i="3" s="1"/>
  <c r="B490" i="3"/>
  <c r="C492" i="3" l="1"/>
  <c r="H490" i="3"/>
  <c r="R490" i="3" s="1"/>
  <c r="W490" i="3" s="1"/>
  <c r="B491" i="3"/>
  <c r="S492" i="3"/>
  <c r="AC492" i="3" s="1"/>
  <c r="E493" i="3"/>
  <c r="D493" i="3"/>
  <c r="H491" i="3" l="1"/>
  <c r="R491" i="3" s="1"/>
  <c r="W491" i="3" s="1"/>
  <c r="C493" i="3"/>
  <c r="E494" i="3"/>
  <c r="D494" i="3"/>
  <c r="S493" i="3"/>
  <c r="AC493" i="3" s="1"/>
  <c r="B492" i="3"/>
  <c r="H492" i="3" l="1"/>
  <c r="R492" i="3" s="1"/>
  <c r="W492" i="3" s="1"/>
  <c r="C494" i="3"/>
  <c r="S494" i="3"/>
  <c r="AC494" i="3" s="1"/>
  <c r="E495" i="3"/>
  <c r="D495" i="3"/>
  <c r="B493" i="3"/>
  <c r="C495" i="3" l="1"/>
  <c r="H493" i="3"/>
  <c r="R493" i="3" s="1"/>
  <c r="W493" i="3" s="1"/>
  <c r="S495" i="3"/>
  <c r="AC495" i="3" s="1"/>
  <c r="E496" i="3"/>
  <c r="D496" i="3"/>
  <c r="B494" i="3"/>
  <c r="T496" i="3" l="1"/>
  <c r="S496" i="3" s="1"/>
  <c r="AC496" i="3" s="1"/>
  <c r="Q496" i="3"/>
  <c r="H494" i="3"/>
  <c r="R494" i="3" s="1"/>
  <c r="W494" i="3" s="1"/>
  <c r="C496" i="3"/>
  <c r="E497" i="3"/>
  <c r="D497" i="3"/>
  <c r="C497" i="3" s="1"/>
  <c r="B495" i="3"/>
  <c r="B496" i="3" s="1"/>
  <c r="H495" i="3" l="1"/>
  <c r="R495" i="3" s="1"/>
  <c r="W495" i="3" s="1"/>
  <c r="S497" i="3"/>
  <c r="AC497" i="3" s="1"/>
  <c r="E498" i="3"/>
  <c r="D498" i="3"/>
  <c r="B497" i="3"/>
  <c r="H496" i="3" l="1"/>
  <c r="R496" i="3" s="1"/>
  <c r="W496" i="3" s="1"/>
  <c r="C498" i="3"/>
  <c r="B498" i="3" s="1"/>
  <c r="S498" i="3"/>
  <c r="AC498" i="3" s="1"/>
  <c r="E499" i="3"/>
  <c r="D499" i="3"/>
  <c r="H497" i="3" l="1"/>
  <c r="R497" i="3" s="1"/>
  <c r="W497" i="3" s="1"/>
  <c r="C499" i="3"/>
  <c r="B499" i="3" s="1"/>
  <c r="S499" i="3"/>
  <c r="AC499" i="3" s="1"/>
  <c r="E500" i="3"/>
  <c r="D500" i="3"/>
  <c r="C500" i="3" l="1"/>
  <c r="H498" i="3"/>
  <c r="R498" i="3" s="1"/>
  <c r="W498" i="3" s="1"/>
  <c r="S500" i="3"/>
  <c r="AC500" i="3" s="1"/>
  <c r="E501" i="3"/>
  <c r="D501" i="3"/>
  <c r="C501" i="3" s="1"/>
  <c r="B500" i="3"/>
  <c r="H499" i="3" l="1"/>
  <c r="R499" i="3" s="1"/>
  <c r="W499" i="3" s="1"/>
  <c r="S501" i="3"/>
  <c r="AC501" i="3" s="1"/>
  <c r="E502" i="3"/>
  <c r="D502" i="3"/>
  <c r="B501" i="3"/>
  <c r="C502" i="3" l="1"/>
  <c r="B502" i="3" s="1"/>
  <c r="T502" i="3"/>
  <c r="S502" i="3" s="1"/>
  <c r="AC502" i="3" s="1"/>
  <c r="Q502" i="3"/>
  <c r="H500" i="3"/>
  <c r="R500" i="3" s="1"/>
  <c r="W500" i="3" s="1"/>
  <c r="E503" i="3"/>
  <c r="D503" i="3"/>
  <c r="H501" i="3" l="1"/>
  <c r="R501" i="3" s="1"/>
  <c r="W501" i="3" s="1"/>
  <c r="C503" i="3"/>
  <c r="E504" i="3"/>
  <c r="D504" i="3"/>
  <c r="S503" i="3"/>
  <c r="AC503" i="3" s="1"/>
  <c r="C504" i="3" l="1"/>
  <c r="H502" i="3"/>
  <c r="R502" i="3" s="1"/>
  <c r="W502" i="3" s="1"/>
  <c r="S504" i="3"/>
  <c r="AC504" i="3" s="1"/>
  <c r="B503" i="3"/>
  <c r="D505" i="3"/>
  <c r="E505" i="3"/>
  <c r="H503" i="3" l="1"/>
  <c r="R503" i="3" s="1"/>
  <c r="W503" i="3" s="1"/>
  <c r="C505" i="3"/>
  <c r="D506" i="3"/>
  <c r="E506" i="3"/>
  <c r="S505" i="3"/>
  <c r="AC505" i="3" s="1"/>
  <c r="B504" i="3"/>
  <c r="H504" i="3" l="1"/>
  <c r="R504" i="3" s="1"/>
  <c r="W504" i="3" s="1"/>
  <c r="C506" i="3"/>
  <c r="D507" i="3"/>
  <c r="E507" i="3"/>
  <c r="S506" i="3"/>
  <c r="AC506" i="3" s="1"/>
  <c r="B505" i="3"/>
  <c r="H505" i="3" l="1"/>
  <c r="R505" i="3" s="1"/>
  <c r="W505" i="3" s="1"/>
  <c r="C507" i="3"/>
  <c r="B506" i="3"/>
  <c r="D508" i="3"/>
  <c r="E508" i="3"/>
  <c r="S507" i="3"/>
  <c r="AC507" i="3" s="1"/>
  <c r="H506" i="3" l="1"/>
  <c r="R506" i="3" s="1"/>
  <c r="W506" i="3" s="1"/>
  <c r="C508" i="3"/>
  <c r="D509" i="3"/>
  <c r="E509" i="3"/>
  <c r="S508" i="3"/>
  <c r="AC508" i="3" s="1"/>
  <c r="B507" i="3"/>
  <c r="B508" i="3" s="1"/>
  <c r="H507" i="3" l="1"/>
  <c r="R507" i="3" s="1"/>
  <c r="W507" i="3" s="1"/>
  <c r="C509" i="3"/>
  <c r="D510" i="3"/>
  <c r="E510" i="3"/>
  <c r="S509" i="3"/>
  <c r="AC509" i="3" s="1"/>
  <c r="H508" i="3" l="1"/>
  <c r="R508" i="3" s="1"/>
  <c r="W508" i="3" s="1"/>
  <c r="C510" i="3"/>
  <c r="D511" i="3"/>
  <c r="E511" i="3"/>
  <c r="S510" i="3"/>
  <c r="AC510" i="3" s="1"/>
  <c r="B509" i="3"/>
  <c r="H509" i="3" l="1"/>
  <c r="R509" i="3" s="1"/>
  <c r="W509" i="3" s="1"/>
  <c r="C511" i="3"/>
  <c r="D512" i="3"/>
  <c r="E512" i="3"/>
  <c r="S511" i="3"/>
  <c r="AC511" i="3" s="1"/>
  <c r="B510" i="3"/>
  <c r="T512" i="3" l="1"/>
  <c r="S512" i="3" s="1"/>
  <c r="AC512" i="3" s="1"/>
  <c r="Q512" i="3"/>
  <c r="H510" i="3"/>
  <c r="H511" i="3" s="1"/>
  <c r="C512" i="3"/>
  <c r="D513" i="3"/>
  <c r="E513" i="3"/>
  <c r="B511" i="3"/>
  <c r="Q513" i="3" l="1"/>
  <c r="T513" i="3"/>
  <c r="S513" i="3" s="1"/>
  <c r="AC513" i="3" s="1"/>
  <c r="R510" i="3"/>
  <c r="W510" i="3" s="1"/>
  <c r="C513" i="3"/>
  <c r="R511" i="3"/>
  <c r="W511" i="3" s="1"/>
  <c r="D514" i="3"/>
  <c r="E514" i="3"/>
  <c r="B512" i="3"/>
  <c r="B513" i="3" s="1"/>
  <c r="H512" i="3" l="1"/>
  <c r="H513" i="3" s="1"/>
  <c r="C514" i="3"/>
  <c r="D515" i="3"/>
  <c r="E515" i="3"/>
  <c r="S514" i="3"/>
  <c r="AC514" i="3" s="1"/>
  <c r="R512" i="3" l="1"/>
  <c r="W512" i="3" s="1"/>
  <c r="C515" i="3"/>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R516" i="3" s="1"/>
  <c r="W516" i="3" s="1"/>
  <c r="C518" i="3"/>
  <c r="D519" i="3"/>
  <c r="E519" i="3"/>
  <c r="S518" i="3"/>
  <c r="AC518" i="3" s="1"/>
  <c r="B517" i="3"/>
  <c r="H517" i="3" l="1"/>
  <c r="H518" i="3" s="1"/>
  <c r="C519" i="3"/>
  <c r="D520" i="3"/>
  <c r="E520" i="3"/>
  <c r="S519" i="3"/>
  <c r="AC519" i="3" s="1"/>
  <c r="B518" i="3"/>
  <c r="R517" i="3" l="1"/>
  <c r="W517" i="3" s="1"/>
  <c r="C520" i="3"/>
  <c r="R518" i="3"/>
  <c r="W518" i="3" s="1"/>
  <c r="H519" i="3"/>
  <c r="D521" i="3"/>
  <c r="E521" i="3"/>
  <c r="S520" i="3"/>
  <c r="AC520" i="3" s="1"/>
  <c r="B519" i="3"/>
  <c r="C521" i="3" l="1"/>
  <c r="D522" i="3"/>
  <c r="E522" i="3"/>
  <c r="S521" i="3"/>
  <c r="AC521" i="3" s="1"/>
  <c r="R519" i="3"/>
  <c r="W519" i="3" s="1"/>
  <c r="H520" i="3"/>
  <c r="B520" i="3"/>
  <c r="C522" i="3" l="1"/>
  <c r="R520" i="3"/>
  <c r="W520" i="3" s="1"/>
  <c r="D523" i="3"/>
  <c r="E523" i="3"/>
  <c r="S522" i="3"/>
  <c r="AC522" i="3" s="1"/>
  <c r="B521" i="3"/>
  <c r="H521" i="3" s="1"/>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T530" i="3" l="1"/>
  <c r="S530" i="3" s="1"/>
  <c r="AC530" i="3" s="1"/>
  <c r="Q530" i="3"/>
  <c r="C530" i="3"/>
  <c r="R528" i="3"/>
  <c r="W528" i="3" s="1"/>
  <c r="H529" i="3"/>
  <c r="D531" i="3"/>
  <c r="E531" i="3"/>
  <c r="C531" i="3" l="1"/>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H532" i="3"/>
  <c r="B532" i="3"/>
  <c r="C534" i="3" l="1"/>
  <c r="R532" i="3"/>
  <c r="W532" i="3" s="1"/>
  <c r="D535" i="3"/>
  <c r="E535" i="3"/>
  <c r="S534" i="3"/>
  <c r="AC534" i="3" s="1"/>
  <c r="B533" i="3"/>
  <c r="H533" i="3" s="1"/>
  <c r="C535" i="3" l="1"/>
  <c r="D536" i="3"/>
  <c r="E536" i="3"/>
  <c r="S535" i="3"/>
  <c r="AC535" i="3" s="1"/>
  <c r="R533" i="3"/>
  <c r="W533" i="3" s="1"/>
  <c r="B534" i="3"/>
  <c r="H534" i="3" s="1"/>
  <c r="C536" i="3" l="1"/>
  <c r="R534" i="3"/>
  <c r="W534" i="3" s="1"/>
  <c r="D537" i="3"/>
  <c r="E537" i="3"/>
  <c r="S536" i="3"/>
  <c r="AC536" i="3" s="1"/>
  <c r="B535" i="3"/>
  <c r="H535" i="3" s="1"/>
  <c r="C537" i="3" l="1"/>
  <c r="D538" i="3"/>
  <c r="E538" i="3"/>
  <c r="S537" i="3"/>
  <c r="AC537" i="3" s="1"/>
  <c r="R535" i="3"/>
  <c r="W535" i="3" s="1"/>
  <c r="H536" i="3"/>
  <c r="B536" i="3"/>
  <c r="C538" i="3" l="1"/>
  <c r="R536" i="3"/>
  <c r="W536" i="3" s="1"/>
  <c r="D539" i="3"/>
  <c r="E539" i="3"/>
  <c r="S538" i="3"/>
  <c r="AC538" i="3" s="1"/>
  <c r="B537" i="3"/>
  <c r="H537" i="3" s="1"/>
  <c r="C539" i="3" l="1"/>
  <c r="D540" i="3"/>
  <c r="E540" i="3"/>
  <c r="S539" i="3"/>
  <c r="AC539" i="3" s="1"/>
  <c r="R537" i="3"/>
  <c r="W537" i="3" s="1"/>
  <c r="H538" i="3"/>
  <c r="B538" i="3"/>
  <c r="C540" i="3" l="1"/>
  <c r="R538" i="3"/>
  <c r="W538" i="3" s="1"/>
  <c r="D541" i="3"/>
  <c r="E541" i="3"/>
  <c r="S540" i="3"/>
  <c r="AC540" i="3" s="1"/>
  <c r="B539" i="3"/>
  <c r="H539" i="3" s="1"/>
  <c r="C541" i="3" l="1"/>
  <c r="D542" i="3"/>
  <c r="E542" i="3"/>
  <c r="S541" i="3"/>
  <c r="AC541" i="3" s="1"/>
  <c r="R539" i="3"/>
  <c r="W539" i="3" s="1"/>
  <c r="H540" i="3"/>
  <c r="B540" i="3"/>
  <c r="C542" i="3" l="1"/>
  <c r="R540" i="3"/>
  <c r="W540" i="3" s="1"/>
  <c r="D543" i="3"/>
  <c r="E543" i="3"/>
  <c r="S542" i="3"/>
  <c r="AC542" i="3" s="1"/>
  <c r="B541" i="3"/>
  <c r="H541" i="3" s="1"/>
  <c r="C543" i="3" l="1"/>
  <c r="D544" i="3"/>
  <c r="E544" i="3"/>
  <c r="S543" i="3"/>
  <c r="AC543" i="3" s="1"/>
  <c r="R541" i="3"/>
  <c r="W541" i="3" s="1"/>
  <c r="H542" i="3"/>
  <c r="B542" i="3"/>
  <c r="Q544" i="3" l="1"/>
  <c r="T544" i="3"/>
  <c r="S544" i="3" s="1"/>
  <c r="AC544" i="3" s="1"/>
  <c r="C544" i="3"/>
  <c r="R542" i="3"/>
  <c r="W542" i="3" s="1"/>
  <c r="E545" i="3"/>
  <c r="D545" i="3"/>
  <c r="C545" i="3" s="1"/>
  <c r="B543" i="3"/>
  <c r="H543" i="3" s="1"/>
  <c r="S545" i="3" l="1"/>
  <c r="AC545" i="3" s="1"/>
  <c r="E546" i="3"/>
  <c r="D546" i="3"/>
  <c r="R543" i="3"/>
  <c r="W543" i="3" s="1"/>
  <c r="B544" i="3"/>
  <c r="H544" i="3" s="1"/>
  <c r="C546" i="3" l="1"/>
  <c r="Q546" i="3"/>
  <c r="R544" i="3"/>
  <c r="W544" i="3" s="1"/>
  <c r="S546" i="3"/>
  <c r="AC546" i="3" s="1"/>
  <c r="E547" i="3"/>
  <c r="D547" i="3"/>
  <c r="B545" i="3"/>
  <c r="B546" i="3" s="1"/>
  <c r="C547" i="3" l="1"/>
  <c r="H545" i="3"/>
  <c r="R545" i="3" s="1"/>
  <c r="W545" i="3" s="1"/>
  <c r="E548" i="3"/>
  <c r="D548" i="3"/>
  <c r="S547" i="3"/>
  <c r="AC547" i="3" s="1"/>
  <c r="C548" i="3" l="1"/>
  <c r="H546" i="3"/>
  <c r="R546" i="3" s="1"/>
  <c r="W546" i="3" s="1"/>
  <c r="B547" i="3"/>
  <c r="S548" i="3"/>
  <c r="AC548" i="3" s="1"/>
  <c r="E549" i="3"/>
  <c r="D549" i="3"/>
  <c r="H547" i="3" l="1"/>
  <c r="R547" i="3" s="1"/>
  <c r="W547" i="3" s="1"/>
  <c r="C549" i="3"/>
  <c r="E550" i="3"/>
  <c r="D550" i="3"/>
  <c r="S549" i="3"/>
  <c r="AC549" i="3" s="1"/>
  <c r="B548" i="3"/>
  <c r="H548" i="3" l="1"/>
  <c r="R548" i="3" s="1"/>
  <c r="W548" i="3" s="1"/>
  <c r="C550" i="3"/>
  <c r="B549" i="3"/>
  <c r="S550" i="3"/>
  <c r="AC550" i="3" s="1"/>
  <c r="E551" i="3"/>
  <c r="D551" i="3"/>
  <c r="H549" i="3" l="1"/>
  <c r="R549" i="3" s="1"/>
  <c r="W549" i="3" s="1"/>
  <c r="C551" i="3"/>
  <c r="S551" i="3"/>
  <c r="AC551" i="3" s="1"/>
  <c r="E552" i="3"/>
  <c r="D552" i="3"/>
  <c r="B550" i="3"/>
  <c r="B551" i="3" s="1"/>
  <c r="C552" i="3" l="1"/>
  <c r="H550" i="3"/>
  <c r="R550" i="3" s="1"/>
  <c r="W550" i="3" s="1"/>
  <c r="S552" i="3"/>
  <c r="AC552" i="3" s="1"/>
  <c r="E553" i="3"/>
  <c r="D553" i="3"/>
  <c r="B552" i="3"/>
  <c r="H551" i="3" l="1"/>
  <c r="R551" i="3" s="1"/>
  <c r="W551" i="3" s="1"/>
  <c r="C553" i="3"/>
  <c r="S553" i="3"/>
  <c r="AC553" i="3" s="1"/>
  <c r="E554" i="3"/>
  <c r="D554" i="3"/>
  <c r="C554" i="3" l="1"/>
  <c r="H552" i="3"/>
  <c r="R552" i="3" s="1"/>
  <c r="W552" i="3" s="1"/>
  <c r="S554" i="3"/>
  <c r="AC554" i="3" s="1"/>
  <c r="E555" i="3"/>
  <c r="D555" i="3"/>
  <c r="B553" i="3"/>
  <c r="B554" i="3" s="1"/>
  <c r="C555" i="3" l="1"/>
  <c r="H553" i="3"/>
  <c r="R553" i="3" s="1"/>
  <c r="W553" i="3" s="1"/>
  <c r="S555" i="3"/>
  <c r="AC555" i="3" s="1"/>
  <c r="E556" i="3"/>
  <c r="D556" i="3"/>
  <c r="B555" i="3"/>
  <c r="H554" i="3" l="1"/>
  <c r="R554" i="3" s="1"/>
  <c r="W554" i="3" s="1"/>
  <c r="C556" i="3"/>
  <c r="S556" i="3"/>
  <c r="AC556" i="3" s="1"/>
  <c r="E557" i="3"/>
  <c r="D557" i="3"/>
  <c r="B556" i="3"/>
  <c r="C557" i="3" l="1"/>
  <c r="H555" i="3"/>
  <c r="R555" i="3" s="1"/>
  <c r="W555" i="3" s="1"/>
  <c r="E558" i="3"/>
  <c r="D558" i="3"/>
  <c r="S557" i="3"/>
  <c r="AC557" i="3" s="1"/>
  <c r="H556" i="3" l="1"/>
  <c r="R556" i="3" s="1"/>
  <c r="W556" i="3" s="1"/>
  <c r="C558" i="3"/>
  <c r="B557" i="3"/>
  <c r="S558" i="3"/>
  <c r="AC558" i="3" s="1"/>
  <c r="E559" i="3"/>
  <c r="D559" i="3"/>
  <c r="H557" i="3" l="1"/>
  <c r="R557" i="3" s="1"/>
  <c r="W557" i="3" s="1"/>
  <c r="C559" i="3"/>
  <c r="E560" i="3"/>
  <c r="D560" i="3"/>
  <c r="S559" i="3"/>
  <c r="AC559" i="3" s="1"/>
  <c r="B558" i="3"/>
  <c r="C560" i="3" l="1"/>
  <c r="H558" i="3"/>
  <c r="R558" i="3" s="1"/>
  <c r="W558" i="3" s="1"/>
  <c r="B559" i="3"/>
  <c r="S560" i="3"/>
  <c r="AC560" i="3" s="1"/>
  <c r="E561" i="3"/>
  <c r="D561" i="3"/>
  <c r="H559" i="3" l="1"/>
  <c r="R559" i="3" s="1"/>
  <c r="W559" i="3" s="1"/>
  <c r="C561" i="3"/>
  <c r="E562" i="3"/>
  <c r="D562" i="3"/>
  <c r="S561" i="3"/>
  <c r="AC561" i="3" s="1"/>
  <c r="B560" i="3"/>
  <c r="C562" i="3" l="1"/>
  <c r="H560" i="3"/>
  <c r="R560" i="3" s="1"/>
  <c r="W560" i="3" s="1"/>
  <c r="B561" i="3"/>
  <c r="S562" i="3"/>
  <c r="AC562" i="3" s="1"/>
  <c r="E563" i="3"/>
  <c r="D563" i="3"/>
  <c r="H561" i="3" l="1"/>
  <c r="R561" i="3" s="1"/>
  <c r="W561" i="3" s="1"/>
  <c r="C563" i="3"/>
  <c r="E564" i="3"/>
  <c r="D564" i="3"/>
  <c r="S563" i="3"/>
  <c r="AC563" i="3" s="1"/>
  <c r="B562" i="3"/>
  <c r="H562" i="3" l="1"/>
  <c r="R562" i="3" s="1"/>
  <c r="W562" i="3" s="1"/>
  <c r="C564" i="3"/>
  <c r="B563" i="3"/>
  <c r="S564" i="3"/>
  <c r="AC564" i="3" s="1"/>
  <c r="E565" i="3"/>
  <c r="D565" i="3"/>
  <c r="H563" i="3" l="1"/>
  <c r="R563" i="3" s="1"/>
  <c r="W563" i="3" s="1"/>
  <c r="C565" i="3"/>
  <c r="E566" i="3"/>
  <c r="D566" i="3"/>
  <c r="S565" i="3"/>
  <c r="AC565" i="3" s="1"/>
  <c r="B564" i="3"/>
  <c r="H564" i="3" l="1"/>
  <c r="R564" i="3" s="1"/>
  <c r="W564" i="3" s="1"/>
  <c r="C566" i="3"/>
  <c r="B565" i="3"/>
  <c r="S566" i="3"/>
  <c r="AC566" i="3" s="1"/>
  <c r="E567" i="3"/>
  <c r="D567" i="3"/>
  <c r="H565" i="3" l="1"/>
  <c r="R565" i="3" s="1"/>
  <c r="W565" i="3" s="1"/>
  <c r="C567" i="3"/>
  <c r="E568" i="3"/>
  <c r="D568" i="3"/>
  <c r="S567" i="3"/>
  <c r="AC567" i="3" s="1"/>
  <c r="B566" i="3"/>
  <c r="H566" i="3" l="1"/>
  <c r="R566" i="3" s="1"/>
  <c r="W566" i="3" s="1"/>
  <c r="C568" i="3"/>
  <c r="S568" i="3"/>
  <c r="AC568" i="3" s="1"/>
  <c r="E569" i="3"/>
  <c r="D569" i="3"/>
  <c r="B567" i="3"/>
  <c r="H567" i="3" l="1"/>
  <c r="R567" i="3" s="1"/>
  <c r="W567" i="3" s="1"/>
  <c r="C569" i="3"/>
  <c r="S569" i="3"/>
  <c r="AC569" i="3" s="1"/>
  <c r="E570" i="3"/>
  <c r="D570" i="3"/>
  <c r="B568" i="3"/>
  <c r="C570" i="3" l="1"/>
  <c r="H568" i="3"/>
  <c r="R568" i="3" s="1"/>
  <c r="W568" i="3" s="1"/>
  <c r="S570" i="3"/>
  <c r="AC570" i="3" s="1"/>
  <c r="E571" i="3"/>
  <c r="D571" i="3"/>
  <c r="B569" i="3"/>
  <c r="B570" i="3" s="1"/>
  <c r="C571" i="3" l="1"/>
  <c r="H569" i="3"/>
  <c r="R569" i="3" s="1"/>
  <c r="W569" i="3" s="1"/>
  <c r="S571" i="3"/>
  <c r="AC571" i="3" s="1"/>
  <c r="E572" i="3"/>
  <c r="D572" i="3"/>
  <c r="C572" i="3" s="1"/>
  <c r="B571" i="3"/>
  <c r="H570" i="3" l="1"/>
  <c r="R570" i="3" s="1"/>
  <c r="W570" i="3" s="1"/>
  <c r="S572" i="3"/>
  <c r="AC572" i="3" s="1"/>
  <c r="E573" i="3"/>
  <c r="D573" i="3"/>
  <c r="B572" i="3"/>
  <c r="C573" i="3" l="1"/>
  <c r="H571" i="3"/>
  <c r="R571" i="3" s="1"/>
  <c r="W571" i="3" s="1"/>
  <c r="S573" i="3"/>
  <c r="AC573" i="3" s="1"/>
  <c r="E574" i="3"/>
  <c r="D574" i="3"/>
  <c r="C574" i="3" s="1"/>
  <c r="B573" i="3"/>
  <c r="H572" i="3" l="1"/>
  <c r="R572" i="3" s="1"/>
  <c r="W572" i="3" s="1"/>
  <c r="S574" i="3"/>
  <c r="AC574" i="3" s="1"/>
  <c r="E575" i="3"/>
  <c r="D575" i="3"/>
  <c r="B574" i="3"/>
  <c r="H573" i="3" l="1"/>
  <c r="R573" i="3" s="1"/>
  <c r="W573" i="3" s="1"/>
  <c r="C575" i="3"/>
  <c r="B575" i="3" s="1"/>
  <c r="S575" i="3"/>
  <c r="AC575" i="3" s="1"/>
  <c r="E576" i="3"/>
  <c r="D576" i="3"/>
  <c r="H574" i="3" l="1"/>
  <c r="R574" i="3" s="1"/>
  <c r="W574" i="3" s="1"/>
  <c r="C576" i="3"/>
  <c r="B576" i="3" s="1"/>
  <c r="S576" i="3"/>
  <c r="AC576" i="3" s="1"/>
  <c r="E577" i="3"/>
  <c r="D577" i="3"/>
  <c r="C577" i="3" l="1"/>
  <c r="H575" i="3"/>
  <c r="R575" i="3" s="1"/>
  <c r="W575" i="3" s="1"/>
  <c r="S577" i="3"/>
  <c r="AC577" i="3" s="1"/>
  <c r="E578" i="3"/>
  <c r="D578" i="3"/>
  <c r="B577" i="3"/>
  <c r="C578" i="3" l="1"/>
  <c r="B578" i="3" s="1"/>
  <c r="H576" i="3"/>
  <c r="R576" i="3" s="1"/>
  <c r="W576" i="3" s="1"/>
  <c r="S578" i="3"/>
  <c r="AC578" i="3" s="1"/>
  <c r="E579" i="3"/>
  <c r="D579" i="3"/>
  <c r="H577" i="3" l="1"/>
  <c r="R577" i="3" s="1"/>
  <c r="W577" i="3" s="1"/>
  <c r="C579" i="3"/>
  <c r="E580" i="3"/>
  <c r="D580" i="3"/>
  <c r="S579" i="3"/>
  <c r="AC579" i="3" s="1"/>
  <c r="H578" i="3" l="1"/>
  <c r="R578" i="3" s="1"/>
  <c r="W578" i="3" s="1"/>
  <c r="C580" i="3"/>
  <c r="B579" i="3"/>
  <c r="S580" i="3"/>
  <c r="AC580" i="3" s="1"/>
  <c r="E581" i="3"/>
  <c r="D581" i="3"/>
  <c r="H579" i="3" l="1"/>
  <c r="R579" i="3" s="1"/>
  <c r="W579" i="3" s="1"/>
  <c r="C581" i="3"/>
  <c r="E582" i="3"/>
  <c r="D582" i="3"/>
  <c r="S581" i="3"/>
  <c r="AC581" i="3" s="1"/>
  <c r="B580" i="3"/>
  <c r="C582" i="3" l="1"/>
  <c r="H580" i="3"/>
  <c r="R580" i="3" s="1"/>
  <c r="W580" i="3" s="1"/>
  <c r="B581" i="3"/>
  <c r="S582" i="3"/>
  <c r="AC582" i="3" s="1"/>
  <c r="E583" i="3"/>
  <c r="D583" i="3"/>
  <c r="H581" i="3" l="1"/>
  <c r="R581" i="3" s="1"/>
  <c r="W581" i="3" s="1"/>
  <c r="C583" i="3"/>
  <c r="E584" i="3"/>
  <c r="D584" i="3"/>
  <c r="C584" i="3" s="1"/>
  <c r="S583" i="3"/>
  <c r="AC583" i="3" s="1"/>
  <c r="B582" i="3"/>
  <c r="H582" i="3" l="1"/>
  <c r="R582" i="3" s="1"/>
  <c r="W582" i="3" s="1"/>
  <c r="S584" i="3"/>
  <c r="AC584" i="3" s="1"/>
  <c r="E585" i="3"/>
  <c r="D585" i="3"/>
  <c r="B583" i="3"/>
  <c r="H583" i="3" l="1"/>
  <c r="R583" i="3" s="1"/>
  <c r="W583" i="3" s="1"/>
  <c r="C585" i="3"/>
  <c r="S585" i="3"/>
  <c r="AC585" i="3" s="1"/>
  <c r="E586" i="3"/>
  <c r="D586" i="3"/>
  <c r="B584" i="3"/>
  <c r="C586" i="3" l="1"/>
  <c r="H584" i="3"/>
  <c r="R584" i="3" s="1"/>
  <c r="W584" i="3" s="1"/>
  <c r="S586" i="3"/>
  <c r="AC586" i="3" s="1"/>
  <c r="E587" i="3"/>
  <c r="D587" i="3"/>
  <c r="C587" i="3" s="1"/>
  <c r="B585" i="3"/>
  <c r="B586" i="3" s="1"/>
  <c r="H585" i="3" l="1"/>
  <c r="R585" i="3" s="1"/>
  <c r="W585" i="3" s="1"/>
  <c r="S587" i="3"/>
  <c r="AC587" i="3" s="1"/>
  <c r="E588" i="3"/>
  <c r="D588" i="3"/>
  <c r="C588" i="3" s="1"/>
  <c r="B587" i="3"/>
  <c r="H586" i="3" l="1"/>
  <c r="R586" i="3" s="1"/>
  <c r="W586" i="3" s="1"/>
  <c r="S588" i="3"/>
  <c r="AC588" i="3" s="1"/>
  <c r="E589" i="3"/>
  <c r="D589" i="3"/>
  <c r="C589" i="3" s="1"/>
  <c r="B588" i="3"/>
  <c r="H587" i="3" l="1"/>
  <c r="R587" i="3" s="1"/>
  <c r="W587" i="3" s="1"/>
  <c r="S589" i="3"/>
  <c r="AC589" i="3" s="1"/>
  <c r="E590" i="3"/>
  <c r="D590" i="3"/>
  <c r="C590" i="3" s="1"/>
  <c r="B589" i="3"/>
  <c r="H588" i="3" l="1"/>
  <c r="R588" i="3" s="1"/>
  <c r="W588" i="3" s="1"/>
  <c r="S590" i="3"/>
  <c r="AC590" i="3" s="1"/>
  <c r="E591" i="3"/>
  <c r="D591" i="3"/>
  <c r="B590" i="3"/>
  <c r="H589" i="3" l="1"/>
  <c r="R589" i="3" s="1"/>
  <c r="W589" i="3" s="1"/>
  <c r="C591" i="3"/>
  <c r="S591" i="3"/>
  <c r="AC591" i="3" s="1"/>
  <c r="E592" i="3"/>
  <c r="D592" i="3"/>
  <c r="B591" i="3"/>
  <c r="H590" i="3" l="1"/>
  <c r="R590" i="3" s="1"/>
  <c r="W590" i="3" s="1"/>
  <c r="C592" i="3"/>
  <c r="B592" i="3" s="1"/>
  <c r="S592" i="3"/>
  <c r="AC592" i="3" s="1"/>
  <c r="E593" i="3"/>
  <c r="D593" i="3"/>
  <c r="H591" i="3" l="1"/>
  <c r="R591" i="3" s="1"/>
  <c r="W591" i="3" s="1"/>
  <c r="C593" i="3"/>
  <c r="B593" i="3" s="1"/>
  <c r="S593" i="3"/>
  <c r="AC593" i="3" s="1"/>
  <c r="E594" i="3"/>
  <c r="D594" i="3"/>
  <c r="C594" i="3" l="1"/>
  <c r="H592" i="3"/>
  <c r="R592" i="3" s="1"/>
  <c r="W592" i="3" s="1"/>
  <c r="B594" i="3"/>
  <c r="S594" i="3"/>
  <c r="AC594" i="3" s="1"/>
  <c r="E595" i="3"/>
  <c r="D595" i="3"/>
  <c r="C595" i="3" s="1"/>
  <c r="H593" i="3" l="1"/>
  <c r="R593" i="3" s="1"/>
  <c r="W593" i="3" s="1"/>
  <c r="S595" i="3"/>
  <c r="AC595" i="3" s="1"/>
  <c r="E596" i="3"/>
  <c r="D596" i="3"/>
  <c r="C596" i="3" s="1"/>
  <c r="B595" i="3"/>
  <c r="H594" i="3" l="1"/>
  <c r="R594" i="3" s="1"/>
  <c r="W594" i="3" s="1"/>
  <c r="S596" i="3"/>
  <c r="AC596" i="3" s="1"/>
  <c r="E597" i="3"/>
  <c r="D597" i="3"/>
  <c r="C597" i="3" s="1"/>
  <c r="B596" i="3"/>
  <c r="H595" i="3" l="1"/>
  <c r="R595" i="3" s="1"/>
  <c r="W595" i="3" s="1"/>
  <c r="S597" i="3"/>
  <c r="AC597" i="3" s="1"/>
  <c r="E598" i="3"/>
  <c r="D598" i="3"/>
  <c r="C598" i="3" s="1"/>
  <c r="B597" i="3"/>
  <c r="H596" i="3" l="1"/>
  <c r="R596" i="3" s="1"/>
  <c r="W596" i="3" s="1"/>
  <c r="S598" i="3"/>
  <c r="AC598" i="3" s="1"/>
  <c r="E599" i="3"/>
  <c r="D599" i="3"/>
  <c r="C599" i="3" s="1"/>
  <c r="B598" i="3"/>
  <c r="H597" i="3" l="1"/>
  <c r="R597" i="3" s="1"/>
  <c r="W597" i="3" s="1"/>
  <c r="S599" i="3"/>
  <c r="AC599" i="3" s="1"/>
  <c r="E600" i="3"/>
  <c r="D600" i="3"/>
  <c r="C600" i="3" s="1"/>
  <c r="B599" i="3"/>
  <c r="H598" i="3" l="1"/>
  <c r="R598" i="3" s="1"/>
  <c r="W598" i="3" s="1"/>
  <c r="S600" i="3"/>
  <c r="AC600" i="3" s="1"/>
  <c r="E601" i="3"/>
  <c r="D601" i="3"/>
  <c r="B600" i="3"/>
  <c r="H599" i="3" l="1"/>
  <c r="R599" i="3" s="1"/>
  <c r="W599" i="3" s="1"/>
  <c r="C601" i="3"/>
  <c r="B601" i="3" s="1"/>
  <c r="S601" i="3"/>
  <c r="AC601" i="3" s="1"/>
  <c r="E602" i="3"/>
  <c r="D602" i="3"/>
  <c r="C602" i="3" l="1"/>
  <c r="B602" i="3" s="1"/>
  <c r="H600" i="3"/>
  <c r="R600" i="3" s="1"/>
  <c r="W600" i="3" s="1"/>
  <c r="S602" i="3"/>
  <c r="AC602" i="3" s="1"/>
  <c r="E603" i="3"/>
  <c r="D603" i="3"/>
  <c r="C603" i="3" s="1"/>
  <c r="H601" i="3" l="1"/>
  <c r="R601" i="3" s="1"/>
  <c r="W601" i="3" s="1"/>
  <c r="S603" i="3"/>
  <c r="AC603" i="3" s="1"/>
  <c r="E604" i="3"/>
  <c r="D604" i="3"/>
  <c r="C604" i="3" s="1"/>
  <c r="B603" i="3"/>
  <c r="H602" i="3" l="1"/>
  <c r="R602" i="3" s="1"/>
  <c r="W602" i="3" s="1"/>
  <c r="S604" i="3"/>
  <c r="AC604" i="3" s="1"/>
  <c r="E605" i="3"/>
  <c r="D605" i="3"/>
  <c r="C605" i="3" s="1"/>
  <c r="B604" i="3"/>
  <c r="H603" i="3" l="1"/>
  <c r="R603" i="3" s="1"/>
  <c r="W603" i="3" s="1"/>
  <c r="S605" i="3"/>
  <c r="AC605" i="3" s="1"/>
  <c r="E606" i="3"/>
  <c r="D606" i="3"/>
  <c r="B605" i="3"/>
  <c r="C606" i="3" l="1"/>
  <c r="H604" i="3"/>
  <c r="R604" i="3" s="1"/>
  <c r="W604" i="3" s="1"/>
  <c r="E607" i="3"/>
  <c r="D607" i="3"/>
  <c r="C607" i="3" s="1"/>
  <c r="S606" i="3"/>
  <c r="AC606" i="3" s="1"/>
  <c r="B606" i="3"/>
  <c r="H605" i="3" l="1"/>
  <c r="R605" i="3" s="1"/>
  <c r="W605" i="3" s="1"/>
  <c r="S607" i="3"/>
  <c r="AC607" i="3" s="1"/>
  <c r="E608" i="3"/>
  <c r="D608" i="3"/>
  <c r="C608" i="3" s="1"/>
  <c r="H606" i="3" l="1"/>
  <c r="R606" i="3" s="1"/>
  <c r="W606" i="3" s="1"/>
  <c r="S608" i="3"/>
  <c r="AC608" i="3" s="1"/>
  <c r="E609" i="3"/>
  <c r="D609" i="3"/>
  <c r="B607" i="3"/>
  <c r="H607" i="3" l="1"/>
  <c r="R607" i="3" s="1"/>
  <c r="W607" i="3" s="1"/>
  <c r="C609" i="3"/>
  <c r="S609" i="3"/>
  <c r="AC609" i="3" s="1"/>
  <c r="E610" i="3"/>
  <c r="D610" i="3"/>
  <c r="B608" i="3"/>
  <c r="H608" i="3" l="1"/>
  <c r="R608" i="3" s="1"/>
  <c r="W608" i="3" s="1"/>
  <c r="C610" i="3"/>
  <c r="B609" i="3"/>
  <c r="S610" i="3"/>
  <c r="AC610" i="3" s="1"/>
  <c r="E611" i="3"/>
  <c r="D611" i="3"/>
  <c r="B610" i="3" l="1"/>
  <c r="C611" i="3"/>
  <c r="H609" i="3"/>
  <c r="R609" i="3" s="1"/>
  <c r="W609" i="3" s="1"/>
  <c r="S611" i="3"/>
  <c r="AC611" i="3" s="1"/>
  <c r="D612" i="3"/>
  <c r="E612" i="3"/>
  <c r="B611" i="3" l="1"/>
  <c r="H610" i="3"/>
  <c r="R610" i="3" s="1"/>
  <c r="W610" i="3" s="1"/>
  <c r="C612" i="3"/>
  <c r="E613" i="3"/>
  <c r="D613" i="3"/>
  <c r="S612" i="3"/>
  <c r="AC612" i="3" s="1"/>
  <c r="B612" i="3" l="1"/>
  <c r="H611" i="3"/>
  <c r="H612" i="3" s="1"/>
  <c r="C613" i="3"/>
  <c r="S613" i="3"/>
  <c r="AC613" i="3" s="1"/>
  <c r="D614" i="3"/>
  <c r="E614" i="3"/>
  <c r="R611" i="3" l="1"/>
  <c r="W611" i="3" s="1"/>
  <c r="C614" i="3"/>
  <c r="E615" i="3"/>
  <c r="D615" i="3"/>
  <c r="R612" i="3"/>
  <c r="W612" i="3" s="1"/>
  <c r="S614" i="3"/>
  <c r="AC614" i="3" s="1"/>
  <c r="B613" i="3"/>
  <c r="H613" i="3" s="1"/>
  <c r="C615" i="3" l="1"/>
  <c r="R613" i="3"/>
  <c r="W613" i="3" s="1"/>
  <c r="B614" i="3"/>
  <c r="H614" i="3" s="1"/>
  <c r="S615" i="3"/>
  <c r="AC615" i="3" s="1"/>
  <c r="D616" i="3"/>
  <c r="E616" i="3"/>
  <c r="C616" i="3" l="1"/>
  <c r="S616" i="3"/>
  <c r="AC616" i="3" s="1"/>
  <c r="E617" i="3"/>
  <c r="D617" i="3"/>
  <c r="R614" i="3"/>
  <c r="W614" i="3" s="1"/>
  <c r="H615" i="3"/>
  <c r="B615" i="3"/>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E623" i="3"/>
  <c r="D623" i="3"/>
  <c r="B621" i="3"/>
  <c r="H621" i="3" s="1"/>
  <c r="B622" i="3" l="1"/>
  <c r="C623" i="3"/>
  <c r="S623" i="3"/>
  <c r="AC623" i="3" s="1"/>
  <c r="D624" i="3"/>
  <c r="E624" i="3"/>
  <c r="R621" i="3"/>
  <c r="W621" i="3" s="1"/>
  <c r="H622" i="3"/>
  <c r="B623" i="3" l="1"/>
  <c r="C624" i="3"/>
  <c r="E625" i="3"/>
  <c r="D625" i="3"/>
  <c r="S624" i="3"/>
  <c r="AC624" i="3" s="1"/>
  <c r="R622" i="3"/>
  <c r="W622" i="3" s="1"/>
  <c r="H623" i="3"/>
  <c r="B624" i="3" l="1"/>
  <c r="C625" i="3"/>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E631" i="3"/>
  <c r="D631" i="3"/>
  <c r="S630" i="3"/>
  <c r="AC630" i="3" s="1"/>
  <c r="B629" i="3"/>
  <c r="H629" i="3" s="1"/>
  <c r="C631" i="3" l="1"/>
  <c r="S631" i="3"/>
  <c r="AC631" i="3" s="1"/>
  <c r="D632" i="3"/>
  <c r="E632" i="3"/>
  <c r="R629" i="3"/>
  <c r="W629" i="3" s="1"/>
  <c r="B630" i="3"/>
  <c r="H630" i="3" s="1"/>
  <c r="C632" i="3" l="1"/>
  <c r="R630" i="3"/>
  <c r="W630" i="3" s="1"/>
  <c r="S632" i="3"/>
  <c r="AC632" i="3" s="1"/>
  <c r="E633" i="3"/>
  <c r="D633" i="3"/>
  <c r="B631" i="3"/>
  <c r="B632" i="3" s="1"/>
  <c r="H631" i="3" l="1"/>
  <c r="H632" i="3" s="1"/>
  <c r="C633" i="3"/>
  <c r="B633" i="3" s="1"/>
  <c r="S633" i="3"/>
  <c r="AC633" i="3" s="1"/>
  <c r="E634" i="3"/>
  <c r="D634" i="3"/>
  <c r="R631" i="3" l="1"/>
  <c r="W631" i="3" s="1"/>
  <c r="C634" i="3"/>
  <c r="B634" i="3" s="1"/>
  <c r="E635" i="3"/>
  <c r="D635" i="3"/>
  <c r="R632" i="3"/>
  <c r="W632" i="3" s="1"/>
  <c r="H633" i="3"/>
  <c r="S634" i="3"/>
  <c r="AC634" i="3" s="1"/>
  <c r="C635" i="3" l="1"/>
  <c r="R633" i="3"/>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l="1"/>
  <c r="R637" i="3"/>
  <c r="W637" i="3" s="1"/>
  <c r="S639" i="3"/>
  <c r="AC639" i="3" s="1"/>
  <c r="E640" i="3"/>
  <c r="D640" i="3"/>
  <c r="B638" i="3"/>
  <c r="H638" i="3" s="1"/>
  <c r="C640" i="3" l="1"/>
  <c r="R638" i="3"/>
  <c r="W638" i="3" s="1"/>
  <c r="S640" i="3"/>
  <c r="AC640" i="3" s="1"/>
  <c r="E641" i="3"/>
  <c r="D641" i="3"/>
  <c r="C641" i="3" s="1"/>
  <c r="B639" i="3"/>
  <c r="H639" i="3" s="1"/>
  <c r="R639" i="3" l="1"/>
  <c r="W639" i="3" s="1"/>
  <c r="S641" i="3"/>
  <c r="AC641" i="3" s="1"/>
  <c r="E642" i="3"/>
  <c r="D642" i="3"/>
  <c r="B640" i="3"/>
  <c r="H640" i="3" s="1"/>
  <c r="C642" i="3" l="1"/>
  <c r="S642" i="3"/>
  <c r="AC642" i="3" s="1"/>
  <c r="R640" i="3"/>
  <c r="W640" i="3" s="1"/>
  <c r="E643" i="3"/>
  <c r="D643" i="3"/>
  <c r="B641" i="3"/>
  <c r="B642" i="3" l="1"/>
  <c r="H641" i="3"/>
  <c r="R641" i="3" s="1"/>
  <c r="W641" i="3" s="1"/>
  <c r="C643" i="3"/>
  <c r="S643" i="3"/>
  <c r="AC643" i="3" s="1"/>
  <c r="D644" i="3"/>
  <c r="E644" i="3"/>
  <c r="B643" i="3"/>
  <c r="H642" i="3" l="1"/>
  <c r="R642" i="3" s="1"/>
  <c r="W642" i="3" s="1"/>
  <c r="C644" i="3"/>
  <c r="B644" i="3" s="1"/>
  <c r="D645" i="3"/>
  <c r="E645" i="3"/>
  <c r="S644" i="3"/>
  <c r="AC644" i="3" s="1"/>
  <c r="H643" i="3" l="1"/>
  <c r="R643" i="3" s="1"/>
  <c r="W643" i="3" s="1"/>
  <c r="C645" i="3"/>
  <c r="E646" i="3"/>
  <c r="D646" i="3"/>
  <c r="S645" i="3"/>
  <c r="AC645" i="3" s="1"/>
  <c r="H644" i="3" l="1"/>
  <c r="R644" i="3" s="1"/>
  <c r="W644" i="3" s="1"/>
  <c r="C646" i="3"/>
  <c r="E647" i="3"/>
  <c r="D647" i="3"/>
  <c r="S646" i="3"/>
  <c r="AC646" i="3" s="1"/>
  <c r="B645" i="3"/>
  <c r="H645" i="3" l="1"/>
  <c r="R645" i="3" s="1"/>
  <c r="W645" i="3" s="1"/>
  <c r="C647" i="3"/>
  <c r="S647" i="3"/>
  <c r="AC647" i="3" s="1"/>
  <c r="E648" i="3"/>
  <c r="D648" i="3"/>
  <c r="B646" i="3"/>
  <c r="T648" i="3" l="1"/>
  <c r="S648" i="3" s="1"/>
  <c r="Q648" i="3"/>
  <c r="H646" i="3"/>
  <c r="R646" i="3" s="1"/>
  <c r="W646" i="3" s="1"/>
  <c r="C648" i="3"/>
  <c r="E649" i="3"/>
  <c r="D649" i="3"/>
  <c r="B647" i="3"/>
  <c r="AN648" i="3" l="1"/>
  <c r="AC648" i="3" s="1"/>
  <c r="T649" i="3"/>
  <c r="S649" i="3" s="1"/>
  <c r="Q649" i="3"/>
  <c r="C649" i="3"/>
  <c r="H647" i="3"/>
  <c r="R647" i="3" s="1"/>
  <c r="W647" i="3" s="1"/>
  <c r="E650" i="3"/>
  <c r="D650" i="3"/>
  <c r="B648" i="3"/>
  <c r="AN649" i="3" l="1"/>
  <c r="AC649" i="3" s="1"/>
  <c r="B649" i="3"/>
  <c r="C650" i="3"/>
  <c r="B650" i="3" s="1"/>
  <c r="H648" i="3"/>
  <c r="R648" i="3" s="1"/>
  <c r="W648" i="3" s="1"/>
  <c r="S650" i="3"/>
  <c r="AC650" i="3" s="1"/>
  <c r="E651" i="3"/>
  <c r="D651" i="3"/>
  <c r="C651" i="3" l="1"/>
  <c r="T651" i="3"/>
  <c r="S651" i="3" s="1"/>
  <c r="Q651" i="3"/>
  <c r="H649" i="3"/>
  <c r="R649" i="3" s="1"/>
  <c r="W649" i="3" s="1"/>
  <c r="D652" i="3"/>
  <c r="E652" i="3"/>
  <c r="B651" i="3"/>
  <c r="AN651" i="3" l="1"/>
  <c r="AC651" i="3" s="1"/>
  <c r="H650" i="3"/>
  <c r="R650" i="3" s="1"/>
  <c r="W650" i="3" s="1"/>
  <c r="C652" i="3"/>
  <c r="D653" i="3"/>
  <c r="E653" i="3"/>
  <c r="S652" i="3"/>
  <c r="AC652" i="3" s="1"/>
  <c r="B652" i="3"/>
  <c r="T653" i="3" l="1"/>
  <c r="S653" i="3" s="1"/>
  <c r="Q653" i="3"/>
  <c r="H651" i="3"/>
  <c r="R651" i="3" s="1"/>
  <c r="W651" i="3" s="1"/>
  <c r="C653" i="3"/>
  <c r="D654" i="3"/>
  <c r="AN653" i="3" l="1"/>
  <c r="AC653" i="3" s="1"/>
  <c r="Q654" i="3"/>
  <c r="T654" i="3"/>
  <c r="S654" i="3" s="1"/>
  <c r="H652" i="3"/>
  <c r="R652" i="3" s="1"/>
  <c r="W652" i="3" s="1"/>
  <c r="C654" i="3"/>
  <c r="D655" i="3"/>
  <c r="E655" i="3"/>
  <c r="B653" i="3"/>
  <c r="AN654" i="3" l="1"/>
  <c r="AC654" i="3" s="1"/>
  <c r="B654" i="3"/>
  <c r="H653" i="3"/>
  <c r="R653" i="3" s="1"/>
  <c r="C655" i="3"/>
  <c r="D656" i="3"/>
  <c r="E656" i="3"/>
  <c r="S655" i="3"/>
  <c r="AC655" i="3" s="1"/>
  <c r="H654" i="3" l="1"/>
  <c r="R654" i="3" s="1"/>
  <c r="W654" i="3" s="1"/>
  <c r="C656" i="3"/>
  <c r="D657" i="3"/>
  <c r="E657" i="3"/>
  <c r="S656" i="3"/>
  <c r="AC656" i="3" s="1"/>
  <c r="B655" i="3"/>
  <c r="Q657" i="3" l="1"/>
  <c r="T657" i="3"/>
  <c r="S657" i="3" s="1"/>
  <c r="H655" i="3"/>
  <c r="R655" i="3" s="1"/>
  <c r="W655" i="3" s="1"/>
  <c r="C657" i="3"/>
  <c r="D658" i="3"/>
  <c r="B656" i="3"/>
  <c r="AN657" i="3" l="1"/>
  <c r="AC657" i="3" s="1"/>
  <c r="T658" i="3"/>
  <c r="S658" i="3" s="1"/>
  <c r="Q658" i="3"/>
  <c r="H656" i="3"/>
  <c r="R656" i="3" s="1"/>
  <c r="W656" i="3" s="1"/>
  <c r="C658" i="3"/>
  <c r="D659" i="3"/>
  <c r="E659" i="3"/>
  <c r="B657" i="3"/>
  <c r="AN658" i="3" l="1"/>
  <c r="AC658" i="3" s="1"/>
  <c r="T659" i="3"/>
  <c r="S659" i="3" s="1"/>
  <c r="Q659" i="3"/>
  <c r="H657" i="3"/>
  <c r="R657" i="3" s="1"/>
  <c r="W657" i="3" s="1"/>
  <c r="C659" i="3"/>
  <c r="D660" i="3"/>
  <c r="E660" i="3"/>
  <c r="B658" i="3"/>
  <c r="AN659" i="3" l="1"/>
  <c r="AC659" i="3" s="1"/>
  <c r="H658" i="3"/>
  <c r="R658" i="3" s="1"/>
  <c r="W658" i="3" s="1"/>
  <c r="C660" i="3"/>
  <c r="D661" i="3"/>
  <c r="E661" i="3"/>
  <c r="S660" i="3"/>
  <c r="AC660" i="3" s="1"/>
  <c r="B659" i="3"/>
  <c r="B660" i="3" l="1"/>
  <c r="H659" i="3"/>
  <c r="R659" i="3" s="1"/>
  <c r="W659" i="3" s="1"/>
  <c r="C661" i="3"/>
  <c r="D662" i="3"/>
  <c r="E662" i="3"/>
  <c r="S661" i="3"/>
  <c r="AC661" i="3" s="1"/>
  <c r="T662" i="3" l="1"/>
  <c r="S662" i="3" s="1"/>
  <c r="Q662" i="3"/>
  <c r="H660" i="3"/>
  <c r="R660" i="3" s="1"/>
  <c r="W660" i="3" s="1"/>
  <c r="C662" i="3"/>
  <c r="D663" i="3"/>
  <c r="E663" i="3"/>
  <c r="B661" i="3"/>
  <c r="B662" i="3" s="1"/>
  <c r="AN662" i="3" l="1"/>
  <c r="AC662" i="3" s="1"/>
  <c r="H661" i="3"/>
  <c r="R661" i="3" s="1"/>
  <c r="W661" i="3" s="1"/>
  <c r="C663" i="3"/>
  <c r="D664" i="3"/>
  <c r="E664" i="3"/>
  <c r="S663" i="3"/>
  <c r="AC663" i="3" s="1"/>
  <c r="T664" i="3" l="1"/>
  <c r="S664" i="3" s="1"/>
  <c r="Q664" i="3"/>
  <c r="H662" i="3"/>
  <c r="R662" i="3" s="1"/>
  <c r="W662" i="3" s="1"/>
  <c r="C664" i="3"/>
  <c r="D665" i="3"/>
  <c r="E665" i="3"/>
  <c r="B663" i="3"/>
  <c r="AN664" i="3" l="1"/>
  <c r="AC664" i="3" s="1"/>
  <c r="H663" i="3"/>
  <c r="R663" i="3" s="1"/>
  <c r="W663" i="3" s="1"/>
  <c r="C665" i="3"/>
  <c r="D666" i="3"/>
  <c r="E666" i="3"/>
  <c r="S665" i="3"/>
  <c r="AC665" i="3" s="1"/>
  <c r="B664" i="3"/>
  <c r="H664" i="3" l="1"/>
  <c r="R664" i="3" s="1"/>
  <c r="W664" i="3" s="1"/>
  <c r="C666" i="3"/>
  <c r="D667" i="3"/>
  <c r="E667" i="3"/>
  <c r="B665" i="3"/>
  <c r="B666" i="3" s="1"/>
  <c r="S666" i="3"/>
  <c r="AC666" i="3" s="1"/>
  <c r="H665" i="3" l="1"/>
  <c r="R665" i="3" s="1"/>
  <c r="W665" i="3" s="1"/>
  <c r="C667" i="3"/>
  <c r="D668" i="3"/>
  <c r="E668" i="3"/>
  <c r="S667" i="3"/>
  <c r="AC667" i="3" s="1"/>
  <c r="H666" i="3" l="1"/>
  <c r="R666" i="3" s="1"/>
  <c r="W666" i="3" s="1"/>
  <c r="C668" i="3"/>
  <c r="D669" i="3"/>
  <c r="E669" i="3"/>
  <c r="S668" i="3"/>
  <c r="AC668" i="3" s="1"/>
  <c r="B667" i="3"/>
  <c r="H667" i="3" l="1"/>
  <c r="R667" i="3" s="1"/>
  <c r="W667" i="3" s="1"/>
  <c r="C669" i="3"/>
  <c r="D670" i="3"/>
  <c r="E670" i="3"/>
  <c r="S669" i="3"/>
  <c r="AC669" i="3" s="1"/>
  <c r="B668" i="3"/>
  <c r="H668" i="3" l="1"/>
  <c r="R668" i="3" s="1"/>
  <c r="W668" i="3" s="1"/>
  <c r="C670" i="3"/>
  <c r="E671" i="3"/>
  <c r="D671" i="3"/>
  <c r="S670" i="3"/>
  <c r="AC670" i="3" s="1"/>
  <c r="B669" i="3"/>
  <c r="C671" i="3" l="1"/>
  <c r="H669" i="3"/>
  <c r="R669" i="3" s="1"/>
  <c r="W669" i="3" s="1"/>
  <c r="S671" i="3"/>
  <c r="AC671" i="3" s="1"/>
  <c r="E672" i="3"/>
  <c r="D672" i="3"/>
  <c r="C672" i="3" s="1"/>
  <c r="B670" i="3"/>
  <c r="H670" i="3" l="1"/>
  <c r="R670" i="3" s="1"/>
  <c r="W670" i="3" s="1"/>
  <c r="E673" i="3"/>
  <c r="D673" i="3"/>
  <c r="C673" i="3" s="1"/>
  <c r="S672" i="3"/>
  <c r="AC672" i="3" s="1"/>
  <c r="B671" i="3"/>
  <c r="H671" i="3" l="1"/>
  <c r="R671" i="3" s="1"/>
  <c r="W671" i="3" s="1"/>
  <c r="B672" i="3"/>
  <c r="S673" i="3"/>
  <c r="AC673" i="3" s="1"/>
  <c r="E674" i="3"/>
  <c r="D674" i="3"/>
  <c r="C674" i="3" l="1"/>
  <c r="H672" i="3"/>
  <c r="R672" i="3" s="1"/>
  <c r="W672" i="3" s="1"/>
  <c r="S674" i="3"/>
  <c r="AC674" i="3" s="1"/>
  <c r="E675" i="3"/>
  <c r="D675" i="3"/>
  <c r="B673" i="3"/>
  <c r="B674" i="3" s="1"/>
  <c r="H673" i="3" l="1"/>
  <c r="R673" i="3" s="1"/>
  <c r="W673" i="3" s="1"/>
  <c r="C675" i="3"/>
  <c r="S675" i="3"/>
  <c r="AC675" i="3" s="1"/>
  <c r="E676" i="3"/>
  <c r="D676" i="3"/>
  <c r="B675" i="3"/>
  <c r="C676" i="3" l="1"/>
  <c r="T676" i="3"/>
  <c r="S676" i="3" s="1"/>
  <c r="Q676" i="3"/>
  <c r="H674" i="3"/>
  <c r="R674" i="3" s="1"/>
  <c r="W674" i="3" s="1"/>
  <c r="E677" i="3"/>
  <c r="D677" i="3"/>
  <c r="B676" i="3"/>
  <c r="AN676" i="3" l="1"/>
  <c r="AC676" i="3" s="1"/>
  <c r="H675" i="3"/>
  <c r="R675" i="3" s="1"/>
  <c r="W675" i="3" s="1"/>
  <c r="C677" i="3"/>
  <c r="S677" i="3"/>
  <c r="AC677" i="3" s="1"/>
  <c r="E678" i="3"/>
  <c r="D678" i="3"/>
  <c r="B677" i="3"/>
  <c r="C678" i="3" l="1"/>
  <c r="B678" i="3" s="1"/>
  <c r="H676" i="3"/>
  <c r="R676" i="3" s="1"/>
  <c r="W676" i="3" s="1"/>
  <c r="S678" i="3"/>
  <c r="AC678" i="3" s="1"/>
  <c r="E679" i="3"/>
  <c r="D679" i="3"/>
  <c r="C679" i="3" l="1"/>
  <c r="H677" i="3"/>
  <c r="R677" i="3" s="1"/>
  <c r="W677" i="3" s="1"/>
  <c r="E680" i="3"/>
  <c r="D680" i="3"/>
  <c r="S679" i="3"/>
  <c r="AC679" i="3" s="1"/>
  <c r="C680" i="3" l="1"/>
  <c r="H678" i="3"/>
  <c r="R678" i="3" s="1"/>
  <c r="W678" i="3" s="1"/>
  <c r="S680" i="3"/>
  <c r="AC680" i="3" s="1"/>
  <c r="E681" i="3"/>
  <c r="D681" i="3"/>
  <c r="C681" i="3" s="1"/>
  <c r="B679" i="3"/>
  <c r="H679" i="3" l="1"/>
  <c r="R679" i="3" s="1"/>
  <c r="W679" i="3" s="1"/>
  <c r="S681" i="3"/>
  <c r="AC681" i="3" s="1"/>
  <c r="E682" i="3"/>
  <c r="D682" i="3"/>
  <c r="B680" i="3"/>
  <c r="C682" i="3" l="1"/>
  <c r="H680" i="3"/>
  <c r="R680" i="3" s="1"/>
  <c r="W680" i="3" s="1"/>
  <c r="S682" i="3"/>
  <c r="AC682" i="3" s="1"/>
  <c r="D683" i="3"/>
  <c r="E683" i="3"/>
  <c r="B681" i="3"/>
  <c r="H681" i="3" l="1"/>
  <c r="R681" i="3" s="1"/>
  <c r="W681" i="3" s="1"/>
  <c r="C683" i="3"/>
  <c r="S683" i="3"/>
  <c r="AC683" i="3" s="1"/>
  <c r="E684" i="3"/>
  <c r="D684" i="3"/>
  <c r="B682" i="3"/>
  <c r="B683" i="3" s="1"/>
  <c r="C684" i="3" l="1"/>
  <c r="H682" i="3"/>
  <c r="R682" i="3" s="1"/>
  <c r="W682" i="3" s="1"/>
  <c r="S684" i="3"/>
  <c r="AC684" i="3" s="1"/>
  <c r="E685" i="3"/>
  <c r="D685" i="3"/>
  <c r="B684" i="3"/>
  <c r="C685" i="3" l="1"/>
  <c r="Q685" i="3"/>
  <c r="T685" i="3"/>
  <c r="S685" i="3" s="1"/>
  <c r="H683" i="3"/>
  <c r="R683" i="3" s="1"/>
  <c r="W683" i="3" s="1"/>
  <c r="E686" i="3"/>
  <c r="D686" i="3"/>
  <c r="C686" i="3" s="1"/>
  <c r="B685" i="3"/>
  <c r="AN685" i="3" l="1"/>
  <c r="AC685" i="3" s="1"/>
  <c r="H684" i="3"/>
  <c r="R684" i="3" s="1"/>
  <c r="W684" i="3" s="1"/>
  <c r="S686" i="3"/>
  <c r="AC686" i="3" s="1"/>
  <c r="E687" i="3"/>
  <c r="D687" i="3"/>
  <c r="B686" i="3"/>
  <c r="C687" i="3" l="1"/>
  <c r="B687" i="3" s="1"/>
  <c r="H685" i="3"/>
  <c r="R685" i="3" s="1"/>
  <c r="W685" i="3" s="1"/>
  <c r="E688" i="3"/>
  <c r="D688" i="3"/>
  <c r="S687" i="3"/>
  <c r="AC687" i="3" s="1"/>
  <c r="H686" i="3" l="1"/>
  <c r="R686" i="3" s="1"/>
  <c r="W686" i="3" s="1"/>
  <c r="C688" i="3"/>
  <c r="S688" i="3"/>
  <c r="AC688" i="3" s="1"/>
  <c r="E689" i="3"/>
  <c r="D689" i="3"/>
  <c r="H687" i="3" l="1"/>
  <c r="R687" i="3" s="1"/>
  <c r="W687" i="3" s="1"/>
  <c r="C689" i="3"/>
  <c r="S689" i="3"/>
  <c r="AC689" i="3" s="1"/>
  <c r="E690" i="3"/>
  <c r="D690" i="3"/>
  <c r="B688" i="3"/>
  <c r="H688" i="3" l="1"/>
  <c r="R688" i="3" s="1"/>
  <c r="W688" i="3" s="1"/>
  <c r="C690" i="3"/>
  <c r="S690" i="3"/>
  <c r="AC690" i="3" s="1"/>
  <c r="D691" i="3"/>
  <c r="E691" i="3"/>
  <c r="B689" i="3"/>
  <c r="B690" i="3" s="1"/>
  <c r="H689" i="3" l="1"/>
  <c r="R689" i="3" s="1"/>
  <c r="W689" i="3" s="1"/>
  <c r="C691" i="3"/>
  <c r="S691" i="3"/>
  <c r="AC691" i="3" s="1"/>
  <c r="E692" i="3"/>
  <c r="D692" i="3"/>
  <c r="B691" i="3"/>
  <c r="C692" i="3" l="1"/>
  <c r="H690" i="3"/>
  <c r="R690" i="3" s="1"/>
  <c r="W690" i="3" s="1"/>
  <c r="S692" i="3"/>
  <c r="AC692" i="3" s="1"/>
  <c r="E693" i="3"/>
  <c r="D693" i="3"/>
  <c r="B692" i="3"/>
  <c r="C693" i="3" l="1"/>
  <c r="H691" i="3"/>
  <c r="R691" i="3" s="1"/>
  <c r="W691" i="3" s="1"/>
  <c r="S693" i="3"/>
  <c r="AC693" i="3" s="1"/>
  <c r="E694" i="3"/>
  <c r="D694" i="3"/>
  <c r="B693" i="3"/>
  <c r="Q694" i="3" l="1"/>
  <c r="T694" i="3"/>
  <c r="S694" i="3" s="1"/>
  <c r="C694" i="3"/>
  <c r="H692" i="3"/>
  <c r="R692" i="3" s="1"/>
  <c r="W692" i="3" s="1"/>
  <c r="E695" i="3"/>
  <c r="D695" i="3"/>
  <c r="B694" i="3"/>
  <c r="AN694" i="3" l="1"/>
  <c r="AC694" i="3" s="1"/>
  <c r="C695" i="3"/>
  <c r="H693" i="3"/>
  <c r="R693" i="3" s="1"/>
  <c r="W693" i="3" s="1"/>
  <c r="S695" i="3"/>
  <c r="AC695" i="3" s="1"/>
  <c r="E696" i="3"/>
  <c r="D696" i="3"/>
  <c r="H694" i="3" l="1"/>
  <c r="R694" i="3" s="1"/>
  <c r="W694" i="3" s="1"/>
  <c r="C696" i="3"/>
  <c r="S696" i="3"/>
  <c r="AC696" i="3" s="1"/>
  <c r="E697" i="3"/>
  <c r="D697" i="3"/>
  <c r="B695" i="3"/>
  <c r="B696" i="3" s="1"/>
  <c r="C697" i="3" l="1"/>
  <c r="H695" i="3"/>
  <c r="R695" i="3" s="1"/>
  <c r="W695" i="3" s="1"/>
  <c r="S697" i="3"/>
  <c r="AC697" i="3" s="1"/>
  <c r="E698" i="3"/>
  <c r="D698" i="3"/>
  <c r="C698" i="3" s="1"/>
  <c r="B697" i="3"/>
  <c r="H696" i="3" l="1"/>
  <c r="R696" i="3" s="1"/>
  <c r="W696" i="3" s="1"/>
  <c r="S698" i="3"/>
  <c r="AC698" i="3" s="1"/>
  <c r="E699" i="3"/>
  <c r="D699" i="3"/>
  <c r="B698" i="3"/>
  <c r="C699" i="3" l="1"/>
  <c r="H697" i="3"/>
  <c r="R697" i="3" s="1"/>
  <c r="W697" i="3" s="1"/>
  <c r="E700" i="3"/>
  <c r="D700" i="3"/>
  <c r="S699" i="3"/>
  <c r="AC699" i="3" s="1"/>
  <c r="B699" i="3"/>
  <c r="C700" i="3" l="1"/>
  <c r="H698" i="3"/>
  <c r="R698" i="3" s="1"/>
  <c r="W698" i="3" s="1"/>
  <c r="S700" i="3"/>
  <c r="AC700" i="3" s="1"/>
  <c r="E701" i="3"/>
  <c r="D701" i="3"/>
  <c r="H699" i="3" l="1"/>
  <c r="R699" i="3" s="1"/>
  <c r="W699" i="3" s="1"/>
  <c r="C701" i="3"/>
  <c r="S701" i="3"/>
  <c r="AC701" i="3" s="1"/>
  <c r="E702" i="3"/>
  <c r="D702" i="3"/>
  <c r="B700" i="3"/>
  <c r="C702" i="3" l="1"/>
  <c r="B701" i="3"/>
  <c r="H700" i="3"/>
  <c r="R700" i="3" s="1"/>
  <c r="W700" i="3" s="1"/>
  <c r="S702" i="3"/>
  <c r="AC702" i="3" s="1"/>
  <c r="E703" i="3"/>
  <c r="D703" i="3"/>
  <c r="B702" i="3"/>
  <c r="C703" i="3" l="1"/>
  <c r="H701" i="3"/>
  <c r="R701" i="3" s="1"/>
  <c r="W701" i="3" s="1"/>
  <c r="S703" i="3"/>
  <c r="AC703" i="3" s="1"/>
  <c r="E704" i="3"/>
  <c r="D704" i="3"/>
  <c r="C704" i="3" s="1"/>
  <c r="B703" i="3"/>
  <c r="H702" i="3" l="1"/>
  <c r="R702" i="3" s="1"/>
  <c r="W702" i="3" s="1"/>
  <c r="E705" i="3"/>
  <c r="D705" i="3"/>
  <c r="S704" i="3"/>
  <c r="AC704" i="3" s="1"/>
  <c r="B704" i="3"/>
  <c r="C705" i="3" l="1"/>
  <c r="H703" i="3"/>
  <c r="R703" i="3" s="1"/>
  <c r="W703" i="3" s="1"/>
  <c r="S705" i="3"/>
  <c r="AC705" i="3" s="1"/>
  <c r="E706" i="3"/>
  <c r="D706" i="3"/>
  <c r="H704" i="3" l="1"/>
  <c r="R704" i="3" s="1"/>
  <c r="W704" i="3" s="1"/>
  <c r="C706" i="3"/>
  <c r="E707" i="3"/>
  <c r="D707" i="3"/>
  <c r="C707" i="3" s="1"/>
  <c r="S706" i="3"/>
  <c r="AC706" i="3" s="1"/>
  <c r="B705" i="3"/>
  <c r="H705" i="3" l="1"/>
  <c r="R705" i="3" s="1"/>
  <c r="W705" i="3" s="1"/>
  <c r="B706" i="3"/>
  <c r="S707" i="3"/>
  <c r="AC707" i="3" s="1"/>
  <c r="E708" i="3"/>
  <c r="D708" i="3"/>
  <c r="H706" i="3" l="1"/>
  <c r="R706" i="3" s="1"/>
  <c r="W706" i="3" s="1"/>
  <c r="C708" i="3"/>
  <c r="S708" i="3"/>
  <c r="AC708" i="3" s="1"/>
  <c r="E709" i="3"/>
  <c r="D709" i="3"/>
  <c r="B707" i="3"/>
  <c r="C709" i="3" l="1"/>
  <c r="H707" i="3"/>
  <c r="R707" i="3" s="1"/>
  <c r="W707" i="3" s="1"/>
  <c r="E710" i="3"/>
  <c r="D710" i="3"/>
  <c r="S709" i="3"/>
  <c r="AC709" i="3" s="1"/>
  <c r="B708" i="3"/>
  <c r="B709" i="3" s="1"/>
  <c r="H708" i="3" l="1"/>
  <c r="R708" i="3" s="1"/>
  <c r="W708" i="3" s="1"/>
  <c r="C710" i="3"/>
  <c r="S710" i="3"/>
  <c r="AC710" i="3" s="1"/>
  <c r="E711" i="3"/>
  <c r="D711" i="3"/>
  <c r="B710" i="3"/>
  <c r="C711" i="3" l="1"/>
  <c r="H709" i="3"/>
  <c r="R709" i="3" s="1"/>
  <c r="W709" i="3" s="1"/>
  <c r="E712" i="3"/>
  <c r="D712" i="3"/>
  <c r="S711" i="3"/>
  <c r="AC711" i="3" s="1"/>
  <c r="C712" i="3" l="1"/>
  <c r="H710" i="3"/>
  <c r="R710" i="3" s="1"/>
  <c r="W710" i="3" s="1"/>
  <c r="B711" i="3"/>
  <c r="S712" i="3"/>
  <c r="AC712" i="3" s="1"/>
  <c r="E713" i="3"/>
  <c r="D713" i="3"/>
  <c r="H711" i="3" l="1"/>
  <c r="R711" i="3" s="1"/>
  <c r="W711" i="3" s="1"/>
  <c r="C713" i="3"/>
  <c r="E714" i="3"/>
  <c r="D714" i="3"/>
  <c r="S713" i="3"/>
  <c r="AC713" i="3" s="1"/>
  <c r="B712" i="3"/>
  <c r="H712" i="3" l="1"/>
  <c r="R712" i="3" s="1"/>
  <c r="W712" i="3" s="1"/>
  <c r="C714" i="3"/>
  <c r="S714" i="3"/>
  <c r="AC714" i="3" s="1"/>
  <c r="E715" i="3"/>
  <c r="D715" i="3"/>
  <c r="B713" i="3"/>
  <c r="C715" i="3" l="1"/>
  <c r="H713" i="3"/>
  <c r="R713" i="3" s="1"/>
  <c r="W713" i="3" s="1"/>
  <c r="E716" i="3"/>
  <c r="D716" i="3"/>
  <c r="C716" i="3" s="1"/>
  <c r="S715" i="3"/>
  <c r="AC715" i="3" s="1"/>
  <c r="B714" i="3"/>
  <c r="H714" i="3" l="1"/>
  <c r="R714" i="3" s="1"/>
  <c r="W714" i="3" s="1"/>
  <c r="B715" i="3"/>
  <c r="S716" i="3"/>
  <c r="AC716" i="3" s="1"/>
  <c r="E717" i="3"/>
  <c r="D717" i="3"/>
  <c r="H715" i="3" l="1"/>
  <c r="R715" i="3" s="1"/>
  <c r="W715" i="3" s="1"/>
  <c r="C717" i="3"/>
  <c r="E718" i="3"/>
  <c r="D718" i="3"/>
  <c r="S717" i="3"/>
  <c r="AC717" i="3" s="1"/>
  <c r="B716" i="3"/>
  <c r="C718" i="3" l="1"/>
  <c r="H716" i="3"/>
  <c r="R716" i="3" s="1"/>
  <c r="W716" i="3" s="1"/>
  <c r="B717" i="3"/>
  <c r="S718" i="3"/>
  <c r="AC718" i="3" s="1"/>
  <c r="E719" i="3"/>
  <c r="D719" i="3"/>
  <c r="H717" i="3" l="1"/>
  <c r="R717" i="3" s="1"/>
  <c r="W717" i="3" s="1"/>
  <c r="C719" i="3"/>
  <c r="S719" i="3"/>
  <c r="AC719" i="3" s="1"/>
  <c r="E720" i="3"/>
  <c r="D720" i="3"/>
  <c r="B718" i="3"/>
  <c r="C720" i="3" l="1"/>
  <c r="H718" i="3"/>
  <c r="R718" i="3" s="1"/>
  <c r="W718" i="3" s="1"/>
  <c r="E721" i="3"/>
  <c r="D721" i="3"/>
  <c r="C721" i="3" s="1"/>
  <c r="S720" i="3"/>
  <c r="AC720" i="3" s="1"/>
  <c r="B719" i="3"/>
  <c r="H719" i="3" l="1"/>
  <c r="R719" i="3" s="1"/>
  <c r="W719" i="3" s="1"/>
  <c r="B720" i="3"/>
  <c r="S721" i="3"/>
  <c r="AC721" i="3" s="1"/>
  <c r="E722" i="3"/>
  <c r="D722" i="3"/>
  <c r="C722" i="3" l="1"/>
  <c r="H720" i="3"/>
  <c r="R720" i="3" s="1"/>
  <c r="W720" i="3" s="1"/>
  <c r="S722" i="3"/>
  <c r="AC722" i="3" s="1"/>
  <c r="E723" i="3"/>
  <c r="D723" i="3"/>
  <c r="B721" i="3"/>
  <c r="B722" i="3" s="1"/>
  <c r="H721" i="3" l="1"/>
  <c r="R721" i="3" s="1"/>
  <c r="W721" i="3" s="1"/>
  <c r="C723" i="3"/>
  <c r="S723" i="3"/>
  <c r="AC723" i="3" s="1"/>
  <c r="E724" i="3"/>
  <c r="D724" i="3"/>
  <c r="C724" i="3" s="1"/>
  <c r="B723" i="3"/>
  <c r="H722" i="3" l="1"/>
  <c r="R722" i="3" s="1"/>
  <c r="W722" i="3" s="1"/>
  <c r="S724" i="3"/>
  <c r="AC724" i="3" s="1"/>
  <c r="E725" i="3"/>
  <c r="D725" i="3"/>
  <c r="C725" i="3" s="1"/>
  <c r="B724" i="3"/>
  <c r="H723" i="3" l="1"/>
  <c r="R723" i="3" s="1"/>
  <c r="W723" i="3" s="1"/>
  <c r="E726" i="3"/>
  <c r="D726" i="3"/>
  <c r="S725" i="3"/>
  <c r="AC725" i="3" s="1"/>
  <c r="B725" i="3"/>
  <c r="C726" i="3" l="1"/>
  <c r="H724" i="3"/>
  <c r="R724" i="3" s="1"/>
  <c r="W724" i="3" s="1"/>
  <c r="S726" i="3"/>
  <c r="AC726" i="3" s="1"/>
  <c r="E727" i="3"/>
  <c r="D727" i="3"/>
  <c r="C727" i="3" s="1"/>
  <c r="H725" i="3" l="1"/>
  <c r="R725" i="3" s="1"/>
  <c r="W725" i="3" s="1"/>
  <c r="E728" i="3"/>
  <c r="D728" i="3"/>
  <c r="C728" i="3" s="1"/>
  <c r="S727" i="3"/>
  <c r="AC727" i="3" s="1"/>
  <c r="B726" i="3"/>
  <c r="H726" i="3" l="1"/>
  <c r="R726" i="3" s="1"/>
  <c r="W726" i="3" s="1"/>
  <c r="B727" i="3"/>
  <c r="S728" i="3"/>
  <c r="AC728" i="3" s="1"/>
  <c r="E729" i="3"/>
  <c r="D729" i="3"/>
  <c r="H727" i="3" l="1"/>
  <c r="R727" i="3" s="1"/>
  <c r="W727" i="3" s="1"/>
  <c r="C729" i="3"/>
  <c r="S729" i="3"/>
  <c r="AC729" i="3" s="1"/>
  <c r="E730" i="3"/>
  <c r="D730" i="3"/>
  <c r="B728" i="3"/>
  <c r="C730" i="3" l="1"/>
  <c r="H728" i="3"/>
  <c r="R728" i="3" s="1"/>
  <c r="W728" i="3" s="1"/>
  <c r="E731" i="3"/>
  <c r="D731" i="3"/>
  <c r="S730" i="3"/>
  <c r="AC730" i="3" s="1"/>
  <c r="B729" i="3"/>
  <c r="B730" i="3" s="1"/>
  <c r="C731" i="3" l="1"/>
  <c r="H729" i="3"/>
  <c r="R729" i="3" s="1"/>
  <c r="W729" i="3" s="1"/>
  <c r="S731" i="3"/>
  <c r="AC731" i="3" s="1"/>
  <c r="E732" i="3"/>
  <c r="D732" i="3"/>
  <c r="B731" i="3"/>
  <c r="H730" i="3" l="1"/>
  <c r="R730" i="3" s="1"/>
  <c r="W730" i="3" s="1"/>
  <c r="C732" i="3"/>
  <c r="E733" i="3"/>
  <c r="D733" i="3"/>
  <c r="S732" i="3"/>
  <c r="AC732" i="3" s="1"/>
  <c r="C733" i="3" l="1"/>
  <c r="H731" i="3"/>
  <c r="R731" i="3" s="1"/>
  <c r="W731" i="3" s="1"/>
  <c r="B732" i="3"/>
  <c r="S733" i="3"/>
  <c r="AC733" i="3" s="1"/>
  <c r="D734" i="3"/>
  <c r="E734" i="3"/>
  <c r="H732" i="3" l="1"/>
  <c r="R732" i="3" s="1"/>
  <c r="W732" i="3" s="1"/>
  <c r="C734" i="3"/>
  <c r="S734" i="3"/>
  <c r="AC734" i="3" s="1"/>
  <c r="E735" i="3"/>
  <c r="D735" i="3"/>
  <c r="C735" i="3" s="1"/>
  <c r="B733" i="3"/>
  <c r="H733" i="3" l="1"/>
  <c r="R733" i="3" s="1"/>
  <c r="W733" i="3" s="1"/>
  <c r="D736" i="3"/>
  <c r="E736" i="3"/>
  <c r="S735" i="3"/>
  <c r="AC735" i="3" s="1"/>
  <c r="B734" i="3"/>
  <c r="B735" i="3" s="1"/>
  <c r="H734" i="3" l="1"/>
  <c r="R734" i="3" s="1"/>
  <c r="W734" i="3" s="1"/>
  <c r="C736" i="3"/>
  <c r="E737" i="3"/>
  <c r="D737" i="3"/>
  <c r="S736" i="3"/>
  <c r="AC736" i="3" s="1"/>
  <c r="H735" i="3" l="1"/>
  <c r="R735" i="3" s="1"/>
  <c r="W735" i="3" s="1"/>
  <c r="C737" i="3"/>
  <c r="B736" i="3"/>
  <c r="S737" i="3"/>
  <c r="AC737" i="3" s="1"/>
  <c r="D738" i="3"/>
  <c r="E738" i="3"/>
  <c r="H736" i="3" l="1"/>
  <c r="R736" i="3" s="1"/>
  <c r="W736" i="3" s="1"/>
  <c r="C738" i="3"/>
  <c r="S738" i="3"/>
  <c r="AC738" i="3" s="1"/>
  <c r="E739" i="3"/>
  <c r="D739" i="3"/>
  <c r="B737" i="3"/>
  <c r="B738" i="3" s="1"/>
  <c r="H737" i="3" l="1"/>
  <c r="R737" i="3" s="1"/>
  <c r="W737" i="3" s="1"/>
  <c r="C739" i="3"/>
  <c r="B739" i="3" s="1"/>
  <c r="S739" i="3"/>
  <c r="AC739" i="3" s="1"/>
  <c r="E740" i="3"/>
  <c r="D740" i="3"/>
  <c r="C740" i="3" l="1"/>
  <c r="H738" i="3"/>
  <c r="R738" i="3" s="1"/>
  <c r="W738" i="3" s="1"/>
  <c r="E741" i="3"/>
  <c r="D741" i="3"/>
  <c r="S740" i="3"/>
  <c r="AC740" i="3" s="1"/>
  <c r="C741" i="3" l="1"/>
  <c r="H739" i="3"/>
  <c r="R739" i="3" s="1"/>
  <c r="W739" i="3" s="1"/>
  <c r="B740" i="3"/>
  <c r="S741" i="3"/>
  <c r="AC741" i="3" s="1"/>
  <c r="E742" i="3"/>
  <c r="D742" i="3"/>
  <c r="H740" i="3" l="1"/>
  <c r="R740" i="3" s="1"/>
  <c r="W740" i="3" s="1"/>
  <c r="C742" i="3"/>
  <c r="E743" i="3"/>
  <c r="D743" i="3"/>
  <c r="S742" i="3"/>
  <c r="AC742" i="3" s="1"/>
  <c r="B741" i="3"/>
  <c r="C743" i="3" l="1"/>
  <c r="H741" i="3"/>
  <c r="R741" i="3" s="1"/>
  <c r="W741" i="3" s="1"/>
  <c r="B742" i="3"/>
  <c r="S743" i="3"/>
  <c r="AC743" i="3" s="1"/>
  <c r="E744" i="3"/>
  <c r="D744" i="3"/>
  <c r="H742" i="3" l="1"/>
  <c r="R742" i="3" s="1"/>
  <c r="W742" i="3" s="1"/>
  <c r="C744" i="3"/>
  <c r="E745" i="3"/>
  <c r="D745" i="3"/>
  <c r="C745" i="3" s="1"/>
  <c r="S744" i="3"/>
  <c r="AC744" i="3" s="1"/>
  <c r="B743" i="3"/>
  <c r="H743" i="3" l="1"/>
  <c r="R743" i="3" s="1"/>
  <c r="W743" i="3" s="1"/>
  <c r="B744" i="3"/>
  <c r="S745" i="3"/>
  <c r="AC745" i="3" s="1"/>
  <c r="E746" i="3"/>
  <c r="D746" i="3"/>
  <c r="H744" i="3" l="1"/>
  <c r="R744" i="3" s="1"/>
  <c r="W744" i="3" s="1"/>
  <c r="C746" i="3"/>
  <c r="E747" i="3"/>
  <c r="D747" i="3"/>
  <c r="S746" i="3"/>
  <c r="AC746" i="3" s="1"/>
  <c r="B745" i="3"/>
  <c r="C747" i="3" l="1"/>
  <c r="H745" i="3"/>
  <c r="R745" i="3" s="1"/>
  <c r="W745" i="3" s="1"/>
  <c r="B746" i="3"/>
  <c r="S747" i="3"/>
  <c r="AC747" i="3" s="1"/>
  <c r="E748" i="3"/>
  <c r="D748" i="3"/>
  <c r="H746" i="3" l="1"/>
  <c r="R746" i="3" s="1"/>
  <c r="W746" i="3" s="1"/>
  <c r="C748" i="3"/>
  <c r="E749" i="3"/>
  <c r="D749" i="3"/>
  <c r="S748" i="3"/>
  <c r="AC748" i="3" s="1"/>
  <c r="B747" i="3"/>
  <c r="H747" i="3" l="1"/>
  <c r="R747" i="3" s="1"/>
  <c r="W747" i="3" s="1"/>
  <c r="C749" i="3"/>
  <c r="S749" i="3"/>
  <c r="AC749" i="3" s="1"/>
  <c r="E750" i="3"/>
  <c r="D750" i="3"/>
  <c r="C750" i="3" s="1"/>
  <c r="B748" i="3"/>
  <c r="B749" i="3" s="1"/>
  <c r="H748" i="3" l="1"/>
  <c r="R748" i="3" s="1"/>
  <c r="W748" i="3" s="1"/>
  <c r="E751" i="3"/>
  <c r="D751" i="3"/>
  <c r="C751" i="3" s="1"/>
  <c r="S750" i="3"/>
  <c r="AC750" i="3" s="1"/>
  <c r="H749" i="3" l="1"/>
  <c r="R749" i="3" s="1"/>
  <c r="W749" i="3" s="1"/>
  <c r="S751" i="3"/>
  <c r="AC751" i="3" s="1"/>
  <c r="E752" i="3"/>
  <c r="D752" i="3"/>
  <c r="B750" i="3"/>
  <c r="H750" i="3" l="1"/>
  <c r="R750" i="3" s="1"/>
  <c r="W750" i="3" s="1"/>
  <c r="C752" i="3"/>
  <c r="E753" i="3"/>
  <c r="D753" i="3"/>
  <c r="S752" i="3"/>
  <c r="AC752" i="3" s="1"/>
  <c r="B751" i="3"/>
  <c r="C753" i="3" l="1"/>
  <c r="H751" i="3"/>
  <c r="R751" i="3" s="1"/>
  <c r="W751" i="3" s="1"/>
  <c r="B752" i="3"/>
  <c r="S753" i="3"/>
  <c r="AC753" i="3" s="1"/>
  <c r="E754" i="3"/>
  <c r="D754" i="3"/>
  <c r="H752" i="3" l="1"/>
  <c r="R752" i="3" s="1"/>
  <c r="W752" i="3" s="1"/>
  <c r="C754" i="3"/>
  <c r="E755" i="3"/>
  <c r="D755" i="3"/>
  <c r="S754" i="3"/>
  <c r="AC754" i="3" s="1"/>
  <c r="B753" i="3"/>
  <c r="C755" i="3" l="1"/>
  <c r="H753" i="3"/>
  <c r="R753" i="3" s="1"/>
  <c r="W753" i="3" s="1"/>
  <c r="B754" i="3"/>
  <c r="S755" i="3"/>
  <c r="AC755" i="3" s="1"/>
  <c r="E756" i="3"/>
  <c r="D756" i="3"/>
  <c r="C756" i="3" l="1"/>
  <c r="H754" i="3"/>
  <c r="R754" i="3" s="1"/>
  <c r="W754" i="3" s="1"/>
  <c r="E757" i="3"/>
  <c r="D757" i="3"/>
  <c r="C757" i="3" s="1"/>
  <c r="S756" i="3"/>
  <c r="AC756" i="3" s="1"/>
  <c r="B755" i="3"/>
  <c r="H755" i="3" l="1"/>
  <c r="R755" i="3" s="1"/>
  <c r="W755" i="3" s="1"/>
  <c r="B756" i="3"/>
  <c r="S757" i="3"/>
  <c r="AC757" i="3" s="1"/>
  <c r="E758" i="3"/>
  <c r="D758" i="3"/>
  <c r="H756" i="3" l="1"/>
  <c r="R756" i="3" s="1"/>
  <c r="W756" i="3" s="1"/>
  <c r="C758" i="3"/>
  <c r="E759" i="3"/>
  <c r="D759" i="3"/>
  <c r="S758" i="3"/>
  <c r="AC758" i="3" s="1"/>
  <c r="B757" i="3"/>
  <c r="C759" i="3" l="1"/>
  <c r="H757" i="3"/>
  <c r="R757" i="3" s="1"/>
  <c r="W757" i="3" s="1"/>
  <c r="S759" i="3"/>
  <c r="AC759" i="3" s="1"/>
  <c r="E760" i="3"/>
  <c r="D760" i="3"/>
  <c r="B758" i="3"/>
  <c r="H758" i="3" l="1"/>
  <c r="R758" i="3" s="1"/>
  <c r="W758" i="3" s="1"/>
  <c r="C760" i="3"/>
  <c r="S760" i="3"/>
  <c r="AC760" i="3" s="1"/>
  <c r="E761" i="3"/>
  <c r="D761" i="3"/>
  <c r="B759" i="3"/>
  <c r="C761" i="3" l="1"/>
  <c r="H759" i="3"/>
  <c r="R759" i="3" s="1"/>
  <c r="W759" i="3" s="1"/>
  <c r="S761" i="3"/>
  <c r="AC761" i="3" s="1"/>
  <c r="E762" i="3"/>
  <c r="D762" i="3"/>
  <c r="B760" i="3"/>
  <c r="B761" i="3" s="1"/>
  <c r="H760" i="3" l="1"/>
  <c r="R760" i="3" s="1"/>
  <c r="W760" i="3" s="1"/>
  <c r="C762" i="3"/>
  <c r="B762" i="3" s="1"/>
  <c r="S762" i="3"/>
  <c r="AC762" i="3" s="1"/>
  <c r="E763" i="3"/>
  <c r="D763" i="3"/>
  <c r="C763" i="3" l="1"/>
  <c r="B763" i="3" s="1"/>
  <c r="H761" i="3"/>
  <c r="R761" i="3" s="1"/>
  <c r="W761" i="3" s="1"/>
  <c r="S763" i="3"/>
  <c r="AC763" i="3" s="1"/>
  <c r="E764" i="3"/>
  <c r="D764" i="3"/>
  <c r="C764" i="3" l="1"/>
  <c r="H762" i="3"/>
  <c r="R762" i="3" s="1"/>
  <c r="W762" i="3" s="1"/>
  <c r="S764" i="3"/>
  <c r="AC764" i="3" s="1"/>
  <c r="E765" i="3"/>
  <c r="D765" i="3"/>
  <c r="B764" i="3"/>
  <c r="C765" i="3" l="1"/>
  <c r="H763" i="3"/>
  <c r="R763" i="3" s="1"/>
  <c r="W763" i="3" s="1"/>
  <c r="S765" i="3"/>
  <c r="AC765" i="3" s="1"/>
  <c r="E766" i="3"/>
  <c r="D766" i="3"/>
  <c r="B765" i="3"/>
  <c r="H764" i="3" l="1"/>
  <c r="R764" i="3" s="1"/>
  <c r="W764" i="3" s="1"/>
  <c r="C766" i="3"/>
  <c r="B766" i="3" s="1"/>
  <c r="S766" i="3"/>
  <c r="AC766" i="3" s="1"/>
  <c r="E767" i="3"/>
  <c r="D767" i="3"/>
  <c r="H765" i="3" l="1"/>
  <c r="R765" i="3" s="1"/>
  <c r="W765" i="3" s="1"/>
  <c r="C767" i="3"/>
  <c r="S767" i="3"/>
  <c r="AC767" i="3" s="1"/>
  <c r="E768" i="3"/>
  <c r="D768" i="3"/>
  <c r="B767" i="3"/>
  <c r="C768" i="3" l="1"/>
  <c r="H766" i="3"/>
  <c r="R766" i="3" s="1"/>
  <c r="W766" i="3" s="1"/>
  <c r="S768" i="3"/>
  <c r="AC768" i="3" s="1"/>
  <c r="E769" i="3"/>
  <c r="D769" i="3"/>
  <c r="B768" i="3"/>
  <c r="C769" i="3" l="1"/>
  <c r="H767" i="3"/>
  <c r="R767" i="3" s="1"/>
  <c r="W767" i="3" s="1"/>
  <c r="S769" i="3"/>
  <c r="AC769" i="3" s="1"/>
  <c r="E770" i="3"/>
  <c r="D770" i="3"/>
  <c r="C770" i="3" s="1"/>
  <c r="B769" i="3"/>
  <c r="H768" i="3" l="1"/>
  <c r="R768" i="3" s="1"/>
  <c r="W768" i="3" s="1"/>
  <c r="S770" i="3"/>
  <c r="AC770" i="3" s="1"/>
  <c r="E771" i="3"/>
  <c r="D771" i="3"/>
  <c r="B770" i="3"/>
  <c r="H769" i="3" l="1"/>
  <c r="R769" i="3" s="1"/>
  <c r="W769" i="3" s="1"/>
  <c r="C771" i="3"/>
  <c r="S771" i="3"/>
  <c r="AC771" i="3" s="1"/>
  <c r="E772" i="3"/>
  <c r="D772" i="3"/>
  <c r="B771" i="3"/>
  <c r="C772" i="3" l="1"/>
  <c r="H770" i="3"/>
  <c r="R770" i="3" s="1"/>
  <c r="W770" i="3" s="1"/>
  <c r="E773" i="3"/>
  <c r="D773" i="3"/>
  <c r="S772" i="3"/>
  <c r="AC772" i="3" s="1"/>
  <c r="H771" i="3" l="1"/>
  <c r="R771" i="3" s="1"/>
  <c r="W771" i="3" s="1"/>
  <c r="C773" i="3"/>
  <c r="B772" i="3"/>
  <c r="S773" i="3"/>
  <c r="AC773" i="3" s="1"/>
  <c r="E774" i="3"/>
  <c r="D774" i="3"/>
  <c r="H772" i="3" l="1"/>
  <c r="R772" i="3" s="1"/>
  <c r="W772" i="3" s="1"/>
  <c r="C774" i="3"/>
  <c r="E775" i="3"/>
  <c r="D775" i="3"/>
  <c r="S774" i="3"/>
  <c r="AC774" i="3" s="1"/>
  <c r="B773" i="3"/>
  <c r="H773" i="3" l="1"/>
  <c r="R773" i="3" s="1"/>
  <c r="W773" i="3" s="1"/>
  <c r="C775" i="3"/>
  <c r="S775" i="3"/>
  <c r="AC775" i="3" s="1"/>
  <c r="E776" i="3"/>
  <c r="D776" i="3"/>
  <c r="B774" i="3"/>
  <c r="H774" i="3" l="1"/>
  <c r="R774" i="3" s="1"/>
  <c r="W774" i="3" s="1"/>
  <c r="C776" i="3"/>
  <c r="S776" i="3"/>
  <c r="AC776" i="3" s="1"/>
  <c r="E777" i="3"/>
  <c r="D777" i="3"/>
  <c r="C777" i="3" s="1"/>
  <c r="B775" i="3"/>
  <c r="H775" i="3" l="1"/>
  <c r="R775" i="3" s="1"/>
  <c r="W775" i="3" s="1"/>
  <c r="S777" i="3"/>
  <c r="AC777" i="3" s="1"/>
  <c r="E778" i="3"/>
  <c r="D778" i="3"/>
  <c r="B776" i="3"/>
  <c r="H776" i="3" l="1"/>
  <c r="R776" i="3" s="1"/>
  <c r="W776" i="3" s="1"/>
  <c r="C778" i="3"/>
  <c r="S778" i="3"/>
  <c r="AC778" i="3" s="1"/>
  <c r="E779" i="3"/>
  <c r="D779" i="3"/>
  <c r="B777" i="3"/>
  <c r="C779" i="3" l="1"/>
  <c r="H777" i="3"/>
  <c r="R777" i="3" s="1"/>
  <c r="W777" i="3" s="1"/>
  <c r="S779" i="3"/>
  <c r="AC779" i="3" s="1"/>
  <c r="E780" i="3"/>
  <c r="D780" i="3"/>
  <c r="B778" i="3"/>
  <c r="H778" i="3" l="1"/>
  <c r="R778" i="3" s="1"/>
  <c r="W778" i="3" s="1"/>
  <c r="C780" i="3"/>
  <c r="S780" i="3"/>
  <c r="AC780" i="3" s="1"/>
  <c r="E781" i="3"/>
  <c r="D781" i="3"/>
  <c r="B779" i="3"/>
  <c r="C781" i="3" l="1"/>
  <c r="H779" i="3"/>
  <c r="R779" i="3" s="1"/>
  <c r="W779" i="3" s="1"/>
  <c r="S781" i="3"/>
  <c r="AC781" i="3" s="1"/>
  <c r="E782" i="3"/>
  <c r="D782" i="3"/>
  <c r="C782" i="3" s="1"/>
  <c r="B780" i="3"/>
  <c r="H780" i="3" l="1"/>
  <c r="R780" i="3" s="1"/>
  <c r="W780" i="3" s="1"/>
  <c r="S782" i="3"/>
  <c r="AC782" i="3" s="1"/>
  <c r="E783" i="3"/>
  <c r="D783" i="3"/>
  <c r="B781" i="3"/>
  <c r="H781" i="3" l="1"/>
  <c r="R781" i="3" s="1"/>
  <c r="W781" i="3" s="1"/>
  <c r="C783" i="3"/>
  <c r="S783" i="3"/>
  <c r="AC783" i="3" s="1"/>
  <c r="E784" i="3"/>
  <c r="D784" i="3"/>
  <c r="B782" i="3"/>
  <c r="C784" i="3" l="1"/>
  <c r="H782" i="3"/>
  <c r="R782" i="3" s="1"/>
  <c r="W782" i="3" s="1"/>
  <c r="S784" i="3"/>
  <c r="AC784" i="3" s="1"/>
  <c r="E785" i="3"/>
  <c r="D785" i="3"/>
  <c r="B783" i="3"/>
  <c r="H783" i="3" l="1"/>
  <c r="R783" i="3" s="1"/>
  <c r="W783" i="3" s="1"/>
  <c r="C785" i="3"/>
  <c r="B784" i="3"/>
  <c r="S785" i="3"/>
  <c r="AC785" i="3" s="1"/>
  <c r="E786" i="3"/>
  <c r="D786" i="3"/>
  <c r="B785" i="3" l="1"/>
  <c r="C786" i="3"/>
  <c r="H784" i="3"/>
  <c r="H785" i="3" s="1"/>
  <c r="S786" i="3"/>
  <c r="AC786" i="3" s="1"/>
  <c r="E787" i="3"/>
  <c r="D787" i="3"/>
  <c r="C787" i="3" l="1"/>
  <c r="R784" i="3"/>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Q790" i="3" l="1"/>
  <c r="T790" i="3"/>
  <c r="S790" i="3" s="1"/>
  <c r="C790" i="3"/>
  <c r="B790" i="3" s="1"/>
  <c r="E791" i="3"/>
  <c r="D791" i="3"/>
  <c r="R788" i="3"/>
  <c r="W788" i="3" s="1"/>
  <c r="H789" i="3"/>
  <c r="AN790" i="3" l="1"/>
  <c r="AC790" i="3" s="1"/>
  <c r="C791" i="3"/>
  <c r="B791" i="3" s="1"/>
  <c r="S791" i="3"/>
  <c r="AC791" i="3" s="1"/>
  <c r="R789" i="3"/>
  <c r="W789" i="3" s="1"/>
  <c r="H790" i="3"/>
  <c r="E792" i="3"/>
  <c r="D792" i="3"/>
  <c r="C792" i="3" l="1"/>
  <c r="R790" i="3"/>
  <c r="W790" i="3" s="1"/>
  <c r="H791" i="3"/>
  <c r="S792" i="3"/>
  <c r="AC792" i="3" s="1"/>
  <c r="E793" i="3"/>
  <c r="D793" i="3"/>
  <c r="B792"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S798" i="3"/>
  <c r="AC798" i="3" s="1"/>
  <c r="E799" i="3"/>
  <c r="D799" i="3"/>
  <c r="C799" i="3" s="1"/>
  <c r="B797" i="3"/>
  <c r="H797" i="3" s="1"/>
  <c r="R797" i="3" l="1"/>
  <c r="W797" i="3" s="1"/>
  <c r="S799" i="3"/>
  <c r="AC799" i="3" s="1"/>
  <c r="E800" i="3"/>
  <c r="D800" i="3"/>
  <c r="B798" i="3"/>
  <c r="H798" i="3" s="1"/>
  <c r="C800" i="3" l="1"/>
  <c r="S800" i="3"/>
  <c r="AC800" i="3" s="1"/>
  <c r="R798" i="3"/>
  <c r="W798" i="3" s="1"/>
  <c r="E801" i="3"/>
  <c r="D801" i="3"/>
  <c r="C801" i="3" s="1"/>
  <c r="B799" i="3"/>
  <c r="B800" i="3" s="1"/>
  <c r="H799" i="3" l="1"/>
  <c r="H800" i="3" s="1"/>
  <c r="S801" i="3"/>
  <c r="AC801" i="3" s="1"/>
  <c r="E802" i="3"/>
  <c r="D802" i="3"/>
  <c r="C802" i="3" s="1"/>
  <c r="B801" i="3"/>
  <c r="R799" i="3" l="1"/>
  <c r="W799" i="3" s="1"/>
  <c r="S802" i="3"/>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S806" i="3"/>
  <c r="AC806" i="3" s="1"/>
  <c r="B805" i="3"/>
  <c r="B806" i="3" l="1"/>
  <c r="H805" i="3"/>
  <c r="H806" i="3" s="1"/>
  <c r="C807" i="3"/>
  <c r="S807" i="3"/>
  <c r="AC807" i="3" s="1"/>
  <c r="E808" i="3"/>
  <c r="D808" i="3"/>
  <c r="B807" i="3"/>
  <c r="R805" i="3" l="1"/>
  <c r="W805" i="3" s="1"/>
  <c r="C808" i="3"/>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S816" i="3"/>
  <c r="AC816" i="3" s="1"/>
  <c r="E817" i="3"/>
  <c r="D817" i="3"/>
  <c r="B815" i="3"/>
  <c r="H815" i="3" s="1"/>
  <c r="C817" i="3" l="1"/>
  <c r="R815" i="3"/>
  <c r="W815" i="3" s="1"/>
  <c r="S817" i="3"/>
  <c r="AC817" i="3" s="1"/>
  <c r="E818" i="3"/>
  <c r="D818" i="3"/>
  <c r="B816" i="3"/>
  <c r="H816" i="3" s="1"/>
  <c r="C818" i="3" l="1"/>
  <c r="S818" i="3"/>
  <c r="AC818" i="3" s="1"/>
  <c r="R816" i="3"/>
  <c r="W816" i="3" s="1"/>
  <c r="D819" i="3"/>
  <c r="E819" i="3"/>
  <c r="B817" i="3"/>
  <c r="B818" i="3" s="1"/>
  <c r="H817" i="3" l="1"/>
  <c r="R817" i="3" s="1"/>
  <c r="W817" i="3" s="1"/>
  <c r="C819" i="3"/>
  <c r="E820" i="3"/>
  <c r="D820" i="3"/>
  <c r="C820" i="3" s="1"/>
  <c r="S819" i="3"/>
  <c r="AC819" i="3" s="1"/>
  <c r="B819" i="3"/>
  <c r="H818" i="3" l="1"/>
  <c r="R818" i="3" s="1"/>
  <c r="W818" i="3" s="1"/>
  <c r="S820" i="3"/>
  <c r="AC820" i="3" s="1"/>
  <c r="E821" i="3"/>
  <c r="D821" i="3"/>
  <c r="H819" i="3" l="1"/>
  <c r="H820" i="3" s="1"/>
  <c r="C821" i="3"/>
  <c r="E822" i="3"/>
  <c r="D822" i="3"/>
  <c r="S821" i="3"/>
  <c r="AC821" i="3" s="1"/>
  <c r="B820" i="3"/>
  <c r="R819" i="3" l="1"/>
  <c r="W819" i="3" s="1"/>
  <c r="B821" i="3"/>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S826" i="3"/>
  <c r="AC826" i="3" s="1"/>
  <c r="D827" i="3"/>
  <c r="E827" i="3"/>
  <c r="B825" i="3"/>
  <c r="H825" i="3" s="1"/>
  <c r="C827" i="3" l="1"/>
  <c r="S827" i="3"/>
  <c r="AC827" i="3" s="1"/>
  <c r="R825" i="3"/>
  <c r="W825" i="3" s="1"/>
  <c r="E828" i="3"/>
  <c r="D828" i="3"/>
  <c r="B826" i="3"/>
  <c r="B827" i="3" s="1"/>
  <c r="H826" i="3" l="1"/>
  <c r="R826" i="3" s="1"/>
  <c r="W826" i="3" s="1"/>
  <c r="C828" i="3"/>
  <c r="S828" i="3"/>
  <c r="AC828" i="3" s="1"/>
  <c r="E829" i="3"/>
  <c r="D829" i="3"/>
  <c r="B828" i="3"/>
  <c r="C829" i="3" l="1"/>
  <c r="H827" i="3"/>
  <c r="R827" i="3" s="1"/>
  <c r="W827" i="3" s="1"/>
  <c r="S829" i="3"/>
  <c r="AC829" i="3" s="1"/>
  <c r="E830" i="3"/>
  <c r="D830" i="3"/>
  <c r="B829" i="3"/>
  <c r="H828" i="3" l="1"/>
  <c r="R828" i="3" s="1"/>
  <c r="W828" i="3" s="1"/>
  <c r="C830" i="3"/>
  <c r="B830" i="3" s="1"/>
  <c r="S830" i="3"/>
  <c r="AC830" i="3" s="1"/>
  <c r="E831" i="3"/>
  <c r="D831" i="3"/>
  <c r="H829" i="3" l="1"/>
  <c r="R829" i="3" s="1"/>
  <c r="W829" i="3" s="1"/>
  <c r="C831" i="3"/>
  <c r="B831" i="3" s="1"/>
  <c r="S831" i="3"/>
  <c r="AC831" i="3" s="1"/>
  <c r="E832" i="3"/>
  <c r="D832" i="3"/>
  <c r="C832" i="3" l="1"/>
  <c r="H830" i="3"/>
  <c r="R830" i="3" s="1"/>
  <c r="W830" i="3" s="1"/>
  <c r="S832" i="3"/>
  <c r="AC832" i="3" s="1"/>
  <c r="E833" i="3"/>
  <c r="D833" i="3"/>
  <c r="C833" i="3" s="1"/>
  <c r="B832" i="3"/>
  <c r="H831" i="3" l="1"/>
  <c r="R831" i="3" s="1"/>
  <c r="W831" i="3" s="1"/>
  <c r="E834" i="3"/>
  <c r="D834" i="3"/>
  <c r="S833" i="3"/>
  <c r="AC833" i="3" s="1"/>
  <c r="H832" i="3" l="1"/>
  <c r="R832" i="3" s="1"/>
  <c r="W832" i="3" s="1"/>
  <c r="C834" i="3"/>
  <c r="B833" i="3"/>
  <c r="S834" i="3"/>
  <c r="AC834" i="3" s="1"/>
  <c r="E835" i="3"/>
  <c r="D835" i="3"/>
  <c r="H833" i="3" l="1"/>
  <c r="H834" i="3" s="1"/>
  <c r="C835" i="3"/>
  <c r="E836" i="3"/>
  <c r="D836" i="3"/>
  <c r="S835" i="3"/>
  <c r="AC835" i="3" s="1"/>
  <c r="B834" i="3"/>
  <c r="R833" i="3" l="1"/>
  <c r="W833" i="3" s="1"/>
  <c r="C836" i="3"/>
  <c r="R834" i="3"/>
  <c r="W834" i="3" s="1"/>
  <c r="B835" i="3"/>
  <c r="H835" i="3" s="1"/>
  <c r="S836" i="3"/>
  <c r="AC836" i="3" s="1"/>
  <c r="E837" i="3"/>
  <c r="D837" i="3"/>
  <c r="C837" i="3" l="1"/>
  <c r="E838" i="3"/>
  <c r="D838" i="3"/>
  <c r="S837" i="3"/>
  <c r="AC837" i="3" s="1"/>
  <c r="R835" i="3"/>
  <c r="W835" i="3" s="1"/>
  <c r="H836" i="3"/>
  <c r="B836" i="3"/>
  <c r="C838" i="3" l="1"/>
  <c r="R836" i="3"/>
  <c r="W836" i="3" s="1"/>
  <c r="S838" i="3"/>
  <c r="AC838" i="3" s="1"/>
  <c r="D839" i="3"/>
  <c r="E839" i="3"/>
  <c r="B837" i="3"/>
  <c r="H837" i="3" s="1"/>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B856" i="3"/>
  <c r="B857" i="3" s="1"/>
  <c r="H856" i="3" l="1"/>
  <c r="R856" i="3" s="1"/>
  <c r="W856" i="3" s="1"/>
  <c r="C858" i="3"/>
  <c r="D859" i="3"/>
  <c r="E859" i="3"/>
  <c r="S858" i="3"/>
  <c r="AC858" i="3" s="1"/>
  <c r="H857" i="3" l="1"/>
  <c r="R857" i="3" s="1"/>
  <c r="W857" i="3" s="1"/>
  <c r="C859" i="3"/>
  <c r="D860" i="3"/>
  <c r="E860" i="3"/>
  <c r="S859" i="3"/>
  <c r="AC859" i="3" s="1"/>
  <c r="B858" i="3"/>
  <c r="B859" i="3" s="1"/>
  <c r="H858" i="3" l="1"/>
  <c r="H859" i="3" s="1"/>
  <c r="C860" i="3"/>
  <c r="D861" i="3"/>
  <c r="E861" i="3"/>
  <c r="S860" i="3"/>
  <c r="AC860" i="3" s="1"/>
  <c r="R858" i="3" l="1"/>
  <c r="W858" i="3" s="1"/>
  <c r="C861" i="3"/>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S865" i="3"/>
  <c r="AC865" i="3" s="1"/>
  <c r="E866" i="3"/>
  <c r="D866" i="3"/>
  <c r="B864" i="3"/>
  <c r="H864" i="3" s="1"/>
  <c r="C866" i="3" l="1"/>
  <c r="S866" i="3"/>
  <c r="AC866" i="3" s="1"/>
  <c r="R864" i="3"/>
  <c r="W864" i="3" s="1"/>
  <c r="E867" i="3"/>
  <c r="D867" i="3"/>
  <c r="C867" i="3" s="1"/>
  <c r="B865" i="3"/>
  <c r="B866" i="3" s="1"/>
  <c r="H865" i="3" l="1"/>
  <c r="H866" i="3" s="1"/>
  <c r="S867" i="3"/>
  <c r="AC867" i="3" s="1"/>
  <c r="E868" i="3"/>
  <c r="D868" i="3"/>
  <c r="B867" i="3"/>
  <c r="C868" i="3" l="1"/>
  <c r="R865" i="3"/>
  <c r="W865" i="3" s="1"/>
  <c r="S868" i="3"/>
  <c r="AC868" i="3" s="1"/>
  <c r="E869" i="3"/>
  <c r="D869" i="3"/>
  <c r="C869" i="3" s="1"/>
  <c r="R866" i="3"/>
  <c r="W866" i="3" s="1"/>
  <c r="H867" i="3"/>
  <c r="B868" i="3"/>
  <c r="S869" i="3" l="1"/>
  <c r="AC869" i="3" s="1"/>
  <c r="E870" i="3"/>
  <c r="D870" i="3"/>
  <c r="R867" i="3"/>
  <c r="W867" i="3" s="1"/>
  <c r="H868" i="3"/>
  <c r="B869" i="3"/>
  <c r="C870" i="3" l="1"/>
  <c r="Q870" i="3"/>
  <c r="T870" i="3"/>
  <c r="S870" i="3" s="1"/>
  <c r="E871" i="3"/>
  <c r="D871" i="3"/>
  <c r="R868" i="3"/>
  <c r="W868" i="3" s="1"/>
  <c r="H869" i="3"/>
  <c r="B870" i="3"/>
  <c r="AN870" i="3" l="1"/>
  <c r="AC870" i="3" s="1"/>
  <c r="C871" i="3"/>
  <c r="B871" i="3" s="1"/>
  <c r="S871" i="3"/>
  <c r="AC871" i="3" s="1"/>
  <c r="E872" i="3"/>
  <c r="D872" i="3"/>
  <c r="R869" i="3"/>
  <c r="W869" i="3" s="1"/>
  <c r="H870"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R877" i="3"/>
  <c r="W877" i="3" s="1"/>
  <c r="H878" i="3"/>
  <c r="B879" i="3"/>
  <c r="C880" i="3" l="1"/>
  <c r="B880" i="3" s="1"/>
  <c r="S880" i="3"/>
  <c r="AC880" i="3" s="1"/>
  <c r="E881" i="3"/>
  <c r="D881" i="3"/>
  <c r="R878" i="3"/>
  <c r="W878" i="3" s="1"/>
  <c r="H879"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B892" i="3" s="1"/>
  <c r="R890" i="3"/>
  <c r="W890" i="3" s="1"/>
  <c r="H891" i="3"/>
  <c r="S892" i="3"/>
  <c r="AC892" i="3" s="1"/>
  <c r="E893" i="3"/>
  <c r="D893" i="3"/>
  <c r="C893" i="3" l="1"/>
  <c r="E894" i="3"/>
  <c r="D894" i="3"/>
  <c r="S893" i="3"/>
  <c r="AC893" i="3" s="1"/>
  <c r="R891" i="3"/>
  <c r="W891" i="3" s="1"/>
  <c r="H892" i="3"/>
  <c r="C894" i="3" l="1"/>
  <c r="R892" i="3"/>
  <c r="W892" i="3" s="1"/>
  <c r="B893" i="3"/>
  <c r="H893" i="3" s="1"/>
  <c r="S894" i="3"/>
  <c r="AC894" i="3" s="1"/>
  <c r="E895" i="3"/>
  <c r="D895" i="3"/>
  <c r="C895" i="3" l="1"/>
  <c r="E896" i="3"/>
  <c r="D896" i="3"/>
  <c r="S895" i="3"/>
  <c r="AC895" i="3" s="1"/>
  <c r="R893" i="3"/>
  <c r="W893" i="3" s="1"/>
  <c r="H894" i="3"/>
  <c r="B894" i="3"/>
  <c r="C896" i="3" l="1"/>
  <c r="R894" i="3"/>
  <c r="W894" i="3" s="1"/>
  <c r="S896" i="3"/>
  <c r="AC896" i="3" s="1"/>
  <c r="E897" i="3"/>
  <c r="D897" i="3"/>
  <c r="B895" i="3"/>
  <c r="H895" i="3" s="1"/>
  <c r="R895" i="3" l="1"/>
  <c r="W895" i="3" s="1"/>
  <c r="S897" i="3"/>
  <c r="AC897" i="3" s="1"/>
  <c r="E898" i="3"/>
  <c r="D898" i="3"/>
  <c r="B896" i="3"/>
  <c r="H896" i="3" s="1"/>
  <c r="C897" i="3" l="1"/>
  <c r="R896" i="3"/>
  <c r="W896" i="3" s="1"/>
  <c r="S898" i="3"/>
  <c r="AC898" i="3" s="1"/>
  <c r="E899" i="3"/>
  <c r="D899" i="3"/>
  <c r="C898" i="3" l="1"/>
  <c r="B897" i="3"/>
  <c r="H897" i="3" s="1"/>
  <c r="S899" i="3"/>
  <c r="AC899" i="3" s="1"/>
  <c r="E900" i="3"/>
  <c r="D900" i="3"/>
  <c r="C899" i="3" l="1"/>
  <c r="B898" i="3"/>
  <c r="H898" i="3"/>
  <c r="R898" i="3" s="1"/>
  <c r="W898" i="3" s="1"/>
  <c r="R897" i="3"/>
  <c r="W897" i="3" s="1"/>
  <c r="S900" i="3"/>
  <c r="AC900" i="3" s="1"/>
  <c r="E901" i="3"/>
  <c r="D901" i="3"/>
  <c r="C900" i="3" l="1"/>
  <c r="B899" i="3"/>
  <c r="H899" i="3"/>
  <c r="S901" i="3"/>
  <c r="AC901" i="3" s="1"/>
  <c r="E902" i="3"/>
  <c r="D902" i="3"/>
  <c r="C901" i="3" l="1"/>
  <c r="B900" i="3"/>
  <c r="H900" i="3"/>
  <c r="R900" i="3" s="1"/>
  <c r="W900" i="3" s="1"/>
  <c r="R899" i="3"/>
  <c r="W899" i="3" s="1"/>
  <c r="S902" i="3"/>
  <c r="AC902" i="3" s="1"/>
  <c r="E903" i="3"/>
  <c r="D903" i="3"/>
  <c r="C902" i="3" l="1"/>
  <c r="B901" i="3"/>
  <c r="H901" i="3"/>
  <c r="R901" i="3" s="1"/>
  <c r="W901" i="3" s="1"/>
  <c r="S903" i="3"/>
  <c r="AC903" i="3" s="1"/>
  <c r="E904" i="3"/>
  <c r="D904" i="3"/>
  <c r="B902" i="3" l="1"/>
  <c r="C903" i="3" s="1"/>
  <c r="H902" i="3"/>
  <c r="R902" i="3" s="1"/>
  <c r="W902" i="3" s="1"/>
  <c r="S904" i="3"/>
  <c r="AC904" i="3" s="1"/>
  <c r="E905" i="3"/>
  <c r="D905" i="3"/>
  <c r="C904" i="3" l="1"/>
  <c r="B903" i="3"/>
  <c r="H903" i="3"/>
  <c r="S905" i="3"/>
  <c r="AC905" i="3" s="1"/>
  <c r="E906" i="3"/>
  <c r="D906" i="3"/>
  <c r="C905" i="3" l="1"/>
  <c r="H904" i="3"/>
  <c r="R904" i="3" s="1"/>
  <c r="W904" i="3" s="1"/>
  <c r="B904" i="3"/>
  <c r="R903" i="3"/>
  <c r="W903" i="3" s="1"/>
  <c r="S906" i="3"/>
  <c r="AC906" i="3" s="1"/>
  <c r="E907" i="3"/>
  <c r="D907" i="3"/>
  <c r="C906" i="3" l="1"/>
  <c r="B905" i="3"/>
  <c r="H905" i="3"/>
  <c r="R905" i="3" s="1"/>
  <c r="W905" i="3" s="1"/>
  <c r="S907" i="3"/>
  <c r="AC907" i="3" s="1"/>
  <c r="E908" i="3"/>
  <c r="D908" i="3"/>
  <c r="C907" i="3" l="1"/>
  <c r="B906" i="3"/>
  <c r="H906" i="3"/>
  <c r="R906" i="3" s="1"/>
  <c r="W906" i="3" s="1"/>
  <c r="S908" i="3"/>
  <c r="AC908" i="3" s="1"/>
  <c r="E909" i="3"/>
  <c r="D909" i="3"/>
  <c r="C908" i="3" l="1"/>
  <c r="B907" i="3"/>
  <c r="H907" i="3"/>
  <c r="R907" i="3" s="1"/>
  <c r="W907" i="3" s="1"/>
  <c r="S909" i="3"/>
  <c r="AC909" i="3" s="1"/>
  <c r="E910" i="3"/>
  <c r="D910" i="3"/>
  <c r="C909" i="3" l="1"/>
  <c r="B908" i="3"/>
  <c r="H908" i="3"/>
  <c r="R908" i="3" s="1"/>
  <c r="W908" i="3" s="1"/>
  <c r="S910" i="3"/>
  <c r="AC910" i="3" s="1"/>
  <c r="E911" i="3"/>
  <c r="D911" i="3"/>
  <c r="C910" i="3" l="1"/>
  <c r="B909" i="3"/>
  <c r="H909" i="3"/>
  <c r="R909" i="3" s="1"/>
  <c r="W909" i="3" s="1"/>
  <c r="S911" i="3"/>
  <c r="AC911" i="3" s="1"/>
  <c r="E912" i="3"/>
  <c r="D912" i="3"/>
  <c r="C911" i="3" l="1"/>
  <c r="B910" i="3"/>
  <c r="H910" i="3"/>
  <c r="R910" i="3" s="1"/>
  <c r="W910" i="3" s="1"/>
  <c r="S912" i="3"/>
  <c r="AC912" i="3" s="1"/>
  <c r="E913" i="3"/>
  <c r="D913" i="3"/>
  <c r="C912" i="3" l="1"/>
  <c r="B911" i="3"/>
  <c r="H911" i="3"/>
  <c r="R911" i="3" s="1"/>
  <c r="W911" i="3" s="1"/>
  <c r="S913" i="3"/>
  <c r="AC913" i="3" s="1"/>
  <c r="E914" i="3"/>
  <c r="D914" i="3"/>
  <c r="C913" i="3" l="1"/>
  <c r="B912" i="3"/>
  <c r="H912" i="3"/>
  <c r="S914" i="3"/>
  <c r="AC914" i="3" s="1"/>
  <c r="E915" i="3"/>
  <c r="D915" i="3"/>
  <c r="H913" i="3" l="1"/>
  <c r="R913" i="3" s="1"/>
  <c r="W913" i="3" s="1"/>
  <c r="B913" i="3"/>
  <c r="R912" i="3"/>
  <c r="W912" i="3" s="1"/>
  <c r="S915" i="3"/>
  <c r="AC915" i="3" s="1"/>
  <c r="E916" i="3"/>
  <c r="D916" i="3"/>
  <c r="C914" i="3" l="1"/>
  <c r="S916" i="3"/>
  <c r="AC916" i="3" s="1"/>
  <c r="E917" i="3"/>
  <c r="D917" i="3"/>
  <c r="C915" i="3" l="1"/>
  <c r="B914" i="3"/>
  <c r="S917" i="3"/>
  <c r="AC917" i="3" s="1"/>
  <c r="E918" i="3"/>
  <c r="D918" i="3"/>
  <c r="C916" i="3" l="1"/>
  <c r="B915" i="3"/>
  <c r="H914" i="3"/>
  <c r="S918" i="3"/>
  <c r="AC918" i="3" s="1"/>
  <c r="E919" i="3"/>
  <c r="D919" i="3"/>
  <c r="C917" i="3" l="1"/>
  <c r="B916" i="3"/>
  <c r="R914" i="3"/>
  <c r="W914" i="3" s="1"/>
  <c r="H915" i="3"/>
  <c r="E920" i="3"/>
  <c r="D920" i="3"/>
  <c r="S919" i="3"/>
  <c r="AC919" i="3" s="1"/>
  <c r="C918" i="3" l="1"/>
  <c r="B917" i="3"/>
  <c r="R915" i="3"/>
  <c r="W915" i="3" s="1"/>
  <c r="H916" i="3"/>
  <c r="S920" i="3"/>
  <c r="AC920" i="3" s="1"/>
  <c r="E921" i="3"/>
  <c r="D921" i="3"/>
  <c r="C919" i="3" l="1"/>
  <c r="B918" i="3"/>
  <c r="R916" i="3"/>
  <c r="W916" i="3" s="1"/>
  <c r="H917" i="3"/>
  <c r="S921" i="3"/>
  <c r="AC921" i="3" s="1"/>
  <c r="E922" i="3"/>
  <c r="D922" i="3"/>
  <c r="C920" i="3" l="1"/>
  <c r="B919" i="3"/>
  <c r="R917" i="3"/>
  <c r="W917" i="3" s="1"/>
  <c r="H918" i="3"/>
  <c r="S922" i="3"/>
  <c r="AC922" i="3" s="1"/>
  <c r="E923" i="3"/>
  <c r="D923" i="3"/>
  <c r="C921" i="3" l="1"/>
  <c r="B920" i="3"/>
  <c r="R918" i="3"/>
  <c r="W918" i="3" s="1"/>
  <c r="H919" i="3"/>
  <c r="S923" i="3"/>
  <c r="AC923" i="3" s="1"/>
  <c r="E924" i="3"/>
  <c r="D924" i="3"/>
  <c r="C922" i="3" l="1"/>
  <c r="B921" i="3"/>
  <c r="R919" i="3"/>
  <c r="W919" i="3" s="1"/>
  <c r="H920" i="3"/>
  <c r="S924" i="3"/>
  <c r="AC924" i="3" s="1"/>
  <c r="E925" i="3"/>
  <c r="D925" i="3"/>
  <c r="C923" i="3" l="1"/>
  <c r="B922" i="3"/>
  <c r="R920" i="3"/>
  <c r="W920" i="3" s="1"/>
  <c r="H921" i="3"/>
  <c r="S925" i="3"/>
  <c r="AC925" i="3" s="1"/>
  <c r="E926" i="3"/>
  <c r="D926" i="3"/>
  <c r="C924" i="3" l="1"/>
  <c r="B923" i="3"/>
  <c r="R921" i="3"/>
  <c r="W921" i="3" s="1"/>
  <c r="H922" i="3"/>
  <c r="S926" i="3"/>
  <c r="AC926" i="3" s="1"/>
  <c r="E927" i="3"/>
  <c r="D927" i="3"/>
  <c r="C925" i="3" l="1"/>
  <c r="B924" i="3"/>
  <c r="R922" i="3"/>
  <c r="W922" i="3" s="1"/>
  <c r="H923" i="3"/>
  <c r="E928" i="3"/>
  <c r="D928" i="3"/>
  <c r="S927" i="3"/>
  <c r="AC927" i="3" s="1"/>
  <c r="C926" i="3" l="1"/>
  <c r="B925" i="3"/>
  <c r="R923" i="3"/>
  <c r="W923" i="3" s="1"/>
  <c r="H924" i="3"/>
  <c r="S928" i="3"/>
  <c r="AC928" i="3" s="1"/>
  <c r="E929" i="3"/>
  <c r="D929" i="3"/>
  <c r="C927" i="3" l="1"/>
  <c r="B926" i="3"/>
  <c r="R924" i="3"/>
  <c r="W924" i="3" s="1"/>
  <c r="H925" i="3"/>
  <c r="S929" i="3"/>
  <c r="AC929" i="3" s="1"/>
  <c r="E930" i="3"/>
  <c r="D930" i="3"/>
  <c r="C928" i="3" l="1"/>
  <c r="B927" i="3"/>
  <c r="R925" i="3"/>
  <c r="W925" i="3" s="1"/>
  <c r="H926" i="3"/>
  <c r="S930" i="3"/>
  <c r="AC930" i="3" s="1"/>
  <c r="E931" i="3"/>
  <c r="D931" i="3"/>
  <c r="C929" i="3" l="1"/>
  <c r="B928" i="3"/>
  <c r="R926" i="3"/>
  <c r="W926" i="3" s="1"/>
  <c r="H927" i="3"/>
  <c r="S931" i="3"/>
  <c r="AC931" i="3" s="1"/>
  <c r="E932" i="3"/>
  <c r="D932" i="3"/>
  <c r="C930" i="3" l="1"/>
  <c r="B929" i="3"/>
  <c r="R927" i="3"/>
  <c r="W927" i="3" s="1"/>
  <c r="H928" i="3"/>
  <c r="S932" i="3"/>
  <c r="AC932" i="3" s="1"/>
  <c r="E933" i="3"/>
  <c r="D933" i="3"/>
  <c r="C931" i="3" l="1"/>
  <c r="B930" i="3"/>
  <c r="R928" i="3"/>
  <c r="W928" i="3" s="1"/>
  <c r="H929" i="3"/>
  <c r="S933" i="3"/>
  <c r="AC933" i="3" s="1"/>
  <c r="E934" i="3"/>
  <c r="D934" i="3"/>
  <c r="C932" i="3" l="1"/>
  <c r="B931" i="3"/>
  <c r="R929" i="3"/>
  <c r="W929" i="3" s="1"/>
  <c r="H930" i="3"/>
  <c r="E935" i="3"/>
  <c r="D935" i="3"/>
  <c r="S934" i="3"/>
  <c r="AC934" i="3" s="1"/>
  <c r="C933" i="3" l="1"/>
  <c r="B932" i="3"/>
  <c r="R930" i="3"/>
  <c r="W930" i="3" s="1"/>
  <c r="H931" i="3"/>
  <c r="S935" i="3"/>
  <c r="AC935" i="3" s="1"/>
  <c r="E936" i="3"/>
  <c r="D936" i="3"/>
  <c r="C934" i="3" l="1"/>
  <c r="B933" i="3"/>
  <c r="R931" i="3"/>
  <c r="W931" i="3" s="1"/>
  <c r="H932" i="3"/>
  <c r="E937" i="3"/>
  <c r="D937" i="3"/>
  <c r="S936" i="3"/>
  <c r="AC936" i="3" s="1"/>
  <c r="C935" i="3" l="1"/>
  <c r="B934" i="3"/>
  <c r="R932" i="3"/>
  <c r="W932" i="3" s="1"/>
  <c r="H933" i="3"/>
  <c r="S937" i="3"/>
  <c r="AC937" i="3" s="1"/>
  <c r="E938" i="3"/>
  <c r="D938" i="3"/>
  <c r="C936" i="3" l="1"/>
  <c r="B935" i="3"/>
  <c r="R933" i="3"/>
  <c r="W933" i="3" s="1"/>
  <c r="H934" i="3"/>
  <c r="E939" i="3"/>
  <c r="D939" i="3"/>
  <c r="S938" i="3"/>
  <c r="AC938" i="3" s="1"/>
  <c r="C937" i="3" l="1"/>
  <c r="B936" i="3"/>
  <c r="R934" i="3"/>
  <c r="W934" i="3" s="1"/>
  <c r="H935" i="3"/>
  <c r="S939" i="3"/>
  <c r="AC939" i="3" s="1"/>
  <c r="E940" i="3"/>
  <c r="D940" i="3"/>
  <c r="B937" i="3" l="1"/>
  <c r="R935" i="3"/>
  <c r="W935" i="3" s="1"/>
  <c r="H936" i="3"/>
  <c r="S940" i="3"/>
  <c r="AC940" i="3" s="1"/>
  <c r="E941" i="3"/>
  <c r="D941" i="3"/>
  <c r="C938" i="3" l="1"/>
  <c r="R936" i="3"/>
  <c r="W936" i="3" s="1"/>
  <c r="H937" i="3"/>
  <c r="E942" i="3"/>
  <c r="D942" i="3"/>
  <c r="S941" i="3"/>
  <c r="AC941" i="3" s="1"/>
  <c r="C939" i="3" l="1"/>
  <c r="B938" i="3"/>
  <c r="R937" i="3"/>
  <c r="W937" i="3" s="1"/>
  <c r="H938" i="3"/>
  <c r="S942" i="3"/>
  <c r="AC942" i="3" s="1"/>
  <c r="E943" i="3"/>
  <c r="D943" i="3"/>
  <c r="C940" i="3" l="1"/>
  <c r="B939" i="3"/>
  <c r="R938" i="3"/>
  <c r="W938" i="3" s="1"/>
  <c r="H939" i="3"/>
  <c r="S943" i="3"/>
  <c r="AC943" i="3" s="1"/>
  <c r="E944" i="3"/>
  <c r="D944" i="3"/>
  <c r="C941" i="3" l="1"/>
  <c r="B940" i="3"/>
  <c r="R939" i="3"/>
  <c r="W939" i="3" s="1"/>
  <c r="H940" i="3"/>
  <c r="S944" i="3"/>
  <c r="AC944" i="3" s="1"/>
  <c r="E945" i="3"/>
  <c r="D945" i="3"/>
  <c r="C942" i="3" l="1"/>
  <c r="B941" i="3"/>
  <c r="R940" i="3"/>
  <c r="W940" i="3" s="1"/>
  <c r="H941" i="3"/>
  <c r="S945" i="3"/>
  <c r="AC945" i="3" s="1"/>
  <c r="E946" i="3"/>
  <c r="D946" i="3"/>
  <c r="C943" i="3" l="1"/>
  <c r="B942" i="3"/>
  <c r="R941" i="3"/>
  <c r="W941" i="3" s="1"/>
  <c r="H942" i="3"/>
  <c r="S946" i="3"/>
  <c r="AC946" i="3" s="1"/>
  <c r="E947" i="3"/>
  <c r="D947" i="3"/>
  <c r="C944" i="3" l="1"/>
  <c r="B943" i="3"/>
  <c r="R942" i="3"/>
  <c r="W942" i="3" s="1"/>
  <c r="H943" i="3"/>
  <c r="S947" i="3"/>
  <c r="AC947" i="3" s="1"/>
  <c r="E948" i="3"/>
  <c r="D948" i="3"/>
  <c r="C945" i="3" l="1"/>
  <c r="B944" i="3"/>
  <c r="R943" i="3"/>
  <c r="W943" i="3" s="1"/>
  <c r="H944" i="3"/>
  <c r="S948" i="3"/>
  <c r="AC948" i="3" s="1"/>
  <c r="E949" i="3"/>
  <c r="D949" i="3"/>
  <c r="C946" i="3" l="1"/>
  <c r="B945" i="3"/>
  <c r="R944" i="3"/>
  <c r="W944" i="3" s="1"/>
  <c r="H945" i="3"/>
  <c r="S949" i="3"/>
  <c r="AC949" i="3" s="1"/>
  <c r="E950" i="3"/>
  <c r="D950" i="3"/>
  <c r="C947" i="3" l="1"/>
  <c r="B946" i="3"/>
  <c r="R945" i="3"/>
  <c r="W945" i="3" s="1"/>
  <c r="H946" i="3"/>
  <c r="S950" i="3"/>
  <c r="AC950" i="3" s="1"/>
  <c r="E951" i="3"/>
  <c r="D951" i="3"/>
  <c r="C948" i="3" l="1"/>
  <c r="B947" i="3"/>
  <c r="R946" i="3"/>
  <c r="W946" i="3" s="1"/>
  <c r="H947" i="3"/>
  <c r="S951" i="3"/>
  <c r="AC951" i="3" s="1"/>
  <c r="E952" i="3"/>
  <c r="D952" i="3"/>
  <c r="C949" i="3" l="1"/>
  <c r="B948" i="3"/>
  <c r="R947" i="3"/>
  <c r="W947" i="3" s="1"/>
  <c r="H948" i="3"/>
  <c r="S952" i="3"/>
  <c r="AC952" i="3" s="1"/>
  <c r="E953" i="3"/>
  <c r="D953" i="3"/>
  <c r="C950" i="3" l="1"/>
  <c r="B949" i="3"/>
  <c r="R948" i="3"/>
  <c r="W948" i="3" s="1"/>
  <c r="H949" i="3"/>
  <c r="S953" i="3"/>
  <c r="AC953" i="3" s="1"/>
  <c r="E954" i="3"/>
  <c r="D954" i="3"/>
  <c r="C951" i="3" l="1"/>
  <c r="B950" i="3"/>
  <c r="R949" i="3"/>
  <c r="W949" i="3" s="1"/>
  <c r="H950" i="3"/>
  <c r="S954" i="3"/>
  <c r="AC954" i="3" s="1"/>
  <c r="E955" i="3"/>
  <c r="D955" i="3"/>
  <c r="C952" i="3" l="1"/>
  <c r="B951" i="3"/>
  <c r="R950" i="3"/>
  <c r="W950" i="3" s="1"/>
  <c r="H951" i="3"/>
  <c r="S955" i="3"/>
  <c r="AC955" i="3" s="1"/>
  <c r="E956" i="3"/>
  <c r="D956" i="3"/>
  <c r="C953" i="3" l="1"/>
  <c r="B952" i="3"/>
  <c r="R951" i="3"/>
  <c r="W951" i="3" s="1"/>
  <c r="H952" i="3"/>
  <c r="S956" i="3"/>
  <c r="AC956" i="3" s="1"/>
  <c r="E957" i="3"/>
  <c r="D957" i="3"/>
  <c r="C954" i="3" l="1"/>
  <c r="B953" i="3"/>
  <c r="R952" i="3"/>
  <c r="W952" i="3" s="1"/>
  <c r="H953" i="3"/>
  <c r="S957" i="3"/>
  <c r="AC957" i="3" s="1"/>
  <c r="E958" i="3"/>
  <c r="D958" i="3"/>
  <c r="C955" i="3" l="1"/>
  <c r="B954" i="3"/>
  <c r="R953" i="3"/>
  <c r="W953" i="3" s="1"/>
  <c r="H954" i="3"/>
  <c r="S958" i="3"/>
  <c r="AC958" i="3" s="1"/>
  <c r="E959" i="3"/>
  <c r="D959" i="3"/>
  <c r="C956" i="3" l="1"/>
  <c r="B955" i="3"/>
  <c r="R954" i="3"/>
  <c r="W954" i="3" s="1"/>
  <c r="H955" i="3"/>
  <c r="S959" i="3"/>
  <c r="AC959" i="3" s="1"/>
  <c r="E960" i="3"/>
  <c r="D960" i="3"/>
  <c r="C957" i="3" l="1"/>
  <c r="B956" i="3"/>
  <c r="R955" i="3"/>
  <c r="W955" i="3" s="1"/>
  <c r="H956" i="3"/>
  <c r="S960" i="3"/>
  <c r="AC960" i="3" s="1"/>
  <c r="E961" i="3"/>
  <c r="D961" i="3"/>
  <c r="C958" i="3" l="1"/>
  <c r="B957" i="3"/>
  <c r="R956" i="3"/>
  <c r="W956" i="3" s="1"/>
  <c r="H957" i="3"/>
  <c r="S961" i="3"/>
  <c r="AC961" i="3" s="1"/>
  <c r="E962" i="3"/>
  <c r="D962" i="3"/>
  <c r="C959" i="3" l="1"/>
  <c r="B958" i="3"/>
  <c r="R957" i="3"/>
  <c r="W957" i="3" s="1"/>
  <c r="H958" i="3"/>
  <c r="S962" i="3"/>
  <c r="AC962" i="3" s="1"/>
  <c r="E963" i="3"/>
  <c r="D963" i="3"/>
  <c r="C960" i="3" l="1"/>
  <c r="B959" i="3"/>
  <c r="R958" i="3"/>
  <c r="W958" i="3" s="1"/>
  <c r="H959" i="3"/>
  <c r="S963" i="3"/>
  <c r="AC963" i="3" s="1"/>
  <c r="E964" i="3"/>
  <c r="D964" i="3"/>
  <c r="C961" i="3" l="1"/>
  <c r="B960" i="3"/>
  <c r="R959" i="3"/>
  <c r="W959" i="3" s="1"/>
  <c r="H960" i="3"/>
  <c r="S964" i="3"/>
  <c r="AC964" i="3" s="1"/>
  <c r="E965" i="3"/>
  <c r="D965" i="3"/>
  <c r="C962" i="3" l="1"/>
  <c r="B961" i="3"/>
  <c r="R960" i="3"/>
  <c r="W960" i="3" s="1"/>
  <c r="H961" i="3"/>
  <c r="S965" i="3"/>
  <c r="AC965" i="3" s="1"/>
  <c r="E966" i="3"/>
  <c r="D966" i="3"/>
  <c r="C963" i="3" l="1"/>
  <c r="B962" i="3"/>
  <c r="R961" i="3"/>
  <c r="W961" i="3" s="1"/>
  <c r="H962" i="3"/>
  <c r="S966" i="3"/>
  <c r="AC966" i="3" s="1"/>
  <c r="E967" i="3"/>
  <c r="D967" i="3"/>
  <c r="C964" i="3" l="1"/>
  <c r="B963" i="3"/>
  <c r="R962" i="3"/>
  <c r="W962" i="3" s="1"/>
  <c r="H963" i="3"/>
  <c r="E968" i="3"/>
  <c r="D968" i="3"/>
  <c r="S967" i="3"/>
  <c r="AC967" i="3" s="1"/>
  <c r="C965" i="3" l="1"/>
  <c r="B964" i="3"/>
  <c r="R963" i="3"/>
  <c r="W963" i="3" s="1"/>
  <c r="H964" i="3"/>
  <c r="S968" i="3"/>
  <c r="AC968" i="3" s="1"/>
  <c r="E969" i="3"/>
  <c r="D969" i="3"/>
  <c r="C966" i="3" l="1"/>
  <c r="B965" i="3"/>
  <c r="R964" i="3"/>
  <c r="W964" i="3" s="1"/>
  <c r="H965" i="3"/>
  <c r="S969" i="3"/>
  <c r="AC969" i="3" s="1"/>
  <c r="E970" i="3"/>
  <c r="D970" i="3"/>
  <c r="C967" i="3" l="1"/>
  <c r="B966" i="3"/>
  <c r="R965" i="3"/>
  <c r="W965" i="3" s="1"/>
  <c r="H966" i="3"/>
  <c r="S970" i="3"/>
  <c r="AC970" i="3" s="1"/>
  <c r="E971" i="3"/>
  <c r="D971" i="3"/>
  <c r="C968" i="3" l="1"/>
  <c r="B967" i="3"/>
  <c r="R966" i="3"/>
  <c r="W966" i="3" s="1"/>
  <c r="H967" i="3"/>
  <c r="S971" i="3"/>
  <c r="AC971" i="3" s="1"/>
  <c r="E972" i="3"/>
  <c r="D972" i="3"/>
  <c r="C969" i="3" l="1"/>
  <c r="B968" i="3"/>
  <c r="R967" i="3"/>
  <c r="W967" i="3" s="1"/>
  <c r="H968" i="3"/>
  <c r="E973" i="3"/>
  <c r="D973" i="3"/>
  <c r="S972" i="3"/>
  <c r="AC972" i="3" s="1"/>
  <c r="C970" i="3" l="1"/>
  <c r="B969" i="3"/>
  <c r="R968" i="3"/>
  <c r="W968" i="3" s="1"/>
  <c r="H969" i="3"/>
  <c r="S973" i="3"/>
  <c r="AC973" i="3" s="1"/>
  <c r="E974" i="3"/>
  <c r="D974" i="3"/>
  <c r="C971" i="3" l="1"/>
  <c r="B970" i="3"/>
  <c r="R969" i="3"/>
  <c r="W969" i="3" s="1"/>
  <c r="H970" i="3"/>
  <c r="E975" i="3"/>
  <c r="D975" i="3"/>
  <c r="S974" i="3"/>
  <c r="AC974" i="3" s="1"/>
  <c r="C972" i="3" l="1"/>
  <c r="B971" i="3"/>
  <c r="R970" i="3"/>
  <c r="W970" i="3" s="1"/>
  <c r="H971" i="3"/>
  <c r="S975" i="3"/>
  <c r="AC975" i="3" s="1"/>
  <c r="E976" i="3"/>
  <c r="D976" i="3"/>
  <c r="C973" i="3" l="1"/>
  <c r="B972" i="3"/>
  <c r="R971" i="3"/>
  <c r="W971" i="3" s="1"/>
  <c r="H972" i="3"/>
  <c r="E977" i="3"/>
  <c r="D977" i="3"/>
  <c r="S976" i="3"/>
  <c r="AC976" i="3" s="1"/>
  <c r="C974" i="3" l="1"/>
  <c r="B973" i="3"/>
  <c r="R972" i="3"/>
  <c r="W972" i="3" s="1"/>
  <c r="H973" i="3"/>
  <c r="S977" i="3"/>
  <c r="AC977" i="3" s="1"/>
  <c r="E978" i="3"/>
  <c r="D978" i="3"/>
  <c r="C975" i="3" l="1"/>
  <c r="C976" i="3" s="1"/>
  <c r="C977" i="3" s="1"/>
  <c r="C978" i="3" s="1"/>
  <c r="B974" i="3"/>
  <c r="R973" i="3"/>
  <c r="W973" i="3" s="1"/>
  <c r="H974" i="3"/>
  <c r="E979" i="3"/>
  <c r="D979" i="3"/>
  <c r="S978" i="3"/>
  <c r="AC978" i="3" s="1"/>
  <c r="B975" i="3" l="1"/>
  <c r="B976" i="3" s="1"/>
  <c r="B977" i="3" s="1"/>
  <c r="R974" i="3"/>
  <c r="W974" i="3" s="1"/>
  <c r="H975" i="3"/>
  <c r="C979" i="3"/>
  <c r="B978" i="3"/>
  <c r="S979" i="3"/>
  <c r="AC979" i="3" s="1"/>
  <c r="E980" i="3"/>
  <c r="D980" i="3"/>
  <c r="R975" i="3" l="1"/>
  <c r="W975" i="3" s="1"/>
  <c r="H976" i="3"/>
  <c r="C980" i="3"/>
  <c r="E981" i="3"/>
  <c r="D981" i="3"/>
  <c r="S980" i="3"/>
  <c r="AC980" i="3" s="1"/>
  <c r="B979" i="3"/>
  <c r="H977" i="3" l="1"/>
  <c r="R976" i="3"/>
  <c r="W976" i="3" s="1"/>
  <c r="C981" i="3"/>
  <c r="B980" i="3"/>
  <c r="S981" i="3"/>
  <c r="AC981" i="3" s="1"/>
  <c r="E982" i="3"/>
  <c r="D982" i="3"/>
  <c r="R977" i="3" l="1"/>
  <c r="W977" i="3" s="1"/>
  <c r="H978" i="3"/>
  <c r="C982" i="3"/>
  <c r="E983" i="3"/>
  <c r="D983" i="3"/>
  <c r="S982" i="3"/>
  <c r="AC982" i="3" s="1"/>
  <c r="B981" i="3"/>
  <c r="R978" i="3" l="1"/>
  <c r="W978" i="3" s="1"/>
  <c r="H979" i="3"/>
  <c r="C983" i="3"/>
  <c r="S983" i="3"/>
  <c r="AC983" i="3" s="1"/>
  <c r="E984" i="3"/>
  <c r="D984" i="3"/>
  <c r="B982" i="3"/>
  <c r="C984" i="3" l="1"/>
  <c r="R979" i="3"/>
  <c r="W979" i="3" s="1"/>
  <c r="H980" i="3"/>
  <c r="E985" i="3"/>
  <c r="D985" i="3"/>
  <c r="C985" i="3" s="1"/>
  <c r="S984" i="3"/>
  <c r="AC984" i="3" s="1"/>
  <c r="B983" i="3"/>
  <c r="R980" i="3" l="1"/>
  <c r="W980" i="3" s="1"/>
  <c r="H981" i="3"/>
  <c r="B984" i="3"/>
  <c r="S985" i="3"/>
  <c r="AC985" i="3" s="1"/>
  <c r="E986" i="3"/>
  <c r="D986" i="3"/>
  <c r="R981" i="3" l="1"/>
  <c r="W981" i="3" s="1"/>
  <c r="H982" i="3"/>
  <c r="C986" i="3"/>
  <c r="E987" i="3"/>
  <c r="D987" i="3"/>
  <c r="S986" i="3"/>
  <c r="AC986" i="3" s="1"/>
  <c r="B985" i="3"/>
  <c r="R982" i="3" l="1"/>
  <c r="W982" i="3" s="1"/>
  <c r="H983" i="3"/>
  <c r="C987" i="3"/>
  <c r="B986" i="3"/>
  <c r="S987" i="3"/>
  <c r="AC987" i="3" s="1"/>
  <c r="E988" i="3"/>
  <c r="D988" i="3"/>
  <c r="R983" i="3" l="1"/>
  <c r="W983" i="3" s="1"/>
  <c r="H984" i="3"/>
  <c r="C988" i="3"/>
  <c r="E989" i="3"/>
  <c r="D989" i="3"/>
  <c r="S988" i="3"/>
  <c r="AC988" i="3" s="1"/>
  <c r="B987" i="3"/>
  <c r="R984" i="3" l="1"/>
  <c r="W984" i="3" s="1"/>
  <c r="H985" i="3"/>
  <c r="C989" i="3"/>
  <c r="S989" i="3"/>
  <c r="AC989" i="3" s="1"/>
  <c r="E990" i="3"/>
  <c r="D990" i="3"/>
  <c r="B988" i="3"/>
  <c r="C990" i="3" l="1"/>
  <c r="R985" i="3"/>
  <c r="W985" i="3" s="1"/>
  <c r="H986" i="3"/>
  <c r="S990" i="3"/>
  <c r="AC990" i="3" s="1"/>
  <c r="E991" i="3"/>
  <c r="D991" i="3"/>
  <c r="C991" i="3" s="1"/>
  <c r="B989" i="3"/>
  <c r="H987" i="3" l="1"/>
  <c r="R986" i="3"/>
  <c r="W986" i="3" s="1"/>
  <c r="S991" i="3"/>
  <c r="AC991" i="3" s="1"/>
  <c r="E992" i="3"/>
  <c r="D992" i="3"/>
  <c r="B990" i="3"/>
  <c r="C992" i="3" l="1"/>
  <c r="R987" i="3"/>
  <c r="W987" i="3" s="1"/>
  <c r="H988" i="3"/>
  <c r="S992" i="3"/>
  <c r="AC992" i="3" s="1"/>
  <c r="E993" i="3"/>
  <c r="D993" i="3"/>
  <c r="B991" i="3"/>
  <c r="R988" i="3" l="1"/>
  <c r="W988" i="3" s="1"/>
  <c r="H989" i="3"/>
  <c r="C993" i="3"/>
  <c r="S993" i="3"/>
  <c r="AC993" i="3" s="1"/>
  <c r="E994" i="3"/>
  <c r="D994" i="3"/>
  <c r="B992" i="3"/>
  <c r="C994" i="3" l="1"/>
  <c r="R989" i="3"/>
  <c r="W989" i="3" s="1"/>
  <c r="H990" i="3"/>
  <c r="S994" i="3"/>
  <c r="AC994" i="3" s="1"/>
  <c r="E995" i="3"/>
  <c r="D995" i="3"/>
  <c r="C995" i="3" s="1"/>
  <c r="B993" i="3"/>
  <c r="B994" i="3" s="1"/>
  <c r="R990" i="3" l="1"/>
  <c r="W990" i="3" s="1"/>
  <c r="H991" i="3"/>
  <c r="S995" i="3"/>
  <c r="AC995" i="3" s="1"/>
  <c r="E996" i="3"/>
  <c r="D996" i="3"/>
  <c r="C996" i="3" s="1"/>
  <c r="B995" i="3"/>
  <c r="H992" i="3" l="1"/>
  <c r="R991" i="3"/>
  <c r="W991" i="3" s="1"/>
  <c r="S996" i="3"/>
  <c r="AC996" i="3" s="1"/>
  <c r="E997" i="3"/>
  <c r="D997" i="3"/>
  <c r="C997" i="3" s="1"/>
  <c r="B996" i="3"/>
  <c r="R992" i="3" l="1"/>
  <c r="W992" i="3" s="1"/>
  <c r="H993" i="3"/>
  <c r="S997" i="3"/>
  <c r="AC997" i="3" s="1"/>
  <c r="E998" i="3"/>
  <c r="D998" i="3"/>
  <c r="B997" i="3"/>
  <c r="C998" i="3" l="1"/>
  <c r="R993" i="3"/>
  <c r="W993" i="3" s="1"/>
  <c r="H994" i="3"/>
  <c r="S998" i="3"/>
  <c r="AC998" i="3" s="1"/>
  <c r="E999" i="3"/>
  <c r="D999" i="3"/>
  <c r="C999" i="3" s="1"/>
  <c r="B998" i="3"/>
  <c r="H995" i="3" l="1"/>
  <c r="R994" i="3"/>
  <c r="W994" i="3" s="1"/>
  <c r="S999" i="3"/>
  <c r="AC999" i="3" s="1"/>
  <c r="E1000" i="3"/>
  <c r="D1000" i="3"/>
  <c r="B999" i="3"/>
  <c r="R995" i="3" l="1"/>
  <c r="W995" i="3" s="1"/>
  <c r="H996" i="3"/>
  <c r="C1000" i="3"/>
  <c r="B1000" i="3" s="1"/>
  <c r="S1000" i="3"/>
  <c r="AC1000" i="3" s="1"/>
  <c r="E1001" i="3"/>
  <c r="D1001" i="3"/>
  <c r="R996" i="3" l="1"/>
  <c r="W996" i="3" s="1"/>
  <c r="H997" i="3"/>
  <c r="C1001" i="3"/>
  <c r="B1001" i="3" s="1"/>
  <c r="S1001" i="3"/>
  <c r="AC1001" i="3" s="1"/>
  <c r="E1002" i="3"/>
  <c r="D1002" i="3"/>
  <c r="R997" i="3" l="1"/>
  <c r="W997" i="3" s="1"/>
  <c r="H998" i="3"/>
  <c r="C1002" i="3"/>
  <c r="S1002" i="3"/>
  <c r="AC1002" i="3" s="1"/>
  <c r="E1003" i="3"/>
  <c r="D1003" i="3"/>
  <c r="B1002" i="3"/>
  <c r="C1003" i="3" l="1"/>
  <c r="R998" i="3"/>
  <c r="W998" i="3" s="1"/>
  <c r="H999" i="3"/>
  <c r="S1003" i="3"/>
  <c r="AC1003" i="3" s="1"/>
  <c r="E1004" i="3"/>
  <c r="D1004" i="3"/>
  <c r="C1004" i="3" s="1"/>
  <c r="B1003" i="3"/>
  <c r="R999" i="3" l="1"/>
  <c r="W999" i="3" s="1"/>
  <c r="H1000" i="3"/>
  <c r="S1004" i="3"/>
  <c r="AC1004" i="3" s="1"/>
  <c r="E1005" i="3"/>
  <c r="D1005" i="3"/>
  <c r="B1004" i="3"/>
  <c r="C1005" i="3" l="1"/>
  <c r="R1000" i="3"/>
  <c r="W1000" i="3" s="1"/>
  <c r="H1001" i="3"/>
  <c r="S1005" i="3"/>
  <c r="AC1005" i="3" s="1"/>
  <c r="E1006" i="3"/>
  <c r="D1006" i="3"/>
  <c r="B1005" i="3"/>
  <c r="R1001" i="3" l="1"/>
  <c r="W1001" i="3" s="1"/>
  <c r="H1002" i="3"/>
  <c r="C1006" i="3"/>
  <c r="B1006" i="3" s="1"/>
  <c r="S1006" i="3"/>
  <c r="AC1006" i="3" s="1"/>
  <c r="E1007" i="3"/>
  <c r="D1007" i="3"/>
  <c r="C1007" i="3" l="1"/>
  <c r="R1002" i="3"/>
  <c r="W1002" i="3" s="1"/>
  <c r="H1003" i="3"/>
  <c r="S1007" i="3"/>
  <c r="AC1007" i="3" s="1"/>
  <c r="E1008" i="3"/>
  <c r="D1008" i="3"/>
  <c r="H1004" i="3" l="1"/>
  <c r="R1003" i="3"/>
  <c r="W1003" i="3" s="1"/>
  <c r="C1008" i="3"/>
  <c r="E1009" i="3"/>
  <c r="D1009" i="3"/>
  <c r="S1008" i="3"/>
  <c r="AC1008" i="3" s="1"/>
  <c r="B1007" i="3"/>
  <c r="C1009" i="3" l="1"/>
  <c r="R1004" i="3"/>
  <c r="W1004" i="3" s="1"/>
  <c r="H1005" i="3"/>
  <c r="B1008" i="3"/>
  <c r="S1009" i="3"/>
  <c r="AC1009" i="3" s="1"/>
  <c r="E1010" i="3"/>
  <c r="D1010" i="3"/>
  <c r="R1005" i="3" l="1"/>
  <c r="W1005" i="3" s="1"/>
  <c r="H1006" i="3"/>
  <c r="C1010" i="3"/>
  <c r="E1011" i="3"/>
  <c r="D1011" i="3"/>
  <c r="S1010" i="3"/>
  <c r="AC1010" i="3" s="1"/>
  <c r="B1009" i="3"/>
  <c r="R1006" i="3" l="1"/>
  <c r="W1006" i="3" s="1"/>
  <c r="H1007" i="3"/>
  <c r="C1011" i="3"/>
  <c r="B1010" i="3"/>
  <c r="S1011" i="3"/>
  <c r="AC1011" i="3" s="1"/>
  <c r="E1012" i="3"/>
  <c r="D1012" i="3"/>
  <c r="R1007" i="3" l="1"/>
  <c r="W1007" i="3" s="1"/>
  <c r="H1008" i="3"/>
  <c r="C1012" i="3"/>
  <c r="E1013" i="3"/>
  <c r="D1013" i="3"/>
  <c r="S1012" i="3"/>
  <c r="AC1012" i="3" s="1"/>
  <c r="B1011" i="3"/>
  <c r="C1013" i="3" l="1"/>
  <c r="R1008" i="3"/>
  <c r="W1008" i="3" s="1"/>
  <c r="H1009" i="3"/>
  <c r="S1013" i="3"/>
  <c r="AC1013" i="3" s="1"/>
  <c r="E1014" i="3"/>
  <c r="D1014" i="3"/>
  <c r="B1012" i="3"/>
  <c r="C1014" i="3" l="1"/>
  <c r="R1009" i="3"/>
  <c r="W1009" i="3" s="1"/>
  <c r="H1010" i="3"/>
  <c r="S1014" i="3"/>
  <c r="AC1014" i="3" s="1"/>
  <c r="E1015" i="3"/>
  <c r="D1015" i="3"/>
  <c r="C1015" i="3" s="1"/>
  <c r="B1013" i="3"/>
  <c r="H1011" i="3" l="1"/>
  <c r="R1010" i="3"/>
  <c r="W1010" i="3" s="1"/>
  <c r="S1015" i="3"/>
  <c r="AC1015" i="3" s="1"/>
  <c r="E1016" i="3"/>
  <c r="D1016" i="3"/>
  <c r="C1016" i="3" s="1"/>
  <c r="B1014" i="3"/>
  <c r="R1011" i="3" l="1"/>
  <c r="W1011" i="3" s="1"/>
  <c r="H1012" i="3"/>
  <c r="S1016" i="3"/>
  <c r="AC1016" i="3" s="1"/>
  <c r="E1017" i="3"/>
  <c r="D1017" i="3"/>
  <c r="C1017" i="3" s="1"/>
  <c r="B1015" i="3"/>
  <c r="R1012" i="3" l="1"/>
  <c r="W1012" i="3" s="1"/>
  <c r="H1013" i="3"/>
  <c r="S1017" i="3"/>
  <c r="AC1017" i="3" s="1"/>
  <c r="E1018" i="3"/>
  <c r="D1018" i="3"/>
  <c r="B1016" i="3"/>
  <c r="B1017" i="3" s="1"/>
  <c r="R1013" i="3" l="1"/>
  <c r="W1013" i="3" s="1"/>
  <c r="H1014" i="3"/>
  <c r="C1018" i="3"/>
  <c r="E1019" i="3"/>
  <c r="D1019" i="3"/>
  <c r="S1018" i="3"/>
  <c r="AC1018" i="3" s="1"/>
  <c r="B1018" i="3"/>
  <c r="R1014" i="3" l="1"/>
  <c r="W1014" i="3" s="1"/>
  <c r="H1015" i="3"/>
  <c r="C1019" i="3"/>
  <c r="S1019" i="3"/>
  <c r="AC1019" i="3" s="1"/>
  <c r="E1020" i="3"/>
  <c r="D1020" i="3"/>
  <c r="C1020" i="3" s="1"/>
  <c r="R1015" i="3" l="1"/>
  <c r="W1015" i="3" s="1"/>
  <c r="H1016" i="3"/>
  <c r="S1020" i="3"/>
  <c r="AC1020" i="3" s="1"/>
  <c r="E1021" i="3"/>
  <c r="D1021" i="3"/>
  <c r="C1021" i="3" s="1"/>
  <c r="B1019" i="3"/>
  <c r="R1016" i="3" l="1"/>
  <c r="W1016" i="3" s="1"/>
  <c r="H1017" i="3"/>
  <c r="S1021" i="3"/>
  <c r="AC1021" i="3" s="1"/>
  <c r="E1022" i="3"/>
  <c r="D1022" i="3"/>
  <c r="B1020" i="3"/>
  <c r="C1022" i="3" l="1"/>
  <c r="H1018" i="3"/>
  <c r="R1017" i="3"/>
  <c r="W1017" i="3" s="1"/>
  <c r="S1022" i="3"/>
  <c r="AC1022" i="3" s="1"/>
  <c r="E1023" i="3"/>
  <c r="D1023" i="3"/>
  <c r="B1021" i="3"/>
  <c r="B1022" i="3" s="1"/>
  <c r="R1018" i="3" l="1"/>
  <c r="W1018" i="3" s="1"/>
  <c r="H1019" i="3"/>
  <c r="C1023" i="3"/>
  <c r="S1023" i="3"/>
  <c r="AC1023" i="3" s="1"/>
  <c r="E1024" i="3"/>
  <c r="D1024" i="3"/>
  <c r="C1024" i="3" s="1"/>
  <c r="B1023" i="3"/>
  <c r="R1019" i="3" l="1"/>
  <c r="W1019" i="3" s="1"/>
  <c r="H1020" i="3"/>
  <c r="S1024" i="3"/>
  <c r="AC1024" i="3" s="1"/>
  <c r="E1025" i="3"/>
  <c r="D1025" i="3"/>
  <c r="B1024" i="3"/>
  <c r="R1020" i="3" l="1"/>
  <c r="W1020" i="3" s="1"/>
  <c r="H1021" i="3"/>
  <c r="C1025" i="3"/>
  <c r="S1025" i="3"/>
  <c r="AC1025" i="3" s="1"/>
  <c r="E1026" i="3"/>
  <c r="D1026" i="3"/>
  <c r="B1025" i="3"/>
  <c r="C1026" i="3" l="1"/>
  <c r="R1021" i="3"/>
  <c r="W1021" i="3" s="1"/>
  <c r="H1022" i="3"/>
  <c r="S1026" i="3"/>
  <c r="AC1026" i="3" s="1"/>
  <c r="E1027" i="3"/>
  <c r="D1027" i="3"/>
  <c r="C1027" i="3" s="1"/>
  <c r="B1026" i="3"/>
  <c r="R1022" i="3" l="1"/>
  <c r="W1022" i="3" s="1"/>
  <c r="H1023" i="3"/>
  <c r="S1027" i="3"/>
  <c r="AC1027" i="3" s="1"/>
  <c r="E1028" i="3"/>
  <c r="D1028" i="3"/>
  <c r="B1027" i="3"/>
  <c r="C1028" i="3" l="1"/>
  <c r="H1024" i="3"/>
  <c r="R1023" i="3"/>
  <c r="W1023" i="3" s="1"/>
  <c r="S1028" i="3"/>
  <c r="AC1028" i="3" s="1"/>
  <c r="B1028" i="3"/>
  <c r="E1029" i="3"/>
  <c r="D1029" i="3"/>
  <c r="R1024" i="3" l="1"/>
  <c r="W1024" i="3" s="1"/>
  <c r="H1025" i="3"/>
  <c r="C1029" i="3"/>
  <c r="E1030" i="3"/>
  <c r="D1030" i="3"/>
  <c r="S1029" i="3"/>
  <c r="AC1029" i="3" s="1"/>
  <c r="R1025" i="3" l="1"/>
  <c r="W1025" i="3" s="1"/>
  <c r="H1026" i="3"/>
  <c r="C1030" i="3"/>
  <c r="B1029" i="3"/>
  <c r="S1030" i="3"/>
  <c r="AC1030" i="3" s="1"/>
  <c r="E1031" i="3"/>
  <c r="D1031" i="3"/>
  <c r="R1026" i="3" l="1"/>
  <c r="W1026" i="3" s="1"/>
  <c r="H1027" i="3"/>
  <c r="C1031" i="3"/>
  <c r="S1031" i="3"/>
  <c r="AC1031" i="3" s="1"/>
  <c r="E1032" i="3"/>
  <c r="D1032" i="3"/>
  <c r="B1030" i="3"/>
  <c r="B1031" i="3" s="1"/>
  <c r="C1032" i="3" l="1"/>
  <c r="R1027" i="3"/>
  <c r="W1027" i="3" s="1"/>
  <c r="H1028" i="3"/>
  <c r="E1033" i="3"/>
  <c r="D1033" i="3"/>
  <c r="S1032" i="3"/>
  <c r="AC1032" i="3" s="1"/>
  <c r="B1032" i="3"/>
  <c r="C1033" i="3" l="1"/>
  <c r="R1028" i="3"/>
  <c r="W1028" i="3" s="1"/>
  <c r="H1029" i="3"/>
  <c r="S1033" i="3"/>
  <c r="AC1033" i="3" s="1"/>
  <c r="E1034" i="3"/>
  <c r="D1034" i="3"/>
  <c r="C1034" i="3" l="1"/>
  <c r="R1029" i="3"/>
  <c r="W1029" i="3" s="1"/>
  <c r="H1030" i="3"/>
  <c r="S1034" i="3"/>
  <c r="AC1034" i="3" s="1"/>
  <c r="E1035" i="3"/>
  <c r="D1035" i="3"/>
  <c r="C1035" i="3" s="1"/>
  <c r="B1033" i="3"/>
  <c r="R1030" i="3" l="1"/>
  <c r="W1030" i="3" s="1"/>
  <c r="H1031" i="3"/>
  <c r="S1035" i="3"/>
  <c r="AC1035" i="3" s="1"/>
  <c r="E1036" i="3"/>
  <c r="D1036" i="3"/>
  <c r="C1036" i="3" s="1"/>
  <c r="B1034" i="3"/>
  <c r="R1031" i="3" l="1"/>
  <c r="W1031" i="3" s="1"/>
  <c r="H1032" i="3"/>
  <c r="S1036" i="3"/>
  <c r="AC1036" i="3" s="1"/>
  <c r="E1037" i="3"/>
  <c r="D1037" i="3"/>
  <c r="B1035" i="3"/>
  <c r="C1037" i="3" l="1"/>
  <c r="R1032" i="3"/>
  <c r="W1032" i="3" s="1"/>
  <c r="H1033" i="3"/>
  <c r="S1037" i="3"/>
  <c r="AC1037" i="3" s="1"/>
  <c r="E1038" i="3"/>
  <c r="D1038" i="3"/>
  <c r="B1036" i="3"/>
  <c r="C1038" i="3" l="1"/>
  <c r="R1033" i="3"/>
  <c r="W1033" i="3" s="1"/>
  <c r="H1034" i="3"/>
  <c r="S1038" i="3"/>
  <c r="AC1038" i="3" s="1"/>
  <c r="E1039" i="3"/>
  <c r="D1039" i="3"/>
  <c r="B1037" i="3"/>
  <c r="B1038" i="3" s="1"/>
  <c r="R1034" i="3" l="1"/>
  <c r="W1034" i="3" s="1"/>
  <c r="H1035" i="3"/>
  <c r="C1039" i="3"/>
  <c r="B1039" i="3" s="1"/>
  <c r="S1039" i="3"/>
  <c r="AC1039" i="3" s="1"/>
  <c r="E1040" i="3"/>
  <c r="D1040" i="3"/>
  <c r="R1035" i="3" l="1"/>
  <c r="W1035" i="3" s="1"/>
  <c r="H1036" i="3"/>
  <c r="C1040" i="3"/>
  <c r="S1040" i="3"/>
  <c r="AC1040" i="3" s="1"/>
  <c r="D1041" i="3"/>
  <c r="E1041" i="3"/>
  <c r="B1040" i="3"/>
  <c r="R1036" i="3" l="1"/>
  <c r="W1036" i="3" s="1"/>
  <c r="H1037" i="3"/>
  <c r="C1041" i="3"/>
  <c r="B1041" i="3" s="1"/>
  <c r="D1042" i="3"/>
  <c r="E1042" i="3"/>
  <c r="S1041" i="3"/>
  <c r="AC1041" i="3" s="1"/>
  <c r="R1037" i="3" l="1"/>
  <c r="W1037" i="3" s="1"/>
  <c r="H1038" i="3"/>
  <c r="C1042" i="3"/>
  <c r="D1043" i="3"/>
  <c r="E1043" i="3"/>
  <c r="S1042" i="3"/>
  <c r="AC1042" i="3" s="1"/>
  <c r="R1038" i="3" l="1"/>
  <c r="W1038" i="3" s="1"/>
  <c r="H1039" i="3"/>
  <c r="C1043" i="3"/>
  <c r="D1044" i="3"/>
  <c r="E1044" i="3"/>
  <c r="S1043" i="3"/>
  <c r="AC1043" i="3" s="1"/>
  <c r="B1042" i="3"/>
  <c r="H1040" i="3" l="1"/>
  <c r="R1039" i="3"/>
  <c r="W1039" i="3" s="1"/>
  <c r="C1044" i="3"/>
  <c r="E1045" i="3"/>
  <c r="D1045" i="3"/>
  <c r="S1044" i="3"/>
  <c r="AC1044" i="3" s="1"/>
  <c r="B1043" i="3"/>
  <c r="R1040" i="3" l="1"/>
  <c r="W1040" i="3" s="1"/>
  <c r="H1041" i="3"/>
  <c r="C1045" i="3"/>
  <c r="S1045" i="3"/>
  <c r="AC1045" i="3" s="1"/>
  <c r="E1046" i="3"/>
  <c r="D1046" i="3"/>
  <c r="B1044" i="3"/>
  <c r="C1046" i="3" l="1"/>
  <c r="R1041" i="3"/>
  <c r="W1041" i="3" s="1"/>
  <c r="H1042" i="3"/>
  <c r="S1046" i="3"/>
  <c r="AC1046" i="3" s="1"/>
  <c r="E1047" i="3"/>
  <c r="D1047" i="3"/>
  <c r="B1045" i="3"/>
  <c r="B1046" i="3" s="1"/>
  <c r="C1047" i="3" l="1"/>
  <c r="R1042" i="3"/>
  <c r="W1042" i="3" s="1"/>
  <c r="H1043" i="3"/>
  <c r="S1047" i="3"/>
  <c r="AC1047" i="3" s="1"/>
  <c r="E1048" i="3"/>
  <c r="D1048" i="3"/>
  <c r="C1048" i="3" s="1"/>
  <c r="B1047" i="3"/>
  <c r="R1043" i="3" l="1"/>
  <c r="W1043" i="3" s="1"/>
  <c r="H1044" i="3"/>
  <c r="S1048" i="3"/>
  <c r="AC1048" i="3" s="1"/>
  <c r="E1049" i="3"/>
  <c r="D1049" i="3"/>
  <c r="C1049" i="3" s="1"/>
  <c r="B1048" i="3"/>
  <c r="R1044" i="3" l="1"/>
  <c r="W1044" i="3" s="1"/>
  <c r="H1045" i="3"/>
  <c r="S1049" i="3"/>
  <c r="AC1049" i="3" s="1"/>
  <c r="E1050" i="3"/>
  <c r="D1050" i="3"/>
  <c r="C1050" i="3" s="1"/>
  <c r="B1049" i="3"/>
  <c r="H1046" i="3" l="1"/>
  <c r="R1045" i="3"/>
  <c r="W1045" i="3" s="1"/>
  <c r="S1050" i="3"/>
  <c r="AC1050" i="3" s="1"/>
  <c r="E1051" i="3"/>
  <c r="D1051" i="3"/>
  <c r="C1051" i="3" s="1"/>
  <c r="B1050" i="3"/>
  <c r="R1046" i="3" l="1"/>
  <c r="W1046" i="3" s="1"/>
  <c r="H1047" i="3"/>
  <c r="S1051" i="3"/>
  <c r="AC1051" i="3" s="1"/>
  <c r="E1052" i="3"/>
  <c r="D1052" i="3"/>
  <c r="B1051" i="3"/>
  <c r="C1052" i="3" l="1"/>
  <c r="B1052" i="3" s="1"/>
  <c r="R1047" i="3"/>
  <c r="W1047" i="3" s="1"/>
  <c r="H1048" i="3"/>
  <c r="S1052" i="3"/>
  <c r="AC1052" i="3" s="1"/>
  <c r="E1053" i="3"/>
  <c r="D1053" i="3"/>
  <c r="C1053" i="3" s="1"/>
  <c r="R1048" i="3" l="1"/>
  <c r="W1048" i="3" s="1"/>
  <c r="H1049" i="3"/>
  <c r="S1053" i="3"/>
  <c r="AC1053" i="3" s="1"/>
  <c r="E1054" i="3"/>
  <c r="D1054" i="3"/>
  <c r="C1054" i="3" s="1"/>
  <c r="B1053" i="3"/>
  <c r="R1049" i="3" l="1"/>
  <c r="W1049" i="3" s="1"/>
  <c r="H1050" i="3"/>
  <c r="S1054" i="3"/>
  <c r="AC1054" i="3" s="1"/>
  <c r="E1055" i="3"/>
  <c r="D1055" i="3"/>
  <c r="B1054" i="3"/>
  <c r="C1055" i="3" l="1"/>
  <c r="R1050" i="3"/>
  <c r="W1050" i="3" s="1"/>
  <c r="H1051" i="3"/>
  <c r="S1055" i="3"/>
  <c r="AC1055" i="3" s="1"/>
  <c r="E1056" i="3"/>
  <c r="D1056" i="3"/>
  <c r="C1056" i="3" s="1"/>
  <c r="B1055" i="3"/>
  <c r="R1051" i="3" l="1"/>
  <c r="W1051" i="3" s="1"/>
  <c r="H1052" i="3"/>
  <c r="S1056" i="3"/>
  <c r="AC1056" i="3" s="1"/>
  <c r="E1057" i="3"/>
  <c r="D1057" i="3"/>
  <c r="B1056" i="3"/>
  <c r="R1052" i="3" l="1"/>
  <c r="W1052" i="3" s="1"/>
  <c r="H1053" i="3"/>
  <c r="C1057" i="3"/>
  <c r="B1057" i="3" s="1"/>
  <c r="S1057" i="3"/>
  <c r="AC1057" i="3" s="1"/>
  <c r="E1058" i="3"/>
  <c r="D1058" i="3"/>
  <c r="C1058" i="3" l="1"/>
  <c r="R1053" i="3"/>
  <c r="W1053" i="3" s="1"/>
  <c r="H1054" i="3"/>
  <c r="S1058" i="3"/>
  <c r="AC1058" i="3" s="1"/>
  <c r="B1058" i="3"/>
  <c r="E1059" i="3"/>
  <c r="D1059" i="3"/>
  <c r="R1054" i="3" l="1"/>
  <c r="W1054" i="3" s="1"/>
  <c r="H1055" i="3"/>
  <c r="C1059" i="3"/>
  <c r="B1059" i="3" s="1"/>
  <c r="E1060" i="3"/>
  <c r="D1060" i="3"/>
  <c r="S1059" i="3"/>
  <c r="AC1059" i="3" s="1"/>
  <c r="C1060" i="3" l="1"/>
  <c r="R1055" i="3"/>
  <c r="W1055" i="3" s="1"/>
  <c r="H1056" i="3"/>
  <c r="S1060" i="3"/>
  <c r="AC1060" i="3" s="1"/>
  <c r="E1061" i="3"/>
  <c r="D1061" i="3"/>
  <c r="C1061" i="3" s="1"/>
  <c r="R1056" i="3" l="1"/>
  <c r="W1056" i="3" s="1"/>
  <c r="H1057" i="3"/>
  <c r="E1062" i="3"/>
  <c r="D1062" i="3"/>
  <c r="C1062" i="3" s="1"/>
  <c r="S1061" i="3"/>
  <c r="AC1061" i="3" s="1"/>
  <c r="B1060" i="3"/>
  <c r="R1057" i="3" l="1"/>
  <c r="W1057" i="3" s="1"/>
  <c r="H1058" i="3"/>
  <c r="B1061" i="3"/>
  <c r="S1062" i="3"/>
  <c r="AC1062" i="3" s="1"/>
  <c r="E1063" i="3"/>
  <c r="D1063" i="3"/>
  <c r="C1063" i="3" s="1"/>
  <c r="R1058" i="3" l="1"/>
  <c r="W1058" i="3" s="1"/>
  <c r="H1059" i="3"/>
  <c r="S1063" i="3"/>
  <c r="AC1063" i="3" s="1"/>
  <c r="E1064" i="3"/>
  <c r="D1064" i="3"/>
  <c r="B1062" i="3"/>
  <c r="R1059" i="3" l="1"/>
  <c r="W1059" i="3" s="1"/>
  <c r="H1060" i="3"/>
  <c r="C1064" i="3"/>
  <c r="S1064" i="3"/>
  <c r="AC1064" i="3" s="1"/>
  <c r="E1065" i="3"/>
  <c r="D1065" i="3"/>
  <c r="B1063" i="3"/>
  <c r="R1060" i="3" l="1"/>
  <c r="W1060" i="3" s="1"/>
  <c r="H1061" i="3"/>
  <c r="B1064" i="3"/>
  <c r="C1065" i="3"/>
  <c r="S1065" i="3"/>
  <c r="AC1065" i="3" s="1"/>
  <c r="E1066" i="3"/>
  <c r="D1066" i="3"/>
  <c r="B1065" i="3" l="1"/>
  <c r="R1061" i="3"/>
  <c r="W1061" i="3" s="1"/>
  <c r="H1062" i="3"/>
  <c r="C1066" i="3"/>
  <c r="B1066" i="3" s="1"/>
  <c r="S1066" i="3"/>
  <c r="AC1066" i="3" s="1"/>
  <c r="E1067" i="3"/>
  <c r="D1067" i="3"/>
  <c r="R1062" i="3" l="1"/>
  <c r="W1062" i="3" s="1"/>
  <c r="H1063" i="3"/>
  <c r="C1067" i="3"/>
  <c r="S1067" i="3"/>
  <c r="AC1067" i="3" s="1"/>
  <c r="E1068" i="3"/>
  <c r="D1068" i="3"/>
  <c r="B1067" i="3"/>
  <c r="H1064" i="3" l="1"/>
  <c r="R1063" i="3"/>
  <c r="W1063" i="3" s="1"/>
  <c r="C1068" i="3"/>
  <c r="S1068" i="3"/>
  <c r="AC1068" i="3" s="1"/>
  <c r="E1069" i="3"/>
  <c r="D1069" i="3"/>
  <c r="B1068" i="3"/>
  <c r="C1069" i="3" l="1"/>
  <c r="R1064" i="3"/>
  <c r="W1064" i="3" s="1"/>
  <c r="H1065" i="3"/>
  <c r="E1070" i="3"/>
  <c r="D1070" i="3"/>
  <c r="S1069" i="3"/>
  <c r="AC1069" i="3" s="1"/>
  <c r="C1070" i="3" l="1"/>
  <c r="R1065" i="3"/>
  <c r="W1065" i="3" s="1"/>
  <c r="H1066" i="3"/>
  <c r="B1069" i="3"/>
  <c r="S1070" i="3"/>
  <c r="AC1070" i="3" s="1"/>
  <c r="E1071" i="3"/>
  <c r="D1071" i="3"/>
  <c r="H1067" i="3" l="1"/>
  <c r="R1066" i="3"/>
  <c r="W1066" i="3" s="1"/>
  <c r="C1071" i="3"/>
  <c r="E1072" i="3"/>
  <c r="D1072" i="3"/>
  <c r="S1071" i="3"/>
  <c r="AC1071" i="3" s="1"/>
  <c r="B1070" i="3"/>
  <c r="C1072" i="3" l="1"/>
  <c r="R1067" i="3"/>
  <c r="W1067" i="3" s="1"/>
  <c r="H1068" i="3"/>
  <c r="B1071" i="3"/>
  <c r="S1072" i="3"/>
  <c r="AC1072" i="3" s="1"/>
  <c r="E1073" i="3"/>
  <c r="D1073" i="3"/>
  <c r="R1068" i="3" l="1"/>
  <c r="W1068" i="3" s="1"/>
  <c r="H1069" i="3"/>
  <c r="C1073" i="3"/>
  <c r="E1074" i="3"/>
  <c r="D1074" i="3"/>
  <c r="S1073" i="3"/>
  <c r="AC1073" i="3" s="1"/>
  <c r="B1072" i="3"/>
  <c r="C1074" i="3" l="1"/>
  <c r="H1070" i="3"/>
  <c r="R1069" i="3"/>
  <c r="W1069" i="3" s="1"/>
  <c r="B1073" i="3"/>
  <c r="S1074" i="3"/>
  <c r="AC1074" i="3" s="1"/>
  <c r="E1075" i="3"/>
  <c r="D1075" i="3"/>
  <c r="R1070" i="3" l="1"/>
  <c r="W1070" i="3" s="1"/>
  <c r="H1071" i="3"/>
  <c r="C1075" i="3"/>
  <c r="E1076" i="3"/>
  <c r="D1076" i="3"/>
  <c r="S1075" i="3"/>
  <c r="AC1075" i="3" s="1"/>
  <c r="B1074" i="3"/>
  <c r="R1071" i="3" l="1"/>
  <c r="W1071" i="3" s="1"/>
  <c r="H1072" i="3"/>
  <c r="C1076" i="3"/>
  <c r="S1076" i="3"/>
  <c r="AC1076" i="3" s="1"/>
  <c r="E1077" i="3"/>
  <c r="D1077" i="3"/>
  <c r="B1075" i="3"/>
  <c r="R1072" i="3" l="1"/>
  <c r="W1072" i="3" s="1"/>
  <c r="H1073" i="3"/>
  <c r="C1077" i="3"/>
  <c r="S1077" i="3"/>
  <c r="AC1077" i="3" s="1"/>
  <c r="E1078" i="3"/>
  <c r="D1078" i="3"/>
  <c r="B1076" i="3"/>
  <c r="C1078" i="3" l="1"/>
  <c r="R1073" i="3"/>
  <c r="W1073" i="3" s="1"/>
  <c r="H1074" i="3"/>
  <c r="S1078" i="3"/>
  <c r="AC1078" i="3" s="1"/>
  <c r="E1079" i="3"/>
  <c r="D1079" i="3"/>
  <c r="B1077" i="3"/>
  <c r="R1074" i="3" l="1"/>
  <c r="W1074" i="3" s="1"/>
  <c r="H1075" i="3"/>
  <c r="C1079" i="3"/>
  <c r="S1079" i="3"/>
  <c r="AC1079" i="3" s="1"/>
  <c r="E1080" i="3"/>
  <c r="D1080" i="3"/>
  <c r="B1078" i="3"/>
  <c r="B1079" i="3" s="1"/>
  <c r="C1080" i="3" l="1"/>
  <c r="B1080" i="3" s="1"/>
  <c r="R1075" i="3"/>
  <c r="W1075" i="3" s="1"/>
  <c r="H1076" i="3"/>
  <c r="S1080" i="3"/>
  <c r="AC1080" i="3" s="1"/>
  <c r="E1081" i="3"/>
  <c r="D1081" i="3"/>
  <c r="R1076" i="3" l="1"/>
  <c r="W1076" i="3" s="1"/>
  <c r="H1077" i="3"/>
  <c r="C1081" i="3"/>
  <c r="B1081" i="3" s="1"/>
  <c r="S1081" i="3"/>
  <c r="AC1081" i="3" s="1"/>
  <c r="E1082" i="3"/>
  <c r="D1082" i="3"/>
  <c r="H1078" i="3" l="1"/>
  <c r="R1077" i="3"/>
  <c r="W1077" i="3" s="1"/>
  <c r="C1082" i="3"/>
  <c r="B1082" i="3" s="1"/>
  <c r="S1082" i="3"/>
  <c r="AC1082" i="3" s="1"/>
  <c r="E1083" i="3"/>
  <c r="D1083" i="3"/>
  <c r="C1083" i="3" l="1"/>
  <c r="R1078" i="3"/>
  <c r="W1078" i="3" s="1"/>
  <c r="H1079" i="3"/>
  <c r="S1083" i="3"/>
  <c r="AC1083" i="3" s="1"/>
  <c r="E1084" i="3"/>
  <c r="D1084" i="3"/>
  <c r="C1084" i="3" s="1"/>
  <c r="B1083" i="3"/>
  <c r="R1079" i="3" l="1"/>
  <c r="W1079" i="3" s="1"/>
  <c r="H1080" i="3"/>
  <c r="S1084" i="3"/>
  <c r="AC1084" i="3" s="1"/>
  <c r="E1085" i="3"/>
  <c r="D1085" i="3"/>
  <c r="C1085" i="3" s="1"/>
  <c r="B1084" i="3"/>
  <c r="H1081" i="3" l="1"/>
  <c r="R1080" i="3"/>
  <c r="W1080" i="3" s="1"/>
  <c r="S1085" i="3"/>
  <c r="AC1085" i="3" s="1"/>
  <c r="E1086" i="3"/>
  <c r="D1086" i="3"/>
  <c r="C1086" i="3" s="1"/>
  <c r="B1085" i="3"/>
  <c r="R1081" i="3" l="1"/>
  <c r="W1081" i="3" s="1"/>
  <c r="H1082" i="3"/>
  <c r="S1086" i="3"/>
  <c r="AC1086" i="3" s="1"/>
  <c r="E1087" i="3"/>
  <c r="D1087" i="3"/>
  <c r="B1086" i="3"/>
  <c r="R1082" i="3" l="1"/>
  <c r="W1082" i="3" s="1"/>
  <c r="H1083" i="3"/>
  <c r="C1087" i="3"/>
  <c r="B1087" i="3" s="1"/>
  <c r="E1088" i="3"/>
  <c r="D1088" i="3"/>
  <c r="S1087" i="3"/>
  <c r="AC1087" i="3" s="1"/>
  <c r="R1083" i="3" l="1"/>
  <c r="W1083" i="3" s="1"/>
  <c r="H1084" i="3"/>
  <c r="C1088" i="3"/>
  <c r="B1088" i="3" s="1"/>
  <c r="S1088" i="3"/>
  <c r="AC1088" i="3" s="1"/>
  <c r="E1089" i="3"/>
  <c r="D1089" i="3"/>
  <c r="R1084" i="3" l="1"/>
  <c r="W1084" i="3" s="1"/>
  <c r="H1085" i="3"/>
  <c r="C1089" i="3"/>
  <c r="E1090" i="3"/>
  <c r="D1090" i="3"/>
  <c r="S1089" i="3"/>
  <c r="AC1089" i="3" s="1"/>
  <c r="R1085" i="3" l="1"/>
  <c r="W1085" i="3" s="1"/>
  <c r="H1086" i="3"/>
  <c r="C1090" i="3"/>
  <c r="S1090" i="3"/>
  <c r="AC1090" i="3" s="1"/>
  <c r="E1091" i="3"/>
  <c r="D1091" i="3"/>
  <c r="B1089" i="3"/>
  <c r="R1086" i="3" l="1"/>
  <c r="W1086" i="3" s="1"/>
  <c r="H1087" i="3"/>
  <c r="C1091" i="3"/>
  <c r="S1091" i="3"/>
  <c r="AC1091" i="3" s="1"/>
  <c r="E1092" i="3"/>
  <c r="D1092" i="3"/>
  <c r="B1090" i="3"/>
  <c r="C1092" i="3" l="1"/>
  <c r="R1087" i="3"/>
  <c r="W1087" i="3" s="1"/>
  <c r="H1088" i="3"/>
  <c r="S1092" i="3"/>
  <c r="AC1092" i="3" s="1"/>
  <c r="E1093" i="3"/>
  <c r="D1093" i="3"/>
  <c r="B1091" i="3"/>
  <c r="R1088" i="3" l="1"/>
  <c r="W1088" i="3" s="1"/>
  <c r="H1089" i="3"/>
  <c r="C1093" i="3"/>
  <c r="S1093" i="3"/>
  <c r="AC1093" i="3" s="1"/>
  <c r="E1094" i="3"/>
  <c r="D1094" i="3"/>
  <c r="C1094" i="3" s="1"/>
  <c r="B1092" i="3"/>
  <c r="B1093" i="3" s="1"/>
  <c r="R1089" i="3" l="1"/>
  <c r="W1089" i="3" s="1"/>
  <c r="H1090" i="3"/>
  <c r="S1094" i="3"/>
  <c r="AC1094" i="3" s="1"/>
  <c r="E1095" i="3"/>
  <c r="D1095" i="3"/>
  <c r="C1095" i="3" s="1"/>
  <c r="B1094" i="3"/>
  <c r="R1090" i="3" l="1"/>
  <c r="W1090" i="3" s="1"/>
  <c r="H1091" i="3"/>
  <c r="S1095" i="3"/>
  <c r="AC1095" i="3" s="1"/>
  <c r="E1096" i="3"/>
  <c r="D1096" i="3"/>
  <c r="C1096" i="3" s="1"/>
  <c r="B1095" i="3"/>
  <c r="H1092" i="3" l="1"/>
  <c r="R1091" i="3"/>
  <c r="W1091" i="3" s="1"/>
  <c r="S1096" i="3"/>
  <c r="AC1096" i="3" s="1"/>
  <c r="E1097" i="3"/>
  <c r="D1097" i="3"/>
  <c r="C1097" i="3" s="1"/>
  <c r="B1096" i="3"/>
  <c r="R1092" i="3" l="1"/>
  <c r="W1092" i="3" s="1"/>
  <c r="H1093" i="3"/>
  <c r="S1097" i="3"/>
  <c r="AC1097" i="3" s="1"/>
  <c r="E1098" i="3"/>
  <c r="D1098" i="3"/>
  <c r="C1098" i="3" s="1"/>
  <c r="B1097" i="3"/>
  <c r="R1093" i="3" l="1"/>
  <c r="W1093" i="3" s="1"/>
  <c r="H1094" i="3"/>
  <c r="S1098" i="3"/>
  <c r="AC1098" i="3" s="1"/>
  <c r="E1099" i="3"/>
  <c r="D1099" i="3"/>
  <c r="B1098" i="3"/>
  <c r="C1099" i="3" l="1"/>
  <c r="R1094" i="3"/>
  <c r="W1094" i="3" s="1"/>
  <c r="H1095" i="3"/>
  <c r="S1099" i="3"/>
  <c r="AC1099" i="3" s="1"/>
  <c r="E1100" i="3"/>
  <c r="D1100" i="3"/>
  <c r="B1099" i="3"/>
  <c r="C1100" i="3" l="1"/>
  <c r="R1095" i="3"/>
  <c r="W1095" i="3" s="1"/>
  <c r="H1096" i="3"/>
  <c r="S1100" i="3"/>
  <c r="AC1100" i="3" s="1"/>
  <c r="E1101" i="3"/>
  <c r="D1101" i="3"/>
  <c r="C1101" i="3" s="1"/>
  <c r="B1100" i="3"/>
  <c r="R1096" i="3" l="1"/>
  <c r="W1096" i="3" s="1"/>
  <c r="H1097" i="3"/>
  <c r="S1101" i="3"/>
  <c r="AC1101" i="3" s="1"/>
  <c r="E1102" i="3"/>
  <c r="D1102" i="3"/>
  <c r="B1101" i="3"/>
  <c r="C1102" i="3" l="1"/>
  <c r="R1097" i="3"/>
  <c r="W1097" i="3" s="1"/>
  <c r="H1098" i="3"/>
  <c r="S1102" i="3"/>
  <c r="AC1102" i="3" s="1"/>
  <c r="E1103" i="3"/>
  <c r="D1103" i="3"/>
  <c r="C1103" i="3" s="1"/>
  <c r="B1102" i="3"/>
  <c r="H1099" i="3" l="1"/>
  <c r="R1098" i="3"/>
  <c r="W1098" i="3" s="1"/>
  <c r="S1103" i="3"/>
  <c r="AC1103" i="3" s="1"/>
  <c r="E1104" i="3"/>
  <c r="D1104" i="3"/>
  <c r="C1104" i="3" s="1"/>
  <c r="B1103" i="3"/>
  <c r="R1099" i="3" l="1"/>
  <c r="W1099" i="3" s="1"/>
  <c r="H1100" i="3"/>
  <c r="S1104" i="3"/>
  <c r="AC1104" i="3" s="1"/>
  <c r="E1105" i="3"/>
  <c r="D1105" i="3"/>
  <c r="B1104" i="3"/>
  <c r="C1105" i="3" l="1"/>
  <c r="B1105" i="3" s="1"/>
  <c r="R1100" i="3"/>
  <c r="W1100" i="3" s="1"/>
  <c r="H1101" i="3"/>
  <c r="S1105" i="3"/>
  <c r="AC1105" i="3" s="1"/>
  <c r="E1106" i="3"/>
  <c r="D1106" i="3"/>
  <c r="C1106" i="3" s="1"/>
  <c r="R1101" i="3" l="1"/>
  <c r="W1101" i="3" s="1"/>
  <c r="H1102" i="3"/>
  <c r="S1106" i="3"/>
  <c r="AC1106" i="3" s="1"/>
  <c r="E1107" i="3"/>
  <c r="D1107" i="3"/>
  <c r="B1106" i="3"/>
  <c r="C1107" i="3" l="1"/>
  <c r="R1102" i="3"/>
  <c r="W1102" i="3" s="1"/>
  <c r="H1103" i="3"/>
  <c r="S1107" i="3"/>
  <c r="AC1107" i="3" s="1"/>
  <c r="E1108" i="3"/>
  <c r="D1108" i="3"/>
  <c r="C1108" i="3" l="1"/>
  <c r="H1104" i="3"/>
  <c r="R1103" i="3"/>
  <c r="W1103" i="3" s="1"/>
  <c r="S1108" i="3"/>
  <c r="AC1108" i="3" s="1"/>
  <c r="E1109" i="3"/>
  <c r="D1109" i="3"/>
  <c r="C1109" i="3" s="1"/>
  <c r="B1107" i="3"/>
  <c r="R1104" i="3" l="1"/>
  <c r="W1104" i="3" s="1"/>
  <c r="H1105" i="3"/>
  <c r="S1109" i="3"/>
  <c r="AC1109" i="3" s="1"/>
  <c r="E1110" i="3"/>
  <c r="D1110" i="3"/>
  <c r="B1108" i="3"/>
  <c r="R1105" i="3" l="1"/>
  <c r="W1105" i="3" s="1"/>
  <c r="H1106" i="3"/>
  <c r="C1110" i="3"/>
  <c r="S1110" i="3"/>
  <c r="AC1110" i="3" s="1"/>
  <c r="E1111" i="3"/>
  <c r="D1111" i="3"/>
  <c r="C1111" i="3" s="1"/>
  <c r="B1109" i="3"/>
  <c r="B1110" i="3" s="1"/>
  <c r="R1106" i="3" l="1"/>
  <c r="W1106" i="3" s="1"/>
  <c r="H1107" i="3"/>
  <c r="S1111" i="3"/>
  <c r="AC1111" i="3" s="1"/>
  <c r="D1112" i="3"/>
  <c r="E1112" i="3"/>
  <c r="B1111" i="3"/>
  <c r="R1107" i="3" l="1"/>
  <c r="W1107" i="3" s="1"/>
  <c r="H1108" i="3"/>
  <c r="C1112" i="3"/>
  <c r="D1113" i="3"/>
  <c r="E1113" i="3"/>
  <c r="S1112" i="3"/>
  <c r="AC1112" i="3" s="1"/>
  <c r="B1112" i="3"/>
  <c r="R1108" i="3" l="1"/>
  <c r="W1108" i="3" s="1"/>
  <c r="H1109" i="3"/>
  <c r="C1113" i="3"/>
  <c r="D1114" i="3"/>
  <c r="E1114" i="3"/>
  <c r="S1113" i="3"/>
  <c r="AC1113" i="3" s="1"/>
  <c r="R1109" i="3" l="1"/>
  <c r="W1109" i="3" s="1"/>
  <c r="H1110" i="3"/>
  <c r="C1114" i="3"/>
  <c r="D1115" i="3"/>
  <c r="E1115" i="3"/>
  <c r="S1114" i="3"/>
  <c r="AC1114" i="3" s="1"/>
  <c r="B1113" i="3"/>
  <c r="R1110" i="3" l="1"/>
  <c r="W1110" i="3" s="1"/>
  <c r="H1111" i="3"/>
  <c r="C1115" i="3"/>
  <c r="D1116" i="3"/>
  <c r="E1116" i="3"/>
  <c r="S1115" i="3"/>
  <c r="AC1115" i="3" s="1"/>
  <c r="B1114" i="3"/>
  <c r="R1111" i="3" l="1"/>
  <c r="W1111" i="3" s="1"/>
  <c r="H1112" i="3"/>
  <c r="C1116" i="3"/>
  <c r="E1117" i="3"/>
  <c r="D1117" i="3"/>
  <c r="S1116" i="3"/>
  <c r="AC1116" i="3" s="1"/>
  <c r="B1115" i="3"/>
  <c r="R1112" i="3" l="1"/>
  <c r="W1112" i="3" s="1"/>
  <c r="H1113" i="3"/>
  <c r="C1117" i="3"/>
  <c r="S1117" i="3"/>
  <c r="AC1117" i="3" s="1"/>
  <c r="E1118" i="3"/>
  <c r="D1118" i="3"/>
  <c r="B1116" i="3"/>
  <c r="R1113" i="3" l="1"/>
  <c r="W1113" i="3" s="1"/>
  <c r="H1114" i="3"/>
  <c r="C1118" i="3"/>
  <c r="E1119" i="3"/>
  <c r="D1119" i="3"/>
  <c r="S1118" i="3"/>
  <c r="AC1118" i="3" s="1"/>
  <c r="B1117" i="3"/>
  <c r="B1118" i="3" s="1"/>
  <c r="C1119" i="3" l="1"/>
  <c r="R1114" i="3"/>
  <c r="W1114" i="3" s="1"/>
  <c r="H1115" i="3"/>
  <c r="S1119" i="3"/>
  <c r="AC1119" i="3" s="1"/>
  <c r="E1120" i="3"/>
  <c r="D1120" i="3"/>
  <c r="H1116" i="3" l="1"/>
  <c r="R1115" i="3"/>
  <c r="W1115" i="3" s="1"/>
  <c r="C1120" i="3"/>
  <c r="S1120" i="3"/>
  <c r="AC1120" i="3" s="1"/>
  <c r="E1121" i="3"/>
  <c r="D1121" i="3"/>
  <c r="B1119" i="3"/>
  <c r="R1116" i="3" l="1"/>
  <c r="W1116" i="3" s="1"/>
  <c r="H1117" i="3"/>
  <c r="C1121" i="3"/>
  <c r="S1121" i="3"/>
  <c r="AC1121" i="3" s="1"/>
  <c r="E1122" i="3"/>
  <c r="D1122" i="3"/>
  <c r="C1122" i="3" s="1"/>
  <c r="B1120" i="3"/>
  <c r="B1121" i="3" s="1"/>
  <c r="R1117" i="3" l="1"/>
  <c r="W1117" i="3" s="1"/>
  <c r="H1118" i="3"/>
  <c r="S1122" i="3"/>
  <c r="AC1122" i="3" s="1"/>
  <c r="E1123" i="3"/>
  <c r="D1123" i="3"/>
  <c r="C1123" i="3" s="1"/>
  <c r="B1122" i="3"/>
  <c r="R1118" i="3" l="1"/>
  <c r="W1118" i="3" s="1"/>
  <c r="H1119" i="3"/>
  <c r="S1123" i="3"/>
  <c r="AC1123" i="3" s="1"/>
  <c r="D1124" i="3"/>
  <c r="E1124" i="3"/>
  <c r="B1123" i="3"/>
  <c r="R1119" i="3" l="1"/>
  <c r="W1119" i="3" s="1"/>
  <c r="H1120" i="3"/>
  <c r="C1124" i="3"/>
  <c r="B1124" i="3" s="1"/>
  <c r="E1125" i="3"/>
  <c r="D1125" i="3"/>
  <c r="S1124" i="3"/>
  <c r="AC1124" i="3" s="1"/>
  <c r="C1125" i="3" l="1"/>
  <c r="R1120" i="3"/>
  <c r="W1120" i="3" s="1"/>
  <c r="H1121" i="3"/>
  <c r="S1125" i="3"/>
  <c r="AC1125" i="3" s="1"/>
  <c r="D1126" i="3"/>
  <c r="E1126" i="3"/>
  <c r="H1122" i="3" l="1"/>
  <c r="R1121" i="3"/>
  <c r="W1121" i="3" s="1"/>
  <c r="C1126" i="3"/>
  <c r="E1127" i="3"/>
  <c r="D1127" i="3"/>
  <c r="S1126" i="3"/>
  <c r="AC1126" i="3" s="1"/>
  <c r="B1125" i="3"/>
  <c r="R1122" i="3" l="1"/>
  <c r="W1122" i="3" s="1"/>
  <c r="H1123" i="3"/>
  <c r="C1127" i="3"/>
  <c r="S1127" i="3"/>
  <c r="AC1127" i="3" s="1"/>
  <c r="E1128" i="3"/>
  <c r="D1128" i="3"/>
  <c r="B1126" i="3"/>
  <c r="R1123" i="3" l="1"/>
  <c r="W1123" i="3" s="1"/>
  <c r="H1124" i="3"/>
  <c r="C1128" i="3"/>
  <c r="S1128" i="3"/>
  <c r="AC1128" i="3" s="1"/>
  <c r="E1129" i="3"/>
  <c r="D1129" i="3"/>
  <c r="B1127" i="3"/>
  <c r="B1128" i="3" s="1"/>
  <c r="R1124" i="3" l="1"/>
  <c r="W1124" i="3" s="1"/>
  <c r="H1125" i="3"/>
  <c r="C1129" i="3"/>
  <c r="S1129" i="3"/>
  <c r="AC1129" i="3" s="1"/>
  <c r="E1130" i="3"/>
  <c r="D1130" i="3"/>
  <c r="B1129" i="3"/>
  <c r="C1130" i="3" l="1"/>
  <c r="B1130" i="3" s="1"/>
  <c r="H1126" i="3"/>
  <c r="R1125" i="3"/>
  <c r="W1125" i="3" s="1"/>
  <c r="S1130" i="3"/>
  <c r="AC1130" i="3" s="1"/>
  <c r="E1131" i="3"/>
  <c r="D1131" i="3"/>
  <c r="C1131" i="3" l="1"/>
  <c r="H1127" i="3"/>
  <c r="R1126" i="3"/>
  <c r="W1126" i="3" s="1"/>
  <c r="S1131" i="3"/>
  <c r="AC1131" i="3" s="1"/>
  <c r="D1132" i="3"/>
  <c r="E1132" i="3"/>
  <c r="B1131" i="3"/>
  <c r="R1127" i="3" l="1"/>
  <c r="W1127" i="3" s="1"/>
  <c r="H1128" i="3"/>
  <c r="C1132" i="3"/>
  <c r="D1133" i="3"/>
  <c r="E1133" i="3"/>
  <c r="S1132" i="3"/>
  <c r="AC1132" i="3" s="1"/>
  <c r="B1132" i="3"/>
  <c r="R1128" i="3" l="1"/>
  <c r="W1128" i="3" s="1"/>
  <c r="H1129" i="3"/>
  <c r="C1133" i="3"/>
  <c r="D1134" i="3"/>
  <c r="E1134" i="3"/>
  <c r="S1133" i="3"/>
  <c r="AC1133" i="3" s="1"/>
  <c r="R1129" i="3" l="1"/>
  <c r="W1129" i="3" s="1"/>
  <c r="H1130" i="3"/>
  <c r="C1134" i="3"/>
  <c r="E1135" i="3"/>
  <c r="D1135" i="3"/>
  <c r="S1134" i="3"/>
  <c r="AC1134" i="3" s="1"/>
  <c r="B1133" i="3"/>
  <c r="C1135" i="3" l="1"/>
  <c r="R1130" i="3"/>
  <c r="W1130" i="3" s="1"/>
  <c r="H1131" i="3"/>
  <c r="S1135" i="3"/>
  <c r="AC1135" i="3" s="1"/>
  <c r="E1136" i="3"/>
  <c r="D1136" i="3"/>
  <c r="B1134" i="3"/>
  <c r="C1136" i="3" l="1"/>
  <c r="R1131" i="3"/>
  <c r="W1131" i="3" s="1"/>
  <c r="H1132" i="3"/>
  <c r="S1136" i="3"/>
  <c r="AC1136" i="3" s="1"/>
  <c r="E1137" i="3"/>
  <c r="D1137" i="3"/>
  <c r="B1135" i="3"/>
  <c r="H1133" i="3" l="1"/>
  <c r="R1132" i="3"/>
  <c r="W1132" i="3" s="1"/>
  <c r="C1137" i="3"/>
  <c r="S1137" i="3"/>
  <c r="AC1137" i="3" s="1"/>
  <c r="E1138" i="3"/>
  <c r="D1138" i="3"/>
  <c r="B1136" i="3"/>
  <c r="C1138" i="3" l="1"/>
  <c r="R1133" i="3"/>
  <c r="W1133" i="3" s="1"/>
  <c r="H1134" i="3"/>
  <c r="S1138" i="3"/>
  <c r="AC1138" i="3" s="1"/>
  <c r="E1139" i="3"/>
  <c r="D1139" i="3"/>
  <c r="B1137" i="3"/>
  <c r="T1139" i="3" l="1"/>
  <c r="S1139" i="3" s="1"/>
  <c r="Q1139" i="3"/>
  <c r="R1134" i="3"/>
  <c r="W1134" i="3" s="1"/>
  <c r="H1135" i="3"/>
  <c r="C1139" i="3"/>
  <c r="D1140" i="3"/>
  <c r="E1140" i="3"/>
  <c r="B1138" i="3"/>
  <c r="AN1139" i="3" l="1"/>
  <c r="AC1139" i="3" s="1"/>
  <c r="R1135" i="3"/>
  <c r="W1135" i="3" s="1"/>
  <c r="H1136" i="3"/>
  <c r="B1139" i="3"/>
  <c r="C1140" i="3"/>
  <c r="D1141" i="3"/>
  <c r="E1141" i="3"/>
  <c r="S1140" i="3"/>
  <c r="AC1140" i="3" s="1"/>
  <c r="B1140" i="3" l="1"/>
  <c r="R1136" i="3"/>
  <c r="W1136" i="3" s="1"/>
  <c r="H1137" i="3"/>
  <c r="C1141" i="3"/>
  <c r="D1142" i="3"/>
  <c r="E1142" i="3"/>
  <c r="S1141" i="3"/>
  <c r="AC1141" i="3" s="1"/>
  <c r="R1137" i="3" l="1"/>
  <c r="W1137" i="3" s="1"/>
  <c r="H1138" i="3"/>
  <c r="C1142" i="3"/>
  <c r="S1142" i="3"/>
  <c r="AC1142" i="3" s="1"/>
  <c r="E1143" i="3"/>
  <c r="D1143" i="3"/>
  <c r="B1141" i="3"/>
  <c r="R1138" i="3" l="1"/>
  <c r="W1138" i="3" s="1"/>
  <c r="H1139" i="3"/>
  <c r="C1143" i="3"/>
  <c r="S1143" i="3"/>
  <c r="AC1143" i="3" s="1"/>
  <c r="E1144" i="3"/>
  <c r="D1144" i="3"/>
  <c r="B1142" i="3"/>
  <c r="B1143" i="3" l="1"/>
  <c r="C1144" i="3"/>
  <c r="B1144" i="3" s="1"/>
  <c r="H1140" i="3"/>
  <c r="R1139" i="3"/>
  <c r="W1139" i="3" s="1"/>
  <c r="S1144" i="3"/>
  <c r="AC1144" i="3" s="1"/>
  <c r="D1145" i="3"/>
  <c r="E1145" i="3"/>
  <c r="R1140" i="3" l="1"/>
  <c r="W1140" i="3" s="1"/>
  <c r="H1141" i="3"/>
  <c r="C1145" i="3"/>
  <c r="E1146" i="3"/>
  <c r="D1146" i="3"/>
  <c r="S1145" i="3"/>
  <c r="AC1145" i="3" s="1"/>
  <c r="B1145" i="3"/>
  <c r="H1142" i="3" l="1"/>
  <c r="R1141" i="3"/>
  <c r="W1141" i="3" s="1"/>
  <c r="C1146" i="3"/>
  <c r="S1146" i="3"/>
  <c r="AC1146" i="3" s="1"/>
  <c r="E1147" i="3"/>
  <c r="D1147" i="3"/>
  <c r="C1147" i="3" l="1"/>
  <c r="R1142" i="3"/>
  <c r="W1142" i="3" s="1"/>
  <c r="H1143" i="3"/>
  <c r="S1147" i="3"/>
  <c r="AC1147" i="3" s="1"/>
  <c r="E1148" i="3"/>
  <c r="D1148" i="3"/>
  <c r="B1146" i="3"/>
  <c r="B1147" i="3" l="1"/>
  <c r="R1143" i="3"/>
  <c r="W1143" i="3" s="1"/>
  <c r="H1144" i="3"/>
  <c r="C1148" i="3"/>
  <c r="S1148" i="3"/>
  <c r="AC1148" i="3" s="1"/>
  <c r="D1149" i="3"/>
  <c r="E1149" i="3"/>
  <c r="B1148" i="3"/>
  <c r="R1144" i="3" l="1"/>
  <c r="W1144" i="3" s="1"/>
  <c r="H1145" i="3"/>
  <c r="C1149" i="3"/>
  <c r="B1149" i="3" s="1"/>
  <c r="E1150" i="3"/>
  <c r="D1150" i="3"/>
  <c r="S1149" i="3"/>
  <c r="AC1149" i="3" s="1"/>
  <c r="R1145" i="3" l="1"/>
  <c r="W1145" i="3" s="1"/>
  <c r="H1146" i="3"/>
  <c r="C1150" i="3"/>
  <c r="S1150" i="3"/>
  <c r="AC1150" i="3" s="1"/>
  <c r="E1151" i="3"/>
  <c r="D1151" i="3"/>
  <c r="C1151" i="3" s="1"/>
  <c r="R1146" i="3" l="1"/>
  <c r="W1146" i="3" s="1"/>
  <c r="H1147" i="3"/>
  <c r="S1151" i="3"/>
  <c r="AC1151" i="3" s="1"/>
  <c r="E1152" i="3"/>
  <c r="D1152" i="3"/>
  <c r="B1150" i="3"/>
  <c r="Q1152" i="3" l="1"/>
  <c r="T1152" i="3"/>
  <c r="S1152" i="3" s="1"/>
  <c r="R1147" i="3"/>
  <c r="W1147" i="3" s="1"/>
  <c r="H1148" i="3"/>
  <c r="C1152" i="3"/>
  <c r="D1153" i="3"/>
  <c r="E1153" i="3"/>
  <c r="B1151" i="3"/>
  <c r="AN1152" i="3" l="1"/>
  <c r="AC1152" i="3" s="1"/>
  <c r="R1148" i="3"/>
  <c r="W1148" i="3" s="1"/>
  <c r="H1149" i="3"/>
  <c r="C1153" i="3"/>
  <c r="E1154" i="3"/>
  <c r="D1154" i="3"/>
  <c r="S1153" i="3"/>
  <c r="AC1153" i="3" s="1"/>
  <c r="B1152" i="3"/>
  <c r="R1149" i="3" l="1"/>
  <c r="W1149" i="3" s="1"/>
  <c r="H1150" i="3"/>
  <c r="C1154" i="3"/>
  <c r="S1154" i="3"/>
  <c r="AC1154" i="3" s="1"/>
  <c r="E1155" i="3"/>
  <c r="D1155" i="3"/>
  <c r="B1153" i="3"/>
  <c r="R1150" i="3" l="1"/>
  <c r="W1150" i="3" s="1"/>
  <c r="H1151" i="3"/>
  <c r="C1155" i="3"/>
  <c r="E1156" i="3"/>
  <c r="D1156" i="3"/>
  <c r="S1155" i="3"/>
  <c r="AC1155" i="3" s="1"/>
  <c r="B1154" i="3"/>
  <c r="R1151" i="3" l="1"/>
  <c r="W1151" i="3" s="1"/>
  <c r="H1152" i="3"/>
  <c r="C1156" i="3"/>
  <c r="B1155" i="3"/>
  <c r="S1156" i="3"/>
  <c r="AC1156" i="3" s="1"/>
  <c r="E1157" i="3"/>
  <c r="D1157" i="3"/>
  <c r="C1157" i="3" l="1"/>
  <c r="R1152" i="3"/>
  <c r="W1152" i="3" s="1"/>
  <c r="H1153" i="3"/>
  <c r="S1157" i="3"/>
  <c r="AC1157" i="3" s="1"/>
  <c r="E1158" i="3"/>
  <c r="D1158" i="3"/>
  <c r="B1156" i="3"/>
  <c r="B1157" i="3" s="1"/>
  <c r="R1153" i="3" l="1"/>
  <c r="W1153" i="3" s="1"/>
  <c r="H1154" i="3"/>
  <c r="C1158" i="3"/>
  <c r="S1158" i="3"/>
  <c r="AC1158" i="3" s="1"/>
  <c r="E1159" i="3"/>
  <c r="D1159" i="3"/>
  <c r="C1159" i="3" s="1"/>
  <c r="B1158" i="3"/>
  <c r="R1154" i="3" l="1"/>
  <c r="W1154" i="3" s="1"/>
  <c r="H1155" i="3"/>
  <c r="S1159" i="3"/>
  <c r="AC1159" i="3" s="1"/>
  <c r="E1160" i="3"/>
  <c r="D1160" i="3"/>
  <c r="B1159" i="3"/>
  <c r="R1155" i="3" l="1"/>
  <c r="W1155" i="3" s="1"/>
  <c r="H1156" i="3"/>
  <c r="C1160" i="3"/>
  <c r="S1160" i="3"/>
  <c r="AC1160" i="3" s="1"/>
  <c r="E1161" i="3"/>
  <c r="D1161" i="3"/>
  <c r="B1160" i="3"/>
  <c r="C1161" i="3" l="1"/>
  <c r="R1156" i="3"/>
  <c r="W1156" i="3" s="1"/>
  <c r="H1157" i="3"/>
  <c r="E1162" i="3"/>
  <c r="D1162" i="3"/>
  <c r="C1162" i="3" s="1"/>
  <c r="S1161" i="3"/>
  <c r="AC1161" i="3" s="1"/>
  <c r="R1157" i="3" l="1"/>
  <c r="W1157" i="3" s="1"/>
  <c r="H1158" i="3"/>
  <c r="B1161" i="3"/>
  <c r="S1162" i="3"/>
  <c r="AC1162" i="3" s="1"/>
  <c r="E1163" i="3"/>
  <c r="D1163" i="3"/>
  <c r="R1158" i="3" l="1"/>
  <c r="W1158" i="3" s="1"/>
  <c r="H1159" i="3"/>
  <c r="C1163" i="3"/>
  <c r="E1164" i="3"/>
  <c r="D1164" i="3"/>
  <c r="S1163" i="3"/>
  <c r="AC1163" i="3" s="1"/>
  <c r="B1162" i="3"/>
  <c r="C1164" i="3" l="1"/>
  <c r="R1159" i="3"/>
  <c r="W1159" i="3" s="1"/>
  <c r="H1160" i="3"/>
  <c r="B1163" i="3"/>
  <c r="S1164" i="3"/>
  <c r="AC1164" i="3" s="1"/>
  <c r="E1165" i="3"/>
  <c r="D1165" i="3"/>
  <c r="R1160" i="3" l="1"/>
  <c r="W1160" i="3" s="1"/>
  <c r="H1161" i="3"/>
  <c r="C1165" i="3"/>
  <c r="E1166" i="3"/>
  <c r="D1166" i="3"/>
  <c r="S1165" i="3"/>
  <c r="AC1165" i="3" s="1"/>
  <c r="B1164" i="3"/>
  <c r="R1161" i="3" l="1"/>
  <c r="W1161" i="3" s="1"/>
  <c r="H1162" i="3"/>
  <c r="C1166" i="3"/>
  <c r="B1165" i="3"/>
  <c r="S1166" i="3"/>
  <c r="AC1166" i="3" s="1"/>
  <c r="E1167" i="3"/>
  <c r="D1167" i="3"/>
  <c r="R1162" i="3" l="1"/>
  <c r="W1162" i="3" s="1"/>
  <c r="H1163" i="3"/>
  <c r="C1167" i="3"/>
  <c r="E1168" i="3"/>
  <c r="D1168" i="3"/>
  <c r="S1167" i="3"/>
  <c r="AC1167" i="3" s="1"/>
  <c r="B1166" i="3"/>
  <c r="R1163" i="3" l="1"/>
  <c r="W1163" i="3" s="1"/>
  <c r="H1164" i="3"/>
  <c r="C1168" i="3"/>
  <c r="B1167" i="3"/>
  <c r="S1168" i="3"/>
  <c r="AC1168" i="3" s="1"/>
  <c r="E1169" i="3"/>
  <c r="D1169" i="3"/>
  <c r="R1164" i="3" l="1"/>
  <c r="W1164" i="3" s="1"/>
  <c r="H1165" i="3"/>
  <c r="C1169" i="3"/>
  <c r="E1170" i="3"/>
  <c r="D1170" i="3"/>
  <c r="S1169" i="3"/>
  <c r="AC1169" i="3" s="1"/>
  <c r="B1168" i="3"/>
  <c r="C1170" i="3" l="1"/>
  <c r="R1165" i="3"/>
  <c r="W1165" i="3" s="1"/>
  <c r="H1166" i="3"/>
  <c r="B1169" i="3"/>
  <c r="S1170" i="3"/>
  <c r="AC1170" i="3" s="1"/>
  <c r="E1171" i="3"/>
  <c r="D1171" i="3"/>
  <c r="R1166" i="3" l="1"/>
  <c r="W1166" i="3" s="1"/>
  <c r="H1167" i="3"/>
  <c r="C1171" i="3"/>
  <c r="E1172" i="3"/>
  <c r="D1172" i="3"/>
  <c r="S1171" i="3"/>
  <c r="AC1171" i="3" s="1"/>
  <c r="B1170" i="3"/>
  <c r="R1167" i="3" l="1"/>
  <c r="W1167" i="3" s="1"/>
  <c r="H1168" i="3"/>
  <c r="C1172" i="3"/>
  <c r="B1171" i="3"/>
  <c r="S1172" i="3"/>
  <c r="AC1172" i="3" s="1"/>
  <c r="E1173" i="3"/>
  <c r="D1173" i="3"/>
  <c r="R1168" i="3" l="1"/>
  <c r="W1168" i="3" s="1"/>
  <c r="H1169" i="3"/>
  <c r="C1173" i="3"/>
  <c r="E1174" i="3"/>
  <c r="D1174" i="3"/>
  <c r="S1173" i="3"/>
  <c r="AC1173" i="3" s="1"/>
  <c r="B1172" i="3"/>
  <c r="R1169" i="3" l="1"/>
  <c r="W1169" i="3" s="1"/>
  <c r="H1170" i="3"/>
  <c r="C1174" i="3"/>
  <c r="S1174" i="3"/>
  <c r="AC1174" i="3" s="1"/>
  <c r="E1175" i="3"/>
  <c r="D1175" i="3"/>
  <c r="B1173" i="3"/>
  <c r="C1175" i="3" l="1"/>
  <c r="R1170" i="3"/>
  <c r="W1170" i="3" s="1"/>
  <c r="H1171" i="3"/>
  <c r="S1175" i="3"/>
  <c r="AC1175" i="3" s="1"/>
  <c r="E1176" i="3"/>
  <c r="D1176" i="3"/>
  <c r="C1176" i="3" s="1"/>
  <c r="B1174" i="3"/>
  <c r="R1171" i="3" l="1"/>
  <c r="W1171" i="3" s="1"/>
  <c r="H1172" i="3"/>
  <c r="S1176" i="3"/>
  <c r="AC1176" i="3" s="1"/>
  <c r="B1175" i="3"/>
  <c r="B1176" i="3" s="1"/>
  <c r="E1177" i="3"/>
  <c r="D1177" i="3"/>
  <c r="R1172" i="3" l="1"/>
  <c r="W1172" i="3" s="1"/>
  <c r="H1173" i="3"/>
  <c r="C1177" i="3"/>
  <c r="E1178" i="3"/>
  <c r="D1178" i="3"/>
  <c r="S1177" i="3"/>
  <c r="AC1177" i="3" s="1"/>
  <c r="R1173" i="3" l="1"/>
  <c r="W1173" i="3" s="1"/>
  <c r="H1174" i="3"/>
  <c r="C1178" i="3"/>
  <c r="S1178" i="3"/>
  <c r="AC1178" i="3" s="1"/>
  <c r="B1177" i="3"/>
  <c r="E1179" i="3"/>
  <c r="D1179" i="3"/>
  <c r="R1174" i="3" l="1"/>
  <c r="W1174" i="3" s="1"/>
  <c r="H1175" i="3"/>
  <c r="C1179" i="3"/>
  <c r="S1179" i="3"/>
  <c r="AC1179" i="3" s="1"/>
  <c r="B1178" i="3"/>
  <c r="E1180" i="3"/>
  <c r="D1180" i="3"/>
  <c r="R1175" i="3" l="1"/>
  <c r="W1175" i="3" s="1"/>
  <c r="H1176" i="3"/>
  <c r="C1180" i="3"/>
  <c r="E1181" i="3"/>
  <c r="D1181" i="3"/>
  <c r="S1180" i="3"/>
  <c r="AC1180" i="3" s="1"/>
  <c r="B1179" i="3"/>
  <c r="C1181" i="3" l="1"/>
  <c r="R1176" i="3"/>
  <c r="W1176" i="3" s="1"/>
  <c r="H1177" i="3"/>
  <c r="B1180" i="3"/>
  <c r="S1181" i="3"/>
  <c r="AC1181" i="3" s="1"/>
  <c r="E1182" i="3"/>
  <c r="D1182" i="3"/>
  <c r="C1182" i="3" s="1"/>
  <c r="R1177" i="3" l="1"/>
  <c r="W1177" i="3" s="1"/>
  <c r="H1178" i="3"/>
  <c r="S1182" i="3"/>
  <c r="AC1182" i="3" s="1"/>
  <c r="E1183" i="3"/>
  <c r="D1183" i="3"/>
  <c r="B1181" i="3"/>
  <c r="R1178" i="3" l="1"/>
  <c r="W1178" i="3" s="1"/>
  <c r="H1179" i="3"/>
  <c r="C1183" i="3"/>
  <c r="S1183" i="3"/>
  <c r="AC1183" i="3" s="1"/>
  <c r="E1184" i="3"/>
  <c r="D1184" i="3"/>
  <c r="C1184" i="3" s="1"/>
  <c r="B1182" i="3"/>
  <c r="R1179" i="3" l="1"/>
  <c r="W1179" i="3" s="1"/>
  <c r="H1180" i="3"/>
  <c r="S1184" i="3"/>
  <c r="AC1184" i="3" s="1"/>
  <c r="E1185" i="3"/>
  <c r="D1185" i="3"/>
  <c r="B1183" i="3"/>
  <c r="R1180" i="3" l="1"/>
  <c r="W1180" i="3" s="1"/>
  <c r="H1181" i="3"/>
  <c r="C1185" i="3"/>
  <c r="S1185" i="3"/>
  <c r="AC1185" i="3" s="1"/>
  <c r="E1186" i="3"/>
  <c r="D1186" i="3"/>
  <c r="B1184" i="3"/>
  <c r="R1181" i="3" l="1"/>
  <c r="W1181" i="3" s="1"/>
  <c r="H1182" i="3"/>
  <c r="C1186" i="3"/>
  <c r="S1186" i="3"/>
  <c r="AC1186" i="3" s="1"/>
  <c r="E1187" i="3"/>
  <c r="D1187" i="3"/>
  <c r="B1185" i="3"/>
  <c r="R1182" i="3" l="1"/>
  <c r="W1182" i="3" s="1"/>
  <c r="H1183" i="3"/>
  <c r="C1187" i="3"/>
  <c r="S1187" i="3"/>
  <c r="AC1187" i="3" s="1"/>
  <c r="E1188" i="3"/>
  <c r="D1188" i="3"/>
  <c r="B1186" i="3"/>
  <c r="C1188" i="3" l="1"/>
  <c r="R1183" i="3"/>
  <c r="W1183" i="3" s="1"/>
  <c r="H1184" i="3"/>
  <c r="E1189" i="3"/>
  <c r="D1189" i="3"/>
  <c r="C1189" i="3" s="1"/>
  <c r="S1188" i="3"/>
  <c r="AC1188" i="3" s="1"/>
  <c r="B1187" i="3"/>
  <c r="R1184" i="3" l="1"/>
  <c r="W1184" i="3" s="1"/>
  <c r="H1185" i="3"/>
  <c r="B1188" i="3"/>
  <c r="S1189" i="3"/>
  <c r="AC1189" i="3" s="1"/>
  <c r="E1190" i="3"/>
  <c r="D1190" i="3"/>
  <c r="R1185" i="3" l="1"/>
  <c r="W1185" i="3" s="1"/>
  <c r="H1186" i="3"/>
  <c r="C1190" i="3"/>
  <c r="E1191" i="3"/>
  <c r="D1191" i="3"/>
  <c r="C1191" i="3" s="1"/>
  <c r="S1190" i="3"/>
  <c r="AC1190" i="3" s="1"/>
  <c r="B1189" i="3"/>
  <c r="R1186" i="3" l="1"/>
  <c r="W1186" i="3" s="1"/>
  <c r="H1187" i="3"/>
  <c r="B1190" i="3"/>
  <c r="S1191" i="3"/>
  <c r="AC1191" i="3" s="1"/>
  <c r="E1192" i="3"/>
  <c r="D1192" i="3"/>
  <c r="R1187" i="3" l="1"/>
  <c r="W1187" i="3" s="1"/>
  <c r="H1188" i="3"/>
  <c r="C1192" i="3"/>
  <c r="E1193" i="3"/>
  <c r="D1193" i="3"/>
  <c r="S1192" i="3"/>
  <c r="AC1192" i="3" s="1"/>
  <c r="B1191" i="3"/>
  <c r="R1188" i="3" l="1"/>
  <c r="W1188" i="3" s="1"/>
  <c r="H1189" i="3"/>
  <c r="C1193" i="3"/>
  <c r="S1193" i="3"/>
  <c r="AC1193" i="3" s="1"/>
  <c r="E1194" i="3"/>
  <c r="D1194" i="3"/>
  <c r="B1192" i="3"/>
  <c r="C1194" i="3" l="1"/>
  <c r="R1189" i="3"/>
  <c r="W1189" i="3" s="1"/>
  <c r="H1190" i="3"/>
  <c r="S1194" i="3"/>
  <c r="AC1194" i="3" s="1"/>
  <c r="D1195" i="3"/>
  <c r="E1195" i="3"/>
  <c r="B1193" i="3"/>
  <c r="R1190" i="3" l="1"/>
  <c r="W1190" i="3" s="1"/>
  <c r="H1191" i="3"/>
  <c r="C1195" i="3"/>
  <c r="E1196" i="3"/>
  <c r="D1196" i="3"/>
  <c r="S1195" i="3"/>
  <c r="AC1195" i="3" s="1"/>
  <c r="B1194" i="3"/>
  <c r="R1191" i="3" l="1"/>
  <c r="W1191" i="3" s="1"/>
  <c r="H1192" i="3"/>
  <c r="C1196" i="3"/>
  <c r="S1196" i="3"/>
  <c r="AC1196" i="3" s="1"/>
  <c r="E1197" i="3"/>
  <c r="D1197" i="3"/>
  <c r="B1195" i="3"/>
  <c r="R1192" i="3" l="1"/>
  <c r="W1192" i="3" s="1"/>
  <c r="H1193" i="3"/>
  <c r="C1197" i="3"/>
  <c r="B1196" i="3"/>
  <c r="S1197" i="3"/>
  <c r="AC1197" i="3" s="1"/>
  <c r="E1198" i="3"/>
  <c r="D1198" i="3"/>
  <c r="R1193" i="3" l="1"/>
  <c r="W1193" i="3" s="1"/>
  <c r="H1194" i="3"/>
  <c r="C1198" i="3"/>
  <c r="B1197" i="3"/>
  <c r="B1198" i="3" s="1"/>
  <c r="S1198" i="3"/>
  <c r="AC1198" i="3" s="1"/>
  <c r="E1199" i="3"/>
  <c r="D1199" i="3"/>
  <c r="C1199" i="3" l="1"/>
  <c r="R1194" i="3"/>
  <c r="W1194" i="3" s="1"/>
  <c r="H1195" i="3"/>
  <c r="S1199" i="3"/>
  <c r="AC1199" i="3" s="1"/>
  <c r="E1200" i="3"/>
  <c r="D1200" i="3"/>
  <c r="B1199" i="3"/>
  <c r="R1195" i="3" l="1"/>
  <c r="W1195" i="3" s="1"/>
  <c r="H1196" i="3"/>
  <c r="C1200" i="3"/>
  <c r="S1200" i="3"/>
  <c r="AC1200" i="3" s="1"/>
  <c r="E1201" i="3"/>
  <c r="D1201" i="3"/>
  <c r="B1200" i="3"/>
  <c r="C1201" i="3" l="1"/>
  <c r="R1196" i="3"/>
  <c r="W1196" i="3" s="1"/>
  <c r="H1197" i="3"/>
  <c r="E1202" i="3"/>
  <c r="D1202" i="3"/>
  <c r="C1202" i="3" s="1"/>
  <c r="S1201" i="3"/>
  <c r="AC1201" i="3" s="1"/>
  <c r="R1197" i="3" l="1"/>
  <c r="W1197" i="3" s="1"/>
  <c r="H1198" i="3"/>
  <c r="S1202" i="3"/>
  <c r="AC1202" i="3" s="1"/>
  <c r="D1203" i="3"/>
  <c r="E1203" i="3"/>
  <c r="B1201" i="3"/>
  <c r="B1202" i="3" s="1"/>
  <c r="R1198" i="3" l="1"/>
  <c r="W1198" i="3" s="1"/>
  <c r="H1199" i="3"/>
  <c r="C1203" i="3"/>
  <c r="S1203" i="3"/>
  <c r="AC1203" i="3" s="1"/>
  <c r="E1204" i="3"/>
  <c r="D1204" i="3"/>
  <c r="B1203" i="3"/>
  <c r="C1204" i="3" l="1"/>
  <c r="R1199" i="3"/>
  <c r="W1199" i="3" s="1"/>
  <c r="H1200" i="3"/>
  <c r="S1204" i="3"/>
  <c r="AC1204" i="3" s="1"/>
  <c r="E1205" i="3"/>
  <c r="D1205" i="3"/>
  <c r="B1204" i="3"/>
  <c r="C1205" i="3" l="1"/>
  <c r="R1200" i="3"/>
  <c r="W1200" i="3" s="1"/>
  <c r="H1201" i="3"/>
  <c r="S1205" i="3"/>
  <c r="AC1205" i="3" s="1"/>
  <c r="E1206" i="3"/>
  <c r="D1206" i="3"/>
  <c r="B1205" i="3"/>
  <c r="C1206" i="3" l="1"/>
  <c r="R1201" i="3"/>
  <c r="W1201" i="3" s="1"/>
  <c r="H1202" i="3"/>
  <c r="D1207" i="3"/>
  <c r="E1207" i="3"/>
  <c r="S1206" i="3"/>
  <c r="AC1206" i="3" s="1"/>
  <c r="B1206" i="3"/>
  <c r="R1202" i="3" l="1"/>
  <c r="W1202" i="3" s="1"/>
  <c r="H1203" i="3"/>
  <c r="C1207" i="3"/>
  <c r="D1208" i="3"/>
  <c r="E1208" i="3"/>
  <c r="S1207" i="3"/>
  <c r="AC1207" i="3" s="1"/>
  <c r="R1203" i="3" l="1"/>
  <c r="W1203" i="3" s="1"/>
  <c r="H1204" i="3"/>
  <c r="C1208" i="3"/>
  <c r="S1208" i="3"/>
  <c r="AC1208" i="3" s="1"/>
  <c r="D1209" i="3"/>
  <c r="E1209" i="3"/>
  <c r="B1207" i="3"/>
  <c r="B1208" i="3" s="1"/>
  <c r="R1204" i="3" l="1"/>
  <c r="W1204" i="3" s="1"/>
  <c r="H1205" i="3"/>
  <c r="C1209" i="3"/>
  <c r="B1209" i="3" s="1"/>
  <c r="D1210" i="3"/>
  <c r="E1210" i="3"/>
  <c r="S1209" i="3"/>
  <c r="AC1209" i="3" s="1"/>
  <c r="R1205" i="3" l="1"/>
  <c r="W1205" i="3" s="1"/>
  <c r="H1206" i="3"/>
  <c r="C1210" i="3"/>
  <c r="E1211" i="3"/>
  <c r="D1211" i="3"/>
  <c r="S1210" i="3"/>
  <c r="AC1210" i="3" s="1"/>
  <c r="R1206" i="3" l="1"/>
  <c r="W1206" i="3" s="1"/>
  <c r="H1207" i="3"/>
  <c r="C1211" i="3"/>
  <c r="E1212" i="3"/>
  <c r="D1212" i="3"/>
  <c r="S1211" i="3"/>
  <c r="AC1211" i="3" s="1"/>
  <c r="B1210" i="3"/>
  <c r="B1211" i="3" s="1"/>
  <c r="C1212" i="3" l="1"/>
  <c r="R1207" i="3"/>
  <c r="W1207" i="3" s="1"/>
  <c r="H1208" i="3"/>
  <c r="S1212" i="3"/>
  <c r="AC1212" i="3" s="1"/>
  <c r="E1213" i="3"/>
  <c r="D1213" i="3"/>
  <c r="C1213" i="3" l="1"/>
  <c r="R1208" i="3"/>
  <c r="W1208" i="3" s="1"/>
  <c r="H1209" i="3"/>
  <c r="S1213" i="3"/>
  <c r="AC1213" i="3" s="1"/>
  <c r="E1214" i="3"/>
  <c r="D1214" i="3"/>
  <c r="C1214" i="3" s="1"/>
  <c r="B1212" i="3"/>
  <c r="R1209" i="3" l="1"/>
  <c r="W1209" i="3" s="1"/>
  <c r="H1210" i="3"/>
  <c r="S1214" i="3"/>
  <c r="AC1214" i="3" s="1"/>
  <c r="E1215" i="3"/>
  <c r="D1215" i="3"/>
  <c r="C1215" i="3" s="1"/>
  <c r="B1213" i="3"/>
  <c r="R1210" i="3" l="1"/>
  <c r="W1210" i="3" s="1"/>
  <c r="H1211" i="3"/>
  <c r="S1215" i="3"/>
  <c r="AC1215" i="3" s="1"/>
  <c r="E1216" i="3"/>
  <c r="D1216" i="3"/>
  <c r="B1214" i="3"/>
  <c r="C1216" i="3" l="1"/>
  <c r="R1211" i="3"/>
  <c r="W1211" i="3" s="1"/>
  <c r="H1212" i="3"/>
  <c r="S1216" i="3"/>
  <c r="AC1216" i="3" s="1"/>
  <c r="E1217" i="3"/>
  <c r="D1217" i="3"/>
  <c r="B1215" i="3"/>
  <c r="R1212" i="3" l="1"/>
  <c r="W1212" i="3" s="1"/>
  <c r="H1213" i="3"/>
  <c r="C1217" i="3"/>
  <c r="S1217" i="3"/>
  <c r="AC1217" i="3" s="1"/>
  <c r="E1218" i="3"/>
  <c r="D1218" i="3"/>
  <c r="B1216" i="3"/>
  <c r="R1213" i="3" l="1"/>
  <c r="W1213" i="3" s="1"/>
  <c r="H1214" i="3"/>
  <c r="C1218" i="3"/>
  <c r="S1218" i="3"/>
  <c r="AC1218" i="3" s="1"/>
  <c r="E1219" i="3"/>
  <c r="D1219" i="3"/>
  <c r="B1217" i="3"/>
  <c r="B1218" i="3" s="1"/>
  <c r="C1219" i="3" l="1"/>
  <c r="R1214" i="3"/>
  <c r="W1214" i="3" s="1"/>
  <c r="H1215" i="3"/>
  <c r="E1220" i="3"/>
  <c r="D1220" i="3"/>
  <c r="C1220" i="3" s="1"/>
  <c r="S1219" i="3"/>
  <c r="AC1219" i="3" s="1"/>
  <c r="R1215" i="3" l="1"/>
  <c r="W1215" i="3" s="1"/>
  <c r="H1216" i="3"/>
  <c r="S1220" i="3"/>
  <c r="AC1220" i="3" s="1"/>
  <c r="B1219" i="3"/>
  <c r="B1220" i="3" s="1"/>
  <c r="E1221" i="3"/>
  <c r="D1221" i="3"/>
  <c r="R1216" i="3" l="1"/>
  <c r="W1216" i="3" s="1"/>
  <c r="H1217" i="3"/>
  <c r="C1221" i="3"/>
  <c r="S1221" i="3"/>
  <c r="AC1221" i="3" s="1"/>
  <c r="E1222" i="3"/>
  <c r="D1222" i="3"/>
  <c r="B1221" i="3"/>
  <c r="C1222" i="3" l="1"/>
  <c r="R1217" i="3"/>
  <c r="W1217" i="3" s="1"/>
  <c r="H1218" i="3"/>
  <c r="E1223" i="3"/>
  <c r="D1223" i="3"/>
  <c r="S1222" i="3"/>
  <c r="AC1222" i="3" s="1"/>
  <c r="R1218" i="3" l="1"/>
  <c r="W1218" i="3" s="1"/>
  <c r="H1219" i="3"/>
  <c r="C1223" i="3"/>
  <c r="B1222" i="3"/>
  <c r="S1223" i="3"/>
  <c r="AC1223" i="3" s="1"/>
  <c r="E1224" i="3"/>
  <c r="D1224" i="3"/>
  <c r="R1219" i="3" l="1"/>
  <c r="W1219" i="3" s="1"/>
  <c r="H1220" i="3"/>
  <c r="C1224" i="3"/>
  <c r="E1225" i="3"/>
  <c r="D1225" i="3"/>
  <c r="S1224" i="3"/>
  <c r="AC1224" i="3" s="1"/>
  <c r="B1223" i="3"/>
  <c r="R1220" i="3" l="1"/>
  <c r="W1220" i="3" s="1"/>
  <c r="H1221" i="3"/>
  <c r="C1225" i="3"/>
  <c r="S1225" i="3"/>
  <c r="AC1225" i="3" s="1"/>
  <c r="E1226" i="3"/>
  <c r="D1226" i="3"/>
  <c r="C1226" i="3" s="1"/>
  <c r="B1224" i="3"/>
  <c r="R1221" i="3" l="1"/>
  <c r="W1221" i="3" s="1"/>
  <c r="H1222" i="3"/>
  <c r="S1226" i="3"/>
  <c r="AC1226" i="3" s="1"/>
  <c r="E1227" i="3"/>
  <c r="D1227" i="3"/>
  <c r="C1227" i="3" s="1"/>
  <c r="B1225" i="3"/>
  <c r="R1222" i="3" l="1"/>
  <c r="W1222" i="3" s="1"/>
  <c r="H1223" i="3"/>
  <c r="E1228" i="3"/>
  <c r="D1228" i="3"/>
  <c r="C1228" i="3" s="1"/>
  <c r="S1227" i="3"/>
  <c r="AC1227" i="3" s="1"/>
  <c r="B1226" i="3"/>
  <c r="R1223" i="3" l="1"/>
  <c r="W1223" i="3" s="1"/>
  <c r="H1224" i="3"/>
  <c r="B1227" i="3"/>
  <c r="S1228" i="3"/>
  <c r="AC1228" i="3" s="1"/>
  <c r="E1229" i="3"/>
  <c r="D1229" i="3"/>
  <c r="R1224" i="3" l="1"/>
  <c r="W1224" i="3" s="1"/>
  <c r="H1225" i="3"/>
  <c r="C1229" i="3"/>
  <c r="E1230" i="3"/>
  <c r="D1230" i="3"/>
  <c r="S1229" i="3"/>
  <c r="AC1229" i="3" s="1"/>
  <c r="B1228" i="3"/>
  <c r="R1225" i="3" l="1"/>
  <c r="W1225" i="3" s="1"/>
  <c r="H1226" i="3"/>
  <c r="C1230" i="3"/>
  <c r="B1229" i="3"/>
  <c r="S1230" i="3"/>
  <c r="AC1230" i="3" s="1"/>
  <c r="E1231" i="3"/>
  <c r="D1231" i="3"/>
  <c r="R1226" i="3" l="1"/>
  <c r="W1226" i="3" s="1"/>
  <c r="H1227" i="3"/>
  <c r="C1231" i="3"/>
  <c r="E1232" i="3"/>
  <c r="D1232" i="3"/>
  <c r="S1231" i="3"/>
  <c r="AC1231" i="3" s="1"/>
  <c r="B1230" i="3"/>
  <c r="R1227" i="3" l="1"/>
  <c r="W1227" i="3" s="1"/>
  <c r="H1228" i="3"/>
  <c r="C1232" i="3"/>
  <c r="S1232" i="3"/>
  <c r="AC1232" i="3" s="1"/>
  <c r="E1233" i="3"/>
  <c r="D1233" i="3"/>
  <c r="C1233" i="3" s="1"/>
  <c r="B1231" i="3"/>
  <c r="R1228" i="3" l="1"/>
  <c r="W1228" i="3" s="1"/>
  <c r="H1229" i="3"/>
  <c r="S1233" i="3"/>
  <c r="AC1233" i="3" s="1"/>
  <c r="E1234" i="3"/>
  <c r="D1234" i="3"/>
  <c r="C1234" i="3" s="1"/>
  <c r="B1232" i="3"/>
  <c r="R1229" i="3" l="1"/>
  <c r="W1229" i="3" s="1"/>
  <c r="H1230" i="3"/>
  <c r="S1234" i="3"/>
  <c r="AC1234" i="3" s="1"/>
  <c r="E1235" i="3"/>
  <c r="D1235" i="3"/>
  <c r="B1233" i="3"/>
  <c r="B1234" i="3" s="1"/>
  <c r="C1235" i="3" l="1"/>
  <c r="R1230" i="3"/>
  <c r="W1230" i="3" s="1"/>
  <c r="H1231" i="3"/>
  <c r="S1235" i="3"/>
  <c r="AC1235" i="3" s="1"/>
  <c r="E1236" i="3"/>
  <c r="D1236" i="3"/>
  <c r="B1235" i="3"/>
  <c r="R1231" i="3" l="1"/>
  <c r="W1231" i="3" s="1"/>
  <c r="H1232" i="3"/>
  <c r="C1236" i="3"/>
  <c r="S1236" i="3"/>
  <c r="AC1236" i="3" s="1"/>
  <c r="E1237" i="3"/>
  <c r="D1237" i="3"/>
  <c r="C1237" i="3" s="1"/>
  <c r="B1236" i="3"/>
  <c r="R1232" i="3" l="1"/>
  <c r="W1232" i="3" s="1"/>
  <c r="H1233" i="3"/>
  <c r="S1237" i="3"/>
  <c r="AC1237" i="3" s="1"/>
  <c r="E1238" i="3"/>
  <c r="D1238" i="3"/>
  <c r="B1237" i="3"/>
  <c r="H1234" i="3" l="1"/>
  <c r="R1233" i="3"/>
  <c r="W1233" i="3" s="1"/>
  <c r="C1238" i="3"/>
  <c r="B1238" i="3" s="1"/>
  <c r="S1238" i="3"/>
  <c r="AC1238" i="3" s="1"/>
  <c r="E1239" i="3"/>
  <c r="D1239" i="3"/>
  <c r="R1234" i="3" l="1"/>
  <c r="W1234" i="3" s="1"/>
  <c r="H1235" i="3"/>
  <c r="C1239" i="3"/>
  <c r="B1239" i="3" s="1"/>
  <c r="S1239" i="3"/>
  <c r="AC1239" i="3" s="1"/>
  <c r="E1240" i="3"/>
  <c r="D1240" i="3"/>
  <c r="R1235" i="3" l="1"/>
  <c r="W1235" i="3" s="1"/>
  <c r="H1236" i="3"/>
  <c r="C1240" i="3"/>
  <c r="E1241" i="3"/>
  <c r="D1241" i="3"/>
  <c r="S1240" i="3"/>
  <c r="AC1240" i="3" s="1"/>
  <c r="C1241" i="3" l="1"/>
  <c r="R1236" i="3"/>
  <c r="W1236" i="3" s="1"/>
  <c r="H1237" i="3"/>
  <c r="S1241" i="3"/>
  <c r="AC1241" i="3" s="1"/>
  <c r="B1240" i="3"/>
  <c r="E1242" i="3"/>
  <c r="D1242" i="3"/>
  <c r="R1237" i="3" l="1"/>
  <c r="W1237" i="3" s="1"/>
  <c r="H1238" i="3"/>
  <c r="C1242" i="3"/>
  <c r="S1242" i="3"/>
  <c r="AC1242" i="3" s="1"/>
  <c r="B1241" i="3"/>
  <c r="E1243" i="3"/>
  <c r="D1243" i="3"/>
  <c r="H1239" i="3" l="1"/>
  <c r="R1238" i="3"/>
  <c r="W1238" i="3" s="1"/>
  <c r="C1243" i="3"/>
  <c r="E1244" i="3"/>
  <c r="D1244" i="3"/>
  <c r="S1243" i="3"/>
  <c r="AC1243" i="3" s="1"/>
  <c r="B1242" i="3"/>
  <c r="B1243" i="3" s="1"/>
  <c r="C1244" i="3" l="1"/>
  <c r="R1239" i="3"/>
  <c r="W1239" i="3" s="1"/>
  <c r="H1240" i="3"/>
  <c r="S1244" i="3"/>
  <c r="AC1244" i="3" s="1"/>
  <c r="E1245" i="3"/>
  <c r="D1245" i="3"/>
  <c r="C1245" i="3" s="1"/>
  <c r="H1241" i="3" l="1"/>
  <c r="R1240" i="3"/>
  <c r="W1240" i="3" s="1"/>
  <c r="S1245" i="3"/>
  <c r="AC1245" i="3" s="1"/>
  <c r="E1246" i="3"/>
  <c r="D1246" i="3"/>
  <c r="B1244" i="3"/>
  <c r="H1242" i="3" l="1"/>
  <c r="R1241" i="3"/>
  <c r="W1241" i="3" s="1"/>
  <c r="C1246" i="3"/>
  <c r="S1246" i="3"/>
  <c r="AC1246" i="3" s="1"/>
  <c r="E1247" i="3"/>
  <c r="D1247" i="3"/>
  <c r="B1245" i="3"/>
  <c r="R1242" i="3" l="1"/>
  <c r="W1242" i="3" s="1"/>
  <c r="H1243" i="3"/>
  <c r="C1247" i="3"/>
  <c r="S1247" i="3"/>
  <c r="AC1247" i="3" s="1"/>
  <c r="E1248" i="3"/>
  <c r="D1248" i="3"/>
  <c r="B1246" i="3"/>
  <c r="C1248" i="3" l="1"/>
  <c r="R1243" i="3"/>
  <c r="W1243" i="3" s="1"/>
  <c r="H1244" i="3"/>
  <c r="S1248" i="3"/>
  <c r="AC1248" i="3" s="1"/>
  <c r="E1249" i="3"/>
  <c r="D1249" i="3"/>
  <c r="B1247" i="3"/>
  <c r="B1248" i="3" s="1"/>
  <c r="H1245" i="3" l="1"/>
  <c r="R1244" i="3"/>
  <c r="W1244" i="3" s="1"/>
  <c r="C1249" i="3"/>
  <c r="B1249" i="3" s="1"/>
  <c r="S1249" i="3"/>
  <c r="AC1249" i="3" s="1"/>
  <c r="E1250" i="3"/>
  <c r="D1250" i="3"/>
  <c r="R1245" i="3" l="1"/>
  <c r="W1245" i="3" s="1"/>
  <c r="H1246" i="3"/>
  <c r="C1250" i="3"/>
  <c r="S1250" i="3"/>
  <c r="AC1250" i="3" s="1"/>
  <c r="E1251" i="3"/>
  <c r="D1251" i="3"/>
  <c r="B1250" i="3"/>
  <c r="C1251" i="3" l="1"/>
  <c r="R1246" i="3"/>
  <c r="W1246" i="3" s="1"/>
  <c r="H1247" i="3"/>
  <c r="S1251" i="3"/>
  <c r="AC1251" i="3" s="1"/>
  <c r="E1252" i="3"/>
  <c r="D1252" i="3"/>
  <c r="C1252" i="3" s="1"/>
  <c r="B1251" i="3"/>
  <c r="R1247" i="3" l="1"/>
  <c r="W1247" i="3" s="1"/>
  <c r="H1248" i="3"/>
  <c r="S1252" i="3"/>
  <c r="AC1252" i="3" s="1"/>
  <c r="E1253" i="3"/>
  <c r="D1253" i="3"/>
  <c r="B1252" i="3"/>
  <c r="R1248" i="3" l="1"/>
  <c r="W1248" i="3" s="1"/>
  <c r="H1249" i="3"/>
  <c r="C1253" i="3"/>
  <c r="S1253" i="3"/>
  <c r="AC1253" i="3" s="1"/>
  <c r="E1254" i="3"/>
  <c r="D1254" i="3"/>
  <c r="B1253" i="3"/>
  <c r="C1254" i="3" l="1"/>
  <c r="R1249" i="3"/>
  <c r="W1249" i="3" s="1"/>
  <c r="H1250" i="3"/>
  <c r="E1255" i="3"/>
  <c r="D1255" i="3"/>
  <c r="S1254" i="3"/>
  <c r="AC1254" i="3" s="1"/>
  <c r="R1250" i="3" l="1"/>
  <c r="W1250" i="3" s="1"/>
  <c r="H1251" i="3"/>
  <c r="C1255" i="3"/>
  <c r="B1254" i="3"/>
  <c r="S1255" i="3"/>
  <c r="AC1255" i="3" s="1"/>
  <c r="E1256" i="3"/>
  <c r="D1256" i="3"/>
  <c r="R1251" i="3" l="1"/>
  <c r="W1251" i="3" s="1"/>
  <c r="H1252" i="3"/>
  <c r="C1256" i="3"/>
  <c r="E1257" i="3"/>
  <c r="D1257" i="3"/>
  <c r="S1256" i="3"/>
  <c r="AC1256" i="3" s="1"/>
  <c r="B1255" i="3"/>
  <c r="R1252" i="3" l="1"/>
  <c r="W1252" i="3" s="1"/>
  <c r="H1253" i="3"/>
  <c r="C1257" i="3"/>
  <c r="B1256" i="3"/>
  <c r="S1257" i="3"/>
  <c r="AC1257" i="3" s="1"/>
  <c r="E1258" i="3"/>
  <c r="D1258" i="3"/>
  <c r="R1253" i="3" l="1"/>
  <c r="W1253" i="3" s="1"/>
  <c r="H1254" i="3"/>
  <c r="C1258" i="3"/>
  <c r="E1259" i="3"/>
  <c r="D1259" i="3"/>
  <c r="S1258" i="3"/>
  <c r="AC1258" i="3" s="1"/>
  <c r="B1257" i="3"/>
  <c r="C1259" i="3" l="1"/>
  <c r="R1254" i="3"/>
  <c r="W1254" i="3" s="1"/>
  <c r="H1255" i="3"/>
  <c r="S1259" i="3"/>
  <c r="AC1259" i="3" s="1"/>
  <c r="E1260" i="3"/>
  <c r="D1260" i="3"/>
  <c r="B1258" i="3"/>
  <c r="R1255" i="3" l="1"/>
  <c r="W1255" i="3" s="1"/>
  <c r="H1256" i="3"/>
  <c r="C1260" i="3"/>
  <c r="E1261" i="3"/>
  <c r="D1261" i="3"/>
  <c r="S1260" i="3"/>
  <c r="AC1260" i="3" s="1"/>
  <c r="B1259" i="3"/>
  <c r="R1256" i="3" l="1"/>
  <c r="W1256" i="3" s="1"/>
  <c r="H1257" i="3"/>
  <c r="C1261" i="3"/>
  <c r="B1260" i="3"/>
  <c r="S1261" i="3"/>
  <c r="AC1261" i="3" s="1"/>
  <c r="E1262" i="3"/>
  <c r="D1262" i="3"/>
  <c r="R1257" i="3" l="1"/>
  <c r="W1257" i="3" s="1"/>
  <c r="H1258" i="3"/>
  <c r="C1262" i="3"/>
  <c r="S1262" i="3"/>
  <c r="AC1262" i="3" s="1"/>
  <c r="E1263" i="3"/>
  <c r="D1263" i="3"/>
  <c r="C1263" i="3" s="1"/>
  <c r="B1261" i="3"/>
  <c r="B1262" i="3" s="1"/>
  <c r="H1259" i="3" l="1"/>
  <c r="R1258" i="3"/>
  <c r="W1258" i="3" s="1"/>
  <c r="E1264" i="3"/>
  <c r="D1264" i="3"/>
  <c r="C1264" i="3" s="1"/>
  <c r="S1263" i="3"/>
  <c r="AC1263" i="3" s="1"/>
  <c r="R1259" i="3" l="1"/>
  <c r="W1259" i="3" s="1"/>
  <c r="H1260" i="3"/>
  <c r="S1264" i="3"/>
  <c r="AC1264" i="3" s="1"/>
  <c r="B1263" i="3"/>
  <c r="B1264" i="3" s="1"/>
  <c r="E1265" i="3"/>
  <c r="D1265" i="3"/>
  <c r="H1261" i="3" l="1"/>
  <c r="R1260" i="3"/>
  <c r="W1260" i="3" s="1"/>
  <c r="C1265" i="3"/>
  <c r="E1266" i="3"/>
  <c r="D1266" i="3"/>
  <c r="S1265" i="3"/>
  <c r="AC1265" i="3" s="1"/>
  <c r="C1266" i="3" l="1"/>
  <c r="R1261" i="3"/>
  <c r="W1261" i="3" s="1"/>
  <c r="H1262" i="3"/>
  <c r="S1266" i="3"/>
  <c r="AC1266" i="3" s="1"/>
  <c r="B1265" i="3"/>
  <c r="E1267" i="3"/>
  <c r="D1267" i="3"/>
  <c r="R1262" i="3" l="1"/>
  <c r="W1262" i="3" s="1"/>
  <c r="H1263" i="3"/>
  <c r="C1267" i="3"/>
  <c r="E1268" i="3"/>
  <c r="D1268" i="3"/>
  <c r="S1267" i="3"/>
  <c r="AC1267" i="3" s="1"/>
  <c r="B1266" i="3"/>
  <c r="R1263" i="3" l="1"/>
  <c r="W1263" i="3" s="1"/>
  <c r="H1264" i="3"/>
  <c r="C1268" i="3"/>
  <c r="S1268" i="3"/>
  <c r="AC1268" i="3" s="1"/>
  <c r="B1267" i="3"/>
  <c r="E1269" i="3"/>
  <c r="D1269" i="3"/>
  <c r="R1264" i="3" l="1"/>
  <c r="W1264" i="3" s="1"/>
  <c r="H1265" i="3"/>
  <c r="C1269" i="3"/>
  <c r="E1270" i="3"/>
  <c r="D1270" i="3"/>
  <c r="S1269" i="3"/>
  <c r="AC1269" i="3" s="1"/>
  <c r="B1268" i="3"/>
  <c r="H1266" i="3" l="1"/>
  <c r="R1265" i="3"/>
  <c r="W1265" i="3" s="1"/>
  <c r="C1270" i="3"/>
  <c r="S1270" i="3"/>
  <c r="AC1270" i="3" s="1"/>
  <c r="B1269" i="3"/>
  <c r="E1271" i="3"/>
  <c r="D1271" i="3"/>
  <c r="R1266" i="3" l="1"/>
  <c r="W1266" i="3" s="1"/>
  <c r="H1267" i="3"/>
  <c r="C1271" i="3"/>
  <c r="S1271" i="3"/>
  <c r="AC1271" i="3" s="1"/>
  <c r="E1272" i="3"/>
  <c r="D1272" i="3"/>
  <c r="B1270" i="3"/>
  <c r="B1271" i="3" s="1"/>
  <c r="C1272" i="3" l="1"/>
  <c r="R1267" i="3"/>
  <c r="W1267" i="3" s="1"/>
  <c r="H1268" i="3"/>
  <c r="D1273" i="3"/>
  <c r="E1273" i="3"/>
  <c r="S1272" i="3"/>
  <c r="AC1272" i="3" s="1"/>
  <c r="B1272" i="3"/>
  <c r="R1268" i="3" l="1"/>
  <c r="W1268" i="3" s="1"/>
  <c r="H1269" i="3"/>
  <c r="C1273" i="3"/>
  <c r="E1274" i="3"/>
  <c r="D1274" i="3"/>
  <c r="S1273" i="3"/>
  <c r="AC1273" i="3" s="1"/>
  <c r="H1270" i="3" l="1"/>
  <c r="R1269" i="3"/>
  <c r="W1269" i="3" s="1"/>
  <c r="C1274" i="3"/>
  <c r="D1275" i="3"/>
  <c r="E1275" i="3"/>
  <c r="S1274" i="3"/>
  <c r="AC1274" i="3" s="1"/>
  <c r="B1273" i="3"/>
  <c r="R1270" i="3" l="1"/>
  <c r="W1270" i="3" s="1"/>
  <c r="H1271" i="3"/>
  <c r="C1275" i="3"/>
  <c r="E1276" i="3"/>
  <c r="D1276" i="3"/>
  <c r="S1275" i="3"/>
  <c r="AC1275" i="3" s="1"/>
  <c r="B1274" i="3"/>
  <c r="C1276" i="3" l="1"/>
  <c r="R1271" i="3"/>
  <c r="W1271" i="3" s="1"/>
  <c r="H1272" i="3"/>
  <c r="S1276" i="3"/>
  <c r="AC1276" i="3" s="1"/>
  <c r="E1277" i="3"/>
  <c r="D1277" i="3"/>
  <c r="C1277" i="3" s="1"/>
  <c r="B1275" i="3"/>
  <c r="R1272" i="3" l="1"/>
  <c r="W1272" i="3" s="1"/>
  <c r="H1273" i="3"/>
  <c r="E1278" i="3"/>
  <c r="D1278" i="3"/>
  <c r="C1278" i="3" s="1"/>
  <c r="S1277" i="3"/>
  <c r="AC1277" i="3" s="1"/>
  <c r="B1276" i="3"/>
  <c r="R1273" i="3" l="1"/>
  <c r="W1273" i="3" s="1"/>
  <c r="H1274" i="3"/>
  <c r="B1277" i="3"/>
  <c r="S1278" i="3"/>
  <c r="AC1278" i="3" s="1"/>
  <c r="D1279" i="3"/>
  <c r="E1279" i="3"/>
  <c r="R1274" i="3" l="1"/>
  <c r="W1274" i="3" s="1"/>
  <c r="H1275" i="3"/>
  <c r="C1279" i="3"/>
  <c r="S1279" i="3"/>
  <c r="AC1279" i="3" s="1"/>
  <c r="E1280" i="3"/>
  <c r="D1280" i="3"/>
  <c r="B1278" i="3"/>
  <c r="B1279" i="3" s="1"/>
  <c r="C1280" i="3" l="1"/>
  <c r="H1276" i="3"/>
  <c r="R1275" i="3"/>
  <c r="W1275" i="3" s="1"/>
  <c r="S1280" i="3"/>
  <c r="AC1280" i="3" s="1"/>
  <c r="E1281" i="3"/>
  <c r="D1281" i="3"/>
  <c r="B1280" i="3"/>
  <c r="C1281" i="3" l="1"/>
  <c r="R1276" i="3"/>
  <c r="W1276" i="3" s="1"/>
  <c r="H1277" i="3"/>
  <c r="S1281" i="3"/>
  <c r="AC1281" i="3" s="1"/>
  <c r="E1282" i="3"/>
  <c r="D1282" i="3"/>
  <c r="B1281" i="3"/>
  <c r="C1282" i="3" l="1"/>
  <c r="T1282" i="3"/>
  <c r="S1282" i="3" s="1"/>
  <c r="Q1282" i="3"/>
  <c r="R1277" i="3"/>
  <c r="W1277" i="3" s="1"/>
  <c r="H1278" i="3"/>
  <c r="D1283" i="3"/>
  <c r="E1283" i="3"/>
  <c r="B1282" i="3"/>
  <c r="AN1282" i="3" l="1"/>
  <c r="AC1282" i="3" s="1"/>
  <c r="R1278" i="3"/>
  <c r="W1278" i="3" s="1"/>
  <c r="H1279" i="3"/>
  <c r="C1283" i="3"/>
  <c r="B1283" i="3" s="1"/>
  <c r="E1284" i="3"/>
  <c r="D1284" i="3"/>
  <c r="S1283" i="3"/>
  <c r="AC1283" i="3" s="1"/>
  <c r="R1279" i="3" l="1"/>
  <c r="W1279" i="3" s="1"/>
  <c r="H1280" i="3"/>
  <c r="C1284" i="3"/>
  <c r="S1284" i="3"/>
  <c r="AC1284" i="3" s="1"/>
  <c r="D1285" i="3"/>
  <c r="E1285" i="3"/>
  <c r="R1280" i="3" l="1"/>
  <c r="W1280" i="3" s="1"/>
  <c r="H1281" i="3"/>
  <c r="C1285" i="3"/>
  <c r="S1285" i="3"/>
  <c r="AC1285" i="3" s="1"/>
  <c r="E1286" i="3"/>
  <c r="D1286" i="3"/>
  <c r="B1284" i="3"/>
  <c r="B1285" i="3" l="1"/>
  <c r="B1286" i="3" s="1"/>
  <c r="C1286" i="3"/>
  <c r="H1282" i="3"/>
  <c r="R1281" i="3"/>
  <c r="W1281" i="3" s="1"/>
  <c r="S1286" i="3"/>
  <c r="AC1286" i="3" s="1"/>
  <c r="E1287" i="3"/>
  <c r="D1287" i="3"/>
  <c r="C1287" i="3" s="1"/>
  <c r="R1282" i="3" l="1"/>
  <c r="W1282" i="3" s="1"/>
  <c r="H1283" i="3"/>
  <c r="S1287" i="3"/>
  <c r="AC1287" i="3" s="1"/>
  <c r="E1288" i="3"/>
  <c r="D1288" i="3"/>
  <c r="C1288" i="3" s="1"/>
  <c r="B1287" i="3"/>
  <c r="R1283" i="3" l="1"/>
  <c r="W1283" i="3" s="1"/>
  <c r="H1284" i="3"/>
  <c r="S1288" i="3"/>
  <c r="AC1288" i="3" s="1"/>
  <c r="E1289" i="3"/>
  <c r="D1289" i="3"/>
  <c r="B1288" i="3"/>
  <c r="C1289" i="3" l="1"/>
  <c r="R1284" i="3"/>
  <c r="W1284" i="3" s="1"/>
  <c r="H1285" i="3"/>
  <c r="E1290" i="3"/>
  <c r="D1290" i="3"/>
  <c r="C1290" i="3" s="1"/>
  <c r="S1289" i="3"/>
  <c r="AC1289" i="3" s="1"/>
  <c r="R1285" i="3" l="1"/>
  <c r="W1285" i="3" s="1"/>
  <c r="H1286" i="3"/>
  <c r="B1289" i="3"/>
  <c r="S1290" i="3"/>
  <c r="AC1290" i="3" s="1"/>
  <c r="E1291" i="3"/>
  <c r="D1291" i="3"/>
  <c r="R1286" i="3" l="1"/>
  <c r="W1286" i="3" s="1"/>
  <c r="H1287" i="3"/>
  <c r="C1291" i="3"/>
  <c r="E1292" i="3"/>
  <c r="D1292" i="3"/>
  <c r="S1291" i="3"/>
  <c r="AC1291" i="3" s="1"/>
  <c r="B1290" i="3"/>
  <c r="C1292" i="3" l="1"/>
  <c r="H1288" i="3"/>
  <c r="R1287" i="3"/>
  <c r="W1287" i="3" s="1"/>
  <c r="B1291" i="3"/>
  <c r="S1292" i="3"/>
  <c r="AC1292" i="3" s="1"/>
  <c r="E1293" i="3"/>
  <c r="D1293" i="3"/>
  <c r="R1288" i="3" l="1"/>
  <c r="W1288" i="3" s="1"/>
  <c r="H1289" i="3"/>
  <c r="C1293" i="3"/>
  <c r="E1294" i="3"/>
  <c r="D1294" i="3"/>
  <c r="S1293" i="3"/>
  <c r="AC1293" i="3" s="1"/>
  <c r="B1292" i="3"/>
  <c r="H1290" i="3" l="1"/>
  <c r="R1289" i="3"/>
  <c r="W1289" i="3" s="1"/>
  <c r="C1294" i="3"/>
  <c r="S1294" i="3"/>
  <c r="AC1294" i="3" s="1"/>
  <c r="E1295" i="3"/>
  <c r="D1295" i="3"/>
  <c r="B1293" i="3"/>
  <c r="R1290" i="3" l="1"/>
  <c r="W1290" i="3" s="1"/>
  <c r="H1291" i="3"/>
  <c r="C1295" i="3"/>
  <c r="E1296" i="3"/>
  <c r="D1296" i="3"/>
  <c r="S1295" i="3"/>
  <c r="AC1295" i="3" s="1"/>
  <c r="B1294" i="3"/>
  <c r="R1291" i="3" l="1"/>
  <c r="W1291" i="3" s="1"/>
  <c r="H1292" i="3"/>
  <c r="C1296" i="3"/>
  <c r="B1295" i="3"/>
  <c r="S1296" i="3"/>
  <c r="AC1296" i="3" s="1"/>
  <c r="E1297" i="3"/>
  <c r="D1297" i="3"/>
  <c r="C1297" i="3" l="1"/>
  <c r="R1292" i="3"/>
  <c r="W1292" i="3" s="1"/>
  <c r="H1293" i="3"/>
  <c r="S1297" i="3"/>
  <c r="AC1297" i="3" s="1"/>
  <c r="E1298" i="3"/>
  <c r="D1298" i="3"/>
  <c r="C1298" i="3" s="1"/>
  <c r="B1296" i="3"/>
  <c r="R1293" i="3" l="1"/>
  <c r="W1293" i="3" s="1"/>
  <c r="H1294" i="3"/>
  <c r="S1298" i="3"/>
  <c r="AC1298" i="3" s="1"/>
  <c r="E1299" i="3"/>
  <c r="D1299" i="3"/>
  <c r="C1299" i="3" s="1"/>
  <c r="B1297" i="3"/>
  <c r="R1294" i="3" l="1"/>
  <c r="W1294" i="3" s="1"/>
  <c r="H1295" i="3"/>
  <c r="S1299" i="3"/>
  <c r="AC1299" i="3" s="1"/>
  <c r="E1300" i="3"/>
  <c r="D1300" i="3"/>
  <c r="C1300" i="3" s="1"/>
  <c r="B1298" i="3"/>
  <c r="B1299" i="3" s="1"/>
  <c r="R1295" i="3" l="1"/>
  <c r="W1295" i="3" s="1"/>
  <c r="H1296" i="3"/>
  <c r="E1301" i="3"/>
  <c r="D1301" i="3"/>
  <c r="C1301" i="3" s="1"/>
  <c r="S1300" i="3"/>
  <c r="AC1300" i="3" s="1"/>
  <c r="B1300" i="3"/>
  <c r="R1296" i="3" l="1"/>
  <c r="W1296" i="3" s="1"/>
  <c r="H1297" i="3"/>
  <c r="S1301" i="3"/>
  <c r="AC1301" i="3" s="1"/>
  <c r="E1302" i="3"/>
  <c r="D1302" i="3"/>
  <c r="C1302" i="3" s="1"/>
  <c r="R1297" i="3" l="1"/>
  <c r="W1297" i="3" s="1"/>
  <c r="H1298" i="3"/>
  <c r="S1302" i="3"/>
  <c r="AC1302" i="3" s="1"/>
  <c r="E1303" i="3"/>
  <c r="D1303" i="3"/>
  <c r="B1301" i="3"/>
  <c r="C1303" i="3" l="1"/>
  <c r="H1299" i="3"/>
  <c r="R1298" i="3"/>
  <c r="W1298" i="3" s="1"/>
  <c r="E1304" i="3"/>
  <c r="D1304" i="3"/>
  <c r="C1304" i="3" s="1"/>
  <c r="S1303" i="3"/>
  <c r="AC1303" i="3" s="1"/>
  <c r="B1302" i="3"/>
  <c r="R1299" i="3" l="1"/>
  <c r="W1299" i="3" s="1"/>
  <c r="H1300" i="3"/>
  <c r="B1303" i="3"/>
  <c r="S1304" i="3"/>
  <c r="AC1304" i="3" s="1"/>
  <c r="E1305" i="3"/>
  <c r="D1305" i="3"/>
  <c r="C1305" i="3" l="1"/>
  <c r="R1300" i="3"/>
  <c r="W1300" i="3" s="1"/>
  <c r="H1301" i="3"/>
  <c r="E1306" i="3"/>
  <c r="D1306" i="3"/>
  <c r="S1305" i="3"/>
  <c r="AC1305" i="3" s="1"/>
  <c r="B1304" i="3"/>
  <c r="H1302" i="3" l="1"/>
  <c r="R1301" i="3"/>
  <c r="W1301" i="3" s="1"/>
  <c r="C1306" i="3"/>
  <c r="S1306" i="3"/>
  <c r="AC1306" i="3" s="1"/>
  <c r="D1307" i="3"/>
  <c r="E1307" i="3"/>
  <c r="B1305" i="3"/>
  <c r="R1302" i="3" l="1"/>
  <c r="W1302" i="3" s="1"/>
  <c r="H1303" i="3"/>
  <c r="C1307" i="3"/>
  <c r="E1308" i="3"/>
  <c r="D1308" i="3"/>
  <c r="S1307" i="3"/>
  <c r="AC1307" i="3" s="1"/>
  <c r="B1306" i="3"/>
  <c r="R1303" i="3" l="1"/>
  <c r="W1303" i="3" s="1"/>
  <c r="H1304" i="3"/>
  <c r="C1308" i="3"/>
  <c r="S1308" i="3"/>
  <c r="AC1308" i="3" s="1"/>
  <c r="E1309" i="3"/>
  <c r="D1309" i="3"/>
  <c r="B1307" i="3"/>
  <c r="Q1309" i="3" l="1"/>
  <c r="T1309" i="3"/>
  <c r="S1309" i="3" s="1"/>
  <c r="C1309" i="3"/>
  <c r="H1305" i="3"/>
  <c r="R1304" i="3"/>
  <c r="W1304" i="3" s="1"/>
  <c r="E1310" i="3"/>
  <c r="D1310" i="3"/>
  <c r="C1310" i="3" s="1"/>
  <c r="B1308" i="3"/>
  <c r="AN1309" i="3" l="1"/>
  <c r="AC1309" i="3" s="1"/>
  <c r="R1305" i="3"/>
  <c r="W1305" i="3" s="1"/>
  <c r="H1306" i="3"/>
  <c r="B1309" i="3"/>
  <c r="S1310" i="3"/>
  <c r="AC1310" i="3" s="1"/>
  <c r="D1311" i="3"/>
  <c r="E1311" i="3"/>
  <c r="R1306" i="3" l="1"/>
  <c r="W1306" i="3" s="1"/>
  <c r="H1307" i="3"/>
  <c r="C1311" i="3"/>
  <c r="E1312" i="3"/>
  <c r="D1312" i="3"/>
  <c r="S1311" i="3"/>
  <c r="AC1311" i="3" s="1"/>
  <c r="B1310" i="3"/>
  <c r="H1308" i="3" l="1"/>
  <c r="R1307" i="3"/>
  <c r="W1307" i="3" s="1"/>
  <c r="C1312" i="3"/>
  <c r="S1312" i="3"/>
  <c r="AC1312" i="3" s="1"/>
  <c r="D1313" i="3"/>
  <c r="E1313" i="3"/>
  <c r="B1311" i="3"/>
  <c r="R1308" i="3" l="1"/>
  <c r="W1308" i="3" s="1"/>
  <c r="H1309" i="3"/>
  <c r="C1313" i="3"/>
  <c r="S1313" i="3"/>
  <c r="AC1313" i="3" s="1"/>
  <c r="D1314" i="3"/>
  <c r="E1314" i="3"/>
  <c r="B1312" i="3"/>
  <c r="B1313" i="3" s="1"/>
  <c r="R1309" i="3" l="1"/>
  <c r="W1309" i="3" s="1"/>
  <c r="H1310" i="3"/>
  <c r="C1314" i="3"/>
  <c r="D1315" i="3"/>
  <c r="E1315" i="3"/>
  <c r="S1314" i="3"/>
  <c r="AC1314" i="3" s="1"/>
  <c r="R1310" i="3" l="1"/>
  <c r="W1310" i="3" s="1"/>
  <c r="H1311" i="3"/>
  <c r="C1315" i="3"/>
  <c r="D1316" i="3"/>
  <c r="E1316" i="3"/>
  <c r="B1314" i="3"/>
  <c r="S1315" i="3"/>
  <c r="AC1315" i="3" s="1"/>
  <c r="R1311" i="3" l="1"/>
  <c r="W1311" i="3" s="1"/>
  <c r="H1312" i="3"/>
  <c r="C1316" i="3"/>
  <c r="B1315" i="3"/>
  <c r="D1317" i="3"/>
  <c r="E1317" i="3"/>
  <c r="S1316" i="3"/>
  <c r="AC1316" i="3" s="1"/>
  <c r="R1312" i="3" l="1"/>
  <c r="W1312" i="3" s="1"/>
  <c r="H1313" i="3"/>
  <c r="C1317" i="3"/>
  <c r="D1318" i="3"/>
  <c r="E1318" i="3"/>
  <c r="S1317" i="3"/>
  <c r="AC1317" i="3" s="1"/>
  <c r="B1316" i="3"/>
  <c r="R1313" i="3" l="1"/>
  <c r="W1313" i="3" s="1"/>
  <c r="H1314" i="3"/>
  <c r="B1317" i="3"/>
  <c r="C1318" i="3"/>
  <c r="D1319" i="3"/>
  <c r="E1319" i="3"/>
  <c r="S1318" i="3"/>
  <c r="AC1318" i="3" s="1"/>
  <c r="R1314" i="3" l="1"/>
  <c r="W1314" i="3" s="1"/>
  <c r="H1315" i="3"/>
  <c r="C1319" i="3"/>
  <c r="D1320" i="3"/>
  <c r="E1320" i="3"/>
  <c r="S1319" i="3"/>
  <c r="AC1319" i="3" s="1"/>
  <c r="B1318" i="3"/>
  <c r="R1315" i="3" l="1"/>
  <c r="W1315" i="3" s="1"/>
  <c r="H1316" i="3"/>
  <c r="C1320" i="3"/>
  <c r="D1321" i="3"/>
  <c r="E1321" i="3"/>
  <c r="S1320" i="3"/>
  <c r="AC1320" i="3" s="1"/>
  <c r="B1319" i="3"/>
  <c r="R1316" i="3" l="1"/>
  <c r="W1316" i="3" s="1"/>
  <c r="H1317" i="3"/>
  <c r="C1321" i="3"/>
  <c r="E1322" i="3"/>
  <c r="D1322" i="3"/>
  <c r="S1321" i="3"/>
  <c r="AC1321" i="3" s="1"/>
  <c r="B1320" i="3"/>
  <c r="R1317" i="3" l="1"/>
  <c r="W1317" i="3" s="1"/>
  <c r="H1318" i="3"/>
  <c r="C1322" i="3"/>
  <c r="B1321" i="3"/>
  <c r="S1322" i="3"/>
  <c r="AC1322" i="3" s="1"/>
  <c r="E1323" i="3"/>
  <c r="D1323" i="3"/>
  <c r="R1318" i="3" l="1"/>
  <c r="W1318" i="3" s="1"/>
  <c r="H1319" i="3"/>
  <c r="C1323" i="3"/>
  <c r="E1324" i="3"/>
  <c r="D1324" i="3"/>
  <c r="C1324" i="3" s="1"/>
  <c r="S1323" i="3"/>
  <c r="AC1323" i="3" s="1"/>
  <c r="B1322" i="3"/>
  <c r="H1320" i="3" l="1"/>
  <c r="R1319" i="3"/>
  <c r="W1319" i="3" s="1"/>
  <c r="S1324" i="3"/>
  <c r="AC1324" i="3" s="1"/>
  <c r="E1325" i="3"/>
  <c r="D1325" i="3"/>
  <c r="B1323" i="3"/>
  <c r="C1325" i="3" l="1"/>
  <c r="R1320" i="3"/>
  <c r="W1320" i="3" s="1"/>
  <c r="H1321" i="3"/>
  <c r="S1325" i="3"/>
  <c r="AC1325" i="3" s="1"/>
  <c r="E1326" i="3"/>
  <c r="D1326" i="3"/>
  <c r="B1324" i="3"/>
  <c r="R1321" i="3" l="1"/>
  <c r="W1321" i="3" s="1"/>
  <c r="H1322" i="3"/>
  <c r="C1326" i="3"/>
  <c r="S1326" i="3"/>
  <c r="AC1326" i="3" s="1"/>
  <c r="E1327" i="3"/>
  <c r="D1327" i="3"/>
  <c r="C1327" i="3" s="1"/>
  <c r="B1325" i="3"/>
  <c r="R1322" i="3" l="1"/>
  <c r="W1322" i="3" s="1"/>
  <c r="H1323" i="3"/>
  <c r="S1327" i="3"/>
  <c r="AC1327" i="3" s="1"/>
  <c r="E1328" i="3"/>
  <c r="D1328" i="3"/>
  <c r="C1328" i="3" s="1"/>
  <c r="B1326" i="3"/>
  <c r="R1323" i="3" l="1"/>
  <c r="W1323" i="3" s="1"/>
  <c r="H1324" i="3"/>
  <c r="S1328" i="3"/>
  <c r="AC1328" i="3" s="1"/>
  <c r="E1329" i="3"/>
  <c r="D1329" i="3"/>
  <c r="C1329" i="3" s="1"/>
  <c r="B1327" i="3"/>
  <c r="R1324" i="3" l="1"/>
  <c r="W1324" i="3" s="1"/>
  <c r="H1325" i="3"/>
  <c r="S1329" i="3"/>
  <c r="AC1329" i="3" s="1"/>
  <c r="E1330" i="3"/>
  <c r="D1330" i="3"/>
  <c r="B1328" i="3"/>
  <c r="C1330" i="3" l="1"/>
  <c r="R1325" i="3"/>
  <c r="W1325" i="3" s="1"/>
  <c r="H1326" i="3"/>
  <c r="S1330" i="3"/>
  <c r="AC1330" i="3" s="1"/>
  <c r="E1331" i="3"/>
  <c r="D1331" i="3"/>
  <c r="C1331" i="3" s="1"/>
  <c r="B1329" i="3"/>
  <c r="B1330" i="3" s="1"/>
  <c r="R1326" i="3" l="1"/>
  <c r="W1326" i="3" s="1"/>
  <c r="H1327" i="3"/>
  <c r="S1331" i="3"/>
  <c r="AC1331" i="3" s="1"/>
  <c r="E1332" i="3"/>
  <c r="D1332" i="3"/>
  <c r="B1331" i="3"/>
  <c r="R1327" i="3" l="1"/>
  <c r="W1327" i="3" s="1"/>
  <c r="H1328" i="3"/>
  <c r="C1332" i="3"/>
  <c r="B1332" i="3" s="1"/>
  <c r="S1332" i="3"/>
  <c r="AC1332" i="3" s="1"/>
  <c r="E1333" i="3"/>
  <c r="D1333" i="3"/>
  <c r="C1333" i="3" l="1"/>
  <c r="R1328" i="3"/>
  <c r="W1328" i="3" s="1"/>
  <c r="H1329" i="3"/>
  <c r="S1333" i="3"/>
  <c r="AC1333" i="3" s="1"/>
  <c r="E1334" i="3"/>
  <c r="D1334" i="3"/>
  <c r="C1334" i="3" s="1"/>
  <c r="B1333" i="3"/>
  <c r="R1329" i="3" l="1"/>
  <c r="W1329" i="3" s="1"/>
  <c r="H1330" i="3"/>
  <c r="S1334" i="3"/>
  <c r="AC1334" i="3" s="1"/>
  <c r="E1335" i="3"/>
  <c r="D1335" i="3"/>
  <c r="C1335" i="3" s="1"/>
  <c r="B1334" i="3"/>
  <c r="R1330" i="3" l="1"/>
  <c r="W1330" i="3" s="1"/>
  <c r="H1331" i="3"/>
  <c r="E1336" i="3"/>
  <c r="D1336" i="3"/>
  <c r="C1336" i="3" s="1"/>
  <c r="S1335" i="3"/>
  <c r="AC1335" i="3" s="1"/>
  <c r="R1331" i="3" l="1"/>
  <c r="W1331" i="3" s="1"/>
  <c r="H1332" i="3"/>
  <c r="B1335" i="3"/>
  <c r="S1336" i="3"/>
  <c r="AC1336" i="3" s="1"/>
  <c r="E1337" i="3"/>
  <c r="D1337" i="3"/>
  <c r="R1332" i="3" l="1"/>
  <c r="W1332" i="3" s="1"/>
  <c r="H1333" i="3"/>
  <c r="C1337" i="3"/>
  <c r="E1338" i="3"/>
  <c r="D1338" i="3"/>
  <c r="S1337" i="3"/>
  <c r="AC1337" i="3" s="1"/>
  <c r="B1336" i="3"/>
  <c r="R1333" i="3" l="1"/>
  <c r="W1333" i="3" s="1"/>
  <c r="H1334" i="3"/>
  <c r="C1338" i="3"/>
  <c r="S1338" i="3"/>
  <c r="AC1338" i="3" s="1"/>
  <c r="E1339" i="3"/>
  <c r="D1339" i="3"/>
  <c r="B1337" i="3"/>
  <c r="R1334" i="3" l="1"/>
  <c r="W1334" i="3" s="1"/>
  <c r="H1335" i="3"/>
  <c r="C1339" i="3"/>
  <c r="S1339" i="3"/>
  <c r="AC1339" i="3" s="1"/>
  <c r="E1340" i="3"/>
  <c r="D1340" i="3"/>
  <c r="B1338" i="3"/>
  <c r="C1340" i="3" l="1"/>
  <c r="R1335" i="3"/>
  <c r="W1335" i="3" s="1"/>
  <c r="H1336" i="3"/>
  <c r="S1340" i="3"/>
  <c r="AC1340" i="3" s="1"/>
  <c r="E1341" i="3"/>
  <c r="D1341" i="3"/>
  <c r="C1341" i="3" s="1"/>
  <c r="B1339" i="3"/>
  <c r="R1336" i="3" l="1"/>
  <c r="W1336" i="3" s="1"/>
  <c r="H1337" i="3"/>
  <c r="S1341" i="3"/>
  <c r="AC1341" i="3" s="1"/>
  <c r="E1342" i="3"/>
  <c r="D1342" i="3"/>
  <c r="B1340" i="3"/>
  <c r="B1341" i="3" s="1"/>
  <c r="C1342" i="3" l="1"/>
  <c r="R1337" i="3"/>
  <c r="W1337" i="3" s="1"/>
  <c r="H1338" i="3"/>
  <c r="S1342" i="3"/>
  <c r="AC1342" i="3" s="1"/>
  <c r="E1343" i="3"/>
  <c r="D1343" i="3"/>
  <c r="C1343" i="3" s="1"/>
  <c r="B1342" i="3"/>
  <c r="R1338" i="3" l="1"/>
  <c r="W1338" i="3" s="1"/>
  <c r="H1339" i="3"/>
  <c r="S1343" i="3"/>
  <c r="AC1343" i="3" s="1"/>
  <c r="E1344" i="3"/>
  <c r="D1344" i="3"/>
  <c r="C1344" i="3" s="1"/>
  <c r="B1343" i="3"/>
  <c r="R1339" i="3" l="1"/>
  <c r="W1339" i="3" s="1"/>
  <c r="H1340" i="3"/>
  <c r="S1344" i="3"/>
  <c r="AC1344" i="3" s="1"/>
  <c r="E1345" i="3"/>
  <c r="D1345" i="3"/>
  <c r="B1344" i="3"/>
  <c r="C1345" i="3" l="1"/>
  <c r="R1340" i="3"/>
  <c r="W1340" i="3" s="1"/>
  <c r="H1341" i="3"/>
  <c r="S1345" i="3"/>
  <c r="AC1345" i="3" s="1"/>
  <c r="E1346" i="3"/>
  <c r="D1346" i="3"/>
  <c r="C1346" i="3" s="1"/>
  <c r="B1345" i="3"/>
  <c r="R1341" i="3" l="1"/>
  <c r="W1341" i="3" s="1"/>
  <c r="H1342" i="3"/>
  <c r="S1346" i="3"/>
  <c r="AC1346" i="3" s="1"/>
  <c r="E1347" i="3"/>
  <c r="D1347" i="3"/>
  <c r="C1347" i="3" s="1"/>
  <c r="B1346" i="3"/>
  <c r="R1342" i="3" l="1"/>
  <c r="W1342" i="3" s="1"/>
  <c r="H1343" i="3"/>
  <c r="S1347" i="3"/>
  <c r="AC1347" i="3" s="1"/>
  <c r="E1348" i="3"/>
  <c r="D1348" i="3"/>
  <c r="B1347" i="3"/>
  <c r="R1343" i="3" l="1"/>
  <c r="W1343" i="3" s="1"/>
  <c r="H1344" i="3"/>
  <c r="C1348" i="3"/>
  <c r="B1348" i="3" s="1"/>
  <c r="S1348" i="3"/>
  <c r="AC1348" i="3" s="1"/>
  <c r="E1349" i="3"/>
  <c r="D1349" i="3"/>
  <c r="C1349" i="3" l="1"/>
  <c r="R1344" i="3"/>
  <c r="W1344" i="3" s="1"/>
  <c r="H1345" i="3"/>
  <c r="S1349" i="3"/>
  <c r="AC1349" i="3" s="1"/>
  <c r="E1350" i="3"/>
  <c r="D1350" i="3"/>
  <c r="C1350" i="3" s="1"/>
  <c r="B1349" i="3"/>
  <c r="R1345" i="3" l="1"/>
  <c r="W1345" i="3" s="1"/>
  <c r="H1346" i="3"/>
  <c r="S1350" i="3"/>
  <c r="AC1350" i="3" s="1"/>
  <c r="E1351" i="3"/>
  <c r="D1351" i="3"/>
  <c r="B1350" i="3"/>
  <c r="C1351" i="3" l="1"/>
  <c r="R1346" i="3"/>
  <c r="W1346" i="3" s="1"/>
  <c r="H1347" i="3"/>
  <c r="S1351" i="3"/>
  <c r="AC1351" i="3" s="1"/>
  <c r="E1352" i="3"/>
  <c r="D1352" i="3"/>
  <c r="B1351" i="3"/>
  <c r="R1347" i="3" l="1"/>
  <c r="W1347" i="3" s="1"/>
  <c r="H1348" i="3"/>
  <c r="C1352" i="3"/>
  <c r="S1352" i="3"/>
  <c r="AC1352" i="3" s="1"/>
  <c r="E1353" i="3"/>
  <c r="D1353" i="3"/>
  <c r="B1352" i="3"/>
  <c r="C1353" i="3" l="1"/>
  <c r="R1348" i="3"/>
  <c r="W1348" i="3" s="1"/>
  <c r="H1349" i="3"/>
  <c r="S1353" i="3"/>
  <c r="AC1353" i="3" s="1"/>
  <c r="E1354" i="3"/>
  <c r="D1354" i="3"/>
  <c r="C1354" i="3" s="1"/>
  <c r="B1353" i="3"/>
  <c r="R1349" i="3" l="1"/>
  <c r="W1349" i="3" s="1"/>
  <c r="H1350" i="3"/>
  <c r="S1354" i="3"/>
  <c r="AC1354" i="3" s="1"/>
  <c r="B1354" i="3"/>
  <c r="E1355" i="3"/>
  <c r="D1355" i="3"/>
  <c r="R1350" i="3" l="1"/>
  <c r="W1350" i="3" s="1"/>
  <c r="H1351" i="3"/>
  <c r="C1355" i="3"/>
  <c r="B1355" i="3" s="1"/>
  <c r="S1355" i="3"/>
  <c r="AC1355" i="3" s="1"/>
  <c r="E1356" i="3"/>
  <c r="D1356" i="3"/>
  <c r="R1351" i="3" l="1"/>
  <c r="W1351" i="3" s="1"/>
  <c r="H1352" i="3"/>
  <c r="C1356" i="3"/>
  <c r="S1356" i="3"/>
  <c r="AC1356" i="3" s="1"/>
  <c r="E1357" i="3"/>
  <c r="D1357" i="3"/>
  <c r="B1356" i="3"/>
  <c r="C1357" i="3" l="1"/>
  <c r="R1352" i="3"/>
  <c r="W1352" i="3" s="1"/>
  <c r="H1353" i="3"/>
  <c r="E1358" i="3"/>
  <c r="D1358" i="3"/>
  <c r="S1357" i="3"/>
  <c r="AC1357" i="3" s="1"/>
  <c r="B1357" i="3"/>
  <c r="C1358" i="3" l="1"/>
  <c r="R1353" i="3"/>
  <c r="W1353" i="3" s="1"/>
  <c r="H1354" i="3"/>
  <c r="S1358" i="3"/>
  <c r="AC1358" i="3" s="1"/>
  <c r="B1358" i="3"/>
  <c r="E1359" i="3"/>
  <c r="D1359" i="3"/>
  <c r="R1354" i="3" l="1"/>
  <c r="W1354" i="3" s="1"/>
  <c r="H1355" i="3"/>
  <c r="C1359" i="3"/>
  <c r="E1360" i="3"/>
  <c r="D1360" i="3"/>
  <c r="S1359" i="3"/>
  <c r="AC1359" i="3" s="1"/>
  <c r="B1359" i="3"/>
  <c r="C1360" i="3" l="1"/>
  <c r="R1355" i="3"/>
  <c r="W1355" i="3" s="1"/>
  <c r="H1356" i="3"/>
  <c r="S1360" i="3"/>
  <c r="AC1360" i="3" s="1"/>
  <c r="E1361" i="3"/>
  <c r="D1361" i="3"/>
  <c r="R1356" i="3" l="1"/>
  <c r="W1356" i="3" s="1"/>
  <c r="H1357" i="3"/>
  <c r="C1361" i="3"/>
  <c r="S1361" i="3"/>
  <c r="AC1361" i="3" s="1"/>
  <c r="E1362" i="3"/>
  <c r="D1362" i="3"/>
  <c r="B1360" i="3"/>
  <c r="R1357" i="3" l="1"/>
  <c r="W1357" i="3" s="1"/>
  <c r="H1358" i="3"/>
  <c r="C1362" i="3"/>
  <c r="S1362" i="3"/>
  <c r="AC1362" i="3" s="1"/>
  <c r="E1363" i="3"/>
  <c r="D1363" i="3"/>
  <c r="B1361" i="3"/>
  <c r="C1363" i="3" l="1"/>
  <c r="R1358" i="3"/>
  <c r="W1358" i="3" s="1"/>
  <c r="H1359" i="3"/>
  <c r="S1363" i="3"/>
  <c r="AC1363" i="3" s="1"/>
  <c r="E1364" i="3"/>
  <c r="D1364" i="3"/>
  <c r="B1362" i="3"/>
  <c r="B1363" i="3" s="1"/>
  <c r="R1359" i="3" l="1"/>
  <c r="W1359" i="3" s="1"/>
  <c r="H1360" i="3"/>
  <c r="C1364" i="3"/>
  <c r="S1364" i="3"/>
  <c r="AC1364" i="3" s="1"/>
  <c r="E1365" i="3"/>
  <c r="D1365" i="3"/>
  <c r="C1365" i="3" l="1"/>
  <c r="R1360" i="3"/>
  <c r="W1360" i="3" s="1"/>
  <c r="H1361" i="3"/>
  <c r="S1365" i="3"/>
  <c r="AC1365" i="3" s="1"/>
  <c r="E1366" i="3"/>
  <c r="D1366" i="3"/>
  <c r="C1366" i="3" s="1"/>
  <c r="B1364" i="3"/>
  <c r="B1365" i="3" s="1"/>
  <c r="R1361" i="3" l="1"/>
  <c r="W1361" i="3" s="1"/>
  <c r="H1362" i="3"/>
  <c r="E1367" i="3"/>
  <c r="D1367" i="3"/>
  <c r="C1367" i="3" s="1"/>
  <c r="B1366" i="3"/>
  <c r="S1366" i="3"/>
  <c r="AC1366" i="3" s="1"/>
  <c r="R1362" i="3" l="1"/>
  <c r="W1362" i="3" s="1"/>
  <c r="H1363" i="3"/>
  <c r="S1367" i="3"/>
  <c r="AC1367" i="3" s="1"/>
  <c r="B1367" i="3"/>
  <c r="E1368" i="3"/>
  <c r="D1368" i="3"/>
  <c r="R1363" i="3" l="1"/>
  <c r="W1363" i="3" s="1"/>
  <c r="H1364" i="3"/>
  <c r="C1368" i="3"/>
  <c r="E1369" i="3"/>
  <c r="D1369" i="3"/>
  <c r="S1368" i="3"/>
  <c r="AC1368" i="3" s="1"/>
  <c r="C1369" i="3" l="1"/>
  <c r="R1364" i="3"/>
  <c r="W1364" i="3" s="1"/>
  <c r="H1365" i="3"/>
  <c r="B1368" i="3"/>
  <c r="S1369" i="3"/>
  <c r="AC1369" i="3" s="1"/>
  <c r="E1370" i="3"/>
  <c r="D1370" i="3"/>
  <c r="R1365" i="3" l="1"/>
  <c r="W1365" i="3" s="1"/>
  <c r="H1366" i="3"/>
  <c r="C1370" i="3"/>
  <c r="E1371" i="3"/>
  <c r="D1371" i="3"/>
  <c r="S1370" i="3"/>
  <c r="AC1370" i="3" s="1"/>
  <c r="B1369" i="3"/>
  <c r="C1371" i="3" l="1"/>
  <c r="H1367" i="3"/>
  <c r="R1366" i="3"/>
  <c r="W1366" i="3" s="1"/>
  <c r="S1371" i="3"/>
  <c r="AC1371" i="3" s="1"/>
  <c r="E1372" i="3"/>
  <c r="D1372" i="3"/>
  <c r="C1372" i="3" s="1"/>
  <c r="B1370" i="3"/>
  <c r="H1368" i="3" l="1"/>
  <c r="R1367" i="3"/>
  <c r="W1367" i="3" s="1"/>
  <c r="S1372" i="3"/>
  <c r="AC1372" i="3" s="1"/>
  <c r="E1373" i="3"/>
  <c r="D1373" i="3"/>
  <c r="C1373" i="3" s="1"/>
  <c r="B1371" i="3"/>
  <c r="B1372" i="3" s="1"/>
  <c r="R1368" i="3" l="1"/>
  <c r="W1368" i="3" s="1"/>
  <c r="H1369" i="3"/>
  <c r="S1373" i="3"/>
  <c r="AC1373" i="3" s="1"/>
  <c r="E1374" i="3"/>
  <c r="D1374" i="3"/>
  <c r="B1373" i="3"/>
  <c r="C1374" i="3" l="1"/>
  <c r="R1369" i="3"/>
  <c r="W1369" i="3" s="1"/>
  <c r="H1370" i="3"/>
  <c r="S1374" i="3"/>
  <c r="AC1374" i="3" s="1"/>
  <c r="E1375" i="3"/>
  <c r="D1375" i="3"/>
  <c r="B1374" i="3"/>
  <c r="C1375" i="3" l="1"/>
  <c r="R1370" i="3"/>
  <c r="W1370" i="3" s="1"/>
  <c r="H1371" i="3"/>
  <c r="S1375" i="3"/>
  <c r="AC1375" i="3" s="1"/>
  <c r="E1376" i="3"/>
  <c r="D1376" i="3"/>
  <c r="B1375" i="3"/>
  <c r="C1376" i="3" l="1"/>
  <c r="R1371" i="3"/>
  <c r="W1371" i="3" s="1"/>
  <c r="H1372" i="3"/>
  <c r="S1376" i="3"/>
  <c r="AC1376" i="3" s="1"/>
  <c r="E1377" i="3"/>
  <c r="D1377" i="3"/>
  <c r="C1377" i="3" s="1"/>
  <c r="B1376" i="3"/>
  <c r="R1372" i="3" l="1"/>
  <c r="W1372" i="3" s="1"/>
  <c r="H1373" i="3"/>
  <c r="S1377" i="3"/>
  <c r="AC1377" i="3" s="1"/>
  <c r="E1378" i="3"/>
  <c r="D1378" i="3"/>
  <c r="C1378" i="3" s="1"/>
  <c r="B1377" i="3"/>
  <c r="R1373" i="3" l="1"/>
  <c r="W1373" i="3" s="1"/>
  <c r="H1374" i="3"/>
  <c r="S1378" i="3"/>
  <c r="AC1378" i="3" s="1"/>
  <c r="E1379" i="3"/>
  <c r="D1379" i="3"/>
  <c r="B1378" i="3"/>
  <c r="C1379" i="3" l="1"/>
  <c r="R1374" i="3"/>
  <c r="W1374" i="3" s="1"/>
  <c r="H1375" i="3"/>
  <c r="S1379" i="3"/>
  <c r="AC1379" i="3" s="1"/>
  <c r="E1380" i="3"/>
  <c r="D1380" i="3"/>
  <c r="C1380" i="3" s="1"/>
  <c r="B1379" i="3"/>
  <c r="R1375" i="3" l="1"/>
  <c r="W1375" i="3" s="1"/>
  <c r="H1376" i="3"/>
  <c r="S1380" i="3"/>
  <c r="AC1380" i="3" s="1"/>
  <c r="E1381" i="3"/>
  <c r="D1381" i="3"/>
  <c r="C1381" i="3" s="1"/>
  <c r="B1380" i="3"/>
  <c r="R1376" i="3" l="1"/>
  <c r="W1376" i="3" s="1"/>
  <c r="H1377" i="3"/>
  <c r="S1381" i="3"/>
  <c r="AC1381" i="3" s="1"/>
  <c r="E1382" i="3"/>
  <c r="D1382" i="3"/>
  <c r="C1382" i="3" s="1"/>
  <c r="B1381" i="3"/>
  <c r="R1377" i="3" l="1"/>
  <c r="W1377" i="3" s="1"/>
  <c r="H1378" i="3"/>
  <c r="S1382" i="3"/>
  <c r="AC1382" i="3" s="1"/>
  <c r="E1383" i="3"/>
  <c r="D1383" i="3"/>
  <c r="C1383" i="3" s="1"/>
  <c r="B1382" i="3"/>
  <c r="R1378" i="3" l="1"/>
  <c r="W1378" i="3" s="1"/>
  <c r="H1379" i="3"/>
  <c r="S1383" i="3"/>
  <c r="AC1383" i="3" s="1"/>
  <c r="E1384" i="3"/>
  <c r="D1384" i="3"/>
  <c r="C1384" i="3" s="1"/>
  <c r="B1383" i="3"/>
  <c r="H1380" i="3" l="1"/>
  <c r="R1379" i="3"/>
  <c r="W1379" i="3" s="1"/>
  <c r="S1384" i="3"/>
  <c r="AC1384" i="3" s="1"/>
  <c r="E1385" i="3"/>
  <c r="D1385" i="3"/>
  <c r="C1385" i="3" s="1"/>
  <c r="B1384" i="3"/>
  <c r="R1380" i="3" l="1"/>
  <c r="W1380" i="3" s="1"/>
  <c r="H1381" i="3"/>
  <c r="S1385" i="3"/>
  <c r="AC1385" i="3" s="1"/>
  <c r="E1386" i="3"/>
  <c r="D1386" i="3"/>
  <c r="B1385" i="3"/>
  <c r="R1381" i="3" l="1"/>
  <c r="W1381" i="3" s="1"/>
  <c r="H1382" i="3"/>
  <c r="C1386" i="3"/>
  <c r="E1387" i="3"/>
  <c r="D1387" i="3"/>
  <c r="S1386" i="3"/>
  <c r="AC1386" i="3" s="1"/>
  <c r="R1382" i="3" l="1"/>
  <c r="W1382" i="3" s="1"/>
  <c r="H1383" i="3"/>
  <c r="C1387" i="3"/>
  <c r="S1387" i="3"/>
  <c r="AC1387" i="3" s="1"/>
  <c r="E1388" i="3"/>
  <c r="D1388" i="3"/>
  <c r="B1386" i="3"/>
  <c r="B1387" i="3" s="1"/>
  <c r="C1388" i="3" l="1"/>
  <c r="R1383" i="3"/>
  <c r="W1383" i="3" s="1"/>
  <c r="H1384" i="3"/>
  <c r="S1388" i="3"/>
  <c r="AC1388" i="3" s="1"/>
  <c r="E1389" i="3"/>
  <c r="D1389" i="3"/>
  <c r="C1389" i="3" s="1"/>
  <c r="B1388" i="3"/>
  <c r="R1384" i="3" l="1"/>
  <c r="W1384" i="3" s="1"/>
  <c r="H1385" i="3"/>
  <c r="S1389" i="3"/>
  <c r="AC1389" i="3" s="1"/>
  <c r="D1390" i="3"/>
  <c r="E1390" i="3"/>
  <c r="B1389" i="3"/>
  <c r="R1385" i="3" l="1"/>
  <c r="W1385" i="3" s="1"/>
  <c r="H1386" i="3"/>
  <c r="C1390" i="3"/>
  <c r="B1390" i="3" s="1"/>
  <c r="E1391" i="3"/>
  <c r="D1391" i="3"/>
  <c r="S1390" i="3"/>
  <c r="AC1390" i="3" s="1"/>
  <c r="H1387" i="3" l="1"/>
  <c r="R1386" i="3"/>
  <c r="W1386" i="3" s="1"/>
  <c r="C1391" i="3"/>
  <c r="S1391" i="3"/>
  <c r="AC1391" i="3" s="1"/>
  <c r="E1392" i="3"/>
  <c r="D1392" i="3"/>
  <c r="H1388" i="3" l="1"/>
  <c r="R1387" i="3"/>
  <c r="W1387" i="3" s="1"/>
  <c r="C1392" i="3"/>
  <c r="S1392" i="3"/>
  <c r="AC1392" i="3" s="1"/>
  <c r="E1393" i="3"/>
  <c r="D1393" i="3"/>
  <c r="C1393" i="3" s="1"/>
  <c r="B1391" i="3"/>
  <c r="R1388" i="3" l="1"/>
  <c r="W1388" i="3" s="1"/>
  <c r="H1389" i="3"/>
  <c r="S1393" i="3"/>
  <c r="AC1393" i="3" s="1"/>
  <c r="E1394" i="3"/>
  <c r="D1394" i="3"/>
  <c r="B1392" i="3"/>
  <c r="R1389" i="3" l="1"/>
  <c r="W1389" i="3" s="1"/>
  <c r="H1390" i="3"/>
  <c r="C1394" i="3"/>
  <c r="S1394" i="3"/>
  <c r="AC1394" i="3" s="1"/>
  <c r="E1395" i="3"/>
  <c r="D1395" i="3"/>
  <c r="B1393" i="3"/>
  <c r="R1390" i="3" l="1"/>
  <c r="W1390" i="3" s="1"/>
  <c r="H1391" i="3"/>
  <c r="C1395" i="3"/>
  <c r="S1395" i="3"/>
  <c r="AC1395" i="3" s="1"/>
  <c r="E1396" i="3"/>
  <c r="D1396" i="3"/>
  <c r="B1394" i="3"/>
  <c r="B1395" i="3" s="1"/>
  <c r="C1396" i="3" l="1"/>
  <c r="R1391" i="3"/>
  <c r="W1391" i="3" s="1"/>
  <c r="H1392" i="3"/>
  <c r="E1397" i="3"/>
  <c r="D1397" i="3"/>
  <c r="C1397" i="3" s="1"/>
  <c r="S1396" i="3"/>
  <c r="AC1396" i="3" s="1"/>
  <c r="B1396" i="3"/>
  <c r="H1393" i="3" l="1"/>
  <c r="R1392" i="3"/>
  <c r="W1392" i="3" s="1"/>
  <c r="S1397" i="3"/>
  <c r="AC1397" i="3" s="1"/>
  <c r="E1398" i="3"/>
  <c r="D1398" i="3"/>
  <c r="R1393" i="3" l="1"/>
  <c r="W1393" i="3" s="1"/>
  <c r="H1394" i="3"/>
  <c r="C1398" i="3"/>
  <c r="S1398" i="3"/>
  <c r="AC1398" i="3" s="1"/>
  <c r="E1399" i="3"/>
  <c r="D1399" i="3"/>
  <c r="B1397" i="3"/>
  <c r="C1399" i="3" l="1"/>
  <c r="R1394" i="3"/>
  <c r="W1394" i="3" s="1"/>
  <c r="H1395" i="3"/>
  <c r="S1399" i="3"/>
  <c r="AC1399" i="3" s="1"/>
  <c r="B1398" i="3"/>
  <c r="E1400" i="3"/>
  <c r="D1400" i="3"/>
  <c r="R1395" i="3" l="1"/>
  <c r="W1395" i="3" s="1"/>
  <c r="H1396" i="3"/>
  <c r="C1400" i="3"/>
  <c r="S1400" i="3"/>
  <c r="AC1400" i="3" s="1"/>
  <c r="E1401" i="3"/>
  <c r="D1401" i="3"/>
  <c r="B1399" i="3"/>
  <c r="C1401" i="3" l="1"/>
  <c r="R1396" i="3"/>
  <c r="W1396" i="3" s="1"/>
  <c r="H1397" i="3"/>
  <c r="E1402" i="3"/>
  <c r="D1402" i="3"/>
  <c r="C1402" i="3" s="1"/>
  <c r="S1401" i="3"/>
  <c r="AC1401" i="3" s="1"/>
  <c r="B1400" i="3"/>
  <c r="R1397" i="3" l="1"/>
  <c r="W1397" i="3" s="1"/>
  <c r="H1398" i="3"/>
  <c r="B1401" i="3"/>
  <c r="S1402" i="3"/>
  <c r="AC1402" i="3" s="1"/>
  <c r="E1403" i="3"/>
  <c r="D1403" i="3"/>
  <c r="C1403" i="3" s="1"/>
  <c r="R1398" i="3" l="1"/>
  <c r="W1398" i="3" s="1"/>
  <c r="H1399" i="3"/>
  <c r="S1403" i="3"/>
  <c r="AC1403" i="3" s="1"/>
  <c r="E1404" i="3"/>
  <c r="D1404" i="3"/>
  <c r="B1402" i="3"/>
  <c r="R1399" i="3" l="1"/>
  <c r="W1399" i="3" s="1"/>
  <c r="H1400" i="3"/>
  <c r="C1404" i="3"/>
  <c r="S1404" i="3"/>
  <c r="AC1404" i="3" s="1"/>
  <c r="E1405" i="3"/>
  <c r="D1405" i="3"/>
  <c r="B1403" i="3"/>
  <c r="R1400" i="3" l="1"/>
  <c r="W1400" i="3" s="1"/>
  <c r="H1401" i="3"/>
  <c r="C1405" i="3"/>
  <c r="S1405" i="3"/>
  <c r="AC1405" i="3" s="1"/>
  <c r="E1406" i="3"/>
  <c r="D1406" i="3"/>
  <c r="B1404" i="3"/>
  <c r="B1405" i="3" s="1"/>
  <c r="R1401" i="3" l="1"/>
  <c r="W1401" i="3" s="1"/>
  <c r="H1402" i="3"/>
  <c r="C1406" i="3"/>
  <c r="S1406" i="3"/>
  <c r="AC1406" i="3" s="1"/>
  <c r="E1407" i="3"/>
  <c r="D1407" i="3"/>
  <c r="C1407" i="3" s="1"/>
  <c r="B1406" i="3"/>
  <c r="R1402" i="3" l="1"/>
  <c r="W1402" i="3" s="1"/>
  <c r="H1403" i="3"/>
  <c r="S1407" i="3"/>
  <c r="AC1407" i="3" s="1"/>
  <c r="E1408" i="3"/>
  <c r="D1408" i="3"/>
  <c r="B1407" i="3"/>
  <c r="R1403" i="3" l="1"/>
  <c r="W1403" i="3" s="1"/>
  <c r="H1404" i="3"/>
  <c r="C1408" i="3"/>
  <c r="S1408" i="3"/>
  <c r="AC1408" i="3" s="1"/>
  <c r="E1409" i="3"/>
  <c r="D1409" i="3"/>
  <c r="C1409" i="3" s="1"/>
  <c r="B1408" i="3"/>
  <c r="R1404" i="3" l="1"/>
  <c r="W1404" i="3" s="1"/>
  <c r="H1405" i="3"/>
  <c r="E1410" i="3"/>
  <c r="D1410" i="3"/>
  <c r="C1410" i="3" s="1"/>
  <c r="S1409" i="3"/>
  <c r="AC1409" i="3" s="1"/>
  <c r="R1405" i="3" l="1"/>
  <c r="W1405" i="3" s="1"/>
  <c r="H1406" i="3"/>
  <c r="B1409" i="3"/>
  <c r="S1410" i="3"/>
  <c r="AC1410" i="3" s="1"/>
  <c r="E1411" i="3"/>
  <c r="D1411" i="3"/>
  <c r="R1406" i="3" l="1"/>
  <c r="W1406" i="3" s="1"/>
  <c r="H1407" i="3"/>
  <c r="C1411" i="3"/>
  <c r="E1412" i="3"/>
  <c r="D1412" i="3"/>
  <c r="S1411" i="3"/>
  <c r="AC1411" i="3" s="1"/>
  <c r="B1410" i="3"/>
  <c r="R1407" i="3" l="1"/>
  <c r="W1407" i="3" s="1"/>
  <c r="H1408" i="3"/>
  <c r="C1412" i="3"/>
  <c r="S1412" i="3"/>
  <c r="AC1412" i="3" s="1"/>
  <c r="E1413" i="3"/>
  <c r="D1413" i="3"/>
  <c r="B1411" i="3"/>
  <c r="Q1413" i="3" l="1"/>
  <c r="T1413" i="3"/>
  <c r="S1413" i="3" s="1"/>
  <c r="R1408" i="3"/>
  <c r="W1408" i="3" s="1"/>
  <c r="H1409" i="3"/>
  <c r="C1413" i="3"/>
  <c r="E1414" i="3"/>
  <c r="D1414" i="3"/>
  <c r="B1412" i="3"/>
  <c r="AH1413" i="3" l="1"/>
  <c r="AC1413" i="3" s="1"/>
  <c r="T1414" i="3"/>
  <c r="S1414" i="3" s="1"/>
  <c r="AC1414" i="3" s="1"/>
  <c r="Q1414" i="3"/>
  <c r="R1409" i="3"/>
  <c r="W1409" i="3" s="1"/>
  <c r="H1410" i="3"/>
  <c r="C1414" i="3"/>
  <c r="B1413" i="3"/>
  <c r="E1415" i="3"/>
  <c r="D1415" i="3"/>
  <c r="T1415" i="3" l="1"/>
  <c r="Q1415" i="3"/>
  <c r="H1411" i="3"/>
  <c r="R1410" i="3"/>
  <c r="W1410" i="3" s="1"/>
  <c r="C1415" i="3"/>
  <c r="E1416" i="3"/>
  <c r="D1416" i="3"/>
  <c r="S1415" i="3"/>
  <c r="AC1415" i="3" s="1"/>
  <c r="B1414" i="3"/>
  <c r="C1416" i="3" l="1"/>
  <c r="R1411" i="3"/>
  <c r="W1411" i="3" s="1"/>
  <c r="H1412" i="3"/>
  <c r="AC1416" i="3"/>
  <c r="E1417" i="3"/>
  <c r="D1417" i="3"/>
  <c r="B1415" i="3"/>
  <c r="R1412" i="3" l="1"/>
  <c r="W1412" i="3" s="1"/>
  <c r="H1413" i="3"/>
  <c r="C1417" i="3"/>
  <c r="S1417" i="3"/>
  <c r="AC1417" i="3" s="1"/>
  <c r="E1418" i="3"/>
  <c r="D1418" i="3"/>
  <c r="C1418" i="3" s="1"/>
  <c r="B1416" i="3"/>
  <c r="R1413" i="3" l="1"/>
  <c r="W1413" i="3" s="1"/>
  <c r="H1414" i="3"/>
  <c r="S1418" i="3"/>
  <c r="AC1418" i="3" s="1"/>
  <c r="E1419" i="3"/>
  <c r="D1419" i="3"/>
  <c r="C1419" i="3" s="1"/>
  <c r="B1417" i="3"/>
  <c r="B1418" i="3" s="1"/>
  <c r="R1414" i="3" l="1"/>
  <c r="W1414" i="3" s="1"/>
  <c r="H1415" i="3"/>
  <c r="S1419" i="3"/>
  <c r="AC1419" i="3" s="1"/>
  <c r="E1420" i="3"/>
  <c r="D1420" i="3"/>
  <c r="R1415" i="3" l="1"/>
  <c r="W1415" i="3" s="1"/>
  <c r="H1416" i="3"/>
  <c r="C1420" i="3"/>
  <c r="E1421" i="3"/>
  <c r="D1421" i="3"/>
  <c r="S1420" i="3"/>
  <c r="AC1420" i="3" s="1"/>
  <c r="B1419" i="3"/>
  <c r="R1416" i="3" l="1"/>
  <c r="W1416" i="3" s="1"/>
  <c r="H1417" i="3"/>
  <c r="C1421" i="3"/>
  <c r="B1420" i="3"/>
  <c r="S1421" i="3"/>
  <c r="AC1421" i="3" s="1"/>
  <c r="E1422" i="3"/>
  <c r="D1422" i="3"/>
  <c r="R1417" i="3" l="1"/>
  <c r="W1417" i="3" s="1"/>
  <c r="H1418" i="3"/>
  <c r="C1422" i="3"/>
  <c r="E1423" i="3"/>
  <c r="D1423" i="3"/>
  <c r="S1422" i="3"/>
  <c r="AC1422" i="3" s="1"/>
  <c r="B1421" i="3"/>
  <c r="R1418" i="3" l="1"/>
  <c r="W1418" i="3" s="1"/>
  <c r="H1419" i="3"/>
  <c r="C1423" i="3"/>
  <c r="B1422" i="3"/>
  <c r="S1423" i="3"/>
  <c r="AC1423" i="3" s="1"/>
  <c r="E1424" i="3"/>
  <c r="D1424" i="3"/>
  <c r="R1419" i="3" l="1"/>
  <c r="W1419" i="3" s="1"/>
  <c r="H1420" i="3"/>
  <c r="C1424" i="3"/>
  <c r="E1425" i="3"/>
  <c r="D1425" i="3"/>
  <c r="C1425" i="3" s="1"/>
  <c r="S1424" i="3"/>
  <c r="AC1424" i="3" s="1"/>
  <c r="B1423" i="3"/>
  <c r="R1420" i="3" l="1"/>
  <c r="W1420" i="3" s="1"/>
  <c r="H1421" i="3"/>
  <c r="S1425" i="3"/>
  <c r="AC1425" i="3" s="1"/>
  <c r="E1426" i="3"/>
  <c r="D1426" i="3"/>
  <c r="B1424" i="3"/>
  <c r="T1426" i="3" l="1"/>
  <c r="S1426" i="3" s="1"/>
  <c r="Q1426" i="3"/>
  <c r="R1421" i="3"/>
  <c r="W1421" i="3" s="1"/>
  <c r="H1422" i="3"/>
  <c r="C1426" i="3"/>
  <c r="E1427" i="3"/>
  <c r="D1427" i="3"/>
  <c r="B1425" i="3"/>
  <c r="AH1426" i="3" l="1"/>
  <c r="AC1426" i="3" s="1"/>
  <c r="R1422" i="3"/>
  <c r="W1422" i="3" s="1"/>
  <c r="H1423" i="3"/>
  <c r="C1427" i="3"/>
  <c r="S1427" i="3"/>
  <c r="AC1427" i="3" s="1"/>
  <c r="E1428" i="3"/>
  <c r="D1428" i="3"/>
  <c r="B1426" i="3"/>
  <c r="B1427" i="3" l="1"/>
  <c r="C1428" i="3"/>
  <c r="R1423" i="3"/>
  <c r="W1423" i="3" s="1"/>
  <c r="H1424" i="3"/>
  <c r="S1428" i="3"/>
  <c r="AC1428" i="3" s="1"/>
  <c r="E1429" i="3"/>
  <c r="D1429" i="3"/>
  <c r="B1428" i="3"/>
  <c r="R1424" i="3" l="1"/>
  <c r="W1424" i="3" s="1"/>
  <c r="H1425" i="3"/>
  <c r="C1429" i="3"/>
  <c r="E1430" i="3"/>
  <c r="D1430" i="3"/>
  <c r="S1429" i="3"/>
  <c r="AC1429" i="3" s="1"/>
  <c r="C1430" i="3" l="1"/>
  <c r="R1425" i="3"/>
  <c r="W1425" i="3" s="1"/>
  <c r="H1426" i="3"/>
  <c r="B1429" i="3"/>
  <c r="S1430" i="3"/>
  <c r="AC1430" i="3" s="1"/>
  <c r="E1431" i="3"/>
  <c r="D1431" i="3"/>
  <c r="R1426" i="3" l="1"/>
  <c r="W1426" i="3" s="1"/>
  <c r="H1427" i="3"/>
  <c r="C1431" i="3"/>
  <c r="E1432" i="3"/>
  <c r="D1432" i="3"/>
  <c r="S1431" i="3"/>
  <c r="AC1431" i="3" s="1"/>
  <c r="B1430" i="3"/>
  <c r="R1427" i="3" l="1"/>
  <c r="W1427" i="3" s="1"/>
  <c r="H1428" i="3"/>
  <c r="C1432" i="3"/>
  <c r="S1432" i="3"/>
  <c r="AC1432" i="3" s="1"/>
  <c r="E1433" i="3"/>
  <c r="D1433" i="3"/>
  <c r="B1431" i="3"/>
  <c r="R1428" i="3" l="1"/>
  <c r="W1428" i="3" s="1"/>
  <c r="H1429" i="3"/>
  <c r="C1433" i="3"/>
  <c r="S1433" i="3"/>
  <c r="AC1433" i="3" s="1"/>
  <c r="E1434" i="3"/>
  <c r="D1434" i="3"/>
  <c r="C1434" i="3" s="1"/>
  <c r="B1432" i="3"/>
  <c r="R1429" i="3" l="1"/>
  <c r="W1429" i="3" s="1"/>
  <c r="H1430" i="3"/>
  <c r="S1434" i="3"/>
  <c r="AC1434" i="3" s="1"/>
  <c r="E1435" i="3"/>
  <c r="D1435" i="3"/>
  <c r="B1433" i="3"/>
  <c r="R1430" i="3" l="1"/>
  <c r="W1430" i="3" s="1"/>
  <c r="H1431" i="3"/>
  <c r="C1435" i="3"/>
  <c r="S1435" i="3"/>
  <c r="AC1435" i="3" s="1"/>
  <c r="E1436" i="3"/>
  <c r="D1436" i="3"/>
  <c r="B1434" i="3"/>
  <c r="R1431" i="3" l="1"/>
  <c r="W1431" i="3" s="1"/>
  <c r="H1432" i="3"/>
  <c r="C1436" i="3"/>
  <c r="S1436" i="3"/>
  <c r="AC1436" i="3" s="1"/>
  <c r="E1437" i="3"/>
  <c r="D1437" i="3"/>
  <c r="B1435" i="3"/>
  <c r="C1437" i="3" l="1"/>
  <c r="R1432" i="3"/>
  <c r="W1432" i="3" s="1"/>
  <c r="H1433" i="3"/>
  <c r="E1438" i="3"/>
  <c r="D1438" i="3"/>
  <c r="C1438" i="3" s="1"/>
  <c r="S1437" i="3"/>
  <c r="AC1437" i="3" s="1"/>
  <c r="B1436" i="3"/>
  <c r="R1433" i="3" l="1"/>
  <c r="W1433" i="3" s="1"/>
  <c r="H1434" i="3"/>
  <c r="S1438" i="3"/>
  <c r="AC1438" i="3" s="1"/>
  <c r="B1437" i="3"/>
  <c r="E1439" i="3"/>
  <c r="D1439" i="3"/>
  <c r="T1439" i="3" l="1"/>
  <c r="S1439" i="3" s="1"/>
  <c r="AC1439" i="3" s="1"/>
  <c r="Q1439" i="3"/>
  <c r="R1434" i="3"/>
  <c r="W1434" i="3" s="1"/>
  <c r="H1435" i="3"/>
  <c r="C1439" i="3"/>
  <c r="E1440" i="3"/>
  <c r="D1440" i="3"/>
  <c r="B1438" i="3"/>
  <c r="C1440" i="3" l="1"/>
  <c r="R1435" i="3"/>
  <c r="W1435" i="3" s="1"/>
  <c r="H1436" i="3"/>
  <c r="B1439" i="3"/>
  <c r="S1440" i="3"/>
  <c r="AC1440" i="3" s="1"/>
  <c r="E1441" i="3"/>
  <c r="D1441" i="3"/>
  <c r="C1441" i="3" s="1"/>
  <c r="H1437" i="3" l="1"/>
  <c r="R1436" i="3"/>
  <c r="W1436" i="3" s="1"/>
  <c r="S1441" i="3"/>
  <c r="AC1441" i="3" s="1"/>
  <c r="E1442" i="3"/>
  <c r="D1442" i="3"/>
  <c r="B1440" i="3"/>
  <c r="D1443" i="3" l="1"/>
  <c r="E1443" i="3"/>
  <c r="H1438" i="3"/>
  <c r="R1437" i="3"/>
  <c r="W1437" i="3" s="1"/>
  <c r="C1442" i="3"/>
  <c r="S1442" i="3"/>
  <c r="AC1442" i="3" s="1"/>
  <c r="B1441" i="3"/>
  <c r="B1442" i="3" s="1"/>
  <c r="E1444" i="3" l="1"/>
  <c r="D1444" i="3"/>
  <c r="C1443" i="3"/>
  <c r="B1443" i="3" s="1"/>
  <c r="S1443" i="3"/>
  <c r="AC1443" i="3" s="1"/>
  <c r="R1438" i="3"/>
  <c r="W1438" i="3" s="1"/>
  <c r="H1439" i="3"/>
  <c r="C1444" i="3" l="1"/>
  <c r="S1444" i="3"/>
  <c r="AC1444" i="3" s="1"/>
  <c r="E1445" i="3"/>
  <c r="D1445" i="3"/>
  <c r="R1439" i="3"/>
  <c r="W1439" i="3" s="1"/>
  <c r="H1440" i="3"/>
  <c r="S1445" i="3" l="1"/>
  <c r="AC1445" i="3" s="1"/>
  <c r="C1445" i="3"/>
  <c r="E1446" i="3"/>
  <c r="E1447" i="3" s="1"/>
  <c r="D1446" i="3"/>
  <c r="B1444" i="3"/>
  <c r="R1440" i="3"/>
  <c r="W1440" i="3" s="1"/>
  <c r="H1441" i="3"/>
  <c r="B1445" i="3" l="1"/>
  <c r="D1447" i="3"/>
  <c r="C1446" i="3"/>
  <c r="B1446" i="3" s="1"/>
  <c r="S1446" i="3"/>
  <c r="AC1446" i="3" s="1"/>
  <c r="D1448" i="3"/>
  <c r="E1448" i="3"/>
  <c r="R1441" i="3"/>
  <c r="W1441" i="3" s="1"/>
  <c r="H1442" i="3"/>
  <c r="S1448" i="3" l="1"/>
  <c r="AC1448" i="3" s="1"/>
  <c r="E1449" i="3"/>
  <c r="D1449" i="3"/>
  <c r="S1447" i="3"/>
  <c r="AC1447" i="3" s="1"/>
  <c r="C1447" i="3"/>
  <c r="R1442" i="3"/>
  <c r="W1442" i="3" s="1"/>
  <c r="H1443" i="3"/>
  <c r="S1449" i="3" l="1"/>
  <c r="AC1449" i="3" s="1"/>
  <c r="D1450" i="3"/>
  <c r="E1450" i="3"/>
  <c r="C1448" i="3"/>
  <c r="B1447" i="3"/>
  <c r="R1443" i="3"/>
  <c r="W1443" i="3" s="1"/>
  <c r="H1444" i="3"/>
  <c r="D1451" i="3" l="1"/>
  <c r="E1451" i="3"/>
  <c r="S1450" i="3"/>
  <c r="AC1450" i="3" s="1"/>
  <c r="C1449" i="3"/>
  <c r="B1448" i="3"/>
  <c r="H1445" i="3"/>
  <c r="R1444" i="3"/>
  <c r="W1444" i="3" s="1"/>
  <c r="D1452" i="3" l="1"/>
  <c r="E1452" i="3"/>
  <c r="C1450" i="3"/>
  <c r="S1451" i="3"/>
  <c r="AC1451" i="3" s="1"/>
  <c r="C1451" i="3"/>
  <c r="B1449" i="3"/>
  <c r="H1446" i="3"/>
  <c r="R1445" i="3"/>
  <c r="W1445" i="3" s="1"/>
  <c r="B1450" i="3" l="1"/>
  <c r="B1451" i="3" s="1"/>
  <c r="D1453" i="3"/>
  <c r="E1453" i="3"/>
  <c r="S1452" i="3"/>
  <c r="AC1452" i="3" s="1"/>
  <c r="C1452" i="3"/>
  <c r="H1447" i="3"/>
  <c r="R1446" i="3"/>
  <c r="W1446" i="3" s="1"/>
  <c r="B1452" i="3" l="1"/>
  <c r="C1453" i="3"/>
  <c r="S1453" i="3"/>
  <c r="AC1453" i="3" s="1"/>
  <c r="E1454" i="3"/>
  <c r="D1454" i="3"/>
  <c r="R1447" i="3"/>
  <c r="W1447" i="3" s="1"/>
  <c r="H1448" i="3"/>
  <c r="Q1454" i="3" l="1"/>
  <c r="T1454" i="3"/>
  <c r="S1454" i="3" s="1"/>
  <c r="AC1454" i="3" s="1"/>
  <c r="C1454" i="3"/>
  <c r="D1455" i="3"/>
  <c r="E1455" i="3"/>
  <c r="B1453" i="3"/>
  <c r="B1454" i="3" s="1"/>
  <c r="R1448" i="3"/>
  <c r="W1448" i="3" s="1"/>
  <c r="H1449" i="3"/>
  <c r="D1456" i="3" l="1"/>
  <c r="E1456" i="3"/>
  <c r="C1455" i="3"/>
  <c r="B1455" i="3" s="1"/>
  <c r="S1455" i="3"/>
  <c r="AC1455" i="3" s="1"/>
  <c r="R1449" i="3"/>
  <c r="W1449" i="3" s="1"/>
  <c r="H1450" i="3"/>
  <c r="E1457" i="3" l="1"/>
  <c r="D1457" i="3"/>
  <c r="C1456" i="3"/>
  <c r="B1456" i="3" s="1"/>
  <c r="S1456" i="3"/>
  <c r="AC1456" i="3" s="1"/>
  <c r="R1450" i="3"/>
  <c r="W1450" i="3" s="1"/>
  <c r="H1451" i="3"/>
  <c r="C1457" i="3" l="1"/>
  <c r="B1457" i="3" s="1"/>
  <c r="S1457" i="3"/>
  <c r="AC1457" i="3" s="1"/>
  <c r="E1458" i="3"/>
  <c r="D1458" i="3"/>
  <c r="R1451" i="3"/>
  <c r="W1451" i="3" s="1"/>
  <c r="H1452" i="3"/>
  <c r="C1458" i="3" l="1"/>
  <c r="S1458" i="3"/>
  <c r="AC1458" i="3" s="1"/>
  <c r="E1459" i="3"/>
  <c r="D1459" i="3"/>
  <c r="R1452" i="3"/>
  <c r="W1452" i="3" s="1"/>
  <c r="H1453" i="3"/>
  <c r="D1460" i="3" l="1"/>
  <c r="E1460" i="3"/>
  <c r="S1459" i="3"/>
  <c r="AC1459" i="3" s="1"/>
  <c r="C1459" i="3"/>
  <c r="B1458" i="3"/>
  <c r="R1453" i="3"/>
  <c r="W1453" i="3" s="1"/>
  <c r="H1454" i="3"/>
  <c r="B1459" i="3" l="1"/>
  <c r="D1461" i="3"/>
  <c r="E1461" i="3"/>
  <c r="S1460" i="3"/>
  <c r="AC1460" i="3" s="1"/>
  <c r="C1460" i="3"/>
  <c r="R1454" i="3"/>
  <c r="W1454" i="3" s="1"/>
  <c r="H1455" i="3"/>
  <c r="E1462" i="3" l="1"/>
  <c r="D1462" i="3"/>
  <c r="S1461" i="3"/>
  <c r="AC1461" i="3" s="1"/>
  <c r="C1461" i="3"/>
  <c r="B1460" i="3"/>
  <c r="R1455" i="3"/>
  <c r="W1455" i="3" s="1"/>
  <c r="H1456" i="3"/>
  <c r="B1461" i="3" l="1"/>
  <c r="S1462" i="3"/>
  <c r="AC1462" i="3" s="1"/>
  <c r="C1462" i="3"/>
  <c r="E1463" i="3"/>
  <c r="D1463" i="3"/>
  <c r="R1456" i="3"/>
  <c r="W1456" i="3" s="1"/>
  <c r="H1457" i="3"/>
  <c r="S1463" i="3" l="1"/>
  <c r="AC1463" i="3" s="1"/>
  <c r="C1463" i="3"/>
  <c r="D1464" i="3"/>
  <c r="E1464" i="3"/>
  <c r="B1462" i="3"/>
  <c r="R1457" i="3"/>
  <c r="W1457" i="3" s="1"/>
  <c r="H1458" i="3"/>
  <c r="B1463" i="3" l="1"/>
  <c r="S1464" i="3"/>
  <c r="AC1464" i="3" s="1"/>
  <c r="C1464" i="3"/>
  <c r="E1465" i="3"/>
  <c r="D1465" i="3"/>
  <c r="R1458" i="3"/>
  <c r="W1458" i="3" s="1"/>
  <c r="H1459" i="3"/>
  <c r="D1466" i="3" l="1"/>
  <c r="E1466" i="3"/>
  <c r="C1465" i="3"/>
  <c r="S1465" i="3"/>
  <c r="AC1465" i="3" s="1"/>
  <c r="B1464" i="3"/>
  <c r="R1459" i="3"/>
  <c r="W1459" i="3" s="1"/>
  <c r="H1460" i="3"/>
  <c r="B1465" i="3" l="1"/>
  <c r="E1467" i="3"/>
  <c r="D1467" i="3"/>
  <c r="S1466" i="3"/>
  <c r="AC1466" i="3" s="1"/>
  <c r="C1466" i="3"/>
  <c r="R1460" i="3"/>
  <c r="W1460" i="3" s="1"/>
  <c r="H1461" i="3"/>
  <c r="T1467" i="3" l="1"/>
  <c r="S1467" i="3" s="1"/>
  <c r="AC1467" i="3" s="1"/>
  <c r="Q1467" i="3"/>
  <c r="C1467" i="3"/>
  <c r="D1468" i="3"/>
  <c r="E1468" i="3"/>
  <c r="B1466" i="3"/>
  <c r="R1461" i="3"/>
  <c r="W1461" i="3" s="1"/>
  <c r="H1462" i="3"/>
  <c r="S1468" i="3" l="1"/>
  <c r="AC1468" i="3" s="1"/>
  <c r="C1468" i="3"/>
  <c r="E1469" i="3"/>
  <c r="D1469" i="3"/>
  <c r="B1467" i="3"/>
  <c r="R1462" i="3"/>
  <c r="W1462" i="3" s="1"/>
  <c r="H1463" i="3"/>
  <c r="B1468" i="3" l="1"/>
  <c r="S1469" i="3"/>
  <c r="AC1469" i="3" s="1"/>
  <c r="C1469" i="3"/>
  <c r="D1470" i="3"/>
  <c r="E1470" i="3"/>
  <c r="R1463" i="3"/>
  <c r="W1463" i="3" s="1"/>
  <c r="H1464" i="3"/>
  <c r="C1470" i="3" l="1"/>
  <c r="S1470" i="3"/>
  <c r="AC1470" i="3" s="1"/>
  <c r="E1471" i="3"/>
  <c r="D1471" i="3"/>
  <c r="B1469" i="3"/>
  <c r="B1470" i="3" s="1"/>
  <c r="R1464" i="3"/>
  <c r="W1464" i="3" s="1"/>
  <c r="H1465" i="3"/>
  <c r="S1471" i="3" l="1"/>
  <c r="AC1471" i="3" s="1"/>
  <c r="C1471" i="3"/>
  <c r="B1471" i="3" s="1"/>
  <c r="D1472" i="3"/>
  <c r="E1472" i="3"/>
  <c r="R1465" i="3"/>
  <c r="W1465" i="3" s="1"/>
  <c r="H1466" i="3"/>
  <c r="S1472" i="3" l="1"/>
  <c r="AC1472" i="3" s="1"/>
  <c r="C1472" i="3"/>
  <c r="B1472" i="3" s="1"/>
  <c r="D1473" i="3"/>
  <c r="E1473" i="3"/>
  <c r="R1466" i="3"/>
  <c r="W1466" i="3" s="1"/>
  <c r="H1467" i="3"/>
  <c r="S1473" i="3" l="1"/>
  <c r="AC1473" i="3" s="1"/>
  <c r="C1473" i="3"/>
  <c r="E1474" i="3"/>
  <c r="D1474" i="3"/>
  <c r="R1467" i="3"/>
  <c r="W1467" i="3" s="1"/>
  <c r="H1468" i="3"/>
  <c r="D1475" i="3" l="1"/>
  <c r="E1475" i="3"/>
  <c r="Q1474" i="3"/>
  <c r="T1474" i="3"/>
  <c r="S1474" i="3" s="1"/>
  <c r="AC1474" i="3" s="1"/>
  <c r="C1474" i="3"/>
  <c r="B1473" i="3"/>
  <c r="B1474" i="3" s="1"/>
  <c r="R1468" i="3"/>
  <c r="W1468" i="3" s="1"/>
  <c r="H1469" i="3"/>
  <c r="E1476" i="3" l="1"/>
  <c r="D1476" i="3"/>
  <c r="T1475" i="3"/>
  <c r="S1475" i="3" s="1"/>
  <c r="AC1475" i="3" s="1"/>
  <c r="Q1475" i="3"/>
  <c r="C1475" i="3"/>
  <c r="R1469" i="3"/>
  <c r="W1469" i="3" s="1"/>
  <c r="H1470" i="3"/>
  <c r="S1476" i="3" l="1"/>
  <c r="AC1476" i="3" s="1"/>
  <c r="C1476" i="3"/>
  <c r="D1477" i="3"/>
  <c r="E1477" i="3"/>
  <c r="B1475" i="3"/>
  <c r="R1470" i="3"/>
  <c r="W1470" i="3" s="1"/>
  <c r="H1471" i="3"/>
  <c r="B1476" i="3" l="1"/>
  <c r="E1478" i="3"/>
  <c r="D1478" i="3"/>
  <c r="C1477" i="3"/>
  <c r="S1477" i="3"/>
  <c r="AC1477" i="3" s="1"/>
  <c r="R1471" i="3"/>
  <c r="W1471" i="3" s="1"/>
  <c r="H1472" i="3"/>
  <c r="S1478" i="3" l="1"/>
  <c r="AC1478" i="3" s="1"/>
  <c r="C1478" i="3"/>
  <c r="E1479" i="3"/>
  <c r="D1479" i="3"/>
  <c r="B1477" i="3"/>
  <c r="B1478" i="3" s="1"/>
  <c r="R1472" i="3"/>
  <c r="W1472" i="3" s="1"/>
  <c r="H1473" i="3"/>
  <c r="Q1479" i="3" l="1"/>
  <c r="T1479" i="3"/>
  <c r="S1479" i="3" s="1"/>
  <c r="C1479" i="3"/>
  <c r="B1479" i="3" s="1"/>
  <c r="E1480" i="3"/>
  <c r="D1480" i="3"/>
  <c r="R1473" i="3"/>
  <c r="W1473" i="3" s="1"/>
  <c r="H1474" i="3"/>
  <c r="C1480" i="3" l="1"/>
  <c r="S1480" i="3"/>
  <c r="AC1480" i="3" s="1"/>
  <c r="E1481" i="3"/>
  <c r="D1481" i="3"/>
  <c r="B1480" i="3"/>
  <c r="AH1479" i="3"/>
  <c r="AC1479" i="3" s="1"/>
  <c r="R1474" i="3"/>
  <c r="W1474" i="3" s="1"/>
  <c r="H1475" i="3"/>
  <c r="T1481" i="3" l="1"/>
  <c r="S1481" i="3" s="1"/>
  <c r="AC1481" i="3" s="1"/>
  <c r="Q1481" i="3"/>
  <c r="C1481" i="3"/>
  <c r="E1482" i="3"/>
  <c r="D1482" i="3"/>
  <c r="R1475" i="3"/>
  <c r="W1475" i="3" s="1"/>
  <c r="H1476" i="3"/>
  <c r="C1482" i="3" l="1"/>
  <c r="S1482" i="3"/>
  <c r="AC1482" i="3" s="1"/>
  <c r="E1483" i="3"/>
  <c r="D1483" i="3"/>
  <c r="B1481" i="3"/>
  <c r="B1482" i="3" s="1"/>
  <c r="R1476" i="3"/>
  <c r="W1476" i="3" s="1"/>
  <c r="H1477" i="3"/>
  <c r="C1483" i="3" l="1"/>
  <c r="S1483" i="3"/>
  <c r="AC1483" i="3" s="1"/>
  <c r="E1484" i="3"/>
  <c r="D1484" i="3"/>
  <c r="B1483" i="3"/>
  <c r="R1477" i="3"/>
  <c r="W1477" i="3" s="1"/>
  <c r="H1478" i="3"/>
  <c r="C1484" i="3" l="1"/>
  <c r="S1484" i="3"/>
  <c r="AC1484" i="3" s="1"/>
  <c r="E1485" i="3"/>
  <c r="D1485" i="3"/>
  <c r="B1484" i="3"/>
  <c r="R1478" i="3"/>
  <c r="W1478" i="3" s="1"/>
  <c r="H1479" i="3"/>
  <c r="S1485" i="3" l="1"/>
  <c r="AC1485" i="3" s="1"/>
  <c r="C1485" i="3"/>
  <c r="B1485" i="3" s="1"/>
  <c r="D1486" i="3"/>
  <c r="E1486" i="3"/>
  <c r="R1479" i="3"/>
  <c r="W1479" i="3" s="1"/>
  <c r="H1480" i="3"/>
  <c r="C1486" i="3" l="1"/>
  <c r="S1486" i="3"/>
  <c r="AC1486" i="3" s="1"/>
  <c r="D1487" i="3"/>
  <c r="E1487" i="3"/>
  <c r="B1486" i="3"/>
  <c r="R1480" i="3"/>
  <c r="W1480" i="3" s="1"/>
  <c r="H1481" i="3"/>
  <c r="S1487" i="3" l="1"/>
  <c r="AC1487" i="3" s="1"/>
  <c r="C1487" i="3"/>
  <c r="E1488" i="3"/>
  <c r="D1488" i="3"/>
  <c r="B1487" i="3"/>
  <c r="R1481" i="3"/>
  <c r="W1481" i="3" s="1"/>
  <c r="H1482" i="3"/>
  <c r="D1489" i="3" l="1"/>
  <c r="E1489" i="3"/>
  <c r="S1488" i="3"/>
  <c r="AC1488" i="3" s="1"/>
  <c r="C1488" i="3"/>
  <c r="R1482" i="3"/>
  <c r="W1482" i="3" s="1"/>
  <c r="H1483" i="3"/>
  <c r="B1488" i="3" l="1"/>
  <c r="D1490" i="3"/>
  <c r="E1490" i="3"/>
  <c r="S1489" i="3"/>
  <c r="AC1489" i="3" s="1"/>
  <c r="C1489" i="3"/>
  <c r="R1483" i="3"/>
  <c r="W1483" i="3" s="1"/>
  <c r="H1484" i="3"/>
  <c r="S1490" i="3" l="1"/>
  <c r="AC1490" i="3" s="1"/>
  <c r="C1490" i="3"/>
  <c r="D1491" i="3"/>
  <c r="E1491" i="3"/>
  <c r="B1489" i="3"/>
  <c r="R1484" i="3"/>
  <c r="W1484" i="3" s="1"/>
  <c r="H1485" i="3"/>
  <c r="S1491" i="3" l="1"/>
  <c r="AC1491" i="3" s="1"/>
  <c r="C1491" i="3"/>
  <c r="E1492" i="3"/>
  <c r="D1492" i="3"/>
  <c r="B1490" i="3"/>
  <c r="B1491" i="3" s="1"/>
  <c r="R1485" i="3"/>
  <c r="W1485" i="3" s="1"/>
  <c r="H1486" i="3"/>
  <c r="S1492" i="3" l="1"/>
  <c r="AC1492" i="3" s="1"/>
  <c r="C1492" i="3"/>
  <c r="B1492" i="3" s="1"/>
  <c r="D1493" i="3"/>
  <c r="E1493" i="3"/>
  <c r="R1486" i="3"/>
  <c r="W1486" i="3" s="1"/>
  <c r="H1487" i="3"/>
  <c r="E1494" i="3" l="1"/>
  <c r="D1494" i="3"/>
  <c r="S1493" i="3"/>
  <c r="AC1493" i="3" s="1"/>
  <c r="C1493" i="3"/>
  <c r="R1487" i="3"/>
  <c r="W1487" i="3" s="1"/>
  <c r="H1488" i="3"/>
  <c r="B1493" i="3" l="1"/>
  <c r="S1494" i="3"/>
  <c r="AC1494" i="3" s="1"/>
  <c r="C1494" i="3"/>
  <c r="E1495" i="3"/>
  <c r="D1495" i="3"/>
  <c r="R1488" i="3"/>
  <c r="W1488" i="3" s="1"/>
  <c r="H1489" i="3"/>
  <c r="C1495" i="3" l="1"/>
  <c r="S1495" i="3"/>
  <c r="AC1495" i="3" s="1"/>
  <c r="D1496" i="3"/>
  <c r="E1496" i="3"/>
  <c r="B1494" i="3"/>
  <c r="B1495" i="3" s="1"/>
  <c r="R1489" i="3"/>
  <c r="W1489" i="3" s="1"/>
  <c r="H1490" i="3"/>
  <c r="D1497" i="3" l="1"/>
  <c r="E1497" i="3"/>
  <c r="S1496" i="3"/>
  <c r="AC1496" i="3" s="1"/>
  <c r="C1496" i="3"/>
  <c r="R1490" i="3"/>
  <c r="W1490" i="3" s="1"/>
  <c r="H1491" i="3"/>
  <c r="B1496" i="3" l="1"/>
  <c r="E1498" i="3"/>
  <c r="D1498" i="3"/>
  <c r="S1497" i="3"/>
  <c r="AC1497" i="3" s="1"/>
  <c r="C1497" i="3"/>
  <c r="B1497" i="3" s="1"/>
  <c r="R1491" i="3"/>
  <c r="W1491" i="3" s="1"/>
  <c r="H1492" i="3"/>
  <c r="E1499" i="3" l="1"/>
  <c r="D1499" i="3"/>
  <c r="C1498" i="3"/>
  <c r="S1498" i="3"/>
  <c r="AC1498" i="3" s="1"/>
  <c r="R1492" i="3"/>
  <c r="W1492" i="3" s="1"/>
  <c r="H1493" i="3"/>
  <c r="C1499" i="3" l="1"/>
  <c r="S1499" i="3"/>
  <c r="AC1499" i="3" s="1"/>
  <c r="D1500" i="3"/>
  <c r="E1500" i="3"/>
  <c r="B1498" i="3"/>
  <c r="R1493" i="3"/>
  <c r="W1493" i="3" s="1"/>
  <c r="H1494" i="3"/>
  <c r="E1501" i="3" l="1"/>
  <c r="D1501" i="3"/>
  <c r="S1500" i="3"/>
  <c r="AC1500" i="3" s="1"/>
  <c r="C1500" i="3"/>
  <c r="B1499" i="3"/>
  <c r="R1494" i="3"/>
  <c r="W1494" i="3" s="1"/>
  <c r="H1495" i="3"/>
  <c r="B1500" i="3" l="1"/>
  <c r="S1501" i="3"/>
  <c r="AC1501" i="3" s="1"/>
  <c r="C1501" i="3"/>
  <c r="D1502" i="3"/>
  <c r="E1502" i="3"/>
  <c r="R1495" i="3"/>
  <c r="W1495" i="3" s="1"/>
  <c r="H1496" i="3"/>
  <c r="E1503" i="3" l="1"/>
  <c r="D1503" i="3"/>
  <c r="S1502" i="3"/>
  <c r="AC1502" i="3" s="1"/>
  <c r="C1502" i="3"/>
  <c r="B1501" i="3"/>
  <c r="R1496" i="3"/>
  <c r="W1496" i="3" s="1"/>
  <c r="H1497" i="3"/>
  <c r="B1502" i="3" l="1"/>
  <c r="S1503" i="3"/>
  <c r="AC1503" i="3" s="1"/>
  <c r="C1503" i="3"/>
  <c r="E1504" i="3"/>
  <c r="D1504" i="3"/>
  <c r="R1497" i="3"/>
  <c r="W1497" i="3" s="1"/>
  <c r="H1498" i="3"/>
  <c r="E1505" i="3" l="1"/>
  <c r="D1505" i="3"/>
  <c r="T1504" i="3"/>
  <c r="S1504" i="3" s="1"/>
  <c r="AC1504" i="3" s="1"/>
  <c r="Q1504" i="3"/>
  <c r="C1504" i="3"/>
  <c r="B1503" i="3"/>
  <c r="B1504" i="3" s="1"/>
  <c r="R1498" i="3"/>
  <c r="W1498" i="3" s="1"/>
  <c r="H1499" i="3"/>
  <c r="S1505" i="3" l="1"/>
  <c r="AC1505" i="3" s="1"/>
  <c r="C1505" i="3"/>
  <c r="B1505" i="3" s="1"/>
  <c r="D1506" i="3"/>
  <c r="E1506" i="3"/>
  <c r="R1499" i="3"/>
  <c r="W1499" i="3" s="1"/>
  <c r="H1500" i="3"/>
  <c r="T1506" i="3" l="1"/>
  <c r="S1506" i="3" s="1"/>
  <c r="AC1506" i="3" s="1"/>
  <c r="Q1506" i="3"/>
  <c r="C1506" i="3"/>
  <c r="E1507" i="3"/>
  <c r="D1507" i="3"/>
  <c r="R1500" i="3"/>
  <c r="W1500" i="3" s="1"/>
  <c r="H1501" i="3"/>
  <c r="S1507" i="3" l="1"/>
  <c r="AC1507" i="3" s="1"/>
  <c r="C1507" i="3"/>
  <c r="D1508" i="3"/>
  <c r="E1508" i="3"/>
  <c r="B1506" i="3"/>
  <c r="R1501" i="3"/>
  <c r="W1501" i="3" s="1"/>
  <c r="H1502" i="3"/>
  <c r="D1509" i="3" l="1"/>
  <c r="E1509" i="3"/>
  <c r="C1508" i="3"/>
  <c r="S1508" i="3"/>
  <c r="AC1508" i="3" s="1"/>
  <c r="B1507" i="3"/>
  <c r="B1508" i="3" s="1"/>
  <c r="R1502" i="3"/>
  <c r="W1502" i="3" s="1"/>
  <c r="H1503" i="3"/>
  <c r="D1510" i="3" l="1"/>
  <c r="E1510" i="3"/>
  <c r="S1509" i="3"/>
  <c r="AC1509" i="3" s="1"/>
  <c r="C1509" i="3"/>
  <c r="R1503" i="3"/>
  <c r="W1503" i="3" s="1"/>
  <c r="H1504" i="3"/>
  <c r="D1511" i="3" l="1"/>
  <c r="E1511" i="3"/>
  <c r="T1510" i="3"/>
  <c r="S1510" i="3" s="1"/>
  <c r="AC1510" i="3" s="1"/>
  <c r="Q1510" i="3"/>
  <c r="C1510" i="3"/>
  <c r="B1509" i="3"/>
  <c r="R1504" i="3"/>
  <c r="W1504" i="3" s="1"/>
  <c r="H1505" i="3"/>
  <c r="B1510" i="3" l="1"/>
  <c r="E1512" i="3"/>
  <c r="D1512" i="3"/>
  <c r="S1511" i="3"/>
  <c r="AC1511" i="3" s="1"/>
  <c r="C1511" i="3"/>
  <c r="R1505" i="3"/>
  <c r="W1505" i="3" s="1"/>
  <c r="H1506" i="3"/>
  <c r="D1513" i="3" l="1"/>
  <c r="E1513" i="3"/>
  <c r="C1512" i="3"/>
  <c r="T1512" i="3"/>
  <c r="S1512" i="3" s="1"/>
  <c r="AC1512" i="3" s="1"/>
  <c r="Q1512" i="3"/>
  <c r="B1511" i="3"/>
  <c r="R1506" i="3"/>
  <c r="W1506" i="3" s="1"/>
  <c r="H1507" i="3"/>
  <c r="B1512" i="3" l="1"/>
  <c r="D1514" i="3"/>
  <c r="E1514" i="3"/>
  <c r="T1513" i="3"/>
  <c r="S1513" i="3" s="1"/>
  <c r="AC1513" i="3" s="1"/>
  <c r="Q1513" i="3"/>
  <c r="C1513" i="3"/>
  <c r="R1507" i="3"/>
  <c r="W1507" i="3" s="1"/>
  <c r="H1508" i="3"/>
  <c r="E1515" i="3" l="1"/>
  <c r="D1515" i="3"/>
  <c r="T1514" i="3"/>
  <c r="S1514" i="3" s="1"/>
  <c r="AC1514" i="3" s="1"/>
  <c r="Q1514" i="3"/>
  <c r="C1514" i="3"/>
  <c r="B1513" i="3"/>
  <c r="R1508" i="3"/>
  <c r="W1508" i="3" s="1"/>
  <c r="H1509" i="3"/>
  <c r="Q1515" i="3" l="1"/>
  <c r="T1515" i="3"/>
  <c r="S1515" i="3" s="1"/>
  <c r="AC1515" i="3" s="1"/>
  <c r="C1515" i="3"/>
  <c r="D1516" i="3"/>
  <c r="E1516" i="3"/>
  <c r="B1514" i="3"/>
  <c r="R1509" i="3"/>
  <c r="W1509" i="3" s="1"/>
  <c r="H1510" i="3"/>
  <c r="C1516" i="3" l="1"/>
  <c r="S1516" i="3"/>
  <c r="AC1516" i="3" s="1"/>
  <c r="E1517" i="3"/>
  <c r="D1517" i="3"/>
  <c r="B1515" i="3"/>
  <c r="B1516" i="3" s="1"/>
  <c r="H1511" i="3"/>
  <c r="R1510" i="3"/>
  <c r="W1510" i="3" s="1"/>
  <c r="C1517" i="3" l="1"/>
  <c r="S1517" i="3"/>
  <c r="AC1517" i="3" s="1"/>
  <c r="E1518" i="3"/>
  <c r="D1518" i="3"/>
  <c r="B1517" i="3"/>
  <c r="R1511" i="3"/>
  <c r="W1511" i="3" s="1"/>
  <c r="H1512" i="3"/>
  <c r="T1518" i="3" l="1"/>
  <c r="S1518" i="3" s="1"/>
  <c r="AC1518" i="3" s="1"/>
  <c r="Q1518" i="3"/>
  <c r="C1518" i="3"/>
  <c r="B1518" i="3" s="1"/>
  <c r="E1519" i="3"/>
  <c r="D1519" i="3"/>
  <c r="R1512" i="3"/>
  <c r="W1512" i="3" s="1"/>
  <c r="H1513" i="3"/>
  <c r="C1519" i="3" l="1"/>
  <c r="S1519" i="3"/>
  <c r="AC1519" i="3" s="1"/>
  <c r="D1520" i="3"/>
  <c r="E1520" i="3"/>
  <c r="B1519" i="3"/>
  <c r="R1513" i="3"/>
  <c r="W1513" i="3" s="1"/>
  <c r="H1514" i="3"/>
  <c r="D1521" i="3" l="1"/>
  <c r="T1521" i="3"/>
  <c r="S1521" i="3" s="1"/>
  <c r="AC1521" i="3" s="1"/>
  <c r="Q1521" i="3"/>
  <c r="D1522" i="3"/>
  <c r="T1520" i="3"/>
  <c r="S1520" i="3" s="1"/>
  <c r="AC1520" i="3" s="1"/>
  <c r="Q1520" i="3"/>
  <c r="C1520" i="3"/>
  <c r="C1521" i="3" s="1"/>
  <c r="R1514" i="3"/>
  <c r="W1514" i="3" s="1"/>
  <c r="H1515" i="3"/>
  <c r="B1520" i="3" l="1"/>
  <c r="B1521" i="3" s="1"/>
  <c r="Q1522" i="3"/>
  <c r="T1522" i="3"/>
  <c r="S1522" i="3" s="1"/>
  <c r="AC1522" i="3" s="1"/>
  <c r="D1523" i="3"/>
  <c r="C1522" i="3"/>
  <c r="H1516" i="3"/>
  <c r="R1515" i="3"/>
  <c r="W1515" i="3" s="1"/>
  <c r="C1523" i="3" l="1"/>
  <c r="S1523" i="3"/>
  <c r="AC1523" i="3" s="1"/>
  <c r="D1524" i="3"/>
  <c r="B1522" i="3"/>
  <c r="R1516" i="3"/>
  <c r="W1516" i="3" s="1"/>
  <c r="H1517" i="3"/>
  <c r="B1523" i="3" l="1"/>
  <c r="C1524" i="3"/>
  <c r="S1524" i="3"/>
  <c r="AC1524" i="3" s="1"/>
  <c r="D1525" i="3"/>
  <c r="R1517" i="3"/>
  <c r="W1517" i="3" s="1"/>
  <c r="H1518" i="3"/>
  <c r="D1526" i="3" l="1"/>
  <c r="S1525" i="3"/>
  <c r="AC1525" i="3" s="1"/>
  <c r="C1525" i="3"/>
  <c r="B1524" i="3"/>
  <c r="H1519" i="3"/>
  <c r="R1518" i="3"/>
  <c r="W1518" i="3" s="1"/>
  <c r="B1525" i="3" l="1"/>
  <c r="D1527" i="3"/>
  <c r="C1526" i="3"/>
  <c r="S1526" i="3"/>
  <c r="AC1526" i="3" s="1"/>
  <c r="R1519" i="3"/>
  <c r="W1519" i="3" s="1"/>
  <c r="H1520" i="3"/>
  <c r="C1527" i="3" l="1"/>
  <c r="S1527" i="3"/>
  <c r="AC1527" i="3" s="1"/>
  <c r="D1528" i="3"/>
  <c r="B1526" i="3"/>
  <c r="R1520" i="3"/>
  <c r="W1520" i="3" s="1"/>
  <c r="H1521" i="3"/>
  <c r="B1527" i="3" l="1"/>
  <c r="C1528" i="3"/>
  <c r="B1528" i="3" s="1"/>
  <c r="S1528" i="3"/>
  <c r="AC1528" i="3" s="1"/>
  <c r="D1529" i="3"/>
  <c r="R1521" i="3"/>
  <c r="W1521" i="3" s="1"/>
  <c r="H1522" i="3"/>
  <c r="C1529" i="3" l="1"/>
  <c r="S1529" i="3"/>
  <c r="AC1529" i="3" s="1"/>
  <c r="D1530" i="3"/>
  <c r="R1522" i="3"/>
  <c r="W1522" i="3" s="1"/>
  <c r="H1523" i="3"/>
  <c r="D1531" i="3" l="1"/>
  <c r="C1530" i="3"/>
  <c r="S1530" i="3"/>
  <c r="AC1530" i="3" s="1"/>
  <c r="B1529" i="3"/>
  <c r="B1530" i="3" s="1"/>
  <c r="R1523" i="3"/>
  <c r="W1523" i="3" s="1"/>
  <c r="H1524" i="3"/>
  <c r="C1531" i="3" l="1"/>
  <c r="S1531" i="3"/>
  <c r="AC1531" i="3" s="1"/>
  <c r="D1532" i="3"/>
  <c r="R1524" i="3"/>
  <c r="W1524" i="3" s="1"/>
  <c r="H1525" i="3"/>
  <c r="C1532" i="3" l="1"/>
  <c r="S1532" i="3"/>
  <c r="AC1532" i="3" s="1"/>
  <c r="D1533" i="3"/>
  <c r="B1531" i="3"/>
  <c r="B1532" i="3" s="1"/>
  <c r="R1525" i="3"/>
  <c r="W1525" i="3" s="1"/>
  <c r="H1526" i="3"/>
  <c r="C1533" i="3" l="1"/>
  <c r="B1533" i="3" s="1"/>
  <c r="S1533" i="3"/>
  <c r="AC1533" i="3" s="1"/>
  <c r="D1534" i="3"/>
  <c r="R1526" i="3"/>
  <c r="W1526" i="3" s="1"/>
  <c r="H1527" i="3"/>
  <c r="C1534" i="3" l="1"/>
  <c r="B1534" i="3" s="1"/>
  <c r="S1534" i="3"/>
  <c r="AC1534" i="3" s="1"/>
  <c r="D1535" i="3"/>
  <c r="R1527" i="3"/>
  <c r="W1527" i="3" s="1"/>
  <c r="H1528" i="3"/>
  <c r="C1535" i="3" l="1"/>
  <c r="B1535" i="3" s="1"/>
  <c r="S1535" i="3"/>
  <c r="AC1535" i="3" s="1"/>
  <c r="D1536" i="3"/>
  <c r="R1528" i="3"/>
  <c r="W1528" i="3" s="1"/>
  <c r="H1529" i="3"/>
  <c r="D1537" i="3" l="1"/>
  <c r="C1536" i="3"/>
  <c r="S1536" i="3"/>
  <c r="AC1536" i="3" s="1"/>
  <c r="R1529" i="3"/>
  <c r="W1529" i="3" s="1"/>
  <c r="H1530" i="3"/>
  <c r="B1536" i="3" l="1"/>
  <c r="Q1537" i="3"/>
  <c r="T1537" i="3"/>
  <c r="S1537" i="3" s="1"/>
  <c r="AC1537" i="3" s="1"/>
  <c r="D1538" i="3"/>
  <c r="C1537" i="3"/>
  <c r="B1537" i="3" s="1"/>
  <c r="R1530" i="3"/>
  <c r="W1530" i="3" s="1"/>
  <c r="H1531" i="3"/>
  <c r="C1538" i="3" l="1"/>
  <c r="S1538" i="3"/>
  <c r="AC1538" i="3" s="1"/>
  <c r="D1539" i="3"/>
  <c r="H1532" i="3"/>
  <c r="R1531" i="3"/>
  <c r="W1531" i="3" s="1"/>
  <c r="C1539" i="3" l="1"/>
  <c r="S1539" i="3"/>
  <c r="AC1539" i="3" s="1"/>
  <c r="D1540" i="3"/>
  <c r="B1538" i="3"/>
  <c r="R1532" i="3"/>
  <c r="W1532" i="3" s="1"/>
  <c r="H1533" i="3"/>
  <c r="B1539" i="3" l="1"/>
  <c r="T1540" i="3"/>
  <c r="S1540" i="3" s="1"/>
  <c r="AC1540" i="3" s="1"/>
  <c r="Q1540" i="3"/>
  <c r="D1541" i="3"/>
  <c r="C1540" i="3"/>
  <c r="R1533" i="3"/>
  <c r="W1533" i="3" s="1"/>
  <c r="H1534" i="3"/>
  <c r="D1542" i="3" l="1"/>
  <c r="C1541" i="3"/>
  <c r="S1541" i="3"/>
  <c r="AC1541" i="3" s="1"/>
  <c r="B1540" i="3"/>
  <c r="H1535" i="3"/>
  <c r="R1534" i="3"/>
  <c r="W1534" i="3" s="1"/>
  <c r="S1542" i="3" l="1"/>
  <c r="AC1542" i="3" s="1"/>
  <c r="C1542" i="3"/>
  <c r="D1543" i="3"/>
  <c r="B1541" i="3"/>
  <c r="H1536" i="3"/>
  <c r="R1535" i="3"/>
  <c r="W1535" i="3" s="1"/>
  <c r="B1542" i="3" l="1"/>
  <c r="D1544" i="3"/>
  <c r="C1543" i="3"/>
  <c r="S1543" i="3"/>
  <c r="AC1543" i="3" s="1"/>
  <c r="R1536" i="3"/>
  <c r="W1536" i="3" s="1"/>
  <c r="H1537" i="3"/>
  <c r="B1543" i="3" l="1"/>
  <c r="D1545" i="3"/>
  <c r="S1544" i="3"/>
  <c r="AC1544" i="3" s="1"/>
  <c r="C1544" i="3"/>
  <c r="R1537" i="3"/>
  <c r="W1537" i="3" s="1"/>
  <c r="H1538" i="3"/>
  <c r="T1545" i="3" l="1"/>
  <c r="S1545" i="3" s="1"/>
  <c r="AC1545" i="3" s="1"/>
  <c r="Q1545" i="3"/>
  <c r="D1546" i="3"/>
  <c r="C1545" i="3"/>
  <c r="B1544" i="3"/>
  <c r="R1538" i="3"/>
  <c r="W1538" i="3" s="1"/>
  <c r="H1539" i="3"/>
  <c r="B1545" i="3" l="1"/>
  <c r="D1547" i="3"/>
  <c r="S1546" i="3"/>
  <c r="AC1546" i="3" s="1"/>
  <c r="C1546" i="3"/>
  <c r="R1539" i="3"/>
  <c r="W1539" i="3" s="1"/>
  <c r="H1540" i="3"/>
  <c r="B1546" i="3" l="1"/>
  <c r="C1547" i="3"/>
  <c r="B1547" i="3" s="1"/>
  <c r="S1547" i="3"/>
  <c r="AC1547" i="3" s="1"/>
  <c r="D1548" i="3"/>
  <c r="R1540" i="3"/>
  <c r="W1540" i="3" s="1"/>
  <c r="H1541" i="3"/>
  <c r="Q1548" i="3" l="1"/>
  <c r="T1548" i="3"/>
  <c r="S1548" i="3" s="1"/>
  <c r="AC1548" i="3" s="1"/>
  <c r="D1549" i="3"/>
  <c r="C1548" i="3"/>
  <c r="B1548" i="3" s="1"/>
  <c r="R1541" i="3"/>
  <c r="W1541" i="3" s="1"/>
  <c r="H1542" i="3"/>
  <c r="D1550" i="3" l="1"/>
  <c r="C1549" i="3"/>
  <c r="S1549" i="3"/>
  <c r="AC1549" i="3" s="1"/>
  <c r="R1542" i="3"/>
  <c r="W1542" i="3" s="1"/>
  <c r="H1543" i="3"/>
  <c r="T1550" i="3" l="1"/>
  <c r="S1550" i="3" s="1"/>
  <c r="AC1550" i="3" s="1"/>
  <c r="Q1550" i="3"/>
  <c r="D1551" i="3"/>
  <c r="C1550" i="3"/>
  <c r="B1549" i="3"/>
  <c r="R1543" i="3"/>
  <c r="W1543" i="3" s="1"/>
  <c r="H1544" i="3"/>
  <c r="Q1551" i="3" l="1"/>
  <c r="T1551" i="3"/>
  <c r="S1551" i="3" s="1"/>
  <c r="AC1551" i="3" s="1"/>
  <c r="D1552" i="3"/>
  <c r="C1551" i="3"/>
  <c r="B1550" i="3"/>
  <c r="R1544" i="3"/>
  <c r="W1544" i="3" s="1"/>
  <c r="H1545" i="3"/>
  <c r="D1553" i="3" l="1"/>
  <c r="C1552" i="3"/>
  <c r="S1552" i="3"/>
  <c r="AC1552" i="3" s="1"/>
  <c r="B1551" i="3"/>
  <c r="R1545" i="3"/>
  <c r="W1545" i="3" s="1"/>
  <c r="H1546" i="3"/>
  <c r="T1553" i="3" l="1"/>
  <c r="S1553" i="3" s="1"/>
  <c r="AC1553" i="3" s="1"/>
  <c r="Q1553" i="3"/>
  <c r="D1554" i="3"/>
  <c r="C1553" i="3"/>
  <c r="B1552" i="3"/>
  <c r="R1546" i="3"/>
  <c r="W1546" i="3" s="1"/>
  <c r="H1547" i="3"/>
  <c r="C1554" i="3" l="1"/>
  <c r="D1555" i="3"/>
  <c r="S1554" i="3"/>
  <c r="AC1554" i="3" s="1"/>
  <c r="B1553" i="3"/>
  <c r="R1547" i="3"/>
  <c r="W1547" i="3" s="1"/>
  <c r="H1548" i="3"/>
  <c r="C1555" i="3" l="1"/>
  <c r="D1556" i="3"/>
  <c r="S1555" i="3"/>
  <c r="AC1555" i="3" s="1"/>
  <c r="B1554" i="3"/>
  <c r="B1555" i="3" s="1"/>
  <c r="R1548" i="3"/>
  <c r="W1548" i="3" s="1"/>
  <c r="H1549" i="3"/>
  <c r="C1556" i="3" l="1"/>
  <c r="S1556" i="3"/>
  <c r="AC1556" i="3" s="1"/>
  <c r="D1557" i="3"/>
  <c r="R1549" i="3"/>
  <c r="W1549" i="3" s="1"/>
  <c r="H1550" i="3"/>
  <c r="C1557" i="3" l="1"/>
  <c r="S1557" i="3"/>
  <c r="AC1557" i="3" s="1"/>
  <c r="D1558" i="3"/>
  <c r="B1556" i="3"/>
  <c r="B1557" i="3" s="1"/>
  <c r="R1550" i="3"/>
  <c r="W1550" i="3" s="1"/>
  <c r="H1551" i="3"/>
  <c r="T1558" i="3" l="1"/>
  <c r="S1558" i="3" s="1"/>
  <c r="AC1558" i="3" s="1"/>
  <c r="Q1558" i="3"/>
  <c r="D1559" i="3"/>
  <c r="C1558" i="3"/>
  <c r="B1558" i="3" s="1"/>
  <c r="R1551" i="3"/>
  <c r="W1551" i="3" s="1"/>
  <c r="H1552" i="3"/>
  <c r="D1560" i="3" l="1"/>
  <c r="C1559" i="3"/>
  <c r="S1559" i="3"/>
  <c r="AC1559" i="3" s="1"/>
  <c r="R1552" i="3"/>
  <c r="W1552" i="3" s="1"/>
  <c r="H1553" i="3"/>
  <c r="D1561" i="3" l="1"/>
  <c r="C1560" i="3"/>
  <c r="S1560" i="3"/>
  <c r="AC1560" i="3" s="1"/>
  <c r="B1559" i="3"/>
  <c r="R1553" i="3"/>
  <c r="W1553" i="3" s="1"/>
  <c r="H1554" i="3"/>
  <c r="D1562" i="3" l="1"/>
  <c r="C1561" i="3"/>
  <c r="S1561" i="3"/>
  <c r="AC1561" i="3" s="1"/>
  <c r="B1560" i="3"/>
  <c r="R1554" i="3"/>
  <c r="W1554" i="3" s="1"/>
  <c r="H1555" i="3"/>
  <c r="C1562" i="3" l="1"/>
  <c r="S1562" i="3"/>
  <c r="AC1562" i="3" s="1"/>
  <c r="D1563" i="3"/>
  <c r="B1561" i="3"/>
  <c r="R1555" i="3"/>
  <c r="W1555" i="3" s="1"/>
  <c r="H1556" i="3"/>
  <c r="D1564" i="3" l="1"/>
  <c r="C1563" i="3"/>
  <c r="S1563" i="3"/>
  <c r="AC1563" i="3" s="1"/>
  <c r="B1562" i="3"/>
  <c r="B1563" i="3" s="1"/>
  <c r="R1556" i="3"/>
  <c r="W1556" i="3" s="1"/>
  <c r="H1557" i="3"/>
  <c r="D1565" i="3" l="1"/>
  <c r="S1564" i="3"/>
  <c r="AC1564" i="3" s="1"/>
  <c r="C1564" i="3"/>
  <c r="R1557" i="3"/>
  <c r="W1557" i="3" s="1"/>
  <c r="H1558" i="3"/>
  <c r="C1565" i="3" l="1"/>
  <c r="S1565" i="3"/>
  <c r="AC1565" i="3" s="1"/>
  <c r="D1566" i="3"/>
  <c r="B1564" i="3"/>
  <c r="R1558" i="3"/>
  <c r="W1558" i="3" s="1"/>
  <c r="H1559" i="3"/>
  <c r="B1565" i="3" l="1"/>
  <c r="C1566" i="3"/>
  <c r="B1566" i="3" s="1"/>
  <c r="S1566" i="3"/>
  <c r="AC1566" i="3" s="1"/>
  <c r="D1567" i="3"/>
  <c r="R1559" i="3"/>
  <c r="W1559" i="3" s="1"/>
  <c r="H1560" i="3"/>
  <c r="D1568" i="3" l="1"/>
  <c r="C1567" i="3"/>
  <c r="S1567" i="3"/>
  <c r="AC1567" i="3" s="1"/>
  <c r="R1560" i="3"/>
  <c r="W1560" i="3" s="1"/>
  <c r="H1561" i="3"/>
  <c r="B1567" i="3" l="1"/>
  <c r="D1569" i="3"/>
  <c r="C1568" i="3"/>
  <c r="S1568" i="3"/>
  <c r="AC1568" i="3" s="1"/>
  <c r="R1561" i="3"/>
  <c r="W1561" i="3" s="1"/>
  <c r="H1562" i="3"/>
  <c r="C1569" i="3" l="1"/>
  <c r="S1569" i="3"/>
  <c r="AC1569" i="3" s="1"/>
  <c r="D1570" i="3"/>
  <c r="B1568" i="3"/>
  <c r="R1562" i="3"/>
  <c r="W1562" i="3" s="1"/>
  <c r="H1563" i="3"/>
  <c r="B1569" i="3" l="1"/>
  <c r="C1570" i="3"/>
  <c r="S1570" i="3"/>
  <c r="AC1570" i="3" s="1"/>
  <c r="D1571" i="3"/>
  <c r="R1563" i="3"/>
  <c r="W1563" i="3" s="1"/>
  <c r="H1564" i="3"/>
  <c r="D1572" i="3" l="1"/>
  <c r="C1571" i="3"/>
  <c r="S1571" i="3"/>
  <c r="AC1571" i="3" s="1"/>
  <c r="B1570" i="3"/>
  <c r="R1564" i="3"/>
  <c r="W1564" i="3" s="1"/>
  <c r="H1565" i="3"/>
  <c r="B1571" i="3" l="1"/>
  <c r="C1572" i="3"/>
  <c r="S1572" i="3"/>
  <c r="AC1572" i="3" s="1"/>
  <c r="D1573" i="3"/>
  <c r="H1566" i="3"/>
  <c r="R1565" i="3"/>
  <c r="W1565" i="3" s="1"/>
  <c r="C1573" i="3" l="1"/>
  <c r="S1573" i="3"/>
  <c r="AC1573" i="3" s="1"/>
  <c r="D1574" i="3"/>
  <c r="B1572" i="3"/>
  <c r="B1573" i="3" s="1"/>
  <c r="R1566" i="3"/>
  <c r="W1566" i="3" s="1"/>
  <c r="H1567" i="3"/>
  <c r="D1575" i="3" l="1"/>
  <c r="C1574" i="3"/>
  <c r="B1574" i="3" s="1"/>
  <c r="S1574" i="3"/>
  <c r="AC1574" i="3" s="1"/>
  <c r="R1567" i="3"/>
  <c r="W1567" i="3" s="1"/>
  <c r="H1568" i="3"/>
  <c r="D1576" i="3" l="1"/>
  <c r="C1575" i="3"/>
  <c r="B1575" i="3" s="1"/>
  <c r="S1575" i="3"/>
  <c r="AC1575" i="3" s="1"/>
  <c r="R1568" i="3"/>
  <c r="W1568" i="3" s="1"/>
  <c r="H1569" i="3"/>
  <c r="C1576" i="3" l="1"/>
  <c r="S1576" i="3"/>
  <c r="AC1576" i="3" s="1"/>
  <c r="D1577" i="3"/>
  <c r="R1569" i="3"/>
  <c r="W1569" i="3" s="1"/>
  <c r="H1570" i="3"/>
  <c r="C1577" i="3" l="1"/>
  <c r="S1577" i="3"/>
  <c r="AC1577" i="3" s="1"/>
  <c r="D1578" i="3"/>
  <c r="B1576" i="3"/>
  <c r="B1577" i="3" s="1"/>
  <c r="R1570" i="3"/>
  <c r="W1570" i="3" s="1"/>
  <c r="H1571" i="3"/>
  <c r="C1578" i="3" l="1"/>
  <c r="S1578" i="3"/>
  <c r="AC1578" i="3" s="1"/>
  <c r="D1579" i="3"/>
  <c r="B1578" i="3"/>
  <c r="H1572" i="3"/>
  <c r="R1571" i="3"/>
  <c r="W1571" i="3" s="1"/>
  <c r="D1580" i="3" l="1"/>
  <c r="S1579" i="3"/>
  <c r="AC1579" i="3" s="1"/>
  <c r="C1579" i="3"/>
  <c r="R1572" i="3"/>
  <c r="W1572" i="3" s="1"/>
  <c r="H1573" i="3"/>
  <c r="B1579" i="3" l="1"/>
  <c r="D1581" i="3"/>
  <c r="C1580" i="3"/>
  <c r="S1580" i="3"/>
  <c r="AC1580" i="3" s="1"/>
  <c r="R1573" i="3"/>
  <c r="W1573" i="3" s="1"/>
  <c r="H1574" i="3"/>
  <c r="B1580" i="3" l="1"/>
  <c r="C1581" i="3"/>
  <c r="D1582" i="3"/>
  <c r="S1581" i="3"/>
  <c r="AC1581" i="3" s="1"/>
  <c r="R1574" i="3"/>
  <c r="W1574" i="3" s="1"/>
  <c r="H1575" i="3"/>
  <c r="C1582" i="3" l="1"/>
  <c r="S1582" i="3"/>
  <c r="AC1582" i="3" s="1"/>
  <c r="D1583" i="3"/>
  <c r="B1581" i="3"/>
  <c r="R1575" i="3"/>
  <c r="W1575" i="3" s="1"/>
  <c r="H1576" i="3"/>
  <c r="B1582" i="3" l="1"/>
  <c r="C1583" i="3"/>
  <c r="S1583" i="3"/>
  <c r="AC1583" i="3" s="1"/>
  <c r="D1584" i="3"/>
  <c r="R1576" i="3"/>
  <c r="W1576" i="3" s="1"/>
  <c r="H1577" i="3"/>
  <c r="D1585" i="3" l="1"/>
  <c r="S1584" i="3"/>
  <c r="AC1584" i="3" s="1"/>
  <c r="C1584" i="3"/>
  <c r="B1583" i="3"/>
  <c r="R1577" i="3"/>
  <c r="W1577" i="3" s="1"/>
  <c r="H1578" i="3"/>
  <c r="B1584" i="3" l="1"/>
  <c r="C1585" i="3"/>
  <c r="S1585" i="3"/>
  <c r="AC1585" i="3" s="1"/>
  <c r="D1586" i="3"/>
  <c r="R1578" i="3"/>
  <c r="W1578" i="3" s="1"/>
  <c r="H1579" i="3"/>
  <c r="C1586" i="3" l="1"/>
  <c r="S1586" i="3"/>
  <c r="AC1586" i="3" s="1"/>
  <c r="D1587" i="3"/>
  <c r="B1585" i="3"/>
  <c r="B1586" i="3" s="1"/>
  <c r="R1579" i="3"/>
  <c r="W1579" i="3" s="1"/>
  <c r="H1580" i="3"/>
  <c r="C1587" i="3" l="1"/>
  <c r="S1587" i="3"/>
  <c r="AC1587" i="3" s="1"/>
  <c r="D1588" i="3"/>
  <c r="B1587" i="3"/>
  <c r="R1580" i="3"/>
  <c r="W1580" i="3" s="1"/>
  <c r="H1581" i="3"/>
  <c r="D1589" i="3" l="1"/>
  <c r="C1588" i="3"/>
  <c r="S1588" i="3"/>
  <c r="AC1588" i="3" s="1"/>
  <c r="R1581" i="3"/>
  <c r="W1581" i="3" s="1"/>
  <c r="H1582" i="3"/>
  <c r="B1588" i="3" l="1"/>
  <c r="D1590" i="3"/>
  <c r="C1589" i="3"/>
  <c r="S1589" i="3"/>
  <c r="AC1589" i="3" s="1"/>
  <c r="R1582" i="3"/>
  <c r="W1582" i="3" s="1"/>
  <c r="H1583" i="3"/>
  <c r="B1589" i="3" l="1"/>
  <c r="D1591" i="3"/>
  <c r="C1590" i="3"/>
  <c r="B1590" i="3" s="1"/>
  <c r="S1590" i="3"/>
  <c r="AC1590" i="3" s="1"/>
  <c r="R1583" i="3"/>
  <c r="W1583" i="3" s="1"/>
  <c r="H1584" i="3"/>
  <c r="C1591" i="3" l="1"/>
  <c r="D1592" i="3"/>
  <c r="S1591" i="3"/>
  <c r="AC1591" i="3" s="1"/>
  <c r="R1584" i="3"/>
  <c r="W1584" i="3" s="1"/>
  <c r="H1585" i="3"/>
  <c r="C1592" i="3" l="1"/>
  <c r="S1592" i="3"/>
  <c r="AC1592" i="3" s="1"/>
  <c r="D1593" i="3"/>
  <c r="B1591" i="3"/>
  <c r="B1592" i="3" s="1"/>
  <c r="R1585" i="3"/>
  <c r="W1585" i="3" s="1"/>
  <c r="H1586" i="3"/>
  <c r="C1593" i="3" l="1"/>
  <c r="D1594" i="3"/>
  <c r="S1593" i="3"/>
  <c r="AC1593" i="3" s="1"/>
  <c r="B1593" i="3"/>
  <c r="R1586" i="3"/>
  <c r="W1586" i="3" s="1"/>
  <c r="H1587" i="3"/>
  <c r="S1594" i="3" l="1"/>
  <c r="AC1594" i="3" s="1"/>
  <c r="C1594" i="3"/>
  <c r="D1595" i="3"/>
  <c r="B1594" i="3"/>
  <c r="R1587" i="3"/>
  <c r="W1587" i="3" s="1"/>
  <c r="H1588" i="3"/>
  <c r="D1596" i="3" l="1"/>
  <c r="C1595" i="3"/>
  <c r="B1595" i="3" s="1"/>
  <c r="S1595" i="3"/>
  <c r="AC1595" i="3" s="1"/>
  <c r="R1588" i="3"/>
  <c r="W1588" i="3" s="1"/>
  <c r="H1589" i="3"/>
  <c r="C1596" i="3" l="1"/>
  <c r="B1596" i="3" s="1"/>
  <c r="S1596" i="3"/>
  <c r="AC1596" i="3" s="1"/>
  <c r="R1589" i="3"/>
  <c r="W1589" i="3" s="1"/>
  <c r="H1590" i="3"/>
  <c r="H1591" i="3" l="1"/>
  <c r="R1590" i="3"/>
  <c r="W1590" i="3" s="1"/>
  <c r="R1591" i="3" l="1"/>
  <c r="W1591" i="3" s="1"/>
  <c r="H1592" i="3"/>
  <c r="R1592" i="3" l="1"/>
  <c r="W1592" i="3" s="1"/>
  <c r="H1593" i="3"/>
  <c r="R1593" i="3" l="1"/>
  <c r="W1593" i="3" s="1"/>
  <c r="H1594" i="3"/>
  <c r="R1594" i="3" l="1"/>
  <c r="W1594" i="3" s="1"/>
  <c r="H1595" i="3"/>
  <c r="R1595" i="3" l="1"/>
  <c r="W1595" i="3" s="1"/>
  <c r="H1596" i="3"/>
  <c r="R1596" i="3" s="1"/>
  <c r="W159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<sst xmlns="http://schemas.openxmlformats.org/spreadsheetml/2006/main" count="1002" uniqueCount="102">
  <si>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</si>
  <si>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</si>
  <si>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</si>
  <si>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</si>
  <si>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</si>
  <si>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</si>
  <si>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</si>
  <si>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</si>
  <si>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</si>
  <si>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</si>
  <si>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</si>
  <si>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</si>
  <si>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</si>
  <si>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</si>
  <si>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</si>
  <si>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</si>
  <si>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</si>
  <si>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</si>
  <si>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</si>
  <si>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</si>
  <si>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</si>
  <si>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</si>
  <si>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</si>
  <si>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</si>
  <si>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</si>
  <si>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</si>
  <si>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</si>
  <si>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</si>
  <si>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</si>
  <si>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</si>
  <si>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</si>
  <si>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</si>
  <si>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</si>
  <si>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</si>
  <si>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</si>
  <si>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</si>
  <si>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</si>
  <si>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</si>
  <si>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</si>
  <si>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</si>
  <si>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</si>
  <si>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</si>
  <si>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</si>
  <si>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</si>
  <si>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</si>
  <si>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</si>
  <si>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</si>
  <si>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</si>
  <si>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</si>
  <si>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</si>
  <si>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</si>
  <si>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</si>
  <si>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</si>
  <si>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</si>
  <si>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</si>
  <si>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</si>
  <si>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Senecio</t>
  </si>
  <si>
    <t>burtoni</t>
  </si>
  <si>
    <t>Nov</t>
  </si>
  <si>
    <t>Diptera</t>
  </si>
  <si>
    <t>beetle</t>
  </si>
  <si>
    <t>Coleoptera</t>
  </si>
  <si>
    <t>bee</t>
  </si>
  <si>
    <t>fly</t>
  </si>
  <si>
    <t>small bee</t>
  </si>
  <si>
    <t>unknown</t>
  </si>
  <si>
    <t>small fee</t>
  </si>
  <si>
    <t xml:space="preserve"> </t>
  </si>
  <si>
    <t>diptera</t>
  </si>
  <si>
    <t>small fly</t>
  </si>
  <si>
    <t>like a big fly</t>
  </si>
  <si>
    <t>tiny fly</t>
  </si>
  <si>
    <t>bee/fly</t>
  </si>
  <si>
    <t>slow fly</t>
  </si>
  <si>
    <t>moth</t>
  </si>
  <si>
    <t>Lepidoptera</t>
  </si>
  <si>
    <t>lepidoptera</t>
  </si>
  <si>
    <t>Hymenoptera</t>
  </si>
  <si>
    <t>SD IDs</t>
  </si>
  <si>
    <t>Coleoptera sp.06</t>
  </si>
  <si>
    <t>Brachycera</t>
  </si>
  <si>
    <t>Diptera sp.01</t>
  </si>
  <si>
    <t>Striped fly with ant</t>
  </si>
  <si>
    <t>Anthomyia sp.02</t>
  </si>
  <si>
    <t>Striped Halictidae</t>
  </si>
  <si>
    <t>Hymenoptera sp.01</t>
  </si>
  <si>
    <t>Diptera sp.13</t>
  </si>
  <si>
    <t>Calliphoridae</t>
  </si>
  <si>
    <t>Grey fly with dots</t>
  </si>
  <si>
    <t>Diptera sp.07</t>
  </si>
  <si>
    <t>Big black and white abdomen fly</t>
  </si>
  <si>
    <t>Diptera sp.10</t>
  </si>
  <si>
    <t>Brachycera sp.03</t>
  </si>
  <si>
    <t>Yellow striped Halictidae</t>
  </si>
  <si>
    <t>Small orange Acalyptratae</t>
  </si>
  <si>
    <t>Blue metallic fly</t>
  </si>
  <si>
    <t>Noctuidae</t>
  </si>
  <si>
    <t>Noctuidae sp.07</t>
  </si>
  <si>
    <t>Erebidae sp.07</t>
  </si>
  <si>
    <t>Geometridae sp.01</t>
  </si>
  <si>
    <t>Striped fly</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</si>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</sst>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rgb="FFFFC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31" xfId="0" applyFill="1" applyBorder="1" applyAlignment="1">
      <alignment horizontal="center" vertical="center"/>
    </xf>
    <xf numFmtId="0" fontId="0" fillId="18" borderId="0" xfId="0" applyFill="1"/>
    <xf numFmtId="165" fontId="8" fillId="19" borderId="23" xfId="0" applyNumberFormat="1" applyFon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97"/>
  <sheetViews>
    <sheetView tabSelected="1" zoomScale="85" zoomScaleNormal="85" workbookViewId="0">
      <pane xSplit="6" ySplit="2" topLeftCell="L17" activePane="bottomRight" state="frozen"/>
      <selection pane="topRight" activeCell="G1" sqref="G1"/>
      <selection pane="bottomLeft" activeCell="A3" sqref="A3"/>
      <selection pane="bottomRight" activeCell="P1" sqref="P1:AB1"/>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7.1796875" customWidth="1"/>
    <col min="25" max="25" width="15.7265625" customWidth="1"/>
    <col min="26" max="26" width="17.36328125" customWidth="1"/>
    <col min="27" max="27" width="12.26953125" bestFit="1" customWidth="1"/>
    <col min="28" max="28" width="5" customWidth="1"/>
    <col min="29" max="29" width="3" style="111" customWidth="1"/>
    <col min="32" max="32" width="0" hidden="1" customWidth="1"/>
    <col min="35" max="36" width="0" hidden="1" customWidth="1"/>
    <col min="41" max="44" width="0" hidden="1" customWidth="1"/>
    <col min="45" max="45" width="58" hidden="1" customWidth="1"/>
    <col min="46" max="47" width="0" hidden="1" customWidth="1"/>
  </cols>
  <sheetData>
    <row r="1" spans="1:52" s="9" customFormat="1" ht="15" thickBot="1" x14ac:dyDescent="0.4">
      <c r="A1" s="137" t="s">
        <v>10</v>
      </c>
      <c r="B1" s="138"/>
      <c r="C1" s="138"/>
      <c r="D1" s="138"/>
      <c r="E1" s="138"/>
      <c r="F1" s="139"/>
      <c r="G1" s="5"/>
      <c r="H1" s="140" t="s">
        <v>11</v>
      </c>
      <c r="I1" s="141"/>
      <c r="J1" s="142" t="s">
        <v>12</v>
      </c>
      <c r="K1" s="143"/>
      <c r="L1" s="143"/>
      <c r="M1" s="143"/>
      <c r="N1" s="144"/>
      <c r="O1" s="6"/>
      <c r="P1" s="145" t="s">
        <v>13</v>
      </c>
      <c r="Q1" s="146"/>
      <c r="R1" s="146"/>
      <c r="S1" s="146"/>
      <c r="T1" s="146"/>
      <c r="U1" s="146"/>
      <c r="V1" s="146"/>
      <c r="W1" s="146"/>
      <c r="X1" s="146"/>
      <c r="Y1" s="146"/>
      <c r="Z1" s="146"/>
      <c r="AA1" s="146"/>
      <c r="AB1" s="147"/>
      <c r="AC1" s="7"/>
      <c r="AD1" s="145" t="s">
        <v>14</v>
      </c>
      <c r="AE1" s="146"/>
      <c r="AF1" s="146"/>
      <c r="AG1" s="146"/>
      <c r="AH1" s="146"/>
      <c r="AI1" s="146"/>
      <c r="AJ1" s="146"/>
      <c r="AK1" s="146"/>
      <c r="AL1" s="146"/>
      <c r="AM1" s="146"/>
      <c r="AN1" s="146"/>
      <c r="AO1" s="146"/>
      <c r="AP1" s="146"/>
      <c r="AQ1" s="146"/>
      <c r="AR1" s="146"/>
      <c r="AS1" s="146"/>
      <c r="AT1" s="146"/>
      <c r="AU1" s="147"/>
      <c r="AV1" s="8"/>
      <c r="AW1" s="135" t="s">
        <v>15</v>
      </c>
      <c r="AX1" s="136"/>
      <c r="AY1" s="136"/>
      <c r="AZ1" s="136"/>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9" t="s">
        <v>28</v>
      </c>
      <c r="N2" s="129"/>
      <c r="O2" s="17" t="s">
        <v>29</v>
      </c>
      <c r="P2" s="18" t="s">
        <v>30</v>
      </c>
      <c r="Q2" s="19" t="s">
        <v>31</v>
      </c>
      <c r="R2" s="20" t="s">
        <v>32</v>
      </c>
      <c r="S2" s="20" t="s">
        <v>33</v>
      </c>
      <c r="T2" s="130" t="s">
        <v>34</v>
      </c>
      <c r="U2" s="131"/>
      <c r="V2" s="132"/>
      <c r="W2" s="21" t="s">
        <v>35</v>
      </c>
      <c r="X2" s="20" t="s">
        <v>36</v>
      </c>
      <c r="Y2" s="123" t="s">
        <v>78</v>
      </c>
      <c r="Z2" s="123"/>
      <c r="AA2" s="20" t="s">
        <v>37</v>
      </c>
      <c r="AB2" s="20" t="s">
        <v>38</v>
      </c>
      <c r="AC2" s="22"/>
      <c r="AD2" s="133" t="s">
        <v>39</v>
      </c>
      <c r="AE2" s="134"/>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18</v>
      </c>
      <c r="D3" s="34">
        <v>9</v>
      </c>
      <c r="E3" s="35">
        <v>12</v>
      </c>
      <c r="F3" s="36"/>
      <c r="G3" s="37"/>
      <c r="H3" s="38" t="str">
        <f>CONCATENATE(LEFT(J3,3),LEFT(K3,3),L3,"_",A3,TEXT(MONTH(DATEVALUE(B3&amp;" 1")),"00"),TEXT(IF(AND(E3&lt;G3, D3=0), C3-1, C3),"00"),"_",TEXT(IF(E3&lt;G3, IF(D3-1=-1, 23, D3-1), D3), "00"),"_",TEXT(G3,"00"))</f>
        <v>Senbur7_20191118_09_00</v>
      </c>
      <c r="I3" s="39">
        <v>1</v>
      </c>
      <c r="J3" s="40" t="s">
        <v>56</v>
      </c>
      <c r="K3" s="41" t="s">
        <v>57</v>
      </c>
      <c r="L3" s="42">
        <v>7</v>
      </c>
      <c r="M3" s="42">
        <v>7</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5" si="1">IF(P3=1,0,"")</f>
        <v/>
      </c>
      <c r="AX3" s="61" t="str">
        <f t="shared" ref="AX3:AX66" si="2">IF(AW3=1,AD3,"")</f>
        <v/>
      </c>
      <c r="AY3" s="60" t="str">
        <f t="shared" ref="AY3:AY65"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18</v>
      </c>
      <c r="D4" s="64">
        <f t="shared" ref="D4:D67" si="7">IF(IF(E3=59,D3+1,D3)=24,0,IF(E3=59,D3+1,D3))</f>
        <v>9</v>
      </c>
      <c r="E4" s="65">
        <f t="shared" ref="E4:E67" si="8">IF(E3&lt;59,E3+1,0)</f>
        <v>13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Senbur7_20191118_09_00</v>
      </c>
      <c r="I4" s="69">
        <f>I3</f>
        <v>1</v>
      </c>
      <c r="J4" s="70" t="str">
        <f t="shared" ref="J4:N19" si="9">J3</f>
        <v>Senecio</v>
      </c>
      <c r="K4" s="70" t="str">
        <f t="shared" si="9"/>
        <v>burtoni</v>
      </c>
      <c r="L4" s="71">
        <f t="shared" si="9"/>
        <v>7</v>
      </c>
      <c r="M4" s="71">
        <f t="shared" si="9"/>
        <v>7</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5"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18</v>
      </c>
      <c r="D5" s="74">
        <f t="shared" si="7"/>
        <v>9</v>
      </c>
      <c r="E5" s="75">
        <f t="shared" si="8"/>
        <v>14</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Senbur7_20191118_09_00</v>
      </c>
      <c r="I5" s="69">
        <f t="shared" ref="I5:N20" si="27">I4</f>
        <v>1</v>
      </c>
      <c r="J5" s="76" t="str">
        <f t="shared" si="9"/>
        <v>Senecio</v>
      </c>
      <c r="K5" s="76" t="str">
        <f t="shared" si="9"/>
        <v>burtoni</v>
      </c>
      <c r="L5" s="77">
        <f t="shared" si="9"/>
        <v>7</v>
      </c>
      <c r="M5" s="77">
        <f t="shared" si="9"/>
        <v>7</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18</v>
      </c>
      <c r="D6" s="74">
        <f t="shared" si="7"/>
        <v>9</v>
      </c>
      <c r="E6" s="75">
        <f t="shared" si="8"/>
        <v>15</v>
      </c>
      <c r="F6" s="66"/>
      <c r="G6" s="67" t="s">
        <v>55</v>
      </c>
      <c r="H6" s="68" t="str">
        <f t="shared" si="26"/>
        <v>Senbur7_20191118_09_00</v>
      </c>
      <c r="I6" s="69">
        <f t="shared" si="27"/>
        <v>1</v>
      </c>
      <c r="J6" s="76" t="str">
        <f t="shared" si="9"/>
        <v>Senecio</v>
      </c>
      <c r="K6" s="76" t="str">
        <f t="shared" si="9"/>
        <v>burtoni</v>
      </c>
      <c r="L6" s="77">
        <f t="shared" si="9"/>
        <v>7</v>
      </c>
      <c r="M6" s="77">
        <f t="shared" si="9"/>
        <v>7</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18</v>
      </c>
      <c r="D7" s="74">
        <f t="shared" si="7"/>
        <v>9</v>
      </c>
      <c r="E7" s="75">
        <f t="shared" si="8"/>
        <v>16</v>
      </c>
      <c r="F7" s="66">
        <v>6</v>
      </c>
      <c r="G7" s="67" t="s">
        <v>55</v>
      </c>
      <c r="H7" s="68" t="str">
        <f t="shared" si="26"/>
        <v>Senbur7_20191118_09_00</v>
      </c>
      <c r="I7" s="69">
        <f t="shared" si="27"/>
        <v>1</v>
      </c>
      <c r="J7" s="76" t="str">
        <f t="shared" si="9"/>
        <v>Senecio</v>
      </c>
      <c r="K7" s="76" t="str">
        <f t="shared" si="9"/>
        <v>burtoni</v>
      </c>
      <c r="L7" s="77">
        <f t="shared" si="9"/>
        <v>7</v>
      </c>
      <c r="M7" s="77">
        <f t="shared" si="9"/>
        <v>7</v>
      </c>
      <c r="N7" s="71">
        <f t="shared" si="9"/>
        <v>0</v>
      </c>
      <c r="O7" s="44"/>
      <c r="P7" s="45">
        <f t="shared" si="10"/>
        <v>1</v>
      </c>
      <c r="Q7" s="46" t="str">
        <f t="shared" si="11"/>
        <v>09:16:06</v>
      </c>
      <c r="R7" s="47" t="str">
        <f t="shared" si="12"/>
        <v>16:06</v>
      </c>
      <c r="S7" s="48">
        <f t="shared" si="0"/>
        <v>-966</v>
      </c>
      <c r="T7" s="47" t="str">
        <f t="shared" si="13"/>
        <v>09</v>
      </c>
      <c r="U7" s="49"/>
      <c r="V7" s="50"/>
      <c r="W7" s="51" t="str">
        <f t="shared" si="14"/>
        <v>00:00</v>
      </c>
      <c r="X7" s="52" t="s">
        <v>60</v>
      </c>
      <c r="Y7" s="124" t="s">
        <v>79</v>
      </c>
      <c r="Z7" s="124"/>
      <c r="AA7" s="47" t="s">
        <v>61</v>
      </c>
      <c r="AB7" s="47" t="str">
        <f t="shared" si="15"/>
        <v>NA</v>
      </c>
      <c r="AC7" s="53" t="str">
        <f t="shared" si="16"/>
        <v/>
      </c>
      <c r="AD7" s="54">
        <f t="shared" si="17"/>
        <v>1</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f t="shared" si="1"/>
        <v>0</v>
      </c>
      <c r="AX7" s="61" t="str">
        <f t="shared" si="2"/>
        <v/>
      </c>
      <c r="AY7" s="60">
        <f t="shared" si="3"/>
        <v>0</v>
      </c>
      <c r="AZ7" s="61" t="str">
        <f t="shared" si="4"/>
        <v/>
      </c>
    </row>
    <row r="8" spans="1:52" s="3" customFormat="1" ht="15" hidden="1" thickBot="1" x14ac:dyDescent="0.4">
      <c r="A8" s="72">
        <f t="shared" si="5"/>
        <v>2019</v>
      </c>
      <c r="B8" s="72" t="str">
        <f t="shared" si="6"/>
        <v>Nov</v>
      </c>
      <c r="C8" s="73">
        <f t="shared" si="25"/>
        <v>18</v>
      </c>
      <c r="D8" s="74">
        <f t="shared" si="7"/>
        <v>9</v>
      </c>
      <c r="E8" s="75">
        <f t="shared" si="8"/>
        <v>17</v>
      </c>
      <c r="F8" s="66">
        <v>6</v>
      </c>
      <c r="G8" s="78" t="s">
        <v>55</v>
      </c>
      <c r="H8" s="68" t="str">
        <f t="shared" si="26"/>
        <v>Senbur7_20191118_09_00</v>
      </c>
      <c r="I8" s="69">
        <f t="shared" si="27"/>
        <v>1</v>
      </c>
      <c r="J8" s="76" t="str">
        <f t="shared" si="9"/>
        <v>Senecio</v>
      </c>
      <c r="K8" s="76" t="str">
        <f t="shared" si="9"/>
        <v>burtoni</v>
      </c>
      <c r="L8" s="77">
        <f t="shared" si="9"/>
        <v>7</v>
      </c>
      <c r="M8" s="77">
        <f t="shared" si="9"/>
        <v>7</v>
      </c>
      <c r="N8" s="71">
        <f t="shared" si="9"/>
        <v>0</v>
      </c>
      <c r="O8" s="44"/>
      <c r="P8" s="45">
        <f t="shared" si="10"/>
        <v>1</v>
      </c>
      <c r="Q8" s="46" t="str">
        <f t="shared" si="11"/>
        <v>09:17:06</v>
      </c>
      <c r="R8" s="47" t="str">
        <f t="shared" si="12"/>
        <v>17:06</v>
      </c>
      <c r="S8" s="48">
        <f t="shared" si="0"/>
        <v>12</v>
      </c>
      <c r="T8" s="47" t="str">
        <f t="shared" si="13"/>
        <v>09</v>
      </c>
      <c r="U8" s="49">
        <v>17</v>
      </c>
      <c r="V8" s="50">
        <v>18</v>
      </c>
      <c r="W8" s="51" t="str">
        <f t="shared" si="14"/>
        <v>17:18</v>
      </c>
      <c r="X8" s="52" t="s">
        <v>62</v>
      </c>
      <c r="Y8" s="124" t="s">
        <v>80</v>
      </c>
      <c r="Z8" s="124"/>
      <c r="AA8" s="47" t="s">
        <v>59</v>
      </c>
      <c r="AB8" s="47" t="str">
        <f t="shared" si="15"/>
        <v>NA</v>
      </c>
      <c r="AC8" s="53">
        <f t="shared" si="16"/>
        <v>0</v>
      </c>
      <c r="AD8" s="54">
        <f t="shared" si="17"/>
        <v>1</v>
      </c>
      <c r="AE8" s="54"/>
      <c r="AF8" s="54"/>
      <c r="AG8" s="55">
        <v>1</v>
      </c>
      <c r="AH8" s="56">
        <v>7</v>
      </c>
      <c r="AI8" s="55"/>
      <c r="AJ8" s="56" t="str">
        <f t="shared" si="20"/>
        <v/>
      </c>
      <c r="AK8" s="55">
        <v>1</v>
      </c>
      <c r="AL8" s="56">
        <v>5</v>
      </c>
      <c r="AM8" s="55"/>
      <c r="AN8" s="56" t="str">
        <f t="shared" si="22"/>
        <v/>
      </c>
      <c r="AO8" s="55"/>
      <c r="AP8" s="56" t="str">
        <f t="shared" si="23"/>
        <v/>
      </c>
      <c r="AQ8" s="55"/>
      <c r="AR8" s="56" t="str">
        <f t="shared" si="24"/>
        <v/>
      </c>
      <c r="AS8" s="57"/>
      <c r="AT8" s="58"/>
      <c r="AU8" s="58"/>
      <c r="AV8" s="59"/>
      <c r="AW8" s="60">
        <v>1</v>
      </c>
      <c r="AX8" s="61">
        <f t="shared" si="2"/>
        <v>1</v>
      </c>
      <c r="AY8" s="60">
        <f t="shared" si="3"/>
        <v>0</v>
      </c>
      <c r="AZ8" s="61" t="str">
        <f t="shared" si="4"/>
        <v/>
      </c>
    </row>
    <row r="9" spans="1:52" s="3" customFormat="1" ht="15" hidden="1" thickBot="1" x14ac:dyDescent="0.4">
      <c r="A9" s="72">
        <f t="shared" si="5"/>
        <v>2019</v>
      </c>
      <c r="B9" s="72" t="str">
        <f t="shared" si="6"/>
        <v>Nov</v>
      </c>
      <c r="C9" s="73">
        <f t="shared" si="25"/>
        <v>18</v>
      </c>
      <c r="D9" s="74">
        <f t="shared" si="7"/>
        <v>9</v>
      </c>
      <c r="E9" s="75">
        <v>17</v>
      </c>
      <c r="F9" s="79">
        <v>5</v>
      </c>
      <c r="G9" s="80">
        <v>0</v>
      </c>
      <c r="H9" s="68" t="str">
        <f t="shared" si="26"/>
        <v>Senbur7_20191118_09_00</v>
      </c>
      <c r="I9" s="69">
        <f t="shared" si="27"/>
        <v>1</v>
      </c>
      <c r="J9" s="76" t="str">
        <f t="shared" si="9"/>
        <v>Senecio</v>
      </c>
      <c r="K9" s="76" t="str">
        <f t="shared" si="9"/>
        <v>burtoni</v>
      </c>
      <c r="L9" s="77">
        <f t="shared" si="9"/>
        <v>7</v>
      </c>
      <c r="M9" s="77">
        <f t="shared" si="9"/>
        <v>7</v>
      </c>
      <c r="N9" s="71">
        <f t="shared" si="9"/>
        <v>0</v>
      </c>
      <c r="O9" s="44"/>
      <c r="P9" s="45">
        <f t="shared" si="10"/>
        <v>1</v>
      </c>
      <c r="Q9" s="46" t="str">
        <f t="shared" si="11"/>
        <v>09:17:05</v>
      </c>
      <c r="R9" s="47" t="str">
        <f t="shared" si="12"/>
        <v>17:05</v>
      </c>
      <c r="S9" s="48">
        <f t="shared" si="0"/>
        <v>158</v>
      </c>
      <c r="T9" s="47" t="str">
        <f t="shared" si="13"/>
        <v>09</v>
      </c>
      <c r="U9" s="49">
        <v>19</v>
      </c>
      <c r="V9" s="50">
        <v>43</v>
      </c>
      <c r="W9" s="51" t="str">
        <f t="shared" si="14"/>
        <v>19:43</v>
      </c>
      <c r="X9" s="52" t="s">
        <v>63</v>
      </c>
      <c r="Y9" s="124" t="s">
        <v>80</v>
      </c>
      <c r="Z9" s="124"/>
      <c r="AA9" s="47" t="s">
        <v>59</v>
      </c>
      <c r="AB9" s="47" t="str">
        <f t="shared" si="15"/>
        <v>NA</v>
      </c>
      <c r="AC9" s="53">
        <f t="shared" si="16"/>
        <v>0</v>
      </c>
      <c r="AD9" s="54">
        <v>6</v>
      </c>
      <c r="AE9" s="54"/>
      <c r="AF9" s="54"/>
      <c r="AG9" s="55">
        <v>1</v>
      </c>
      <c r="AH9" s="56">
        <v>100</v>
      </c>
      <c r="AI9" s="55"/>
      <c r="AJ9" s="56" t="str">
        <f t="shared" si="20"/>
        <v/>
      </c>
      <c r="AK9" s="55"/>
      <c r="AL9" s="56" t="str">
        <f t="shared" si="21"/>
        <v/>
      </c>
      <c r="AM9" s="55">
        <v>1</v>
      </c>
      <c r="AN9" s="56">
        <v>58</v>
      </c>
      <c r="AO9" s="55"/>
      <c r="AP9" s="56" t="str">
        <f t="shared" si="23"/>
        <v/>
      </c>
      <c r="AQ9" s="55"/>
      <c r="AR9" s="56" t="str">
        <f t="shared" si="24"/>
        <v/>
      </c>
      <c r="AS9" s="57"/>
      <c r="AT9" s="58"/>
      <c r="AU9" s="58"/>
      <c r="AV9" s="59"/>
      <c r="AW9" s="60">
        <v>1</v>
      </c>
      <c r="AX9" s="61">
        <v>2</v>
      </c>
      <c r="AY9" s="60">
        <v>1</v>
      </c>
      <c r="AZ9" s="61">
        <v>2</v>
      </c>
    </row>
    <row r="10" spans="1:52" s="3" customFormat="1" hidden="1" x14ac:dyDescent="0.35">
      <c r="A10" s="72">
        <f t="shared" si="5"/>
        <v>2019</v>
      </c>
      <c r="B10" s="72" t="str">
        <f t="shared" si="6"/>
        <v>Nov</v>
      </c>
      <c r="C10" s="73">
        <f t="shared" si="25"/>
        <v>18</v>
      </c>
      <c r="D10" s="74">
        <f t="shared" si="7"/>
        <v>9</v>
      </c>
      <c r="E10" s="75">
        <f t="shared" si="8"/>
        <v>18</v>
      </c>
      <c r="F10" s="79"/>
      <c r="G10" s="81">
        <f>IF(G4&lt;G3, ABS(G3-(G4+60)), ABS(G3-G4))</f>
        <v>0</v>
      </c>
      <c r="H10" s="68" t="str">
        <f t="shared" si="26"/>
        <v>Senbur7_20191118_09_00</v>
      </c>
      <c r="I10" s="69">
        <f t="shared" si="27"/>
        <v>1</v>
      </c>
      <c r="J10" s="76" t="str">
        <f t="shared" si="9"/>
        <v>Senecio</v>
      </c>
      <c r="K10" s="76" t="str">
        <f t="shared" si="9"/>
        <v>burtoni</v>
      </c>
      <c r="L10" s="77">
        <f t="shared" si="9"/>
        <v>7</v>
      </c>
      <c r="M10" s="77">
        <f t="shared" si="9"/>
        <v>7</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18</v>
      </c>
      <c r="D11" s="74">
        <f t="shared" si="7"/>
        <v>9</v>
      </c>
      <c r="E11" s="75">
        <f t="shared" si="8"/>
        <v>19</v>
      </c>
      <c r="F11" s="79"/>
      <c r="G11" s="82"/>
      <c r="H11" s="68" t="str">
        <f t="shared" si="26"/>
        <v>Senbur7_20191118_09_00</v>
      </c>
      <c r="I11" s="69">
        <f t="shared" si="27"/>
        <v>1</v>
      </c>
      <c r="J11" s="76" t="str">
        <f t="shared" si="9"/>
        <v>Senecio</v>
      </c>
      <c r="K11" s="76" t="str">
        <f t="shared" si="9"/>
        <v>burtoni</v>
      </c>
      <c r="L11" s="77">
        <f t="shared" si="9"/>
        <v>7</v>
      </c>
      <c r="M11" s="77">
        <f t="shared" si="9"/>
        <v>7</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18</v>
      </c>
      <c r="D12" s="74">
        <f t="shared" si="7"/>
        <v>9</v>
      </c>
      <c r="E12" s="75">
        <f t="shared" si="8"/>
        <v>20</v>
      </c>
      <c r="F12" s="79"/>
      <c r="G12" s="82"/>
      <c r="H12" s="68" t="str">
        <f t="shared" si="26"/>
        <v>Senbur7_20191118_09_00</v>
      </c>
      <c r="I12" s="69">
        <f t="shared" si="27"/>
        <v>1</v>
      </c>
      <c r="J12" s="76" t="str">
        <f t="shared" si="9"/>
        <v>Senecio</v>
      </c>
      <c r="K12" s="76" t="str">
        <f t="shared" si="9"/>
        <v>burtoni</v>
      </c>
      <c r="L12" s="77">
        <f t="shared" si="9"/>
        <v>7</v>
      </c>
      <c r="M12" s="77">
        <f t="shared" si="9"/>
        <v>7</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18</v>
      </c>
      <c r="D13" s="74">
        <f t="shared" si="7"/>
        <v>9</v>
      </c>
      <c r="E13" s="75">
        <f t="shared" si="8"/>
        <v>21</v>
      </c>
      <c r="F13" s="79">
        <v>38</v>
      </c>
      <c r="G13" s="82"/>
      <c r="H13" s="68" t="str">
        <f t="shared" si="26"/>
        <v>Senbur7_20191118_09_00</v>
      </c>
      <c r="I13" s="69">
        <f t="shared" si="27"/>
        <v>1</v>
      </c>
      <c r="J13" s="76" t="str">
        <f t="shared" si="9"/>
        <v>Senecio</v>
      </c>
      <c r="K13" s="76" t="str">
        <f t="shared" si="9"/>
        <v>burtoni</v>
      </c>
      <c r="L13" s="77">
        <f t="shared" si="9"/>
        <v>7</v>
      </c>
      <c r="M13" s="77">
        <f t="shared" si="9"/>
        <v>7</v>
      </c>
      <c r="N13" s="71">
        <f t="shared" si="9"/>
        <v>0</v>
      </c>
      <c r="O13" s="44"/>
      <c r="P13" s="45">
        <f t="shared" si="10"/>
        <v>1</v>
      </c>
      <c r="Q13" s="46" t="str">
        <f t="shared" si="11"/>
        <v>09:21:38</v>
      </c>
      <c r="R13" s="47" t="str">
        <f t="shared" si="12"/>
        <v>21:38</v>
      </c>
      <c r="S13" s="48">
        <f t="shared" si="0"/>
        <v>93</v>
      </c>
      <c r="T13" s="47" t="str">
        <f t="shared" si="13"/>
        <v>09</v>
      </c>
      <c r="U13" s="49">
        <v>23</v>
      </c>
      <c r="V13" s="50">
        <v>11</v>
      </c>
      <c r="W13" s="51" t="str">
        <f t="shared" si="14"/>
        <v>23:11</v>
      </c>
      <c r="X13" s="52" t="s">
        <v>63</v>
      </c>
      <c r="Y13" s="124" t="s">
        <v>81</v>
      </c>
      <c r="Z13" s="124"/>
      <c r="AA13" s="47" t="s">
        <v>59</v>
      </c>
      <c r="AB13" s="47" t="str">
        <f t="shared" si="15"/>
        <v>NA</v>
      </c>
      <c r="AC13" s="53">
        <f t="shared" si="16"/>
        <v>0</v>
      </c>
      <c r="AD13" s="54">
        <f t="shared" si="17"/>
        <v>1</v>
      </c>
      <c r="AE13" s="54"/>
      <c r="AF13" s="54"/>
      <c r="AG13" s="55">
        <v>1</v>
      </c>
      <c r="AH13" s="56">
        <v>53</v>
      </c>
      <c r="AI13" s="55"/>
      <c r="AJ13" s="56" t="str">
        <f t="shared" si="20"/>
        <v/>
      </c>
      <c r="AK13" s="55"/>
      <c r="AL13" s="56" t="str">
        <f t="shared" si="21"/>
        <v/>
      </c>
      <c r="AM13" s="55">
        <v>1</v>
      </c>
      <c r="AN13" s="56">
        <v>40</v>
      </c>
      <c r="AO13" s="55"/>
      <c r="AP13" s="56" t="str">
        <f t="shared" si="23"/>
        <v/>
      </c>
      <c r="AQ13" s="55"/>
      <c r="AR13" s="56" t="str">
        <f t="shared" si="24"/>
        <v/>
      </c>
      <c r="AS13" s="57"/>
      <c r="AT13" s="58"/>
      <c r="AU13" s="58"/>
      <c r="AV13" s="59"/>
      <c r="AW13" s="60">
        <v>1</v>
      </c>
      <c r="AX13" s="61">
        <f t="shared" si="2"/>
        <v>1</v>
      </c>
      <c r="AY13" s="60">
        <v>1</v>
      </c>
      <c r="AZ13" s="61">
        <f t="shared" si="4"/>
        <v>1</v>
      </c>
    </row>
    <row r="14" spans="1:52" s="3" customFormat="1" hidden="1" x14ac:dyDescent="0.35">
      <c r="A14" s="72">
        <f t="shared" si="5"/>
        <v>2019</v>
      </c>
      <c r="B14" s="72" t="str">
        <f t="shared" si="6"/>
        <v>Nov</v>
      </c>
      <c r="C14" s="73">
        <f t="shared" si="25"/>
        <v>18</v>
      </c>
      <c r="D14" s="74">
        <f t="shared" si="7"/>
        <v>9</v>
      </c>
      <c r="E14" s="75">
        <f t="shared" si="8"/>
        <v>22</v>
      </c>
      <c r="F14" s="79"/>
      <c r="G14" s="82"/>
      <c r="H14" s="68" t="str">
        <f t="shared" si="26"/>
        <v>Senbur7_20191118_09_00</v>
      </c>
      <c r="I14" s="69">
        <f t="shared" si="27"/>
        <v>1</v>
      </c>
      <c r="J14" s="76" t="str">
        <f t="shared" si="9"/>
        <v>Senecio</v>
      </c>
      <c r="K14" s="76" t="str">
        <f t="shared" si="9"/>
        <v>burtoni</v>
      </c>
      <c r="L14" s="77">
        <f t="shared" si="9"/>
        <v>7</v>
      </c>
      <c r="M14" s="77">
        <f t="shared" si="9"/>
        <v>7</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18</v>
      </c>
      <c r="D15" s="74">
        <f t="shared" si="7"/>
        <v>9</v>
      </c>
      <c r="E15" s="75">
        <f t="shared" si="8"/>
        <v>23</v>
      </c>
      <c r="F15" s="79"/>
      <c r="G15" s="82"/>
      <c r="H15" s="68" t="str">
        <f t="shared" si="26"/>
        <v>Senbur7_20191118_09_00</v>
      </c>
      <c r="I15" s="69">
        <f t="shared" si="27"/>
        <v>1</v>
      </c>
      <c r="J15" s="76" t="str">
        <f t="shared" si="9"/>
        <v>Senecio</v>
      </c>
      <c r="K15" s="76" t="str">
        <f t="shared" si="9"/>
        <v>burtoni</v>
      </c>
      <c r="L15" s="77">
        <f t="shared" si="9"/>
        <v>7</v>
      </c>
      <c r="M15" s="77">
        <f t="shared" si="9"/>
        <v>7</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18</v>
      </c>
      <c r="D16" s="74">
        <f t="shared" si="7"/>
        <v>9</v>
      </c>
      <c r="E16" s="75">
        <f t="shared" si="8"/>
        <v>24</v>
      </c>
      <c r="F16" s="79">
        <v>3</v>
      </c>
      <c r="G16" s="82"/>
      <c r="H16" s="68" t="str">
        <f t="shared" si="26"/>
        <v>Senbur7_20191118_09_00</v>
      </c>
      <c r="I16" s="69">
        <f t="shared" si="27"/>
        <v>1</v>
      </c>
      <c r="J16" s="76" t="str">
        <f t="shared" si="9"/>
        <v>Senecio</v>
      </c>
      <c r="K16" s="76" t="str">
        <f t="shared" si="9"/>
        <v>burtoni</v>
      </c>
      <c r="L16" s="77">
        <f t="shared" si="9"/>
        <v>7</v>
      </c>
      <c r="M16" s="77">
        <f t="shared" si="9"/>
        <v>7</v>
      </c>
      <c r="N16" s="71">
        <f t="shared" si="9"/>
        <v>0</v>
      </c>
      <c r="O16" s="44"/>
      <c r="P16" s="45">
        <f t="shared" si="10"/>
        <v>1</v>
      </c>
      <c r="Q16" s="46" t="str">
        <f t="shared" si="11"/>
        <v>09:24:03</v>
      </c>
      <c r="R16" s="47" t="str">
        <f t="shared" si="12"/>
        <v>24:03</v>
      </c>
      <c r="S16" s="48">
        <f t="shared" si="0"/>
        <v>5</v>
      </c>
      <c r="T16" s="47" t="str">
        <f t="shared" si="13"/>
        <v>09</v>
      </c>
      <c r="U16" s="49">
        <v>24</v>
      </c>
      <c r="V16" s="50">
        <v>8</v>
      </c>
      <c r="W16" s="51" t="str">
        <f t="shared" si="14"/>
        <v>24:08</v>
      </c>
      <c r="X16" s="52" t="s">
        <v>63</v>
      </c>
      <c r="Y16" s="124" t="s">
        <v>82</v>
      </c>
      <c r="Z16" s="124"/>
      <c r="AA16" s="47" t="s">
        <v>59</v>
      </c>
      <c r="AB16" s="47" t="str">
        <f t="shared" si="15"/>
        <v>NA</v>
      </c>
      <c r="AC16" s="53">
        <f t="shared" si="16"/>
        <v>0</v>
      </c>
      <c r="AD16" s="54">
        <f t="shared" si="17"/>
        <v>1</v>
      </c>
      <c r="AE16" s="54"/>
      <c r="AF16" s="54"/>
      <c r="AG16" s="55">
        <v>1</v>
      </c>
      <c r="AH16" s="56">
        <v>3</v>
      </c>
      <c r="AI16" s="55"/>
      <c r="AJ16" s="56" t="str">
        <f t="shared" si="20"/>
        <v/>
      </c>
      <c r="AK16" s="55"/>
      <c r="AL16" s="56" t="str">
        <f t="shared" si="21"/>
        <v/>
      </c>
      <c r="AM16" s="55">
        <v>1</v>
      </c>
      <c r="AN16" s="56">
        <v>2</v>
      </c>
      <c r="AO16" s="55"/>
      <c r="AP16" s="56" t="str">
        <f t="shared" si="23"/>
        <v/>
      </c>
      <c r="AQ16" s="55"/>
      <c r="AR16" s="56" t="str">
        <f t="shared" si="24"/>
        <v/>
      </c>
      <c r="AS16" s="57"/>
      <c r="AT16" s="58"/>
      <c r="AU16" s="58"/>
      <c r="AV16" s="59"/>
      <c r="AW16" s="60">
        <v>1</v>
      </c>
      <c r="AX16" s="61">
        <f t="shared" si="2"/>
        <v>1</v>
      </c>
      <c r="AY16" s="60">
        <f t="shared" si="3"/>
        <v>0</v>
      </c>
      <c r="AZ16" s="61" t="str">
        <f t="shared" si="4"/>
        <v/>
      </c>
    </row>
    <row r="17" spans="1:52" s="3" customFormat="1" x14ac:dyDescent="0.35">
      <c r="A17" s="72">
        <f t="shared" si="5"/>
        <v>2019</v>
      </c>
      <c r="B17" s="72" t="str">
        <f t="shared" si="6"/>
        <v>Nov</v>
      </c>
      <c r="C17" s="73">
        <f t="shared" si="25"/>
        <v>18</v>
      </c>
      <c r="D17" s="74">
        <f t="shared" si="7"/>
        <v>9</v>
      </c>
      <c r="E17" s="75">
        <f t="shared" si="8"/>
        <v>25</v>
      </c>
      <c r="F17" s="79">
        <v>53</v>
      </c>
      <c r="G17" s="82"/>
      <c r="H17" s="68" t="str">
        <f t="shared" si="26"/>
        <v>Senbur7_20191118_09_00</v>
      </c>
      <c r="I17" s="69">
        <f t="shared" si="27"/>
        <v>1</v>
      </c>
      <c r="J17" s="76" t="str">
        <f t="shared" si="9"/>
        <v>Senecio</v>
      </c>
      <c r="K17" s="76" t="str">
        <f t="shared" si="9"/>
        <v>burtoni</v>
      </c>
      <c r="L17" s="77">
        <f t="shared" si="9"/>
        <v>7</v>
      </c>
      <c r="M17" s="77">
        <f t="shared" si="9"/>
        <v>7</v>
      </c>
      <c r="N17" s="71">
        <f t="shared" si="9"/>
        <v>0</v>
      </c>
      <c r="O17" s="44"/>
      <c r="P17" s="45">
        <f t="shared" si="10"/>
        <v>1</v>
      </c>
      <c r="Q17" s="46" t="str">
        <f t="shared" si="11"/>
        <v>09:25:53</v>
      </c>
      <c r="R17" s="47" t="str">
        <f t="shared" si="12"/>
        <v>25:53</v>
      </c>
      <c r="S17" s="48">
        <f t="shared" si="0"/>
        <v>66</v>
      </c>
      <c r="T17" s="47" t="str">
        <f t="shared" si="13"/>
        <v>09</v>
      </c>
      <c r="U17" s="49">
        <v>26</v>
      </c>
      <c r="V17" s="50">
        <v>59</v>
      </c>
      <c r="W17" s="51" t="str">
        <f t="shared" si="14"/>
        <v>26:59</v>
      </c>
      <c r="X17" s="52" t="s">
        <v>64</v>
      </c>
      <c r="Y17" s="124" t="s">
        <v>101</v>
      </c>
      <c r="Z17" s="124"/>
      <c r="AA17" s="47" t="s">
        <v>77</v>
      </c>
      <c r="AB17" s="47" t="str">
        <f t="shared" si="15"/>
        <v>NA</v>
      </c>
      <c r="AC17" s="53">
        <f t="shared" si="16"/>
        <v>0</v>
      </c>
      <c r="AD17" s="54">
        <f t="shared" si="17"/>
        <v>1</v>
      </c>
      <c r="AE17" s="54"/>
      <c r="AF17" s="54"/>
      <c r="AG17" s="55">
        <v>1</v>
      </c>
      <c r="AH17" s="56">
        <v>16</v>
      </c>
      <c r="AI17" s="55"/>
      <c r="AJ17" s="56" t="str">
        <f t="shared" si="20"/>
        <v/>
      </c>
      <c r="AK17" s="55">
        <v>1</v>
      </c>
      <c r="AL17" s="56">
        <v>20</v>
      </c>
      <c r="AM17" s="55">
        <v>1</v>
      </c>
      <c r="AN17" s="56">
        <v>30</v>
      </c>
      <c r="AO17" s="55"/>
      <c r="AP17" s="56" t="str">
        <f t="shared" si="23"/>
        <v/>
      </c>
      <c r="AQ17" s="55"/>
      <c r="AR17" s="56" t="str">
        <f t="shared" si="24"/>
        <v/>
      </c>
      <c r="AS17" s="57"/>
      <c r="AT17" s="58"/>
      <c r="AU17" s="58"/>
      <c r="AV17" s="59"/>
      <c r="AW17" s="60">
        <v>1</v>
      </c>
      <c r="AX17" s="61">
        <f t="shared" si="2"/>
        <v>1</v>
      </c>
      <c r="AY17" s="60">
        <v>1</v>
      </c>
      <c r="AZ17" s="61">
        <f t="shared" si="4"/>
        <v>1</v>
      </c>
    </row>
    <row r="18" spans="1:52" s="3" customFormat="1" hidden="1" x14ac:dyDescent="0.35">
      <c r="A18" s="72">
        <f t="shared" si="5"/>
        <v>2019</v>
      </c>
      <c r="B18" s="72" t="str">
        <f t="shared" si="6"/>
        <v>Nov</v>
      </c>
      <c r="C18" s="73">
        <f t="shared" si="25"/>
        <v>18</v>
      </c>
      <c r="D18" s="74">
        <f t="shared" si="7"/>
        <v>9</v>
      </c>
      <c r="E18" s="75">
        <f t="shared" si="8"/>
        <v>26</v>
      </c>
      <c r="F18" s="79">
        <v>9</v>
      </c>
      <c r="G18" s="82"/>
      <c r="H18" s="68" t="str">
        <f t="shared" si="26"/>
        <v>Senbur7_20191118_09_00</v>
      </c>
      <c r="I18" s="69">
        <f t="shared" si="27"/>
        <v>1</v>
      </c>
      <c r="J18" s="76" t="str">
        <f t="shared" si="9"/>
        <v>Senecio</v>
      </c>
      <c r="K18" s="76" t="str">
        <f t="shared" si="9"/>
        <v>burtoni</v>
      </c>
      <c r="L18" s="77">
        <f t="shared" si="9"/>
        <v>7</v>
      </c>
      <c r="M18" s="77">
        <f t="shared" si="9"/>
        <v>7</v>
      </c>
      <c r="N18" s="71">
        <f t="shared" si="9"/>
        <v>0</v>
      </c>
      <c r="O18" s="44"/>
      <c r="P18" s="45">
        <f t="shared" si="10"/>
        <v>1</v>
      </c>
      <c r="Q18" s="46" t="str">
        <f t="shared" si="11"/>
        <v>09:26:09</v>
      </c>
      <c r="R18" s="47" t="str">
        <f t="shared" si="12"/>
        <v>26:09</v>
      </c>
      <c r="S18" s="48">
        <f t="shared" si="0"/>
        <v>47</v>
      </c>
      <c r="T18" s="47" t="str">
        <f t="shared" si="13"/>
        <v>09</v>
      </c>
      <c r="U18" s="49">
        <v>26</v>
      </c>
      <c r="V18" s="50">
        <v>56</v>
      </c>
      <c r="W18" s="51" t="str">
        <f t="shared" si="14"/>
        <v>26:56</v>
      </c>
      <c r="X18" s="52" t="s">
        <v>63</v>
      </c>
      <c r="Y18" s="124" t="s">
        <v>82</v>
      </c>
      <c r="Z18" s="124"/>
      <c r="AA18" s="47" t="s">
        <v>59</v>
      </c>
      <c r="AB18" s="47" t="str">
        <f t="shared" si="15"/>
        <v>NA</v>
      </c>
      <c r="AC18" s="53">
        <f t="shared" si="16"/>
        <v>0</v>
      </c>
      <c r="AD18" s="54">
        <v>3</v>
      </c>
      <c r="AE18" s="54"/>
      <c r="AF18" s="54"/>
      <c r="AG18" s="55">
        <v>1</v>
      </c>
      <c r="AH18" s="56">
        <v>27</v>
      </c>
      <c r="AI18" s="55"/>
      <c r="AJ18" s="56" t="str">
        <f t="shared" si="20"/>
        <v/>
      </c>
      <c r="AK18" s="55"/>
      <c r="AL18" s="56" t="str">
        <f t="shared" si="21"/>
        <v/>
      </c>
      <c r="AM18" s="55">
        <v>1</v>
      </c>
      <c r="AN18" s="56">
        <v>20</v>
      </c>
      <c r="AO18" s="55"/>
      <c r="AP18" s="56" t="str">
        <f t="shared" si="23"/>
        <v/>
      </c>
      <c r="AQ18" s="55"/>
      <c r="AR18" s="56" t="str">
        <f t="shared" si="24"/>
        <v/>
      </c>
      <c r="AS18" s="57"/>
      <c r="AT18" s="58"/>
      <c r="AU18" s="58"/>
      <c r="AV18" s="59"/>
      <c r="AW18" s="60">
        <v>1</v>
      </c>
      <c r="AX18" s="61">
        <f t="shared" si="2"/>
        <v>3</v>
      </c>
      <c r="AY18" s="60">
        <v>1</v>
      </c>
      <c r="AZ18" s="61">
        <f t="shared" si="4"/>
        <v>3</v>
      </c>
    </row>
    <row r="19" spans="1:52" s="3" customFormat="1" hidden="1" x14ac:dyDescent="0.35">
      <c r="A19" s="72">
        <f t="shared" si="5"/>
        <v>2019</v>
      </c>
      <c r="B19" s="72" t="str">
        <f t="shared" si="6"/>
        <v>Nov</v>
      </c>
      <c r="C19" s="73">
        <f t="shared" si="25"/>
        <v>18</v>
      </c>
      <c r="D19" s="74">
        <f t="shared" si="7"/>
        <v>9</v>
      </c>
      <c r="E19" s="75">
        <f t="shared" si="8"/>
        <v>27</v>
      </c>
      <c r="F19" s="79">
        <v>13</v>
      </c>
      <c r="G19" s="82"/>
      <c r="H19" s="68" t="str">
        <f t="shared" si="26"/>
        <v>Senbur7_20191118_09_00</v>
      </c>
      <c r="I19" s="69">
        <f t="shared" si="27"/>
        <v>1</v>
      </c>
      <c r="J19" s="76" t="str">
        <f t="shared" si="9"/>
        <v>Senecio</v>
      </c>
      <c r="K19" s="76" t="str">
        <f t="shared" si="9"/>
        <v>burtoni</v>
      </c>
      <c r="L19" s="77">
        <f t="shared" si="9"/>
        <v>7</v>
      </c>
      <c r="M19" s="77">
        <f t="shared" si="9"/>
        <v>7</v>
      </c>
      <c r="N19" s="71">
        <f t="shared" si="9"/>
        <v>0</v>
      </c>
      <c r="O19" s="44"/>
      <c r="P19" s="45">
        <f t="shared" si="10"/>
        <v>1</v>
      </c>
      <c r="Q19" s="46" t="str">
        <f t="shared" si="11"/>
        <v>09:27:13</v>
      </c>
      <c r="R19" s="47" t="str">
        <f t="shared" si="12"/>
        <v>27:13</v>
      </c>
      <c r="S19" s="48">
        <f t="shared" si="0"/>
        <v>8</v>
      </c>
      <c r="T19" s="47" t="str">
        <f t="shared" si="13"/>
        <v>09</v>
      </c>
      <c r="U19" s="49">
        <v>27</v>
      </c>
      <c r="V19" s="50">
        <v>21</v>
      </c>
      <c r="W19" s="51" t="str">
        <f t="shared" si="14"/>
        <v>27:21</v>
      </c>
      <c r="X19" s="52" t="s">
        <v>63</v>
      </c>
      <c r="Y19" s="124" t="s">
        <v>82</v>
      </c>
      <c r="Z19" s="124"/>
      <c r="AA19" s="47" t="s">
        <v>59</v>
      </c>
      <c r="AB19" s="47" t="str">
        <f t="shared" si="15"/>
        <v>NA</v>
      </c>
      <c r="AC19" s="53">
        <f t="shared" si="16"/>
        <v>0</v>
      </c>
      <c r="AD19" s="54">
        <f t="shared" si="17"/>
        <v>1</v>
      </c>
      <c r="AE19" s="54"/>
      <c r="AF19" s="54"/>
      <c r="AG19" s="55" t="str">
        <f t="shared" si="18"/>
        <v/>
      </c>
      <c r="AH19" s="56" t="str">
        <f t="shared" si="19"/>
        <v/>
      </c>
      <c r="AI19" s="55"/>
      <c r="AJ19" s="56" t="str">
        <f t="shared" si="20"/>
        <v/>
      </c>
      <c r="AK19" s="55"/>
      <c r="AL19" s="56" t="str">
        <f t="shared" si="21"/>
        <v/>
      </c>
      <c r="AM19" s="55">
        <v>1</v>
      </c>
      <c r="AN19" s="56">
        <f t="shared" si="22"/>
        <v>8</v>
      </c>
      <c r="AO19" s="55"/>
      <c r="AP19" s="56" t="str">
        <f t="shared" si="23"/>
        <v/>
      </c>
      <c r="AQ19" s="55"/>
      <c r="AR19" s="56" t="str">
        <f t="shared" si="24"/>
        <v/>
      </c>
      <c r="AS19" s="57"/>
      <c r="AT19" s="58"/>
      <c r="AU19" s="58"/>
      <c r="AV19" s="59"/>
      <c r="AW19" s="60">
        <v>1</v>
      </c>
      <c r="AX19" s="61">
        <f t="shared" si="2"/>
        <v>1</v>
      </c>
      <c r="AY19" s="60">
        <f t="shared" si="3"/>
        <v>0</v>
      </c>
      <c r="AZ19" s="61" t="str">
        <f t="shared" si="4"/>
        <v/>
      </c>
    </row>
    <row r="20" spans="1:52" s="3" customFormat="1" hidden="1" x14ac:dyDescent="0.35">
      <c r="A20" s="72">
        <f t="shared" si="5"/>
        <v>2019</v>
      </c>
      <c r="B20" s="72" t="str">
        <f t="shared" si="6"/>
        <v>Nov</v>
      </c>
      <c r="C20" s="73">
        <f t="shared" si="25"/>
        <v>18</v>
      </c>
      <c r="D20" s="74">
        <f t="shared" si="7"/>
        <v>9</v>
      </c>
      <c r="E20" s="75">
        <f t="shared" si="8"/>
        <v>28</v>
      </c>
      <c r="F20" s="79"/>
      <c r="G20" s="82"/>
      <c r="H20" s="68" t="str">
        <f t="shared" si="26"/>
        <v>Senbur7_20191118_09_00</v>
      </c>
      <c r="I20" s="69">
        <f t="shared" si="27"/>
        <v>1</v>
      </c>
      <c r="J20" s="76" t="str">
        <f t="shared" si="27"/>
        <v>Senecio</v>
      </c>
      <c r="K20" s="76" t="str">
        <f t="shared" si="27"/>
        <v>burtoni</v>
      </c>
      <c r="L20" s="77">
        <f t="shared" si="27"/>
        <v>7</v>
      </c>
      <c r="M20" s="77">
        <f t="shared" si="27"/>
        <v>7</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2019</v>
      </c>
      <c r="B21" s="72" t="str">
        <f t="shared" si="6"/>
        <v>Nov</v>
      </c>
      <c r="C21" s="73">
        <f t="shared" si="25"/>
        <v>18</v>
      </c>
      <c r="D21" s="74">
        <f t="shared" si="7"/>
        <v>9</v>
      </c>
      <c r="E21" s="75">
        <f t="shared" si="8"/>
        <v>29</v>
      </c>
      <c r="F21" s="79">
        <v>17</v>
      </c>
      <c r="G21" s="82"/>
      <c r="H21" s="68" t="str">
        <f t="shared" si="26"/>
        <v>Senbur7_20191118_09_00</v>
      </c>
      <c r="I21" s="69">
        <f t="shared" ref="I21:N36" si="28">I20</f>
        <v>1</v>
      </c>
      <c r="J21" s="76" t="str">
        <f t="shared" si="28"/>
        <v>Senecio</v>
      </c>
      <c r="K21" s="76" t="str">
        <f t="shared" si="28"/>
        <v>burtoni</v>
      </c>
      <c r="L21" s="77">
        <f t="shared" si="28"/>
        <v>7</v>
      </c>
      <c r="M21" s="77">
        <f t="shared" si="28"/>
        <v>7</v>
      </c>
      <c r="N21" s="71">
        <f t="shared" si="28"/>
        <v>0</v>
      </c>
      <c r="O21" s="44"/>
      <c r="P21" s="45">
        <f t="shared" si="10"/>
        <v>1</v>
      </c>
      <c r="Q21" s="46" t="str">
        <f t="shared" si="11"/>
        <v>09:29:17</v>
      </c>
      <c r="R21" s="47" t="str">
        <f t="shared" si="12"/>
        <v>29:17</v>
      </c>
      <c r="S21" s="48">
        <f t="shared" si="0"/>
        <v>13</v>
      </c>
      <c r="T21" s="47" t="str">
        <f t="shared" si="13"/>
        <v>09</v>
      </c>
      <c r="U21" s="49">
        <v>29</v>
      </c>
      <c r="V21" s="50">
        <v>30</v>
      </c>
      <c r="W21" s="51" t="str">
        <f t="shared" si="14"/>
        <v>29:30</v>
      </c>
      <c r="X21" s="52" t="s">
        <v>62</v>
      </c>
      <c r="Y21" s="124" t="s">
        <v>101</v>
      </c>
      <c r="Z21" s="124"/>
      <c r="AA21" s="47" t="s">
        <v>77</v>
      </c>
      <c r="AB21" s="47" t="str">
        <f t="shared" si="15"/>
        <v>NA</v>
      </c>
      <c r="AC21" s="53">
        <f t="shared" si="16"/>
        <v>0</v>
      </c>
      <c r="AD21" s="54">
        <v>2</v>
      </c>
      <c r="AE21" s="54"/>
      <c r="AF21" s="54"/>
      <c r="AG21" s="55">
        <v>1</v>
      </c>
      <c r="AH21" s="56">
        <v>3</v>
      </c>
      <c r="AI21" s="55"/>
      <c r="AJ21" s="56" t="str">
        <f t="shared" si="20"/>
        <v/>
      </c>
      <c r="AK21" s="55">
        <v>1</v>
      </c>
      <c r="AL21" s="56">
        <v>5</v>
      </c>
      <c r="AM21" s="55">
        <v>1</v>
      </c>
      <c r="AN21" s="56">
        <v>5</v>
      </c>
      <c r="AO21" s="55"/>
      <c r="AP21" s="56" t="str">
        <f t="shared" si="23"/>
        <v/>
      </c>
      <c r="AQ21" s="55"/>
      <c r="AR21" s="56" t="str">
        <f t="shared" si="24"/>
        <v/>
      </c>
      <c r="AS21" s="57"/>
      <c r="AT21" s="58"/>
      <c r="AU21" s="58"/>
      <c r="AV21" s="59"/>
      <c r="AW21" s="60">
        <v>1</v>
      </c>
      <c r="AX21" s="61">
        <v>1</v>
      </c>
      <c r="AY21" s="60">
        <v>1</v>
      </c>
      <c r="AZ21" s="61">
        <v>1</v>
      </c>
    </row>
    <row r="22" spans="1:52" s="3" customFormat="1" hidden="1" x14ac:dyDescent="0.35">
      <c r="A22" s="72">
        <f t="shared" si="5"/>
        <v>2019</v>
      </c>
      <c r="B22" s="72" t="str">
        <f t="shared" si="6"/>
        <v>Nov</v>
      </c>
      <c r="C22" s="73">
        <f t="shared" si="25"/>
        <v>18</v>
      </c>
      <c r="D22" s="74">
        <f t="shared" si="7"/>
        <v>9</v>
      </c>
      <c r="E22" s="75">
        <f t="shared" si="8"/>
        <v>30</v>
      </c>
      <c r="F22" s="79"/>
      <c r="G22" s="82"/>
      <c r="H22" s="68" t="str">
        <f t="shared" si="26"/>
        <v>Senbur7_20191118_09_00</v>
      </c>
      <c r="I22" s="69">
        <f t="shared" si="28"/>
        <v>1</v>
      </c>
      <c r="J22" s="76" t="str">
        <f t="shared" si="28"/>
        <v>Senecio</v>
      </c>
      <c r="K22" s="76" t="str">
        <f t="shared" si="28"/>
        <v>burtoni</v>
      </c>
      <c r="L22" s="77">
        <f t="shared" si="28"/>
        <v>7</v>
      </c>
      <c r="M22" s="77">
        <f t="shared" si="28"/>
        <v>7</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18</v>
      </c>
      <c r="D23" s="74">
        <f t="shared" si="7"/>
        <v>9</v>
      </c>
      <c r="E23" s="75">
        <f t="shared" si="8"/>
        <v>31</v>
      </c>
      <c r="F23" s="79"/>
      <c r="G23" s="82"/>
      <c r="H23" s="68" t="str">
        <f t="shared" si="26"/>
        <v>Senbur7_20191118_09_00</v>
      </c>
      <c r="I23" s="69">
        <f t="shared" si="28"/>
        <v>1</v>
      </c>
      <c r="J23" s="76" t="str">
        <f t="shared" si="28"/>
        <v>Senecio</v>
      </c>
      <c r="K23" s="76" t="str">
        <f t="shared" si="28"/>
        <v>burtoni</v>
      </c>
      <c r="L23" s="77">
        <f t="shared" si="28"/>
        <v>7</v>
      </c>
      <c r="M23" s="77">
        <f t="shared" si="28"/>
        <v>7</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18</v>
      </c>
      <c r="D24" s="74">
        <f t="shared" si="7"/>
        <v>9</v>
      </c>
      <c r="E24" s="75">
        <f t="shared" si="8"/>
        <v>32</v>
      </c>
      <c r="F24" s="79"/>
      <c r="G24" s="82"/>
      <c r="H24" s="68" t="str">
        <f t="shared" si="26"/>
        <v>Senbur7_20191118_09_00</v>
      </c>
      <c r="I24" s="69">
        <f t="shared" si="28"/>
        <v>1</v>
      </c>
      <c r="J24" s="76" t="str">
        <f t="shared" si="28"/>
        <v>Senecio</v>
      </c>
      <c r="K24" s="76" t="str">
        <f t="shared" si="28"/>
        <v>burtoni</v>
      </c>
      <c r="L24" s="77">
        <f t="shared" si="28"/>
        <v>7</v>
      </c>
      <c r="M24" s="77">
        <f t="shared" si="28"/>
        <v>7</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18</v>
      </c>
      <c r="D25" s="74">
        <f t="shared" si="7"/>
        <v>9</v>
      </c>
      <c r="E25" s="75">
        <f t="shared" si="8"/>
        <v>33</v>
      </c>
      <c r="F25" s="79"/>
      <c r="G25" s="82"/>
      <c r="H25" s="68" t="str">
        <f t="shared" si="26"/>
        <v>Senbur7_20191118_09_00</v>
      </c>
      <c r="I25" s="69">
        <f t="shared" si="28"/>
        <v>1</v>
      </c>
      <c r="J25" s="76" t="str">
        <f t="shared" si="28"/>
        <v>Senecio</v>
      </c>
      <c r="K25" s="76" t="str">
        <f t="shared" si="28"/>
        <v>burtoni</v>
      </c>
      <c r="L25" s="77">
        <f t="shared" si="28"/>
        <v>7</v>
      </c>
      <c r="M25" s="77">
        <f t="shared" si="28"/>
        <v>7</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18</v>
      </c>
      <c r="D26" s="74">
        <f t="shared" si="7"/>
        <v>9</v>
      </c>
      <c r="E26" s="75">
        <f t="shared" si="8"/>
        <v>34</v>
      </c>
      <c r="F26" s="79"/>
      <c r="G26" s="82"/>
      <c r="H26" s="68" t="str">
        <f t="shared" si="26"/>
        <v>Senbur7_20191118_09_00</v>
      </c>
      <c r="I26" s="69">
        <f t="shared" si="28"/>
        <v>1</v>
      </c>
      <c r="J26" s="76" t="str">
        <f t="shared" si="28"/>
        <v>Senecio</v>
      </c>
      <c r="K26" s="76" t="str">
        <f t="shared" si="28"/>
        <v>burtoni</v>
      </c>
      <c r="L26" s="77">
        <f t="shared" si="28"/>
        <v>7</v>
      </c>
      <c r="M26" s="77">
        <f t="shared" si="28"/>
        <v>7</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18</v>
      </c>
      <c r="D27" s="74">
        <f t="shared" si="7"/>
        <v>9</v>
      </c>
      <c r="E27" s="75">
        <f t="shared" si="8"/>
        <v>35</v>
      </c>
      <c r="F27" s="79"/>
      <c r="G27" s="82"/>
      <c r="H27" s="68" t="str">
        <f t="shared" si="26"/>
        <v>Senbur7_20191118_09_00</v>
      </c>
      <c r="I27" s="69">
        <f t="shared" si="28"/>
        <v>1</v>
      </c>
      <c r="J27" s="76" t="str">
        <f t="shared" si="28"/>
        <v>Senecio</v>
      </c>
      <c r="K27" s="76" t="str">
        <f t="shared" si="28"/>
        <v>burtoni</v>
      </c>
      <c r="L27" s="77">
        <f t="shared" si="28"/>
        <v>7</v>
      </c>
      <c r="M27" s="77">
        <f t="shared" si="28"/>
        <v>7</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18</v>
      </c>
      <c r="D28" s="74">
        <f t="shared" si="7"/>
        <v>9</v>
      </c>
      <c r="E28" s="75">
        <f t="shared" si="8"/>
        <v>36</v>
      </c>
      <c r="F28" s="79"/>
      <c r="G28" s="82"/>
      <c r="H28" s="68" t="str">
        <f t="shared" si="26"/>
        <v>Senbur7_20191118_09_00</v>
      </c>
      <c r="I28" s="69">
        <f t="shared" si="28"/>
        <v>1</v>
      </c>
      <c r="J28" s="76" t="str">
        <f t="shared" si="28"/>
        <v>Senecio</v>
      </c>
      <c r="K28" s="76" t="str">
        <f t="shared" si="28"/>
        <v>burtoni</v>
      </c>
      <c r="L28" s="77">
        <f t="shared" si="28"/>
        <v>7</v>
      </c>
      <c r="M28" s="77">
        <f t="shared" si="28"/>
        <v>7</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18</v>
      </c>
      <c r="D29" s="74">
        <f t="shared" si="7"/>
        <v>9</v>
      </c>
      <c r="E29" s="75">
        <f t="shared" si="8"/>
        <v>37</v>
      </c>
      <c r="F29" s="79"/>
      <c r="G29" s="82"/>
      <c r="H29" s="68" t="str">
        <f t="shared" si="26"/>
        <v>Senbur7_20191118_09_00</v>
      </c>
      <c r="I29" s="69">
        <f t="shared" si="28"/>
        <v>1</v>
      </c>
      <c r="J29" s="76" t="str">
        <f t="shared" si="28"/>
        <v>Senecio</v>
      </c>
      <c r="K29" s="76" t="str">
        <f t="shared" si="28"/>
        <v>burtoni</v>
      </c>
      <c r="L29" s="77">
        <f t="shared" si="28"/>
        <v>7</v>
      </c>
      <c r="M29" s="77">
        <f t="shared" si="28"/>
        <v>7</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18</v>
      </c>
      <c r="D30" s="74">
        <f t="shared" si="7"/>
        <v>9</v>
      </c>
      <c r="E30" s="75">
        <f t="shared" si="8"/>
        <v>38</v>
      </c>
      <c r="F30" s="79"/>
      <c r="G30" s="82"/>
      <c r="H30" s="68" t="str">
        <f t="shared" si="26"/>
        <v>Senbur7_20191118_09_00</v>
      </c>
      <c r="I30" s="69">
        <f t="shared" si="28"/>
        <v>1</v>
      </c>
      <c r="J30" s="76" t="str">
        <f t="shared" si="28"/>
        <v>Senecio</v>
      </c>
      <c r="K30" s="76" t="str">
        <f t="shared" si="28"/>
        <v>burtoni</v>
      </c>
      <c r="L30" s="77">
        <f t="shared" si="28"/>
        <v>7</v>
      </c>
      <c r="M30" s="77">
        <f t="shared" si="28"/>
        <v>7</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18</v>
      </c>
      <c r="D31" s="74">
        <f t="shared" si="7"/>
        <v>9</v>
      </c>
      <c r="E31" s="75">
        <f t="shared" si="8"/>
        <v>39</v>
      </c>
      <c r="F31" s="79"/>
      <c r="G31" s="82"/>
      <c r="H31" s="68" t="str">
        <f t="shared" si="26"/>
        <v>Senbur7_20191118_09_00</v>
      </c>
      <c r="I31" s="69">
        <f t="shared" si="28"/>
        <v>1</v>
      </c>
      <c r="J31" s="76" t="str">
        <f t="shared" si="28"/>
        <v>Senecio</v>
      </c>
      <c r="K31" s="76" t="str">
        <f t="shared" si="28"/>
        <v>burtoni</v>
      </c>
      <c r="L31" s="77">
        <f t="shared" si="28"/>
        <v>7</v>
      </c>
      <c r="M31" s="77">
        <f t="shared" si="28"/>
        <v>7</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2019</v>
      </c>
      <c r="B32" s="72" t="str">
        <f t="shared" si="6"/>
        <v>Nov</v>
      </c>
      <c r="C32" s="73">
        <f t="shared" si="25"/>
        <v>18</v>
      </c>
      <c r="D32" s="74">
        <f t="shared" si="7"/>
        <v>9</v>
      </c>
      <c r="E32" s="75">
        <f t="shared" si="8"/>
        <v>40</v>
      </c>
      <c r="F32" s="79">
        <v>47</v>
      </c>
      <c r="G32" s="82"/>
      <c r="H32" s="68" t="str">
        <f t="shared" si="26"/>
        <v>Senbur7_20191118_09_00</v>
      </c>
      <c r="I32" s="69">
        <f t="shared" si="28"/>
        <v>1</v>
      </c>
      <c r="J32" s="76" t="str">
        <f t="shared" si="28"/>
        <v>Senecio</v>
      </c>
      <c r="K32" s="76" t="str">
        <f t="shared" si="28"/>
        <v>burtoni</v>
      </c>
      <c r="L32" s="77">
        <f t="shared" si="28"/>
        <v>7</v>
      </c>
      <c r="M32" s="77">
        <f t="shared" si="28"/>
        <v>7</v>
      </c>
      <c r="N32" s="71">
        <f t="shared" si="28"/>
        <v>0</v>
      </c>
      <c r="O32" s="44"/>
      <c r="P32" s="45">
        <f t="shared" si="10"/>
        <v>1</v>
      </c>
      <c r="Q32" s="46" t="str">
        <f t="shared" si="11"/>
        <v>09:40:47</v>
      </c>
      <c r="R32" s="47" t="str">
        <f t="shared" si="12"/>
        <v>40:47</v>
      </c>
      <c r="S32" s="48">
        <f t="shared" si="0"/>
        <v>8</v>
      </c>
      <c r="T32" s="47" t="str">
        <f t="shared" si="13"/>
        <v>09</v>
      </c>
      <c r="U32" s="49">
        <v>40</v>
      </c>
      <c r="V32" s="50">
        <v>55</v>
      </c>
      <c r="W32" s="51" t="str">
        <f t="shared" si="14"/>
        <v>40:55</v>
      </c>
      <c r="X32" s="52" t="s">
        <v>62</v>
      </c>
      <c r="Y32" s="124" t="s">
        <v>101</v>
      </c>
      <c r="Z32" s="124"/>
      <c r="AA32" s="47" t="s">
        <v>77</v>
      </c>
      <c r="AB32" s="47" t="str">
        <f t="shared" si="15"/>
        <v>NA</v>
      </c>
      <c r="AC32" s="53">
        <f t="shared" si="16"/>
        <v>0</v>
      </c>
      <c r="AD32" s="54">
        <v>2</v>
      </c>
      <c r="AE32" s="54"/>
      <c r="AF32" s="54"/>
      <c r="AG32" s="55">
        <v>1</v>
      </c>
      <c r="AH32" s="56">
        <f t="shared" si="19"/>
        <v>8</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f t="shared" si="1"/>
        <v>0</v>
      </c>
      <c r="AX32" s="61" t="str">
        <f t="shared" si="2"/>
        <v/>
      </c>
      <c r="AY32" s="60">
        <f t="shared" si="3"/>
        <v>0</v>
      </c>
      <c r="AZ32" s="61" t="str">
        <f t="shared" si="4"/>
        <v/>
      </c>
    </row>
    <row r="33" spans="1:52" s="3" customFormat="1" hidden="1" x14ac:dyDescent="0.35">
      <c r="A33" s="72">
        <f t="shared" si="5"/>
        <v>2019</v>
      </c>
      <c r="B33" s="72" t="str">
        <f t="shared" si="6"/>
        <v>Nov</v>
      </c>
      <c r="C33" s="73">
        <f t="shared" si="25"/>
        <v>18</v>
      </c>
      <c r="D33" s="74">
        <f t="shared" si="7"/>
        <v>9</v>
      </c>
      <c r="E33" s="75">
        <f t="shared" si="8"/>
        <v>41</v>
      </c>
      <c r="F33" s="79"/>
      <c r="G33" s="82"/>
      <c r="H33" s="68" t="str">
        <f t="shared" si="26"/>
        <v>Senbur7_20191118_09_00</v>
      </c>
      <c r="I33" s="69">
        <f t="shared" si="28"/>
        <v>1</v>
      </c>
      <c r="J33" s="76" t="str">
        <f t="shared" si="28"/>
        <v>Senecio</v>
      </c>
      <c r="K33" s="76" t="str">
        <f t="shared" si="28"/>
        <v>burtoni</v>
      </c>
      <c r="L33" s="77">
        <f t="shared" si="28"/>
        <v>7</v>
      </c>
      <c r="M33" s="77">
        <f t="shared" si="28"/>
        <v>7</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18</v>
      </c>
      <c r="D34" s="74">
        <f t="shared" si="7"/>
        <v>9</v>
      </c>
      <c r="E34" s="75">
        <f t="shared" si="8"/>
        <v>42</v>
      </c>
      <c r="F34" s="79"/>
      <c r="G34" s="82"/>
      <c r="H34" s="68" t="str">
        <f t="shared" si="26"/>
        <v>Senbur7_20191118_09_00</v>
      </c>
      <c r="I34" s="69">
        <f t="shared" si="28"/>
        <v>1</v>
      </c>
      <c r="J34" s="76" t="str">
        <f t="shared" si="28"/>
        <v>Senecio</v>
      </c>
      <c r="K34" s="76" t="str">
        <f t="shared" si="28"/>
        <v>burtoni</v>
      </c>
      <c r="L34" s="77">
        <f t="shared" si="28"/>
        <v>7</v>
      </c>
      <c r="M34" s="77">
        <f t="shared" si="28"/>
        <v>7</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18</v>
      </c>
      <c r="D35" s="74">
        <f t="shared" si="7"/>
        <v>9</v>
      </c>
      <c r="E35" s="75">
        <f t="shared" si="8"/>
        <v>43</v>
      </c>
      <c r="F35" s="79"/>
      <c r="G35" s="82"/>
      <c r="H35" s="68" t="str">
        <f t="shared" si="26"/>
        <v>Senbur7_20191118_09_00</v>
      </c>
      <c r="I35" s="69">
        <f t="shared" si="28"/>
        <v>1</v>
      </c>
      <c r="J35" s="76" t="str">
        <f t="shared" si="28"/>
        <v>Senecio</v>
      </c>
      <c r="K35" s="76" t="str">
        <f t="shared" si="28"/>
        <v>burtoni</v>
      </c>
      <c r="L35" s="77">
        <f t="shared" si="28"/>
        <v>7</v>
      </c>
      <c r="M35" s="77">
        <f t="shared" si="28"/>
        <v>7</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18</v>
      </c>
      <c r="D36" s="74">
        <f t="shared" si="7"/>
        <v>9</v>
      </c>
      <c r="E36" s="75">
        <f t="shared" si="8"/>
        <v>44</v>
      </c>
      <c r="F36" s="79"/>
      <c r="G36" s="82"/>
      <c r="H36" s="68" t="str">
        <f t="shared" si="26"/>
        <v>Senbur7_20191118_09_00</v>
      </c>
      <c r="I36" s="69">
        <f t="shared" si="28"/>
        <v>1</v>
      </c>
      <c r="J36" s="76" t="str">
        <f t="shared" si="28"/>
        <v>Senecio</v>
      </c>
      <c r="K36" s="76" t="str">
        <f t="shared" si="28"/>
        <v>burtoni</v>
      </c>
      <c r="L36" s="77">
        <f t="shared" si="28"/>
        <v>7</v>
      </c>
      <c r="M36" s="77">
        <f t="shared" si="28"/>
        <v>7</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18</v>
      </c>
      <c r="D37" s="74">
        <f t="shared" si="7"/>
        <v>9</v>
      </c>
      <c r="E37" s="75">
        <f t="shared" si="8"/>
        <v>45</v>
      </c>
      <c r="F37" s="79"/>
      <c r="G37" s="82"/>
      <c r="H37" s="68" t="str">
        <f t="shared" si="26"/>
        <v>Senbur7_20191118_09_00</v>
      </c>
      <c r="I37" s="69">
        <f t="shared" ref="I37:N52" si="29">I36</f>
        <v>1</v>
      </c>
      <c r="J37" s="76" t="str">
        <f t="shared" si="29"/>
        <v>Senecio</v>
      </c>
      <c r="K37" s="76" t="str">
        <f t="shared" si="29"/>
        <v>burtoni</v>
      </c>
      <c r="L37" s="77">
        <f t="shared" si="29"/>
        <v>7</v>
      </c>
      <c r="M37" s="77">
        <f t="shared" si="29"/>
        <v>7</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18</v>
      </c>
      <c r="D38" s="74">
        <f t="shared" si="7"/>
        <v>9</v>
      </c>
      <c r="E38" s="75">
        <f t="shared" si="8"/>
        <v>46</v>
      </c>
      <c r="F38" s="79"/>
      <c r="G38" s="82"/>
      <c r="H38" s="68" t="str">
        <f t="shared" si="26"/>
        <v>Senbur7_20191118_09_00</v>
      </c>
      <c r="I38" s="69">
        <f t="shared" si="29"/>
        <v>1</v>
      </c>
      <c r="J38" s="76" t="str">
        <f t="shared" si="29"/>
        <v>Senecio</v>
      </c>
      <c r="K38" s="76" t="str">
        <f t="shared" si="29"/>
        <v>burtoni</v>
      </c>
      <c r="L38" s="77">
        <f t="shared" si="29"/>
        <v>7</v>
      </c>
      <c r="M38" s="77">
        <f t="shared" si="29"/>
        <v>7</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18</v>
      </c>
      <c r="D39" s="74">
        <f t="shared" si="7"/>
        <v>9</v>
      </c>
      <c r="E39" s="75">
        <f t="shared" si="8"/>
        <v>47</v>
      </c>
      <c r="F39" s="79"/>
      <c r="G39" s="82"/>
      <c r="H39" s="68" t="str">
        <f t="shared" si="26"/>
        <v>Senbur7_20191118_09_00</v>
      </c>
      <c r="I39" s="69">
        <f t="shared" si="29"/>
        <v>1</v>
      </c>
      <c r="J39" s="76" t="str">
        <f t="shared" si="29"/>
        <v>Senecio</v>
      </c>
      <c r="K39" s="76" t="str">
        <f t="shared" si="29"/>
        <v>burtoni</v>
      </c>
      <c r="L39" s="77">
        <f t="shared" si="29"/>
        <v>7</v>
      </c>
      <c r="M39" s="77">
        <f t="shared" si="29"/>
        <v>7</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18</v>
      </c>
      <c r="D40" s="74">
        <f t="shared" si="7"/>
        <v>9</v>
      </c>
      <c r="E40" s="75">
        <f t="shared" si="8"/>
        <v>48</v>
      </c>
      <c r="F40" s="79"/>
      <c r="G40" s="82"/>
      <c r="H40" s="68" t="str">
        <f t="shared" si="26"/>
        <v>Senbur7_20191118_09_00</v>
      </c>
      <c r="I40" s="69">
        <f t="shared" si="29"/>
        <v>1</v>
      </c>
      <c r="J40" s="76" t="str">
        <f t="shared" si="29"/>
        <v>Senecio</v>
      </c>
      <c r="K40" s="76" t="str">
        <f t="shared" si="29"/>
        <v>burtoni</v>
      </c>
      <c r="L40" s="77">
        <f t="shared" si="29"/>
        <v>7</v>
      </c>
      <c r="M40" s="77">
        <f t="shared" si="29"/>
        <v>7</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18</v>
      </c>
      <c r="D41" s="74">
        <f t="shared" si="7"/>
        <v>9</v>
      </c>
      <c r="E41" s="75">
        <f t="shared" si="8"/>
        <v>49</v>
      </c>
      <c r="F41" s="79"/>
      <c r="G41" s="82"/>
      <c r="H41" s="68" t="str">
        <f t="shared" si="26"/>
        <v>Senbur7_20191118_09_00</v>
      </c>
      <c r="I41" s="69">
        <f t="shared" si="29"/>
        <v>1</v>
      </c>
      <c r="J41" s="76" t="str">
        <f t="shared" si="29"/>
        <v>Senecio</v>
      </c>
      <c r="K41" s="76" t="str">
        <f t="shared" si="29"/>
        <v>burtoni</v>
      </c>
      <c r="L41" s="77">
        <f t="shared" si="29"/>
        <v>7</v>
      </c>
      <c r="M41" s="77">
        <f t="shared" si="29"/>
        <v>7</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18</v>
      </c>
      <c r="D42" s="74">
        <f t="shared" si="7"/>
        <v>9</v>
      </c>
      <c r="E42" s="75">
        <f t="shared" si="8"/>
        <v>50</v>
      </c>
      <c r="F42" s="79"/>
      <c r="G42" s="82"/>
      <c r="H42" s="68" t="str">
        <f t="shared" si="26"/>
        <v>Senbur7_20191118_09_00</v>
      </c>
      <c r="I42" s="69">
        <f t="shared" si="29"/>
        <v>1</v>
      </c>
      <c r="J42" s="76" t="str">
        <f t="shared" si="29"/>
        <v>Senecio</v>
      </c>
      <c r="K42" s="76" t="str">
        <f t="shared" si="29"/>
        <v>burtoni</v>
      </c>
      <c r="L42" s="77">
        <f t="shared" si="29"/>
        <v>7</v>
      </c>
      <c r="M42" s="77">
        <f t="shared" si="29"/>
        <v>7</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18</v>
      </c>
      <c r="D43" s="74">
        <f t="shared" si="7"/>
        <v>9</v>
      </c>
      <c r="E43" s="75">
        <f t="shared" si="8"/>
        <v>51</v>
      </c>
      <c r="F43" s="79"/>
      <c r="G43" s="82"/>
      <c r="H43" s="68" t="str">
        <f t="shared" si="26"/>
        <v>Senbur7_20191118_09_00</v>
      </c>
      <c r="I43" s="69">
        <f t="shared" si="29"/>
        <v>1</v>
      </c>
      <c r="J43" s="76" t="str">
        <f t="shared" si="29"/>
        <v>Senecio</v>
      </c>
      <c r="K43" s="76" t="str">
        <f t="shared" si="29"/>
        <v>burtoni</v>
      </c>
      <c r="L43" s="77">
        <f t="shared" si="29"/>
        <v>7</v>
      </c>
      <c r="M43" s="77">
        <f t="shared" si="29"/>
        <v>7</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18</v>
      </c>
      <c r="D44" s="74">
        <f t="shared" si="7"/>
        <v>9</v>
      </c>
      <c r="E44" s="75">
        <f t="shared" si="8"/>
        <v>52</v>
      </c>
      <c r="F44" s="79"/>
      <c r="G44" s="82"/>
      <c r="H44" s="68" t="str">
        <f t="shared" si="26"/>
        <v>Senbur7_20191118_09_00</v>
      </c>
      <c r="I44" s="69">
        <f t="shared" si="29"/>
        <v>1</v>
      </c>
      <c r="J44" s="76" t="str">
        <f t="shared" si="29"/>
        <v>Senecio</v>
      </c>
      <c r="K44" s="76" t="str">
        <f t="shared" si="29"/>
        <v>burtoni</v>
      </c>
      <c r="L44" s="77">
        <f t="shared" si="29"/>
        <v>7</v>
      </c>
      <c r="M44" s="77">
        <f t="shared" si="29"/>
        <v>7</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18</v>
      </c>
      <c r="D45" s="74">
        <f t="shared" si="7"/>
        <v>9</v>
      </c>
      <c r="E45" s="75">
        <f t="shared" si="8"/>
        <v>53</v>
      </c>
      <c r="F45" s="79"/>
      <c r="G45" s="82"/>
      <c r="H45" s="68" t="str">
        <f t="shared" si="26"/>
        <v>Senbur7_20191118_09_00</v>
      </c>
      <c r="I45" s="69">
        <f t="shared" si="29"/>
        <v>1</v>
      </c>
      <c r="J45" s="76" t="str">
        <f t="shared" si="29"/>
        <v>Senecio</v>
      </c>
      <c r="K45" s="76" t="str">
        <f t="shared" si="29"/>
        <v>burtoni</v>
      </c>
      <c r="L45" s="77">
        <f t="shared" si="29"/>
        <v>7</v>
      </c>
      <c r="M45" s="77">
        <f t="shared" si="29"/>
        <v>7</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18</v>
      </c>
      <c r="D46" s="74">
        <f t="shared" si="7"/>
        <v>9</v>
      </c>
      <c r="E46" s="75">
        <f t="shared" si="8"/>
        <v>54</v>
      </c>
      <c r="F46" s="79"/>
      <c r="G46" s="82"/>
      <c r="H46" s="68" t="str">
        <f t="shared" si="26"/>
        <v>Senbur7_20191118_09_00</v>
      </c>
      <c r="I46" s="69">
        <f t="shared" si="29"/>
        <v>1</v>
      </c>
      <c r="J46" s="76" t="str">
        <f t="shared" si="29"/>
        <v>Senecio</v>
      </c>
      <c r="K46" s="76" t="str">
        <f t="shared" si="29"/>
        <v>burtoni</v>
      </c>
      <c r="L46" s="77">
        <f t="shared" si="29"/>
        <v>7</v>
      </c>
      <c r="M46" s="77">
        <f t="shared" si="29"/>
        <v>7</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18</v>
      </c>
      <c r="D47" s="74">
        <f t="shared" si="7"/>
        <v>9</v>
      </c>
      <c r="E47" s="75">
        <f t="shared" si="8"/>
        <v>55</v>
      </c>
      <c r="F47" s="79"/>
      <c r="G47" s="82"/>
      <c r="H47" s="68" t="str">
        <f t="shared" si="26"/>
        <v>Senbur7_20191118_09_00</v>
      </c>
      <c r="I47" s="69">
        <f t="shared" si="29"/>
        <v>1</v>
      </c>
      <c r="J47" s="76" t="str">
        <f t="shared" si="29"/>
        <v>Senecio</v>
      </c>
      <c r="K47" s="76" t="str">
        <f t="shared" si="29"/>
        <v>burtoni</v>
      </c>
      <c r="L47" s="77">
        <f t="shared" si="29"/>
        <v>7</v>
      </c>
      <c r="M47" s="77">
        <f t="shared" si="29"/>
        <v>7</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18</v>
      </c>
      <c r="D48" s="74">
        <f t="shared" si="7"/>
        <v>9</v>
      </c>
      <c r="E48" s="75">
        <f t="shared" si="8"/>
        <v>56</v>
      </c>
      <c r="F48" s="79"/>
      <c r="G48" s="82"/>
      <c r="H48" s="68" t="str">
        <f t="shared" si="26"/>
        <v>Senbur7_20191118_09_00</v>
      </c>
      <c r="I48" s="69">
        <f t="shared" si="29"/>
        <v>1</v>
      </c>
      <c r="J48" s="76" t="str">
        <f t="shared" si="29"/>
        <v>Senecio</v>
      </c>
      <c r="K48" s="76" t="str">
        <f t="shared" si="29"/>
        <v>burtoni</v>
      </c>
      <c r="L48" s="77">
        <f t="shared" si="29"/>
        <v>7</v>
      </c>
      <c r="M48" s="77">
        <f t="shared" si="29"/>
        <v>7</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18</v>
      </c>
      <c r="D49" s="74">
        <f t="shared" si="7"/>
        <v>9</v>
      </c>
      <c r="E49" s="75">
        <f t="shared" si="8"/>
        <v>57</v>
      </c>
      <c r="F49" s="79"/>
      <c r="G49" s="82"/>
      <c r="H49" s="68" t="str">
        <f t="shared" si="26"/>
        <v>Senbur7_20191118_09_00</v>
      </c>
      <c r="I49" s="69">
        <f t="shared" si="29"/>
        <v>1</v>
      </c>
      <c r="J49" s="76" t="str">
        <f t="shared" si="29"/>
        <v>Senecio</v>
      </c>
      <c r="K49" s="76" t="str">
        <f t="shared" si="29"/>
        <v>burtoni</v>
      </c>
      <c r="L49" s="77">
        <f t="shared" si="29"/>
        <v>7</v>
      </c>
      <c r="M49" s="77">
        <f t="shared" si="29"/>
        <v>7</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18</v>
      </c>
      <c r="D50" s="74">
        <f t="shared" si="7"/>
        <v>9</v>
      </c>
      <c r="E50" s="75">
        <f t="shared" si="8"/>
        <v>58</v>
      </c>
      <c r="F50" s="79"/>
      <c r="G50" s="82"/>
      <c r="H50" s="68" t="str">
        <f t="shared" si="26"/>
        <v>Senbur7_20191118_09_00</v>
      </c>
      <c r="I50" s="69">
        <f t="shared" si="29"/>
        <v>1</v>
      </c>
      <c r="J50" s="76" t="str">
        <f t="shared" si="29"/>
        <v>Senecio</v>
      </c>
      <c r="K50" s="76" t="str">
        <f t="shared" si="29"/>
        <v>burtoni</v>
      </c>
      <c r="L50" s="77">
        <f t="shared" si="29"/>
        <v>7</v>
      </c>
      <c r="M50" s="77">
        <f t="shared" si="29"/>
        <v>7</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18</v>
      </c>
      <c r="D51" s="74">
        <f t="shared" si="7"/>
        <v>9</v>
      </c>
      <c r="E51" s="75">
        <f t="shared" si="8"/>
        <v>59</v>
      </c>
      <c r="F51" s="79"/>
      <c r="G51" s="82"/>
      <c r="H51" s="68" t="str">
        <f t="shared" si="26"/>
        <v>Senbur7_20191118_09_00</v>
      </c>
      <c r="I51" s="69">
        <f t="shared" si="29"/>
        <v>1</v>
      </c>
      <c r="J51" s="76" t="str">
        <f t="shared" si="29"/>
        <v>Senecio</v>
      </c>
      <c r="K51" s="76" t="str">
        <f t="shared" si="29"/>
        <v>burtoni</v>
      </c>
      <c r="L51" s="77">
        <f t="shared" si="29"/>
        <v>7</v>
      </c>
      <c r="M51" s="77">
        <f t="shared" si="29"/>
        <v>7</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18</v>
      </c>
      <c r="D52" s="74">
        <f t="shared" si="7"/>
        <v>10</v>
      </c>
      <c r="E52" s="75">
        <f t="shared" si="8"/>
        <v>0</v>
      </c>
      <c r="F52" s="79"/>
      <c r="G52" s="82"/>
      <c r="H52" s="68" t="str">
        <f t="shared" si="26"/>
        <v>Senbur7_20191118_10_00</v>
      </c>
      <c r="I52" s="69">
        <f t="shared" si="29"/>
        <v>1</v>
      </c>
      <c r="J52" s="76" t="str">
        <f t="shared" si="29"/>
        <v>Senecio</v>
      </c>
      <c r="K52" s="76" t="str">
        <f t="shared" si="29"/>
        <v>burtoni</v>
      </c>
      <c r="L52" s="77">
        <f t="shared" si="29"/>
        <v>7</v>
      </c>
      <c r="M52" s="77">
        <f t="shared" si="29"/>
        <v>7</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18</v>
      </c>
      <c r="D53" s="74">
        <f t="shared" si="7"/>
        <v>10</v>
      </c>
      <c r="E53" s="75">
        <f t="shared" si="8"/>
        <v>1</v>
      </c>
      <c r="F53" s="79">
        <v>39</v>
      </c>
      <c r="G53" s="82"/>
      <c r="H53" s="68" t="str">
        <f t="shared" si="26"/>
        <v>Senbur7_20191118_10_00</v>
      </c>
      <c r="I53" s="69">
        <f t="shared" ref="I53:N68" si="30">I52</f>
        <v>1</v>
      </c>
      <c r="J53" s="76" t="str">
        <f t="shared" si="30"/>
        <v>Senecio</v>
      </c>
      <c r="K53" s="76" t="str">
        <f t="shared" si="30"/>
        <v>burtoni</v>
      </c>
      <c r="L53" s="77">
        <f t="shared" si="30"/>
        <v>7</v>
      </c>
      <c r="M53" s="77">
        <f t="shared" si="30"/>
        <v>7</v>
      </c>
      <c r="N53" s="71">
        <f t="shared" si="30"/>
        <v>0</v>
      </c>
      <c r="O53" s="44"/>
      <c r="P53" s="45">
        <f t="shared" si="10"/>
        <v>1</v>
      </c>
      <c r="Q53" s="46" t="str">
        <f t="shared" si="11"/>
        <v>10:01:39</v>
      </c>
      <c r="R53" s="47" t="str">
        <f t="shared" si="12"/>
        <v>01:39</v>
      </c>
      <c r="S53" s="48">
        <f t="shared" si="0"/>
        <v>19</v>
      </c>
      <c r="T53" s="47" t="str">
        <f t="shared" si="13"/>
        <v>10</v>
      </c>
      <c r="U53" s="49">
        <v>1</v>
      </c>
      <c r="V53" s="50">
        <v>58</v>
      </c>
      <c r="W53" s="51" t="str">
        <f t="shared" si="14"/>
        <v>01:58</v>
      </c>
      <c r="X53" s="52" t="s">
        <v>63</v>
      </c>
      <c r="Y53" s="124" t="s">
        <v>83</v>
      </c>
      <c r="Z53" s="124"/>
      <c r="AA53" s="47" t="s">
        <v>59</v>
      </c>
      <c r="AB53" s="47" t="str">
        <f t="shared" si="15"/>
        <v>NA</v>
      </c>
      <c r="AC53" s="53">
        <f t="shared" si="16"/>
        <v>0</v>
      </c>
      <c r="AD53" s="54">
        <f t="shared" si="17"/>
        <v>1</v>
      </c>
      <c r="AE53" s="54"/>
      <c r="AF53" s="54"/>
      <c r="AG53" s="55">
        <v>1</v>
      </c>
      <c r="AH53" s="56">
        <v>2</v>
      </c>
      <c r="AI53" s="55"/>
      <c r="AJ53" s="56" t="str">
        <f t="shared" si="20"/>
        <v/>
      </c>
      <c r="AK53" s="55">
        <v>1</v>
      </c>
      <c r="AL53" s="56">
        <v>6</v>
      </c>
      <c r="AM53" s="55">
        <v>1</v>
      </c>
      <c r="AN53" s="56">
        <v>11</v>
      </c>
      <c r="AO53" s="55"/>
      <c r="AP53" s="56" t="str">
        <f t="shared" si="23"/>
        <v/>
      </c>
      <c r="AQ53" s="55"/>
      <c r="AR53" s="56" t="str">
        <f t="shared" si="24"/>
        <v/>
      </c>
      <c r="AS53" s="57"/>
      <c r="AT53" s="58"/>
      <c r="AU53" s="58"/>
      <c r="AV53" s="59"/>
      <c r="AW53" s="60">
        <v>1</v>
      </c>
      <c r="AX53" s="61">
        <f t="shared" si="2"/>
        <v>1</v>
      </c>
      <c r="AY53" s="60">
        <v>1</v>
      </c>
      <c r="AZ53" s="61">
        <f t="shared" si="4"/>
        <v>1</v>
      </c>
    </row>
    <row r="54" spans="1:52" s="3" customFormat="1" hidden="1" x14ac:dyDescent="0.35">
      <c r="A54" s="72">
        <f t="shared" si="5"/>
        <v>2019</v>
      </c>
      <c r="B54" s="72" t="str">
        <f t="shared" si="6"/>
        <v>Nov</v>
      </c>
      <c r="C54" s="73">
        <f t="shared" si="25"/>
        <v>18</v>
      </c>
      <c r="D54" s="74">
        <f t="shared" si="7"/>
        <v>10</v>
      </c>
      <c r="E54" s="75">
        <f t="shared" si="8"/>
        <v>2</v>
      </c>
      <c r="F54" s="79">
        <v>7</v>
      </c>
      <c r="G54" s="82"/>
      <c r="H54" s="68" t="str">
        <f t="shared" si="26"/>
        <v>Senbur7_20191118_10_00</v>
      </c>
      <c r="I54" s="69">
        <f t="shared" si="30"/>
        <v>1</v>
      </c>
      <c r="J54" s="76" t="str">
        <f t="shared" si="30"/>
        <v>Senecio</v>
      </c>
      <c r="K54" s="76" t="str">
        <f t="shared" si="30"/>
        <v>burtoni</v>
      </c>
      <c r="L54" s="77">
        <f t="shared" si="30"/>
        <v>7</v>
      </c>
      <c r="M54" s="77">
        <f t="shared" si="30"/>
        <v>7</v>
      </c>
      <c r="N54" s="71">
        <f t="shared" si="30"/>
        <v>0</v>
      </c>
      <c r="O54" s="44"/>
      <c r="P54" s="45">
        <f t="shared" si="10"/>
        <v>1</v>
      </c>
      <c r="Q54" s="46" t="str">
        <f t="shared" si="11"/>
        <v>10:02:07</v>
      </c>
      <c r="R54" s="47" t="str">
        <f t="shared" si="12"/>
        <v>02:07</v>
      </c>
      <c r="S54" s="48">
        <f t="shared" si="0"/>
        <v>11</v>
      </c>
      <c r="T54" s="47" t="str">
        <f t="shared" si="13"/>
        <v>10</v>
      </c>
      <c r="U54" s="49">
        <v>2</v>
      </c>
      <c r="V54" s="50">
        <v>18</v>
      </c>
      <c r="W54" s="51" t="str">
        <f t="shared" si="14"/>
        <v>02:18</v>
      </c>
      <c r="X54" s="52" t="s">
        <v>63</v>
      </c>
      <c r="Y54" s="124" t="s">
        <v>83</v>
      </c>
      <c r="Z54" s="124"/>
      <c r="AA54" s="47" t="s">
        <v>59</v>
      </c>
      <c r="AB54" s="47" t="str">
        <f t="shared" si="15"/>
        <v>NA</v>
      </c>
      <c r="AC54" s="53">
        <f t="shared" si="16"/>
        <v>0</v>
      </c>
      <c r="AD54" s="54">
        <f t="shared" si="17"/>
        <v>1</v>
      </c>
      <c r="AE54" s="54"/>
      <c r="AF54" s="54"/>
      <c r="AG54" s="55" t="str">
        <f t="shared" si="18"/>
        <v/>
      </c>
      <c r="AH54" s="56" t="str">
        <f t="shared" si="19"/>
        <v/>
      </c>
      <c r="AI54" s="55"/>
      <c r="AJ54" s="56" t="str">
        <f t="shared" si="20"/>
        <v/>
      </c>
      <c r="AK54" s="55">
        <v>1</v>
      </c>
      <c r="AL54" s="56">
        <v>4</v>
      </c>
      <c r="AM54" s="55">
        <v>1</v>
      </c>
      <c r="AN54" s="56">
        <v>7</v>
      </c>
      <c r="AO54" s="55"/>
      <c r="AP54" s="56" t="str">
        <f t="shared" si="23"/>
        <v/>
      </c>
      <c r="AQ54" s="55"/>
      <c r="AR54" s="56" t="str">
        <f t="shared" si="24"/>
        <v/>
      </c>
      <c r="AS54" s="57"/>
      <c r="AT54" s="58"/>
      <c r="AU54" s="58"/>
      <c r="AV54" s="59"/>
      <c r="AW54" s="60">
        <v>1</v>
      </c>
      <c r="AX54" s="61">
        <f t="shared" si="2"/>
        <v>1</v>
      </c>
      <c r="AY54" s="60">
        <v>1</v>
      </c>
      <c r="AZ54" s="61">
        <f t="shared" si="4"/>
        <v>1</v>
      </c>
    </row>
    <row r="55" spans="1:52" s="3" customFormat="1" hidden="1" x14ac:dyDescent="0.35">
      <c r="A55" s="72">
        <f t="shared" si="5"/>
        <v>2019</v>
      </c>
      <c r="B55" s="72" t="str">
        <f t="shared" si="6"/>
        <v>Nov</v>
      </c>
      <c r="C55" s="73">
        <f t="shared" si="25"/>
        <v>18</v>
      </c>
      <c r="D55" s="74">
        <f t="shared" si="7"/>
        <v>10</v>
      </c>
      <c r="E55" s="75">
        <f t="shared" si="8"/>
        <v>3</v>
      </c>
      <c r="F55" s="79"/>
      <c r="G55" s="82"/>
      <c r="H55" s="68" t="str">
        <f t="shared" si="26"/>
        <v>Senbur7_20191118_10_00</v>
      </c>
      <c r="I55" s="69">
        <f t="shared" si="30"/>
        <v>1</v>
      </c>
      <c r="J55" s="76" t="str">
        <f t="shared" si="30"/>
        <v>Senecio</v>
      </c>
      <c r="K55" s="76" t="str">
        <f t="shared" si="30"/>
        <v>burtoni</v>
      </c>
      <c r="L55" s="77">
        <f t="shared" si="30"/>
        <v>7</v>
      </c>
      <c r="M55" s="77">
        <f t="shared" si="30"/>
        <v>7</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18</v>
      </c>
      <c r="D56" s="74">
        <f t="shared" si="7"/>
        <v>10</v>
      </c>
      <c r="E56" s="75">
        <f t="shared" si="8"/>
        <v>4</v>
      </c>
      <c r="F56" s="79"/>
      <c r="G56" s="82"/>
      <c r="H56" s="68" t="str">
        <f t="shared" si="26"/>
        <v>Senbur7_20191118_10_00</v>
      </c>
      <c r="I56" s="69">
        <f t="shared" si="30"/>
        <v>1</v>
      </c>
      <c r="J56" s="76" t="str">
        <f t="shared" si="30"/>
        <v>Senecio</v>
      </c>
      <c r="K56" s="76" t="str">
        <f t="shared" si="30"/>
        <v>burtoni</v>
      </c>
      <c r="L56" s="77">
        <f t="shared" si="30"/>
        <v>7</v>
      </c>
      <c r="M56" s="77">
        <f t="shared" si="30"/>
        <v>7</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18</v>
      </c>
      <c r="D57" s="74">
        <f t="shared" si="7"/>
        <v>10</v>
      </c>
      <c r="E57" s="75">
        <f t="shared" si="8"/>
        <v>5</v>
      </c>
      <c r="F57" s="79"/>
      <c r="G57" s="82"/>
      <c r="H57" s="68" t="str">
        <f t="shared" si="26"/>
        <v>Senbur7_20191118_10_00</v>
      </c>
      <c r="I57" s="69">
        <f t="shared" si="30"/>
        <v>1</v>
      </c>
      <c r="J57" s="76" t="str">
        <f t="shared" si="30"/>
        <v>Senecio</v>
      </c>
      <c r="K57" s="76" t="str">
        <f t="shared" si="30"/>
        <v>burtoni</v>
      </c>
      <c r="L57" s="77">
        <f t="shared" si="30"/>
        <v>7</v>
      </c>
      <c r="M57" s="77">
        <f t="shared" si="30"/>
        <v>7</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18</v>
      </c>
      <c r="D58" s="74">
        <f t="shared" si="7"/>
        <v>10</v>
      </c>
      <c r="E58" s="75">
        <f t="shared" si="8"/>
        <v>6</v>
      </c>
      <c r="F58" s="79"/>
      <c r="G58" s="82"/>
      <c r="H58" s="68" t="str">
        <f t="shared" si="26"/>
        <v>Senbur7_20191118_10_00</v>
      </c>
      <c r="I58" s="69">
        <f t="shared" si="30"/>
        <v>1</v>
      </c>
      <c r="J58" s="76" t="str">
        <f t="shared" si="30"/>
        <v>Senecio</v>
      </c>
      <c r="K58" s="76" t="str">
        <f t="shared" si="30"/>
        <v>burtoni</v>
      </c>
      <c r="L58" s="77">
        <f t="shared" si="30"/>
        <v>7</v>
      </c>
      <c r="M58" s="77">
        <f t="shared" si="30"/>
        <v>7</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2019</v>
      </c>
      <c r="B59" s="72" t="str">
        <f t="shared" si="6"/>
        <v>Nov</v>
      </c>
      <c r="C59" s="73">
        <f t="shared" si="25"/>
        <v>18</v>
      </c>
      <c r="D59" s="74">
        <f t="shared" si="7"/>
        <v>10</v>
      </c>
      <c r="E59" s="75">
        <f t="shared" si="8"/>
        <v>7</v>
      </c>
      <c r="F59" s="79">
        <v>38</v>
      </c>
      <c r="G59" s="82"/>
      <c r="H59" s="68" t="str">
        <f t="shared" si="26"/>
        <v>Senbur7_20191118_10_00</v>
      </c>
      <c r="I59" s="69">
        <f t="shared" si="30"/>
        <v>1</v>
      </c>
      <c r="J59" s="76" t="str">
        <f t="shared" si="30"/>
        <v>Senecio</v>
      </c>
      <c r="K59" s="76" t="str">
        <f t="shared" si="30"/>
        <v>burtoni</v>
      </c>
      <c r="L59" s="77">
        <f t="shared" si="30"/>
        <v>7</v>
      </c>
      <c r="M59" s="77">
        <f t="shared" si="30"/>
        <v>7</v>
      </c>
      <c r="N59" s="71">
        <f t="shared" si="30"/>
        <v>0</v>
      </c>
      <c r="O59" s="44"/>
      <c r="P59" s="45">
        <f t="shared" si="10"/>
        <v>1</v>
      </c>
      <c r="Q59" s="46" t="str">
        <f t="shared" si="11"/>
        <v>10:07:38</v>
      </c>
      <c r="R59" s="47" t="str">
        <f t="shared" si="12"/>
        <v>07:38</v>
      </c>
      <c r="S59" s="48">
        <f t="shared" si="0"/>
        <v>154</v>
      </c>
      <c r="T59" s="47" t="str">
        <f t="shared" si="13"/>
        <v>10</v>
      </c>
      <c r="U59" s="49">
        <v>10</v>
      </c>
      <c r="V59" s="50">
        <v>12</v>
      </c>
      <c r="W59" s="51" t="str">
        <f t="shared" si="14"/>
        <v>10:12</v>
      </c>
      <c r="X59" s="52" t="s">
        <v>62</v>
      </c>
      <c r="Y59" s="124" t="s">
        <v>84</v>
      </c>
      <c r="Z59" s="124"/>
      <c r="AA59" s="47" t="s">
        <v>77</v>
      </c>
      <c r="AB59" s="47" t="str">
        <f t="shared" si="15"/>
        <v>NA</v>
      </c>
      <c r="AC59" s="53">
        <f t="shared" si="16"/>
        <v>0</v>
      </c>
      <c r="AD59" s="54">
        <f t="shared" si="17"/>
        <v>1</v>
      </c>
      <c r="AE59" s="54"/>
      <c r="AF59" s="54"/>
      <c r="AG59" s="55" t="str">
        <f t="shared" si="18"/>
        <v/>
      </c>
      <c r="AH59" s="56" t="str">
        <f t="shared" si="19"/>
        <v/>
      </c>
      <c r="AI59" s="55"/>
      <c r="AJ59" s="56" t="str">
        <f t="shared" si="20"/>
        <v/>
      </c>
      <c r="AK59" s="55">
        <v>1</v>
      </c>
      <c r="AL59" s="56">
        <v>100</v>
      </c>
      <c r="AM59" s="55">
        <v>1</v>
      </c>
      <c r="AN59" s="56">
        <v>54</v>
      </c>
      <c r="AO59" s="55"/>
      <c r="AP59" s="56" t="str">
        <f t="shared" si="23"/>
        <v/>
      </c>
      <c r="AQ59" s="55"/>
      <c r="AR59" s="56" t="str">
        <f t="shared" si="24"/>
        <v/>
      </c>
      <c r="AS59" s="57"/>
      <c r="AT59" s="58"/>
      <c r="AU59" s="58"/>
      <c r="AV59" s="59"/>
      <c r="AW59" s="60">
        <v>1</v>
      </c>
      <c r="AX59" s="61">
        <f t="shared" si="2"/>
        <v>1</v>
      </c>
      <c r="AY59" s="60">
        <v>1</v>
      </c>
      <c r="AZ59" s="61">
        <f t="shared" si="4"/>
        <v>1</v>
      </c>
    </row>
    <row r="60" spans="1:52" s="3" customFormat="1" hidden="1" x14ac:dyDescent="0.35">
      <c r="A60" s="72">
        <f t="shared" si="5"/>
        <v>2019</v>
      </c>
      <c r="B60" s="72" t="str">
        <f t="shared" si="6"/>
        <v>Nov</v>
      </c>
      <c r="C60" s="73">
        <f t="shared" si="25"/>
        <v>18</v>
      </c>
      <c r="D60" s="74">
        <f t="shared" si="7"/>
        <v>10</v>
      </c>
      <c r="E60" s="75">
        <f t="shared" si="8"/>
        <v>8</v>
      </c>
      <c r="F60" s="79">
        <v>6</v>
      </c>
      <c r="G60" s="82"/>
      <c r="H60" s="68" t="str">
        <f t="shared" si="26"/>
        <v>Senbur7_20191118_10_00</v>
      </c>
      <c r="I60" s="69">
        <f t="shared" si="30"/>
        <v>1</v>
      </c>
      <c r="J60" s="76" t="str">
        <f t="shared" si="30"/>
        <v>Senecio</v>
      </c>
      <c r="K60" s="76" t="str">
        <f t="shared" si="30"/>
        <v>burtoni</v>
      </c>
      <c r="L60" s="77">
        <f t="shared" si="30"/>
        <v>7</v>
      </c>
      <c r="M60" s="77">
        <f t="shared" si="30"/>
        <v>7</v>
      </c>
      <c r="N60" s="71">
        <f t="shared" si="30"/>
        <v>0</v>
      </c>
      <c r="O60" s="44"/>
      <c r="P60" s="45">
        <f t="shared" si="10"/>
        <v>1</v>
      </c>
      <c r="Q60" s="46" t="str">
        <f t="shared" si="11"/>
        <v>10:08:06</v>
      </c>
      <c r="R60" s="47" t="str">
        <f t="shared" si="12"/>
        <v>08:06</v>
      </c>
      <c r="S60" s="48">
        <f t="shared" si="0"/>
        <v>8</v>
      </c>
      <c r="T60" s="47" t="str">
        <f t="shared" si="13"/>
        <v>10</v>
      </c>
      <c r="U60" s="49">
        <v>8</v>
      </c>
      <c r="V60" s="50">
        <v>14</v>
      </c>
      <c r="W60" s="51" t="str">
        <f t="shared" si="14"/>
        <v>08:14</v>
      </c>
      <c r="X60" s="52" t="s">
        <v>63</v>
      </c>
      <c r="Y60" s="124" t="s">
        <v>82</v>
      </c>
      <c r="Z60" s="124"/>
      <c r="AA60" s="47" t="s">
        <v>59</v>
      </c>
      <c r="AB60" s="47" t="str">
        <f t="shared" si="15"/>
        <v>NA</v>
      </c>
      <c r="AC60" s="53">
        <f t="shared" si="16"/>
        <v>0</v>
      </c>
      <c r="AD60" s="54">
        <f t="shared" si="17"/>
        <v>1</v>
      </c>
      <c r="AE60" s="54"/>
      <c r="AF60" s="54"/>
      <c r="AG60" s="55">
        <v>1</v>
      </c>
      <c r="AH60" s="56">
        <v>1</v>
      </c>
      <c r="AI60" s="55"/>
      <c r="AJ60" s="56" t="str">
        <f t="shared" si="20"/>
        <v/>
      </c>
      <c r="AK60" s="55"/>
      <c r="AL60" s="56" t="str">
        <f t="shared" si="21"/>
        <v/>
      </c>
      <c r="AM60" s="55">
        <v>1</v>
      </c>
      <c r="AN60" s="56">
        <v>7</v>
      </c>
      <c r="AO60" s="55"/>
      <c r="AP60" s="56" t="str">
        <f t="shared" si="23"/>
        <v/>
      </c>
      <c r="AQ60" s="55"/>
      <c r="AR60" s="56" t="str">
        <f t="shared" si="24"/>
        <v/>
      </c>
      <c r="AS60" s="57"/>
      <c r="AT60" s="58"/>
      <c r="AU60" s="58"/>
      <c r="AV60" s="59"/>
      <c r="AW60" s="60">
        <v>1</v>
      </c>
      <c r="AX60" s="61">
        <f t="shared" si="2"/>
        <v>1</v>
      </c>
      <c r="AY60" s="60">
        <f t="shared" si="3"/>
        <v>0</v>
      </c>
      <c r="AZ60" s="61" t="str">
        <f t="shared" si="4"/>
        <v/>
      </c>
    </row>
    <row r="61" spans="1:52" s="3" customFormat="1" hidden="1" x14ac:dyDescent="0.35">
      <c r="A61" s="72">
        <f t="shared" si="5"/>
        <v>2019</v>
      </c>
      <c r="B61" s="72" t="str">
        <f t="shared" si="6"/>
        <v>Nov</v>
      </c>
      <c r="C61" s="73">
        <f t="shared" si="25"/>
        <v>18</v>
      </c>
      <c r="D61" s="74">
        <f t="shared" si="7"/>
        <v>10</v>
      </c>
      <c r="E61" s="75">
        <f t="shared" si="8"/>
        <v>9</v>
      </c>
      <c r="F61" s="79"/>
      <c r="G61" s="82"/>
      <c r="H61" s="68" t="str">
        <f t="shared" si="26"/>
        <v>Senbur7_20191118_10_00</v>
      </c>
      <c r="I61" s="69">
        <f t="shared" si="30"/>
        <v>1</v>
      </c>
      <c r="J61" s="76" t="str">
        <f t="shared" si="30"/>
        <v>Senecio</v>
      </c>
      <c r="K61" s="76" t="str">
        <f t="shared" si="30"/>
        <v>burtoni</v>
      </c>
      <c r="L61" s="77">
        <f t="shared" si="30"/>
        <v>7</v>
      </c>
      <c r="M61" s="77">
        <f t="shared" si="30"/>
        <v>7</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2019</v>
      </c>
      <c r="B62" s="72" t="str">
        <f t="shared" si="6"/>
        <v>Nov</v>
      </c>
      <c r="C62" s="73">
        <f t="shared" si="25"/>
        <v>18</v>
      </c>
      <c r="D62" s="74">
        <f t="shared" si="7"/>
        <v>10</v>
      </c>
      <c r="E62" s="75">
        <f t="shared" si="8"/>
        <v>10</v>
      </c>
      <c r="F62" s="79">
        <v>18</v>
      </c>
      <c r="G62" s="82"/>
      <c r="H62" s="68" t="str">
        <f t="shared" si="26"/>
        <v>Senbur7_20191118_10_00</v>
      </c>
      <c r="I62" s="69">
        <f t="shared" si="30"/>
        <v>1</v>
      </c>
      <c r="J62" s="76" t="str">
        <f t="shared" si="30"/>
        <v>Senecio</v>
      </c>
      <c r="K62" s="76" t="str">
        <f t="shared" si="30"/>
        <v>burtoni</v>
      </c>
      <c r="L62" s="77">
        <f t="shared" si="30"/>
        <v>7</v>
      </c>
      <c r="M62" s="77">
        <f t="shared" si="30"/>
        <v>7</v>
      </c>
      <c r="N62" s="71">
        <f t="shared" si="30"/>
        <v>0</v>
      </c>
      <c r="O62" s="44"/>
      <c r="P62" s="45">
        <f t="shared" si="10"/>
        <v>1</v>
      </c>
      <c r="Q62" s="46" t="str">
        <f t="shared" si="11"/>
        <v>10:10:18</v>
      </c>
      <c r="R62" s="47" t="str">
        <f t="shared" si="12"/>
        <v>10:18</v>
      </c>
      <c r="S62" s="48">
        <f t="shared" si="0"/>
        <v>261</v>
      </c>
      <c r="T62" s="47" t="str">
        <f t="shared" si="13"/>
        <v>10</v>
      </c>
      <c r="U62" s="49">
        <v>14</v>
      </c>
      <c r="V62" s="50">
        <v>39</v>
      </c>
      <c r="W62" s="51" t="str">
        <f t="shared" si="14"/>
        <v>14:39</v>
      </c>
      <c r="X62" s="52" t="s">
        <v>62</v>
      </c>
      <c r="Y62" s="124" t="s">
        <v>84</v>
      </c>
      <c r="Z62" s="124"/>
      <c r="AA62" s="47" t="s">
        <v>77</v>
      </c>
      <c r="AB62" s="47" t="str">
        <f t="shared" si="15"/>
        <v>NA</v>
      </c>
      <c r="AC62" s="53">
        <f t="shared" si="16"/>
        <v>0</v>
      </c>
      <c r="AD62" s="54">
        <v>3</v>
      </c>
      <c r="AE62" s="54"/>
      <c r="AF62" s="54"/>
      <c r="AG62" s="55">
        <v>1</v>
      </c>
      <c r="AH62" s="56">
        <v>31</v>
      </c>
      <c r="AI62" s="55"/>
      <c r="AJ62" s="56" t="str">
        <f t="shared" si="20"/>
        <v/>
      </c>
      <c r="AK62" s="55">
        <v>1</v>
      </c>
      <c r="AL62" s="56">
        <v>150</v>
      </c>
      <c r="AM62" s="55">
        <v>1</v>
      </c>
      <c r="AN62" s="56">
        <v>80</v>
      </c>
      <c r="AO62" s="55"/>
      <c r="AP62" s="56" t="str">
        <f t="shared" si="23"/>
        <v/>
      </c>
      <c r="AQ62" s="55"/>
      <c r="AR62" s="56" t="str">
        <f t="shared" si="24"/>
        <v/>
      </c>
      <c r="AS62" s="57"/>
      <c r="AT62" s="58"/>
      <c r="AU62" s="58"/>
      <c r="AV62" s="59"/>
      <c r="AW62" s="60">
        <v>1</v>
      </c>
      <c r="AX62" s="61">
        <f t="shared" si="2"/>
        <v>3</v>
      </c>
      <c r="AY62" s="60">
        <v>1</v>
      </c>
      <c r="AZ62" s="61">
        <f t="shared" si="4"/>
        <v>3</v>
      </c>
    </row>
    <row r="63" spans="1:52" s="3" customFormat="1" hidden="1" x14ac:dyDescent="0.35">
      <c r="A63" s="72">
        <f t="shared" si="5"/>
        <v>2019</v>
      </c>
      <c r="B63" s="72" t="str">
        <f t="shared" si="6"/>
        <v>Nov</v>
      </c>
      <c r="C63" s="73">
        <f t="shared" si="25"/>
        <v>18</v>
      </c>
      <c r="D63" s="74">
        <f t="shared" si="7"/>
        <v>10</v>
      </c>
      <c r="E63" s="75">
        <f t="shared" si="8"/>
        <v>11</v>
      </c>
      <c r="F63" s="79"/>
      <c r="G63" s="82"/>
      <c r="H63" s="68" t="str">
        <f t="shared" si="26"/>
        <v>Senbur7_20191118_10_00</v>
      </c>
      <c r="I63" s="69">
        <f t="shared" si="30"/>
        <v>1</v>
      </c>
      <c r="J63" s="76" t="str">
        <f t="shared" si="30"/>
        <v>Senecio</v>
      </c>
      <c r="K63" s="76" t="str">
        <f t="shared" si="30"/>
        <v>burtoni</v>
      </c>
      <c r="L63" s="77">
        <f t="shared" si="30"/>
        <v>7</v>
      </c>
      <c r="M63" s="77">
        <f t="shared" si="30"/>
        <v>7</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18</v>
      </c>
      <c r="D64" s="74">
        <f t="shared" si="7"/>
        <v>10</v>
      </c>
      <c r="E64" s="75">
        <f t="shared" si="8"/>
        <v>12</v>
      </c>
      <c r="F64" s="79"/>
      <c r="G64" s="82"/>
      <c r="H64" s="68" t="str">
        <f t="shared" si="26"/>
        <v>Senbur7_20191118_10_00</v>
      </c>
      <c r="I64" s="69">
        <f t="shared" si="30"/>
        <v>1</v>
      </c>
      <c r="J64" s="76" t="str">
        <f t="shared" si="30"/>
        <v>Senecio</v>
      </c>
      <c r="K64" s="76" t="str">
        <f t="shared" si="30"/>
        <v>burtoni</v>
      </c>
      <c r="L64" s="77">
        <f t="shared" si="30"/>
        <v>7</v>
      </c>
      <c r="M64" s="77">
        <f t="shared" si="30"/>
        <v>7</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18</v>
      </c>
      <c r="D65" s="74">
        <f t="shared" si="7"/>
        <v>10</v>
      </c>
      <c r="E65" s="75">
        <f t="shared" si="8"/>
        <v>13</v>
      </c>
      <c r="F65" s="79"/>
      <c r="G65" s="82"/>
      <c r="H65" s="68" t="str">
        <f t="shared" si="26"/>
        <v>Senbur7_20191118_10_00</v>
      </c>
      <c r="I65" s="69">
        <f t="shared" si="30"/>
        <v>1</v>
      </c>
      <c r="J65" s="76" t="str">
        <f t="shared" si="30"/>
        <v>Senecio</v>
      </c>
      <c r="K65" s="76" t="str">
        <f t="shared" si="30"/>
        <v>burtoni</v>
      </c>
      <c r="L65" s="77">
        <f t="shared" si="30"/>
        <v>7</v>
      </c>
      <c r="M65" s="77">
        <f t="shared" si="30"/>
        <v>7</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18</v>
      </c>
      <c r="D66" s="74">
        <f t="shared" si="7"/>
        <v>10</v>
      </c>
      <c r="E66" s="75">
        <f t="shared" si="8"/>
        <v>14</v>
      </c>
      <c r="F66" s="79">
        <v>39</v>
      </c>
      <c r="G66" s="82"/>
      <c r="H66" s="68" t="str">
        <f t="shared" si="26"/>
        <v>Senbur7_20191118_10_00</v>
      </c>
      <c r="I66" s="69">
        <f t="shared" si="30"/>
        <v>1</v>
      </c>
      <c r="J66" s="76" t="str">
        <f t="shared" si="30"/>
        <v>Senecio</v>
      </c>
      <c r="K66" s="76" t="str">
        <f t="shared" si="30"/>
        <v>burtoni</v>
      </c>
      <c r="L66" s="77">
        <f t="shared" si="30"/>
        <v>7</v>
      </c>
      <c r="M66" s="77">
        <f t="shared" si="30"/>
        <v>7</v>
      </c>
      <c r="N66" s="71">
        <f t="shared" si="30"/>
        <v>0</v>
      </c>
      <c r="O66" s="44"/>
      <c r="P66" s="45">
        <f t="shared" si="10"/>
        <v>1</v>
      </c>
      <c r="Q66" s="46" t="str">
        <f t="shared" si="11"/>
        <v>10:14:39</v>
      </c>
      <c r="R66" s="47" t="str">
        <f t="shared" si="12"/>
        <v>14:39</v>
      </c>
      <c r="S66" s="48">
        <f t="shared" si="0"/>
        <v>12</v>
      </c>
      <c r="T66" s="47" t="str">
        <f t="shared" si="13"/>
        <v>10</v>
      </c>
      <c r="U66" s="49">
        <v>14</v>
      </c>
      <c r="V66" s="50">
        <v>51</v>
      </c>
      <c r="W66" s="51" t="str">
        <f t="shared" si="14"/>
        <v>14:51</v>
      </c>
      <c r="X66" s="52" t="s">
        <v>63</v>
      </c>
      <c r="Y66" s="124" t="s">
        <v>83</v>
      </c>
      <c r="Z66" s="124"/>
      <c r="AA66" s="47" t="s">
        <v>59</v>
      </c>
      <c r="AB66" s="47" t="str">
        <f t="shared" si="15"/>
        <v>NA</v>
      </c>
      <c r="AC66" s="53">
        <f t="shared" si="16"/>
        <v>0</v>
      </c>
      <c r="AD66" s="54">
        <f t="shared" si="17"/>
        <v>1</v>
      </c>
      <c r="AE66" s="54"/>
      <c r="AF66" s="54"/>
      <c r="AG66" s="55">
        <v>1</v>
      </c>
      <c r="AH66" s="56">
        <v>4</v>
      </c>
      <c r="AI66" s="55"/>
      <c r="AJ66" s="56" t="str">
        <f t="shared" si="20"/>
        <v/>
      </c>
      <c r="AK66" s="55"/>
      <c r="AL66" s="56" t="str">
        <f t="shared" si="21"/>
        <v/>
      </c>
      <c r="AM66" s="55">
        <v>1</v>
      </c>
      <c r="AN66" s="56">
        <v>8</v>
      </c>
      <c r="AO66" s="55"/>
      <c r="AP66" s="56" t="str">
        <f t="shared" si="23"/>
        <v/>
      </c>
      <c r="AQ66" s="55"/>
      <c r="AR66" s="56" t="str">
        <f t="shared" si="24"/>
        <v/>
      </c>
      <c r="AS66" s="57"/>
      <c r="AT66" s="58"/>
      <c r="AU66" s="58"/>
      <c r="AV66" s="59"/>
      <c r="AW66" s="60">
        <v>1</v>
      </c>
      <c r="AX66" s="61">
        <f t="shared" si="2"/>
        <v>1</v>
      </c>
      <c r="AY66" s="60">
        <v>1</v>
      </c>
      <c r="AZ66" s="61">
        <f t="shared" si="4"/>
        <v>1</v>
      </c>
    </row>
    <row r="67" spans="1:52" s="3" customFormat="1" hidden="1" x14ac:dyDescent="0.35">
      <c r="A67" s="72">
        <f t="shared" si="5"/>
        <v>2019</v>
      </c>
      <c r="B67" s="72" t="str">
        <f t="shared" si="6"/>
        <v>Nov</v>
      </c>
      <c r="C67" s="73">
        <f t="shared" si="25"/>
        <v>18</v>
      </c>
      <c r="D67" s="74">
        <f t="shared" si="7"/>
        <v>10</v>
      </c>
      <c r="E67" s="75">
        <f t="shared" si="8"/>
        <v>15</v>
      </c>
      <c r="F67" s="79">
        <v>36</v>
      </c>
      <c r="G67" s="82"/>
      <c r="H67" s="68" t="str">
        <f t="shared" si="26"/>
        <v>Senbur7_20191118_10_00</v>
      </c>
      <c r="I67" s="69">
        <f t="shared" si="30"/>
        <v>1</v>
      </c>
      <c r="J67" s="76" t="str">
        <f t="shared" si="30"/>
        <v>Senecio</v>
      </c>
      <c r="K67" s="76" t="str">
        <f t="shared" si="30"/>
        <v>burtoni</v>
      </c>
      <c r="L67" s="77">
        <f t="shared" si="30"/>
        <v>7</v>
      </c>
      <c r="M67" s="77">
        <f t="shared" si="30"/>
        <v>7</v>
      </c>
      <c r="N67" s="71">
        <f t="shared" si="30"/>
        <v>0</v>
      </c>
      <c r="O67" s="44"/>
      <c r="P67" s="45">
        <f t="shared" si="10"/>
        <v>1</v>
      </c>
      <c r="Q67" s="46" t="str">
        <f t="shared" si="11"/>
        <v>10:15:36</v>
      </c>
      <c r="R67" s="47" t="str">
        <f t="shared" si="12"/>
        <v>15:36</v>
      </c>
      <c r="S67" s="48">
        <f t="shared" ref="S67:S130" si="31">IF(T67&lt;D67, (T67*3600+U67*60+V67)+((23*3600+59*60+60)-(D67*3600+E67*60+LEFT(F67,2))), (T67*3600+U67*60+V67)-(D67*3600+E67*60+LEFT(F67,2)))</f>
        <v>5</v>
      </c>
      <c r="T67" s="47" t="str">
        <f t="shared" si="13"/>
        <v>10</v>
      </c>
      <c r="U67" s="49">
        <v>15</v>
      </c>
      <c r="V67" s="50">
        <v>41</v>
      </c>
      <c r="W67" s="51" t="str">
        <f t="shared" si="14"/>
        <v>15:41</v>
      </c>
      <c r="X67" s="52" t="s">
        <v>63</v>
      </c>
      <c r="Y67" s="124" t="s">
        <v>80</v>
      </c>
      <c r="Z67" s="124"/>
      <c r="AA67" s="47" t="s">
        <v>59</v>
      </c>
      <c r="AB67" s="47" t="str">
        <f t="shared" si="15"/>
        <v>NA</v>
      </c>
      <c r="AC67" s="53">
        <f t="shared" si="16"/>
        <v>0</v>
      </c>
      <c r="AD67" s="54">
        <f t="shared" si="17"/>
        <v>1</v>
      </c>
      <c r="AE67" s="54"/>
      <c r="AF67" s="54"/>
      <c r="AG67" s="55">
        <v>1</v>
      </c>
      <c r="AH67" s="56">
        <f t="shared" si="19"/>
        <v>5</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f t="shared" ref="AW67:AW130" si="32">IF(P67=1,0,"")</f>
        <v>0</v>
      </c>
      <c r="AX67" s="61" t="str">
        <f t="shared" ref="AX67:AX130" si="33">IF(AW67=1,AD67,"")</f>
        <v/>
      </c>
      <c r="AY67" s="60">
        <f t="shared" ref="AY67:AY130" si="34">IF(P67=1,0,"")</f>
        <v>0</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18</v>
      </c>
      <c r="D68" s="74">
        <f t="shared" ref="D68:D131" si="38">IF(IF(E67=59,D67+1,D67)=24,0,IF(E67=59,D67+1,D67))</f>
        <v>10</v>
      </c>
      <c r="E68" s="75">
        <f t="shared" ref="E68:E131" si="39">IF(E67&lt;59,E67+1,0)</f>
        <v>16</v>
      </c>
      <c r="F68" s="79"/>
      <c r="G68" s="82"/>
      <c r="H68" s="68" t="str">
        <f t="shared" si="26"/>
        <v>Senbur7_20191118_10_00</v>
      </c>
      <c r="I68" s="69">
        <f t="shared" si="30"/>
        <v>1</v>
      </c>
      <c r="J68" s="76" t="str">
        <f t="shared" si="30"/>
        <v>Senecio</v>
      </c>
      <c r="K68" s="76" t="str">
        <f t="shared" si="30"/>
        <v>burtoni</v>
      </c>
      <c r="L68" s="77">
        <f t="shared" si="30"/>
        <v>7</v>
      </c>
      <c r="M68" s="77">
        <f t="shared" si="30"/>
        <v>7</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18</v>
      </c>
      <c r="D69" s="74">
        <f t="shared" si="38"/>
        <v>10</v>
      </c>
      <c r="E69" s="75">
        <f t="shared" si="39"/>
        <v>17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Senbur7_20191118_10_00</v>
      </c>
      <c r="I69" s="69">
        <f t="shared" ref="I69:N84" si="57">I68</f>
        <v>1</v>
      </c>
      <c r="J69" s="76" t="str">
        <f t="shared" si="57"/>
        <v>Senecio</v>
      </c>
      <c r="K69" s="76" t="str">
        <f t="shared" si="57"/>
        <v>burtoni</v>
      </c>
      <c r="L69" s="77">
        <f t="shared" si="57"/>
        <v>7</v>
      </c>
      <c r="M69" s="77">
        <f t="shared" si="57"/>
        <v>7</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18</v>
      </c>
      <c r="D70" s="74">
        <f t="shared" si="38"/>
        <v>10</v>
      </c>
      <c r="E70" s="75">
        <f t="shared" si="39"/>
        <v>18</v>
      </c>
      <c r="F70" s="79">
        <v>30</v>
      </c>
      <c r="G70" s="82"/>
      <c r="H70" s="68" t="str">
        <f t="shared" si="56"/>
        <v>Senbur7_20191118_10_00</v>
      </c>
      <c r="I70" s="69">
        <f t="shared" si="57"/>
        <v>1</v>
      </c>
      <c r="J70" s="76" t="str">
        <f t="shared" si="57"/>
        <v>Senecio</v>
      </c>
      <c r="K70" s="76" t="str">
        <f t="shared" si="57"/>
        <v>burtoni</v>
      </c>
      <c r="L70" s="77">
        <f t="shared" si="57"/>
        <v>7</v>
      </c>
      <c r="M70" s="77">
        <f t="shared" si="57"/>
        <v>7</v>
      </c>
      <c r="N70" s="71">
        <f t="shared" si="57"/>
        <v>0</v>
      </c>
      <c r="O70" s="44"/>
      <c r="P70" s="45">
        <f t="shared" si="40"/>
        <v>1</v>
      </c>
      <c r="Q70" s="46" t="str">
        <f t="shared" si="41"/>
        <v>10:18:30</v>
      </c>
      <c r="R70" s="47" t="str">
        <f t="shared" si="42"/>
        <v>18:30</v>
      </c>
      <c r="S70" s="48">
        <f t="shared" si="31"/>
        <v>134</v>
      </c>
      <c r="T70" s="47" t="str">
        <f t="shared" si="43"/>
        <v>10</v>
      </c>
      <c r="U70" s="49">
        <v>20</v>
      </c>
      <c r="V70" s="50">
        <v>44</v>
      </c>
      <c r="W70" s="51" t="str">
        <f t="shared" si="44"/>
        <v>20:44</v>
      </c>
      <c r="X70" s="52" t="s">
        <v>63</v>
      </c>
      <c r="Y70" s="124" t="s">
        <v>82</v>
      </c>
      <c r="Z70" s="124"/>
      <c r="AA70" s="47" t="s">
        <v>59</v>
      </c>
      <c r="AB70" s="47" t="str">
        <f t="shared" si="45"/>
        <v>NA</v>
      </c>
      <c r="AC70" s="53">
        <f t="shared" si="46"/>
        <v>0</v>
      </c>
      <c r="AD70" s="54">
        <f t="shared" si="47"/>
        <v>1</v>
      </c>
      <c r="AE70" s="54"/>
      <c r="AF70" s="54"/>
      <c r="AG70" s="55">
        <v>1</v>
      </c>
      <c r="AH70" s="56">
        <v>34</v>
      </c>
      <c r="AI70" s="55"/>
      <c r="AJ70" s="56" t="str">
        <f t="shared" si="50"/>
        <v/>
      </c>
      <c r="AK70" s="55">
        <v>1</v>
      </c>
      <c r="AL70" s="56">
        <v>40</v>
      </c>
      <c r="AM70" s="55">
        <v>1</v>
      </c>
      <c r="AN70" s="56">
        <v>60</v>
      </c>
      <c r="AO70" s="55"/>
      <c r="AP70" s="56" t="str">
        <f t="shared" si="53"/>
        <v/>
      </c>
      <c r="AQ70" s="55"/>
      <c r="AR70" s="56" t="str">
        <f t="shared" si="54"/>
        <v/>
      </c>
      <c r="AS70" s="57"/>
      <c r="AT70" s="58"/>
      <c r="AU70" s="58"/>
      <c r="AV70" s="59"/>
      <c r="AW70" s="60">
        <v>1</v>
      </c>
      <c r="AX70" s="61">
        <f t="shared" si="33"/>
        <v>1</v>
      </c>
      <c r="AY70" s="60">
        <v>1</v>
      </c>
      <c r="AZ70" s="61">
        <f t="shared" si="35"/>
        <v>1</v>
      </c>
    </row>
    <row r="71" spans="1:52" s="3" customFormat="1" hidden="1" x14ac:dyDescent="0.35">
      <c r="A71" s="72">
        <f t="shared" si="36"/>
        <v>2019</v>
      </c>
      <c r="B71" s="72" t="str">
        <f t="shared" si="37"/>
        <v>Nov</v>
      </c>
      <c r="C71" s="73">
        <f t="shared" si="55"/>
        <v>18</v>
      </c>
      <c r="D71" s="74">
        <f t="shared" si="38"/>
        <v>10</v>
      </c>
      <c r="E71" s="75">
        <f t="shared" si="39"/>
        <v>19</v>
      </c>
      <c r="F71" s="79"/>
      <c r="G71" s="82"/>
      <c r="H71" s="68" t="str">
        <f t="shared" si="56"/>
        <v>Senbur7_20191118_10_00</v>
      </c>
      <c r="I71" s="69">
        <f t="shared" si="57"/>
        <v>1</v>
      </c>
      <c r="J71" s="76" t="str">
        <f t="shared" si="57"/>
        <v>Senecio</v>
      </c>
      <c r="K71" s="76" t="str">
        <f t="shared" si="57"/>
        <v>burtoni</v>
      </c>
      <c r="L71" s="77">
        <f t="shared" si="57"/>
        <v>7</v>
      </c>
      <c r="M71" s="77">
        <f t="shared" si="57"/>
        <v>7</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18</v>
      </c>
      <c r="D72" s="74">
        <f t="shared" si="38"/>
        <v>10</v>
      </c>
      <c r="E72" s="75">
        <f t="shared" si="39"/>
        <v>20</v>
      </c>
      <c r="F72" s="79"/>
      <c r="G72" s="82"/>
      <c r="H72" s="68" t="str">
        <f t="shared" si="56"/>
        <v>Senbur7_20191118_10_00</v>
      </c>
      <c r="I72" s="69">
        <f t="shared" si="57"/>
        <v>1</v>
      </c>
      <c r="J72" s="76" t="str">
        <f t="shared" si="57"/>
        <v>Senecio</v>
      </c>
      <c r="K72" s="76" t="str">
        <f t="shared" si="57"/>
        <v>burtoni</v>
      </c>
      <c r="L72" s="77">
        <f t="shared" si="57"/>
        <v>7</v>
      </c>
      <c r="M72" s="77">
        <f t="shared" si="57"/>
        <v>7</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18</v>
      </c>
      <c r="D73" s="74">
        <f t="shared" si="38"/>
        <v>10</v>
      </c>
      <c r="E73" s="75">
        <f t="shared" si="39"/>
        <v>21</v>
      </c>
      <c r="F73" s="79"/>
      <c r="G73" s="82"/>
      <c r="H73" s="68" t="str">
        <f t="shared" si="56"/>
        <v>Senbur7_20191118_10_00</v>
      </c>
      <c r="I73" s="69">
        <f t="shared" si="57"/>
        <v>1</v>
      </c>
      <c r="J73" s="76" t="str">
        <f t="shared" si="57"/>
        <v>Senecio</v>
      </c>
      <c r="K73" s="76" t="str">
        <f t="shared" si="57"/>
        <v>burtoni</v>
      </c>
      <c r="L73" s="77">
        <f t="shared" si="57"/>
        <v>7</v>
      </c>
      <c r="M73" s="77">
        <f t="shared" si="57"/>
        <v>7</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18</v>
      </c>
      <c r="D74" s="74">
        <f t="shared" si="38"/>
        <v>10</v>
      </c>
      <c r="E74" s="75">
        <f t="shared" si="39"/>
        <v>22</v>
      </c>
      <c r="F74" s="79"/>
      <c r="G74" s="82"/>
      <c r="H74" s="68" t="str">
        <f t="shared" si="56"/>
        <v>Senbur7_20191118_10_00</v>
      </c>
      <c r="I74" s="69">
        <f t="shared" si="57"/>
        <v>1</v>
      </c>
      <c r="J74" s="76" t="str">
        <f t="shared" si="57"/>
        <v>Senecio</v>
      </c>
      <c r="K74" s="76" t="str">
        <f t="shared" si="57"/>
        <v>burtoni</v>
      </c>
      <c r="L74" s="77">
        <f t="shared" si="57"/>
        <v>7</v>
      </c>
      <c r="M74" s="77">
        <f t="shared" si="57"/>
        <v>7</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18</v>
      </c>
      <c r="D75" s="74">
        <f t="shared" si="38"/>
        <v>10</v>
      </c>
      <c r="E75" s="75">
        <f t="shared" si="39"/>
        <v>23</v>
      </c>
      <c r="F75" s="79"/>
      <c r="G75" s="82"/>
      <c r="H75" s="68" t="str">
        <f t="shared" si="56"/>
        <v>Senbur7_20191118_10_00</v>
      </c>
      <c r="I75" s="69">
        <f t="shared" si="57"/>
        <v>1</v>
      </c>
      <c r="J75" s="76" t="str">
        <f t="shared" si="57"/>
        <v>Senecio</v>
      </c>
      <c r="K75" s="76" t="str">
        <f t="shared" si="57"/>
        <v>burtoni</v>
      </c>
      <c r="L75" s="77">
        <f t="shared" si="57"/>
        <v>7</v>
      </c>
      <c r="M75" s="77">
        <f t="shared" si="57"/>
        <v>7</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18</v>
      </c>
      <c r="D76" s="74">
        <f t="shared" si="38"/>
        <v>10</v>
      </c>
      <c r="E76" s="75">
        <f t="shared" si="39"/>
        <v>24</v>
      </c>
      <c r="F76" s="79"/>
      <c r="G76" s="82"/>
      <c r="H76" s="68" t="str">
        <f t="shared" si="56"/>
        <v>Senbur7_20191118_10_00</v>
      </c>
      <c r="I76" s="69">
        <f t="shared" si="57"/>
        <v>1</v>
      </c>
      <c r="J76" s="76" t="str">
        <f t="shared" si="57"/>
        <v>Senecio</v>
      </c>
      <c r="K76" s="76" t="str">
        <f t="shared" si="57"/>
        <v>burtoni</v>
      </c>
      <c r="L76" s="77">
        <f t="shared" si="57"/>
        <v>7</v>
      </c>
      <c r="M76" s="77">
        <f t="shared" si="57"/>
        <v>7</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2019</v>
      </c>
      <c r="B77" s="72" t="str">
        <f t="shared" si="37"/>
        <v>Nov</v>
      </c>
      <c r="C77" s="73">
        <f t="shared" si="55"/>
        <v>18</v>
      </c>
      <c r="D77" s="74">
        <f t="shared" si="38"/>
        <v>10</v>
      </c>
      <c r="E77" s="75">
        <f t="shared" si="39"/>
        <v>25</v>
      </c>
      <c r="F77" s="79">
        <v>10</v>
      </c>
      <c r="G77" s="82"/>
      <c r="H77" s="68" t="str">
        <f t="shared" si="56"/>
        <v>Senbur7_20191118_10_00</v>
      </c>
      <c r="I77" s="69">
        <f t="shared" si="57"/>
        <v>1</v>
      </c>
      <c r="J77" s="76" t="str">
        <f t="shared" si="57"/>
        <v>Senecio</v>
      </c>
      <c r="K77" s="76" t="str">
        <f t="shared" si="57"/>
        <v>burtoni</v>
      </c>
      <c r="L77" s="77">
        <f t="shared" si="57"/>
        <v>7</v>
      </c>
      <c r="M77" s="77">
        <f t="shared" si="57"/>
        <v>7</v>
      </c>
      <c r="N77" s="71">
        <f t="shared" si="57"/>
        <v>0</v>
      </c>
      <c r="O77" s="44"/>
      <c r="P77" s="45">
        <f t="shared" si="40"/>
        <v>1</v>
      </c>
      <c r="Q77" s="46" t="str">
        <f t="shared" si="41"/>
        <v>10:25:10</v>
      </c>
      <c r="R77" s="47" t="str">
        <f t="shared" si="42"/>
        <v>25:10</v>
      </c>
      <c r="S77" s="48">
        <f t="shared" si="31"/>
        <v>16</v>
      </c>
      <c r="T77" s="47" t="str">
        <f t="shared" si="43"/>
        <v>10</v>
      </c>
      <c r="U77" s="49">
        <v>25</v>
      </c>
      <c r="V77" s="50">
        <v>26</v>
      </c>
      <c r="W77" s="51" t="str">
        <f t="shared" si="44"/>
        <v>25:26</v>
      </c>
      <c r="X77" s="52" t="s">
        <v>62</v>
      </c>
      <c r="Y77" s="124" t="s">
        <v>84</v>
      </c>
      <c r="Z77" s="124"/>
      <c r="AA77" s="47" t="s">
        <v>77</v>
      </c>
      <c r="AB77" s="47" t="str">
        <f t="shared" si="45"/>
        <v>NA</v>
      </c>
      <c r="AC77" s="53">
        <f t="shared" si="46"/>
        <v>0</v>
      </c>
      <c r="AD77" s="54">
        <f t="shared" si="47"/>
        <v>1</v>
      </c>
      <c r="AE77" s="54"/>
      <c r="AF77" s="54"/>
      <c r="AG77" s="55" t="str">
        <f t="shared" si="48"/>
        <v/>
      </c>
      <c r="AH77" s="56" t="str">
        <f t="shared" si="49"/>
        <v/>
      </c>
      <c r="AI77" s="55"/>
      <c r="AJ77" s="56" t="str">
        <f t="shared" si="50"/>
        <v/>
      </c>
      <c r="AK77" s="55">
        <v>1</v>
      </c>
      <c r="AL77" s="56">
        <v>10</v>
      </c>
      <c r="AM77" s="55">
        <v>1</v>
      </c>
      <c r="AN77" s="56">
        <v>6</v>
      </c>
      <c r="AO77" s="55"/>
      <c r="AP77" s="56" t="str">
        <f t="shared" si="53"/>
        <v/>
      </c>
      <c r="AQ77" s="55"/>
      <c r="AR77" s="56" t="str">
        <f t="shared" si="54"/>
        <v/>
      </c>
      <c r="AS77" s="57"/>
      <c r="AT77" s="58"/>
      <c r="AU77" s="58"/>
      <c r="AV77" s="59"/>
      <c r="AW77" s="60">
        <v>1</v>
      </c>
      <c r="AX77" s="61">
        <f t="shared" si="33"/>
        <v>1</v>
      </c>
      <c r="AY77" s="60">
        <v>1</v>
      </c>
      <c r="AZ77" s="61">
        <f t="shared" si="35"/>
        <v>1</v>
      </c>
    </row>
    <row r="78" spans="1:52" s="3" customFormat="1" hidden="1" x14ac:dyDescent="0.35">
      <c r="A78" s="72">
        <f t="shared" si="36"/>
        <v>2019</v>
      </c>
      <c r="B78" s="72" t="str">
        <f t="shared" si="37"/>
        <v>Nov</v>
      </c>
      <c r="C78" s="73">
        <f t="shared" si="55"/>
        <v>18</v>
      </c>
      <c r="D78" s="74">
        <f t="shared" si="38"/>
        <v>10</v>
      </c>
      <c r="E78" s="75">
        <f t="shared" si="39"/>
        <v>26</v>
      </c>
      <c r="F78" s="79"/>
      <c r="G78" s="82"/>
      <c r="H78" s="68" t="str">
        <f t="shared" si="56"/>
        <v>Senbur7_20191118_10_00</v>
      </c>
      <c r="I78" s="69">
        <f t="shared" si="57"/>
        <v>1</v>
      </c>
      <c r="J78" s="76" t="str">
        <f t="shared" si="57"/>
        <v>Senecio</v>
      </c>
      <c r="K78" s="76" t="str">
        <f t="shared" si="57"/>
        <v>burtoni</v>
      </c>
      <c r="L78" s="77">
        <f t="shared" si="57"/>
        <v>7</v>
      </c>
      <c r="M78" s="77">
        <f t="shared" si="57"/>
        <v>7</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18</v>
      </c>
      <c r="D79" s="74">
        <f t="shared" si="38"/>
        <v>10</v>
      </c>
      <c r="E79" s="75">
        <f t="shared" si="39"/>
        <v>27</v>
      </c>
      <c r="F79" s="79"/>
      <c r="G79" s="82"/>
      <c r="H79" s="68" t="str">
        <f t="shared" si="56"/>
        <v>Senbur7_20191118_10_00</v>
      </c>
      <c r="I79" s="69">
        <f t="shared" si="57"/>
        <v>1</v>
      </c>
      <c r="J79" s="76" t="str">
        <f t="shared" si="57"/>
        <v>Senecio</v>
      </c>
      <c r="K79" s="76" t="str">
        <f t="shared" si="57"/>
        <v>burtoni</v>
      </c>
      <c r="L79" s="77">
        <f t="shared" si="57"/>
        <v>7</v>
      </c>
      <c r="M79" s="77">
        <f t="shared" si="57"/>
        <v>7</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18</v>
      </c>
      <c r="D80" s="74">
        <f t="shared" si="38"/>
        <v>10</v>
      </c>
      <c r="E80" s="75">
        <f t="shared" si="39"/>
        <v>28</v>
      </c>
      <c r="F80" s="79">
        <v>0</v>
      </c>
      <c r="G80" s="82"/>
      <c r="H80" s="68" t="str">
        <f t="shared" si="56"/>
        <v>Senbur7_20191118_10_00</v>
      </c>
      <c r="I80" s="69">
        <f t="shared" si="57"/>
        <v>1</v>
      </c>
      <c r="J80" s="76" t="str">
        <f t="shared" si="57"/>
        <v>Senecio</v>
      </c>
      <c r="K80" s="76" t="str">
        <f t="shared" si="57"/>
        <v>burtoni</v>
      </c>
      <c r="L80" s="77">
        <f t="shared" si="57"/>
        <v>7</v>
      </c>
      <c r="M80" s="77">
        <f t="shared" si="57"/>
        <v>7</v>
      </c>
      <c r="N80" s="71">
        <f t="shared" si="57"/>
        <v>0</v>
      </c>
      <c r="O80" s="44"/>
      <c r="P80" s="45">
        <f t="shared" si="40"/>
        <v>1</v>
      </c>
      <c r="Q80" s="46" t="str">
        <f t="shared" si="41"/>
        <v>10:28:00</v>
      </c>
      <c r="R80" s="47" t="str">
        <f t="shared" si="42"/>
        <v>28:00</v>
      </c>
      <c r="S80" s="48">
        <f t="shared" si="31"/>
        <v>21</v>
      </c>
      <c r="T80" s="47" t="str">
        <f t="shared" si="43"/>
        <v>10</v>
      </c>
      <c r="U80" s="49">
        <v>28</v>
      </c>
      <c r="V80" s="50">
        <v>21</v>
      </c>
      <c r="W80" s="51" t="str">
        <f t="shared" si="44"/>
        <v>28:21</v>
      </c>
      <c r="X80" s="52" t="s">
        <v>63</v>
      </c>
      <c r="Y80" s="124" t="s">
        <v>80</v>
      </c>
      <c r="Z80" s="124"/>
      <c r="AA80" s="47" t="s">
        <v>59</v>
      </c>
      <c r="AB80" s="47" t="str">
        <f t="shared" si="45"/>
        <v>NA</v>
      </c>
      <c r="AC80" s="53">
        <f t="shared" si="46"/>
        <v>0</v>
      </c>
      <c r="AD80" s="54">
        <f t="shared" si="47"/>
        <v>1</v>
      </c>
      <c r="AE80" s="54"/>
      <c r="AF80" s="54"/>
      <c r="AG80" s="55">
        <v>1</v>
      </c>
      <c r="AH80" s="56">
        <v>6</v>
      </c>
      <c r="AI80" s="55"/>
      <c r="AJ80" s="56" t="str">
        <f t="shared" si="50"/>
        <v/>
      </c>
      <c r="AK80" s="55"/>
      <c r="AL80" s="56" t="str">
        <f t="shared" si="51"/>
        <v/>
      </c>
      <c r="AM80" s="55">
        <v>1</v>
      </c>
      <c r="AN80" s="56">
        <v>15</v>
      </c>
      <c r="AO80" s="55"/>
      <c r="AP80" s="56" t="str">
        <f t="shared" si="53"/>
        <v/>
      </c>
      <c r="AQ80" s="55"/>
      <c r="AR80" s="56" t="str">
        <f t="shared" si="54"/>
        <v/>
      </c>
      <c r="AS80" s="57"/>
      <c r="AT80" s="58"/>
      <c r="AU80" s="58"/>
      <c r="AV80" s="59"/>
      <c r="AW80" s="60">
        <v>1</v>
      </c>
      <c r="AX80" s="61">
        <f t="shared" si="33"/>
        <v>1</v>
      </c>
      <c r="AY80" s="60">
        <v>1</v>
      </c>
      <c r="AZ80" s="61">
        <f t="shared" si="35"/>
        <v>1</v>
      </c>
    </row>
    <row r="81" spans="1:52" s="3" customFormat="1" hidden="1" x14ac:dyDescent="0.35">
      <c r="A81" s="72">
        <f t="shared" si="36"/>
        <v>2019</v>
      </c>
      <c r="B81" s="72" t="str">
        <f t="shared" si="37"/>
        <v>Nov</v>
      </c>
      <c r="C81" s="73">
        <f t="shared" si="55"/>
        <v>18</v>
      </c>
      <c r="D81" s="74">
        <f t="shared" si="38"/>
        <v>10</v>
      </c>
      <c r="E81" s="75">
        <f t="shared" si="39"/>
        <v>29</v>
      </c>
      <c r="F81" s="79">
        <v>22</v>
      </c>
      <c r="G81" s="82"/>
      <c r="H81" s="68" t="str">
        <f t="shared" si="56"/>
        <v>Senbur7_20191118_10_00</v>
      </c>
      <c r="I81" s="69">
        <f t="shared" si="57"/>
        <v>1</v>
      </c>
      <c r="J81" s="76" t="str">
        <f t="shared" si="57"/>
        <v>Senecio</v>
      </c>
      <c r="K81" s="76" t="str">
        <f t="shared" si="57"/>
        <v>burtoni</v>
      </c>
      <c r="L81" s="77">
        <f t="shared" si="57"/>
        <v>7</v>
      </c>
      <c r="M81" s="77">
        <f t="shared" si="57"/>
        <v>7</v>
      </c>
      <c r="N81" s="71">
        <f t="shared" si="57"/>
        <v>0</v>
      </c>
      <c r="O81" s="44"/>
      <c r="P81" s="45">
        <f t="shared" si="40"/>
        <v>1</v>
      </c>
      <c r="Q81" s="46" t="str">
        <f t="shared" si="41"/>
        <v>10:29:22</v>
      </c>
      <c r="R81" s="47" t="str">
        <f t="shared" si="42"/>
        <v>29:22</v>
      </c>
      <c r="S81" s="48">
        <f t="shared" si="31"/>
        <v>6</v>
      </c>
      <c r="T81" s="47" t="str">
        <f t="shared" si="43"/>
        <v>10</v>
      </c>
      <c r="U81" s="49">
        <v>29</v>
      </c>
      <c r="V81" s="50">
        <v>28</v>
      </c>
      <c r="W81" s="51" t="str">
        <f t="shared" si="44"/>
        <v>29:28</v>
      </c>
      <c r="X81" s="52" t="s">
        <v>63</v>
      </c>
      <c r="Y81" s="124" t="s">
        <v>83</v>
      </c>
      <c r="Z81" s="124"/>
      <c r="AA81" s="47" t="s">
        <v>59</v>
      </c>
      <c r="AB81" s="47" t="str">
        <f t="shared" si="45"/>
        <v>NA</v>
      </c>
      <c r="AC81" s="53">
        <f t="shared" si="46"/>
        <v>0</v>
      </c>
      <c r="AD81" s="54">
        <f t="shared" si="47"/>
        <v>1</v>
      </c>
      <c r="AE81" s="54"/>
      <c r="AF81" s="54"/>
      <c r="AG81" s="55">
        <v>1</v>
      </c>
      <c r="AH81" s="56">
        <v>2</v>
      </c>
      <c r="AI81" s="55"/>
      <c r="AJ81" s="56" t="str">
        <f t="shared" si="50"/>
        <v/>
      </c>
      <c r="AK81" s="55"/>
      <c r="AL81" s="56" t="str">
        <f t="shared" si="51"/>
        <v/>
      </c>
      <c r="AM81" s="55">
        <v>1</v>
      </c>
      <c r="AN81" s="56">
        <v>4</v>
      </c>
      <c r="AO81" s="55"/>
      <c r="AP81" s="56" t="str">
        <f t="shared" si="53"/>
        <v/>
      </c>
      <c r="AQ81" s="55"/>
      <c r="AR81" s="56" t="str">
        <f t="shared" si="54"/>
        <v/>
      </c>
      <c r="AS81" s="57"/>
      <c r="AT81" s="58"/>
      <c r="AU81" s="58"/>
      <c r="AV81" s="59"/>
      <c r="AW81" s="60">
        <v>1</v>
      </c>
      <c r="AX81" s="61">
        <f t="shared" si="33"/>
        <v>1</v>
      </c>
      <c r="AY81" s="60">
        <v>1</v>
      </c>
      <c r="AZ81" s="61">
        <f t="shared" si="35"/>
        <v>1</v>
      </c>
    </row>
    <row r="82" spans="1:52" s="3" customFormat="1" x14ac:dyDescent="0.35">
      <c r="A82" s="72">
        <f t="shared" si="36"/>
        <v>2019</v>
      </c>
      <c r="B82" s="72" t="str">
        <f t="shared" si="37"/>
        <v>Nov</v>
      </c>
      <c r="C82" s="73">
        <f t="shared" si="55"/>
        <v>18</v>
      </c>
      <c r="D82" s="74">
        <f t="shared" si="38"/>
        <v>10</v>
      </c>
      <c r="E82" s="75">
        <f t="shared" si="39"/>
        <v>30</v>
      </c>
      <c r="F82" s="79">
        <v>21</v>
      </c>
      <c r="G82" s="82"/>
      <c r="H82" s="68" t="str">
        <f t="shared" si="56"/>
        <v>Senbur7_20191118_10_00</v>
      </c>
      <c r="I82" s="69">
        <f t="shared" si="57"/>
        <v>1</v>
      </c>
      <c r="J82" s="76" t="str">
        <f t="shared" si="57"/>
        <v>Senecio</v>
      </c>
      <c r="K82" s="76" t="str">
        <f t="shared" si="57"/>
        <v>burtoni</v>
      </c>
      <c r="L82" s="77">
        <f t="shared" si="57"/>
        <v>7</v>
      </c>
      <c r="M82" s="77">
        <f t="shared" si="57"/>
        <v>7</v>
      </c>
      <c r="N82" s="71">
        <f t="shared" si="57"/>
        <v>0</v>
      </c>
      <c r="O82" s="44"/>
      <c r="P82" s="45">
        <f t="shared" si="40"/>
        <v>1</v>
      </c>
      <c r="Q82" s="46" t="str">
        <f t="shared" si="41"/>
        <v>10:30:21</v>
      </c>
      <c r="R82" s="47" t="str">
        <f t="shared" si="42"/>
        <v>30:21</v>
      </c>
      <c r="S82" s="48">
        <f t="shared" si="31"/>
        <v>59</v>
      </c>
      <c r="T82" s="47" t="str">
        <f t="shared" si="43"/>
        <v>10</v>
      </c>
      <c r="U82" s="49">
        <v>31</v>
      </c>
      <c r="V82" s="50">
        <v>20</v>
      </c>
      <c r="W82" s="51" t="str">
        <f t="shared" si="44"/>
        <v>31:20</v>
      </c>
      <c r="X82" s="52" t="s">
        <v>62</v>
      </c>
      <c r="Y82" s="124" t="s">
        <v>84</v>
      </c>
      <c r="Z82" s="124"/>
      <c r="AA82" s="47" t="s">
        <v>77</v>
      </c>
      <c r="AB82" s="47" t="str">
        <f t="shared" si="45"/>
        <v>NA</v>
      </c>
      <c r="AC82" s="53">
        <f t="shared" si="46"/>
        <v>0</v>
      </c>
      <c r="AD82" s="54">
        <v>3</v>
      </c>
      <c r="AE82" s="54"/>
      <c r="AF82" s="54"/>
      <c r="AG82" s="55">
        <v>1</v>
      </c>
      <c r="AH82" s="56">
        <v>2</v>
      </c>
      <c r="AI82" s="55"/>
      <c r="AJ82" s="56" t="str">
        <f t="shared" si="50"/>
        <v/>
      </c>
      <c r="AK82" s="55">
        <v>1</v>
      </c>
      <c r="AL82" s="56">
        <v>37</v>
      </c>
      <c r="AM82" s="55">
        <v>1</v>
      </c>
      <c r="AN82" s="56">
        <v>20</v>
      </c>
      <c r="AO82" s="55"/>
      <c r="AP82" s="56" t="str">
        <f t="shared" si="53"/>
        <v/>
      </c>
      <c r="AQ82" s="55"/>
      <c r="AR82" s="56" t="str">
        <f t="shared" si="54"/>
        <v/>
      </c>
      <c r="AS82" s="57"/>
      <c r="AT82" s="58"/>
      <c r="AU82" s="58"/>
      <c r="AV82" s="59"/>
      <c r="AW82" s="60">
        <v>1</v>
      </c>
      <c r="AX82" s="61">
        <f t="shared" si="33"/>
        <v>3</v>
      </c>
      <c r="AY82" s="60">
        <v>1</v>
      </c>
      <c r="AZ82" s="61">
        <v>3</v>
      </c>
    </row>
    <row r="83" spans="1:52" s="3" customFormat="1" hidden="1" x14ac:dyDescent="0.35">
      <c r="A83" s="72">
        <f t="shared" si="36"/>
        <v>2019</v>
      </c>
      <c r="B83" s="72" t="str">
        <f t="shared" si="37"/>
        <v>Nov</v>
      </c>
      <c r="C83" s="73">
        <f t="shared" si="55"/>
        <v>18</v>
      </c>
      <c r="D83" s="74">
        <f t="shared" si="38"/>
        <v>10</v>
      </c>
      <c r="E83" s="75">
        <f t="shared" si="39"/>
        <v>31</v>
      </c>
      <c r="F83" s="79"/>
      <c r="G83" s="82"/>
      <c r="H83" s="68" t="str">
        <f t="shared" si="56"/>
        <v>Senbur7_20191118_10_00</v>
      </c>
      <c r="I83" s="69">
        <f t="shared" si="57"/>
        <v>1</v>
      </c>
      <c r="J83" s="76" t="str">
        <f t="shared" si="57"/>
        <v>Senecio</v>
      </c>
      <c r="K83" s="76" t="str">
        <f t="shared" si="57"/>
        <v>burtoni</v>
      </c>
      <c r="L83" s="77">
        <f t="shared" si="57"/>
        <v>7</v>
      </c>
      <c r="M83" s="77">
        <f t="shared" si="57"/>
        <v>7</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18</v>
      </c>
      <c r="D84" s="74">
        <f t="shared" si="38"/>
        <v>10</v>
      </c>
      <c r="E84" s="75">
        <f t="shared" si="39"/>
        <v>32</v>
      </c>
      <c r="F84" s="79"/>
      <c r="G84" s="82"/>
      <c r="H84" s="68" t="str">
        <f t="shared" si="56"/>
        <v>Senbur7_20191118_10_00</v>
      </c>
      <c r="I84" s="69">
        <f t="shared" si="57"/>
        <v>1</v>
      </c>
      <c r="J84" s="76" t="str">
        <f t="shared" si="57"/>
        <v>Senecio</v>
      </c>
      <c r="K84" s="76" t="str">
        <f t="shared" si="57"/>
        <v>burtoni</v>
      </c>
      <c r="L84" s="77">
        <f t="shared" si="57"/>
        <v>7</v>
      </c>
      <c r="M84" s="77">
        <f t="shared" si="57"/>
        <v>7</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18</v>
      </c>
      <c r="D85" s="74">
        <f t="shared" si="38"/>
        <v>10</v>
      </c>
      <c r="E85" s="75">
        <f t="shared" si="39"/>
        <v>33</v>
      </c>
      <c r="F85" s="79">
        <v>56</v>
      </c>
      <c r="G85" s="82"/>
      <c r="H85" s="68" t="str">
        <f t="shared" si="56"/>
        <v>Senbur7_20191118_10_00</v>
      </c>
      <c r="I85" s="69">
        <f t="shared" ref="I85:N100" si="58">I84</f>
        <v>1</v>
      </c>
      <c r="J85" s="76" t="str">
        <f t="shared" si="58"/>
        <v>Senecio</v>
      </c>
      <c r="K85" s="76" t="str">
        <f t="shared" si="58"/>
        <v>burtoni</v>
      </c>
      <c r="L85" s="77">
        <f t="shared" si="58"/>
        <v>7</v>
      </c>
      <c r="M85" s="77">
        <f t="shared" si="58"/>
        <v>7</v>
      </c>
      <c r="N85" s="71">
        <f t="shared" si="58"/>
        <v>0</v>
      </c>
      <c r="O85" s="44"/>
      <c r="P85" s="45">
        <f t="shared" si="40"/>
        <v>1</v>
      </c>
      <c r="Q85" s="46" t="str">
        <f t="shared" si="41"/>
        <v>10:33:56</v>
      </c>
      <c r="R85" s="47" t="str">
        <f t="shared" si="42"/>
        <v>33:56</v>
      </c>
      <c r="S85" s="48">
        <f t="shared" si="31"/>
        <v>7</v>
      </c>
      <c r="T85" s="47" t="str">
        <f t="shared" si="43"/>
        <v>10</v>
      </c>
      <c r="U85" s="49">
        <v>34</v>
      </c>
      <c r="V85" s="50">
        <v>3</v>
      </c>
      <c r="W85" s="51" t="str">
        <f t="shared" si="44"/>
        <v>34:03</v>
      </c>
      <c r="X85" s="52" t="s">
        <v>63</v>
      </c>
      <c r="Y85" s="124" t="s">
        <v>83</v>
      </c>
      <c r="Z85" s="124"/>
      <c r="AA85" s="47" t="s">
        <v>59</v>
      </c>
      <c r="AB85" s="47" t="str">
        <f t="shared" si="45"/>
        <v>NA</v>
      </c>
      <c r="AC85" s="53">
        <f t="shared" si="46"/>
        <v>0</v>
      </c>
      <c r="AD85" s="54">
        <f t="shared" si="47"/>
        <v>1</v>
      </c>
      <c r="AE85" s="54"/>
      <c r="AF85" s="54"/>
      <c r="AG85" s="55">
        <v>1</v>
      </c>
      <c r="AH85" s="56">
        <v>3</v>
      </c>
      <c r="AI85" s="55"/>
      <c r="AJ85" s="56" t="str">
        <f t="shared" si="50"/>
        <v/>
      </c>
      <c r="AK85" s="55"/>
      <c r="AL85" s="56" t="str">
        <f t="shared" si="51"/>
        <v/>
      </c>
      <c r="AM85" s="55">
        <v>1</v>
      </c>
      <c r="AN85" s="56">
        <v>4</v>
      </c>
      <c r="AO85" s="55"/>
      <c r="AP85" s="56" t="str">
        <f t="shared" si="53"/>
        <v/>
      </c>
      <c r="AQ85" s="55"/>
      <c r="AR85" s="56" t="str">
        <f t="shared" si="54"/>
        <v/>
      </c>
      <c r="AS85" s="57"/>
      <c r="AT85" s="58"/>
      <c r="AU85" s="58"/>
      <c r="AV85" s="59"/>
      <c r="AW85" s="60">
        <v>1</v>
      </c>
      <c r="AX85" s="61">
        <f t="shared" si="33"/>
        <v>1</v>
      </c>
      <c r="AY85" s="60">
        <v>1</v>
      </c>
      <c r="AZ85" s="61">
        <f t="shared" si="35"/>
        <v>1</v>
      </c>
    </row>
    <row r="86" spans="1:52" s="3" customFormat="1" hidden="1" x14ac:dyDescent="0.35">
      <c r="A86" s="72">
        <f t="shared" si="36"/>
        <v>2019</v>
      </c>
      <c r="B86" s="72" t="str">
        <f t="shared" si="37"/>
        <v>Nov</v>
      </c>
      <c r="C86" s="73">
        <f t="shared" si="55"/>
        <v>18</v>
      </c>
      <c r="D86" s="74">
        <f t="shared" si="38"/>
        <v>10</v>
      </c>
      <c r="E86" s="75">
        <f t="shared" si="39"/>
        <v>34</v>
      </c>
      <c r="F86" s="79"/>
      <c r="G86" s="82"/>
      <c r="H86" s="68" t="str">
        <f t="shared" si="56"/>
        <v>Senbur7_20191118_10_00</v>
      </c>
      <c r="I86" s="69">
        <f t="shared" si="58"/>
        <v>1</v>
      </c>
      <c r="J86" s="76" t="str">
        <f t="shared" si="58"/>
        <v>Senecio</v>
      </c>
      <c r="K86" s="76" t="str">
        <f t="shared" si="58"/>
        <v>burtoni</v>
      </c>
      <c r="L86" s="77">
        <f t="shared" si="58"/>
        <v>7</v>
      </c>
      <c r="M86" s="77">
        <f t="shared" si="58"/>
        <v>7</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18</v>
      </c>
      <c r="D87" s="74">
        <f t="shared" si="38"/>
        <v>10</v>
      </c>
      <c r="E87" s="75">
        <f t="shared" si="39"/>
        <v>35</v>
      </c>
      <c r="F87" s="79"/>
      <c r="G87" s="82"/>
      <c r="H87" s="68" t="str">
        <f t="shared" si="56"/>
        <v>Senbur7_20191118_10_00</v>
      </c>
      <c r="I87" s="69">
        <f t="shared" si="58"/>
        <v>1</v>
      </c>
      <c r="J87" s="76" t="str">
        <f t="shared" si="58"/>
        <v>Senecio</v>
      </c>
      <c r="K87" s="76" t="str">
        <f t="shared" si="58"/>
        <v>burtoni</v>
      </c>
      <c r="L87" s="77">
        <f t="shared" si="58"/>
        <v>7</v>
      </c>
      <c r="M87" s="77">
        <f t="shared" si="58"/>
        <v>7</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2019</v>
      </c>
      <c r="B88" s="72" t="str">
        <f t="shared" si="37"/>
        <v>Nov</v>
      </c>
      <c r="C88" s="73">
        <f t="shared" si="55"/>
        <v>18</v>
      </c>
      <c r="D88" s="74">
        <f t="shared" si="38"/>
        <v>10</v>
      </c>
      <c r="E88" s="75">
        <f t="shared" si="39"/>
        <v>36</v>
      </c>
      <c r="F88" s="79">
        <v>17</v>
      </c>
      <c r="G88" s="82"/>
      <c r="H88" s="68" t="str">
        <f t="shared" si="56"/>
        <v>Senbur7_20191118_10_00</v>
      </c>
      <c r="I88" s="69">
        <f t="shared" si="58"/>
        <v>1</v>
      </c>
      <c r="J88" s="76" t="str">
        <f t="shared" si="58"/>
        <v>Senecio</v>
      </c>
      <c r="K88" s="76" t="str">
        <f t="shared" si="58"/>
        <v>burtoni</v>
      </c>
      <c r="L88" s="77">
        <f t="shared" si="58"/>
        <v>7</v>
      </c>
      <c r="M88" s="77">
        <f t="shared" si="58"/>
        <v>7</v>
      </c>
      <c r="N88" s="71">
        <f t="shared" si="58"/>
        <v>0</v>
      </c>
      <c r="O88" s="44"/>
      <c r="P88" s="45">
        <f t="shared" si="40"/>
        <v>1</v>
      </c>
      <c r="Q88" s="46" t="str">
        <f t="shared" si="41"/>
        <v>10:36:17</v>
      </c>
      <c r="R88" s="47" t="str">
        <f t="shared" si="42"/>
        <v>36:17</v>
      </c>
      <c r="S88" s="48">
        <f t="shared" si="31"/>
        <v>9</v>
      </c>
      <c r="T88" s="47" t="str">
        <f t="shared" si="43"/>
        <v>10</v>
      </c>
      <c r="U88" s="49">
        <v>36</v>
      </c>
      <c r="V88" s="50">
        <v>26</v>
      </c>
      <c r="W88" s="51" t="str">
        <f t="shared" si="44"/>
        <v>36:26</v>
      </c>
      <c r="X88" s="52" t="s">
        <v>62</v>
      </c>
      <c r="Y88" s="124" t="s">
        <v>84</v>
      </c>
      <c r="Z88" s="124"/>
      <c r="AA88" s="47" t="s">
        <v>77</v>
      </c>
      <c r="AB88" s="47" t="str">
        <f t="shared" si="45"/>
        <v>NA</v>
      </c>
      <c r="AC88" s="53">
        <f t="shared" si="46"/>
        <v>0</v>
      </c>
      <c r="AD88" s="54">
        <f t="shared" si="47"/>
        <v>1</v>
      </c>
      <c r="AE88" s="54"/>
      <c r="AF88" s="54"/>
      <c r="AG88" s="55">
        <v>1</v>
      </c>
      <c r="AH88" s="56">
        <v>1</v>
      </c>
      <c r="AI88" s="55"/>
      <c r="AJ88" s="56" t="str">
        <f t="shared" si="50"/>
        <v/>
      </c>
      <c r="AK88" s="55">
        <v>1</v>
      </c>
      <c r="AL88" s="56">
        <v>5</v>
      </c>
      <c r="AM88" s="55">
        <v>1</v>
      </c>
      <c r="AN88" s="56">
        <v>3</v>
      </c>
      <c r="AO88" s="55"/>
      <c r="AP88" s="56" t="str">
        <f t="shared" si="53"/>
        <v/>
      </c>
      <c r="AQ88" s="55"/>
      <c r="AR88" s="56" t="str">
        <f t="shared" si="54"/>
        <v/>
      </c>
      <c r="AS88" s="57"/>
      <c r="AT88" s="58"/>
      <c r="AU88" s="58"/>
      <c r="AV88" s="59"/>
      <c r="AW88" s="60">
        <v>1</v>
      </c>
      <c r="AX88" s="61">
        <f t="shared" si="33"/>
        <v>1</v>
      </c>
      <c r="AY88" s="60">
        <v>1</v>
      </c>
      <c r="AZ88" s="61">
        <f t="shared" si="35"/>
        <v>1</v>
      </c>
    </row>
    <row r="89" spans="1:52" s="3" customFormat="1" hidden="1" x14ac:dyDescent="0.35">
      <c r="A89" s="72">
        <f t="shared" si="36"/>
        <v>2019</v>
      </c>
      <c r="B89" s="72" t="str">
        <f t="shared" si="37"/>
        <v>Nov</v>
      </c>
      <c r="C89" s="73">
        <f t="shared" si="55"/>
        <v>18</v>
      </c>
      <c r="D89" s="74">
        <f t="shared" si="38"/>
        <v>10</v>
      </c>
      <c r="E89" s="75">
        <f t="shared" si="39"/>
        <v>37</v>
      </c>
      <c r="F89" s="79"/>
      <c r="G89" s="82"/>
      <c r="H89" s="68" t="str">
        <f t="shared" si="56"/>
        <v>Senbur7_20191118_10_00</v>
      </c>
      <c r="I89" s="69">
        <f t="shared" si="58"/>
        <v>1</v>
      </c>
      <c r="J89" s="76" t="str">
        <f t="shared" si="58"/>
        <v>Senecio</v>
      </c>
      <c r="K89" s="76" t="str">
        <f t="shared" si="58"/>
        <v>burtoni</v>
      </c>
      <c r="L89" s="77">
        <f t="shared" si="58"/>
        <v>7</v>
      </c>
      <c r="M89" s="77">
        <f t="shared" si="58"/>
        <v>7</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2019</v>
      </c>
      <c r="B90" s="72" t="str">
        <f t="shared" si="37"/>
        <v>Nov</v>
      </c>
      <c r="C90" s="73">
        <f t="shared" si="55"/>
        <v>18</v>
      </c>
      <c r="D90" s="74">
        <f t="shared" si="38"/>
        <v>10</v>
      </c>
      <c r="E90" s="75">
        <f t="shared" si="39"/>
        <v>38</v>
      </c>
      <c r="F90" s="79">
        <v>47</v>
      </c>
      <c r="G90" s="82"/>
      <c r="H90" s="68" t="str">
        <f t="shared" si="56"/>
        <v>Senbur7_20191118_10_00</v>
      </c>
      <c r="I90" s="69">
        <f t="shared" si="58"/>
        <v>1</v>
      </c>
      <c r="J90" s="76" t="str">
        <f t="shared" si="58"/>
        <v>Senecio</v>
      </c>
      <c r="K90" s="76" t="str">
        <f t="shared" si="58"/>
        <v>burtoni</v>
      </c>
      <c r="L90" s="77">
        <f t="shared" si="58"/>
        <v>7</v>
      </c>
      <c r="M90" s="77">
        <f t="shared" si="58"/>
        <v>7</v>
      </c>
      <c r="N90" s="71">
        <f t="shared" si="58"/>
        <v>0</v>
      </c>
      <c r="O90" s="44"/>
      <c r="P90" s="45">
        <f t="shared" si="40"/>
        <v>1</v>
      </c>
      <c r="Q90" s="46" t="str">
        <f t="shared" si="41"/>
        <v>10:38:47</v>
      </c>
      <c r="R90" s="47" t="str">
        <f t="shared" si="42"/>
        <v>38:47</v>
      </c>
      <c r="S90" s="48">
        <f t="shared" si="31"/>
        <v>16</v>
      </c>
      <c r="T90" s="47" t="str">
        <f t="shared" si="43"/>
        <v>10</v>
      </c>
      <c r="U90" s="49">
        <v>39</v>
      </c>
      <c r="V90" s="50">
        <v>3</v>
      </c>
      <c r="W90" s="51" t="str">
        <f t="shared" si="44"/>
        <v>39:03</v>
      </c>
      <c r="X90" s="52" t="s">
        <v>65</v>
      </c>
      <c r="Y90" s="124" t="s">
        <v>85</v>
      </c>
      <c r="Z90" s="124"/>
      <c r="AA90" s="47" t="s">
        <v>77</v>
      </c>
      <c r="AB90" s="47" t="str">
        <f t="shared" si="45"/>
        <v>NA</v>
      </c>
      <c r="AC90" s="53">
        <f t="shared" si="46"/>
        <v>0</v>
      </c>
      <c r="AD90" s="54">
        <f t="shared" si="47"/>
        <v>1</v>
      </c>
      <c r="AE90" s="54"/>
      <c r="AF90" s="54"/>
      <c r="AG90" s="55">
        <v>1</v>
      </c>
      <c r="AH90" s="56">
        <v>10</v>
      </c>
      <c r="AI90" s="55"/>
      <c r="AJ90" s="56" t="str">
        <f t="shared" si="50"/>
        <v/>
      </c>
      <c r="AK90" s="55"/>
      <c r="AL90" s="56" t="str">
        <f t="shared" si="51"/>
        <v/>
      </c>
      <c r="AM90" s="55">
        <v>1</v>
      </c>
      <c r="AN90" s="56">
        <v>6</v>
      </c>
      <c r="AO90" s="55"/>
      <c r="AP90" s="56" t="str">
        <f t="shared" si="53"/>
        <v/>
      </c>
      <c r="AQ90" s="55"/>
      <c r="AR90" s="56" t="str">
        <f t="shared" si="54"/>
        <v/>
      </c>
      <c r="AS90" s="57"/>
      <c r="AT90" s="58"/>
      <c r="AU90" s="58"/>
      <c r="AV90" s="59"/>
      <c r="AW90" s="60">
        <v>1</v>
      </c>
      <c r="AX90" s="61">
        <f t="shared" si="33"/>
        <v>1</v>
      </c>
      <c r="AY90" s="60">
        <v>1</v>
      </c>
      <c r="AZ90" s="61">
        <f t="shared" si="35"/>
        <v>1</v>
      </c>
    </row>
    <row r="91" spans="1:52" s="3" customFormat="1" x14ac:dyDescent="0.35">
      <c r="A91" s="72">
        <f t="shared" si="36"/>
        <v>2019</v>
      </c>
      <c r="B91" s="72" t="str">
        <f t="shared" si="37"/>
        <v>Nov</v>
      </c>
      <c r="C91" s="73">
        <f t="shared" si="55"/>
        <v>18</v>
      </c>
      <c r="D91" s="74">
        <f t="shared" si="38"/>
        <v>10</v>
      </c>
      <c r="E91" s="75">
        <f t="shared" si="39"/>
        <v>39</v>
      </c>
      <c r="F91" s="79">
        <v>14</v>
      </c>
      <c r="G91" s="82"/>
      <c r="H91" s="68" t="str">
        <f t="shared" si="56"/>
        <v>Senbur7_20191118_10_00</v>
      </c>
      <c r="I91" s="69">
        <f t="shared" si="58"/>
        <v>1</v>
      </c>
      <c r="J91" s="76" t="str">
        <f t="shared" si="58"/>
        <v>Senecio</v>
      </c>
      <c r="K91" s="76" t="str">
        <f t="shared" si="58"/>
        <v>burtoni</v>
      </c>
      <c r="L91" s="77">
        <f t="shared" si="58"/>
        <v>7</v>
      </c>
      <c r="M91" s="77">
        <f t="shared" si="58"/>
        <v>7</v>
      </c>
      <c r="N91" s="71">
        <f t="shared" si="58"/>
        <v>0</v>
      </c>
      <c r="O91" s="44"/>
      <c r="P91" s="45">
        <f t="shared" si="40"/>
        <v>1</v>
      </c>
      <c r="Q91" s="46" t="str">
        <f t="shared" si="41"/>
        <v>10:39:14</v>
      </c>
      <c r="R91" s="47" t="str">
        <f t="shared" si="42"/>
        <v>39:14</v>
      </c>
      <c r="S91" s="48">
        <f t="shared" si="31"/>
        <v>170</v>
      </c>
      <c r="T91" s="47" t="str">
        <f t="shared" si="43"/>
        <v>10</v>
      </c>
      <c r="U91" s="49">
        <v>42</v>
      </c>
      <c r="V91" s="50">
        <v>4</v>
      </c>
      <c r="W91" s="51" t="str">
        <f t="shared" si="44"/>
        <v>42:04</v>
      </c>
      <c r="X91" s="52" t="s">
        <v>62</v>
      </c>
      <c r="Y91" s="124" t="s">
        <v>84</v>
      </c>
      <c r="Z91" s="124"/>
      <c r="AA91" s="47" t="s">
        <v>77</v>
      </c>
      <c r="AB91" s="47" t="str">
        <f t="shared" si="45"/>
        <v>NA</v>
      </c>
      <c r="AC91" s="53">
        <f t="shared" si="46"/>
        <v>0</v>
      </c>
      <c r="AD91" s="54">
        <v>7</v>
      </c>
      <c r="AE91" s="54"/>
      <c r="AF91" s="54"/>
      <c r="AG91" s="55">
        <v>1</v>
      </c>
      <c r="AH91" s="56">
        <v>15</v>
      </c>
      <c r="AI91" s="55"/>
      <c r="AJ91" s="56" t="str">
        <f t="shared" si="50"/>
        <v/>
      </c>
      <c r="AK91" s="55">
        <v>1</v>
      </c>
      <c r="AL91" s="56">
        <v>100</v>
      </c>
      <c r="AM91" s="55">
        <v>1</v>
      </c>
      <c r="AN91" s="56">
        <v>55</v>
      </c>
      <c r="AO91" s="55"/>
      <c r="AP91" s="56" t="str">
        <f t="shared" si="53"/>
        <v/>
      </c>
      <c r="AQ91" s="55"/>
      <c r="AR91" s="56" t="str">
        <f t="shared" si="54"/>
        <v/>
      </c>
      <c r="AS91" s="57"/>
      <c r="AT91" s="58"/>
      <c r="AU91" s="58"/>
      <c r="AV91" s="59"/>
      <c r="AW91" s="60">
        <v>1</v>
      </c>
      <c r="AX91" s="61">
        <f t="shared" si="33"/>
        <v>7</v>
      </c>
      <c r="AY91" s="60">
        <v>1</v>
      </c>
      <c r="AZ91" s="61">
        <f t="shared" si="35"/>
        <v>7</v>
      </c>
    </row>
    <row r="92" spans="1:52" s="3" customFormat="1" hidden="1" x14ac:dyDescent="0.35">
      <c r="A92" s="72">
        <f t="shared" si="36"/>
        <v>2019</v>
      </c>
      <c r="B92" s="72" t="str">
        <f t="shared" si="37"/>
        <v>Nov</v>
      </c>
      <c r="C92" s="73">
        <f t="shared" si="55"/>
        <v>18</v>
      </c>
      <c r="D92" s="74">
        <f t="shared" si="38"/>
        <v>10</v>
      </c>
      <c r="E92" s="75">
        <f t="shared" si="39"/>
        <v>40</v>
      </c>
      <c r="F92" s="79"/>
      <c r="G92" s="82"/>
      <c r="H92" s="68" t="str">
        <f t="shared" si="56"/>
        <v>Senbur7_20191118_10_00</v>
      </c>
      <c r="I92" s="69">
        <f t="shared" si="58"/>
        <v>1</v>
      </c>
      <c r="J92" s="76" t="str">
        <f t="shared" si="58"/>
        <v>Senecio</v>
      </c>
      <c r="K92" s="76" t="str">
        <f t="shared" si="58"/>
        <v>burtoni</v>
      </c>
      <c r="L92" s="77">
        <f t="shared" si="58"/>
        <v>7</v>
      </c>
      <c r="M92" s="77">
        <f t="shared" si="58"/>
        <v>7</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18</v>
      </c>
      <c r="D93" s="74">
        <f t="shared" si="38"/>
        <v>10</v>
      </c>
      <c r="E93" s="75">
        <f t="shared" si="39"/>
        <v>41</v>
      </c>
      <c r="F93" s="79"/>
      <c r="G93" s="82"/>
      <c r="H93" s="68" t="str">
        <f t="shared" si="56"/>
        <v>Senbur7_20191118_10_00</v>
      </c>
      <c r="I93" s="69">
        <f t="shared" si="58"/>
        <v>1</v>
      </c>
      <c r="J93" s="76" t="str">
        <f t="shared" si="58"/>
        <v>Senecio</v>
      </c>
      <c r="K93" s="76" t="str">
        <f t="shared" si="58"/>
        <v>burtoni</v>
      </c>
      <c r="L93" s="77">
        <f t="shared" si="58"/>
        <v>7</v>
      </c>
      <c r="M93" s="77">
        <f t="shared" si="58"/>
        <v>7</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18</v>
      </c>
      <c r="D94" s="74">
        <f t="shared" si="38"/>
        <v>10</v>
      </c>
      <c r="E94" s="75">
        <f t="shared" si="39"/>
        <v>42</v>
      </c>
      <c r="F94" s="79"/>
      <c r="G94" s="82"/>
      <c r="H94" s="68" t="str">
        <f t="shared" si="56"/>
        <v>Senbur7_20191118_10_00</v>
      </c>
      <c r="I94" s="69">
        <f t="shared" si="58"/>
        <v>1</v>
      </c>
      <c r="J94" s="76" t="str">
        <f t="shared" si="58"/>
        <v>Senecio</v>
      </c>
      <c r="K94" s="76" t="str">
        <f t="shared" si="58"/>
        <v>burtoni</v>
      </c>
      <c r="L94" s="77">
        <f t="shared" si="58"/>
        <v>7</v>
      </c>
      <c r="M94" s="77">
        <f t="shared" si="58"/>
        <v>7</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2019</v>
      </c>
      <c r="B95" s="72" t="str">
        <f t="shared" si="37"/>
        <v>Nov</v>
      </c>
      <c r="C95" s="73">
        <f t="shared" si="55"/>
        <v>18</v>
      </c>
      <c r="D95" s="74">
        <f t="shared" si="38"/>
        <v>10</v>
      </c>
      <c r="E95" s="75">
        <f t="shared" si="39"/>
        <v>43</v>
      </c>
      <c r="F95" s="79">
        <v>15</v>
      </c>
      <c r="G95" s="82"/>
      <c r="H95" s="68" t="str">
        <f t="shared" si="56"/>
        <v>Senbur7_20191118_10_00</v>
      </c>
      <c r="I95" s="69">
        <f t="shared" si="58"/>
        <v>1</v>
      </c>
      <c r="J95" s="76" t="str">
        <f t="shared" si="58"/>
        <v>Senecio</v>
      </c>
      <c r="K95" s="76" t="str">
        <f t="shared" si="58"/>
        <v>burtoni</v>
      </c>
      <c r="L95" s="77">
        <f t="shared" si="58"/>
        <v>7</v>
      </c>
      <c r="M95" s="77">
        <f t="shared" si="58"/>
        <v>7</v>
      </c>
      <c r="N95" s="71">
        <f t="shared" si="58"/>
        <v>0</v>
      </c>
      <c r="O95" s="44"/>
      <c r="P95" s="45">
        <f t="shared" si="40"/>
        <v>1</v>
      </c>
      <c r="Q95" s="46" t="str">
        <f t="shared" si="41"/>
        <v>10:43:15</v>
      </c>
      <c r="R95" s="47" t="str">
        <f t="shared" si="42"/>
        <v>43:15</v>
      </c>
      <c r="S95" s="48">
        <f t="shared" si="31"/>
        <v>32</v>
      </c>
      <c r="T95" s="47" t="str">
        <f t="shared" si="43"/>
        <v>10</v>
      </c>
      <c r="U95" s="49">
        <v>43</v>
      </c>
      <c r="V95" s="50">
        <v>47</v>
      </c>
      <c r="W95" s="51" t="str">
        <f t="shared" si="44"/>
        <v>43:47</v>
      </c>
      <c r="X95" s="52" t="s">
        <v>62</v>
      </c>
      <c r="Y95" s="124" t="s">
        <v>84</v>
      </c>
      <c r="Z95" s="124"/>
      <c r="AA95" s="47" t="s">
        <v>77</v>
      </c>
      <c r="AB95" s="47" t="str">
        <f t="shared" si="45"/>
        <v>NA</v>
      </c>
      <c r="AC95" s="53">
        <f t="shared" si="46"/>
        <v>0</v>
      </c>
      <c r="AD95" s="54">
        <v>2</v>
      </c>
      <c r="AE95" s="54"/>
      <c r="AF95" s="54"/>
      <c r="AG95" s="55">
        <v>1</v>
      </c>
      <c r="AH95" s="56">
        <v>4</v>
      </c>
      <c r="AI95" s="55"/>
      <c r="AJ95" s="56" t="str">
        <f t="shared" si="50"/>
        <v/>
      </c>
      <c r="AK95" s="55">
        <v>1</v>
      </c>
      <c r="AL95" s="56">
        <v>18</v>
      </c>
      <c r="AM95" s="55">
        <v>1</v>
      </c>
      <c r="AN95" s="56">
        <v>10</v>
      </c>
      <c r="AO95" s="55"/>
      <c r="AP95" s="56" t="str">
        <f t="shared" si="53"/>
        <v/>
      </c>
      <c r="AQ95" s="55"/>
      <c r="AR95" s="56" t="str">
        <f t="shared" si="54"/>
        <v/>
      </c>
      <c r="AS95" s="57"/>
      <c r="AT95" s="58"/>
      <c r="AU95" s="58"/>
      <c r="AV95" s="59"/>
      <c r="AW95" s="60">
        <v>1</v>
      </c>
      <c r="AX95" s="61">
        <f t="shared" si="33"/>
        <v>2</v>
      </c>
      <c r="AY95" s="60">
        <v>1</v>
      </c>
      <c r="AZ95" s="61">
        <f t="shared" si="35"/>
        <v>2</v>
      </c>
    </row>
    <row r="96" spans="1:52" s="3" customFormat="1" hidden="1" x14ac:dyDescent="0.35">
      <c r="A96" s="72">
        <f t="shared" si="36"/>
        <v>2019</v>
      </c>
      <c r="B96" s="72" t="str">
        <f t="shared" si="37"/>
        <v>Nov</v>
      </c>
      <c r="C96" s="73">
        <f t="shared" si="55"/>
        <v>18</v>
      </c>
      <c r="D96" s="74">
        <f t="shared" si="38"/>
        <v>10</v>
      </c>
      <c r="E96" s="75">
        <v>43</v>
      </c>
      <c r="F96" s="79">
        <v>51</v>
      </c>
      <c r="G96" s="82"/>
      <c r="H96" s="68" t="str">
        <f t="shared" si="56"/>
        <v>Senbur7_20191118_10_00</v>
      </c>
      <c r="I96" s="69">
        <f t="shared" si="58"/>
        <v>1</v>
      </c>
      <c r="J96" s="76" t="str">
        <f t="shared" si="58"/>
        <v>Senecio</v>
      </c>
      <c r="K96" s="76" t="str">
        <f t="shared" si="58"/>
        <v>burtoni</v>
      </c>
      <c r="L96" s="77">
        <f t="shared" si="58"/>
        <v>7</v>
      </c>
      <c r="M96" s="77">
        <f t="shared" si="58"/>
        <v>7</v>
      </c>
      <c r="N96" s="71">
        <f t="shared" si="58"/>
        <v>0</v>
      </c>
      <c r="O96" s="44"/>
      <c r="P96" s="45">
        <f t="shared" si="40"/>
        <v>1</v>
      </c>
      <c r="Q96" s="46" t="str">
        <f t="shared" si="41"/>
        <v>10:43:51</v>
      </c>
      <c r="R96" s="47" t="str">
        <f t="shared" si="42"/>
        <v>43:51</v>
      </c>
      <c r="S96" s="48">
        <f t="shared" si="31"/>
        <v>4</v>
      </c>
      <c r="T96" s="47" t="str">
        <f t="shared" si="43"/>
        <v>10</v>
      </c>
      <c r="U96" s="49">
        <v>43</v>
      </c>
      <c r="V96" s="50">
        <v>55</v>
      </c>
      <c r="W96" s="51" t="str">
        <f t="shared" si="44"/>
        <v>43:55</v>
      </c>
      <c r="X96" s="52" t="s">
        <v>63</v>
      </c>
      <c r="Y96" s="124" t="s">
        <v>83</v>
      </c>
      <c r="Z96" s="124"/>
      <c r="AA96" s="47" t="s">
        <v>59</v>
      </c>
      <c r="AB96" s="47" t="str">
        <f t="shared" si="45"/>
        <v>NA</v>
      </c>
      <c r="AC96" s="53">
        <f t="shared" si="46"/>
        <v>0</v>
      </c>
      <c r="AD96" s="54">
        <f t="shared" si="47"/>
        <v>1</v>
      </c>
      <c r="AE96" s="54"/>
      <c r="AF96" s="54"/>
      <c r="AG96" s="55" t="str">
        <f t="shared" si="48"/>
        <v/>
      </c>
      <c r="AH96" s="56" t="str">
        <f t="shared" si="49"/>
        <v/>
      </c>
      <c r="AI96" s="55"/>
      <c r="AJ96" s="56" t="str">
        <f t="shared" si="50"/>
        <v/>
      </c>
      <c r="AK96" s="55"/>
      <c r="AL96" s="56" t="str">
        <f t="shared" si="51"/>
        <v/>
      </c>
      <c r="AM96" s="55">
        <v>1</v>
      </c>
      <c r="AN96" s="56">
        <f t="shared" si="52"/>
        <v>4</v>
      </c>
      <c r="AO96" s="55"/>
      <c r="AP96" s="56" t="str">
        <f t="shared" si="53"/>
        <v/>
      </c>
      <c r="AQ96" s="55"/>
      <c r="AR96" s="56" t="str">
        <f t="shared" si="54"/>
        <v/>
      </c>
      <c r="AS96" s="57"/>
      <c r="AT96" s="58"/>
      <c r="AU96" s="58"/>
      <c r="AV96" s="59"/>
      <c r="AW96" s="60">
        <v>1</v>
      </c>
      <c r="AX96" s="61">
        <f t="shared" si="33"/>
        <v>1</v>
      </c>
      <c r="AY96" s="60">
        <f t="shared" si="34"/>
        <v>0</v>
      </c>
      <c r="AZ96" s="61" t="str">
        <f t="shared" si="35"/>
        <v/>
      </c>
    </row>
    <row r="97" spans="1:52" s="3" customFormat="1" hidden="1" x14ac:dyDescent="0.35">
      <c r="A97" s="72">
        <f t="shared" si="36"/>
        <v>2019</v>
      </c>
      <c r="B97" s="72" t="str">
        <f t="shared" si="37"/>
        <v>Nov</v>
      </c>
      <c r="C97" s="73">
        <f t="shared" si="55"/>
        <v>18</v>
      </c>
      <c r="D97" s="74">
        <f t="shared" si="38"/>
        <v>10</v>
      </c>
      <c r="E97" s="75">
        <f t="shared" si="39"/>
        <v>44</v>
      </c>
      <c r="F97" s="79">
        <v>27</v>
      </c>
      <c r="G97" s="82"/>
      <c r="H97" s="68" t="str">
        <f t="shared" si="56"/>
        <v>Senbur7_20191118_10_00</v>
      </c>
      <c r="I97" s="69">
        <f t="shared" si="58"/>
        <v>1</v>
      </c>
      <c r="J97" s="76" t="str">
        <f t="shared" si="58"/>
        <v>Senecio</v>
      </c>
      <c r="K97" s="76" t="str">
        <f t="shared" si="58"/>
        <v>burtoni</v>
      </c>
      <c r="L97" s="77">
        <f t="shared" si="58"/>
        <v>7</v>
      </c>
      <c r="M97" s="77">
        <f t="shared" si="58"/>
        <v>7</v>
      </c>
      <c r="N97" s="71">
        <f t="shared" si="58"/>
        <v>0</v>
      </c>
      <c r="O97" s="44"/>
      <c r="P97" s="45">
        <f t="shared" si="40"/>
        <v>1</v>
      </c>
      <c r="Q97" s="46" t="str">
        <f t="shared" si="41"/>
        <v>10:44:27</v>
      </c>
      <c r="R97" s="47" t="str">
        <f t="shared" si="42"/>
        <v>44:27</v>
      </c>
      <c r="S97" s="48">
        <f t="shared" si="31"/>
        <v>18</v>
      </c>
      <c r="T97" s="47" t="str">
        <f t="shared" si="43"/>
        <v>10</v>
      </c>
      <c r="U97" s="49">
        <v>44</v>
      </c>
      <c r="V97" s="50">
        <v>45</v>
      </c>
      <c r="W97" s="51" t="str">
        <f t="shared" si="44"/>
        <v>44:45</v>
      </c>
      <c r="X97" s="52" t="s">
        <v>63</v>
      </c>
      <c r="Y97" s="124" t="s">
        <v>82</v>
      </c>
      <c r="Z97" s="124"/>
      <c r="AA97" s="47" t="s">
        <v>59</v>
      </c>
      <c r="AB97" s="47" t="str">
        <f t="shared" si="45"/>
        <v>NA</v>
      </c>
      <c r="AC97" s="53">
        <f t="shared" si="46"/>
        <v>0</v>
      </c>
      <c r="AD97" s="54">
        <f t="shared" si="47"/>
        <v>1</v>
      </c>
      <c r="AE97" s="54"/>
      <c r="AF97" s="54"/>
      <c r="AG97" s="55">
        <v>1</v>
      </c>
      <c r="AH97" s="56">
        <v>3</v>
      </c>
      <c r="AI97" s="55"/>
      <c r="AJ97" s="56" t="str">
        <f t="shared" si="50"/>
        <v/>
      </c>
      <c r="AK97" s="55">
        <v>1</v>
      </c>
      <c r="AL97" s="56">
        <v>10</v>
      </c>
      <c r="AM97" s="55">
        <v>1</v>
      </c>
      <c r="AN97" s="56">
        <v>5</v>
      </c>
      <c r="AO97" s="55"/>
      <c r="AP97" s="56" t="str">
        <f t="shared" si="53"/>
        <v/>
      </c>
      <c r="AQ97" s="55"/>
      <c r="AR97" s="56" t="str">
        <f t="shared" si="54"/>
        <v/>
      </c>
      <c r="AS97" s="57"/>
      <c r="AT97" s="58"/>
      <c r="AU97" s="58"/>
      <c r="AV97" s="59"/>
      <c r="AW97" s="60">
        <v>1</v>
      </c>
      <c r="AX97" s="61">
        <f t="shared" si="33"/>
        <v>1</v>
      </c>
      <c r="AY97" s="60">
        <v>1</v>
      </c>
      <c r="AZ97" s="61">
        <f t="shared" si="35"/>
        <v>1</v>
      </c>
    </row>
    <row r="98" spans="1:52" s="3" customFormat="1" hidden="1" x14ac:dyDescent="0.35">
      <c r="A98" s="72">
        <f t="shared" si="36"/>
        <v>2019</v>
      </c>
      <c r="B98" s="72" t="str">
        <f t="shared" si="37"/>
        <v>Nov</v>
      </c>
      <c r="C98" s="73">
        <f t="shared" si="55"/>
        <v>18</v>
      </c>
      <c r="D98" s="74">
        <f t="shared" si="38"/>
        <v>10</v>
      </c>
      <c r="E98" s="75">
        <v>44</v>
      </c>
      <c r="F98" s="79">
        <v>57</v>
      </c>
      <c r="G98" s="82"/>
      <c r="H98" s="68" t="str">
        <f t="shared" si="56"/>
        <v>Senbur7_20191118_10_00</v>
      </c>
      <c r="I98" s="69">
        <f t="shared" si="58"/>
        <v>1</v>
      </c>
      <c r="J98" s="76" t="str">
        <f t="shared" si="58"/>
        <v>Senecio</v>
      </c>
      <c r="K98" s="76" t="str">
        <f t="shared" si="58"/>
        <v>burtoni</v>
      </c>
      <c r="L98" s="77">
        <f t="shared" si="58"/>
        <v>7</v>
      </c>
      <c r="M98" s="77">
        <f t="shared" si="58"/>
        <v>7</v>
      </c>
      <c r="N98" s="71">
        <f t="shared" si="58"/>
        <v>0</v>
      </c>
      <c r="O98" s="44"/>
      <c r="P98" s="45">
        <f t="shared" si="40"/>
        <v>1</v>
      </c>
      <c r="Q98" s="46" t="str">
        <f t="shared" si="41"/>
        <v>10:44:57</v>
      </c>
      <c r="R98" s="47" t="str">
        <f t="shared" si="42"/>
        <v>44:57</v>
      </c>
      <c r="S98" s="48">
        <f t="shared" si="31"/>
        <v>6</v>
      </c>
      <c r="T98" s="47" t="str">
        <f t="shared" si="43"/>
        <v>10</v>
      </c>
      <c r="U98" s="49">
        <v>45</v>
      </c>
      <c r="V98" s="50">
        <v>3</v>
      </c>
      <c r="W98" s="51" t="str">
        <f t="shared" si="44"/>
        <v>45:03</v>
      </c>
      <c r="X98" s="52" t="s">
        <v>63</v>
      </c>
      <c r="Y98" s="124" t="s">
        <v>82</v>
      </c>
      <c r="Z98" s="124"/>
      <c r="AA98" s="47" t="s">
        <v>59</v>
      </c>
      <c r="AB98" s="47" t="str">
        <f t="shared" si="45"/>
        <v>NA</v>
      </c>
      <c r="AC98" s="53">
        <f t="shared" si="46"/>
        <v>0</v>
      </c>
      <c r="AD98" s="54">
        <f t="shared" si="47"/>
        <v>1</v>
      </c>
      <c r="AE98" s="54"/>
      <c r="AF98" s="54"/>
      <c r="AG98" s="55">
        <v>1</v>
      </c>
      <c r="AH98" s="56">
        <v>2</v>
      </c>
      <c r="AI98" s="55"/>
      <c r="AJ98" s="56" t="str">
        <f t="shared" si="50"/>
        <v/>
      </c>
      <c r="AK98" s="55"/>
      <c r="AL98" s="56" t="str">
        <f t="shared" si="51"/>
        <v/>
      </c>
      <c r="AM98" s="55">
        <v>1</v>
      </c>
      <c r="AN98" s="56">
        <v>4</v>
      </c>
      <c r="AO98" s="55"/>
      <c r="AP98" s="56" t="str">
        <f t="shared" si="53"/>
        <v/>
      </c>
      <c r="AQ98" s="55"/>
      <c r="AR98" s="56" t="str">
        <f t="shared" si="54"/>
        <v/>
      </c>
      <c r="AS98" s="57"/>
      <c r="AT98" s="58"/>
      <c r="AU98" s="58"/>
      <c r="AV98" s="59"/>
      <c r="AW98" s="60">
        <v>1</v>
      </c>
      <c r="AX98" s="61">
        <f t="shared" si="33"/>
        <v>1</v>
      </c>
      <c r="AY98" s="60">
        <f t="shared" si="34"/>
        <v>0</v>
      </c>
      <c r="AZ98" s="61" t="str">
        <f t="shared" si="35"/>
        <v/>
      </c>
    </row>
    <row r="99" spans="1:52" s="3" customFormat="1" hidden="1" x14ac:dyDescent="0.35">
      <c r="A99" s="72">
        <f t="shared" si="36"/>
        <v>2019</v>
      </c>
      <c r="B99" s="72" t="str">
        <f t="shared" si="37"/>
        <v>Nov</v>
      </c>
      <c r="C99" s="73">
        <f t="shared" si="55"/>
        <v>18</v>
      </c>
      <c r="D99" s="74">
        <f t="shared" si="38"/>
        <v>10</v>
      </c>
      <c r="E99" s="75">
        <f t="shared" si="39"/>
        <v>45</v>
      </c>
      <c r="F99" s="79">
        <v>44</v>
      </c>
      <c r="G99" s="82"/>
      <c r="H99" s="68" t="str">
        <f t="shared" si="56"/>
        <v>Senbur7_20191118_10_00</v>
      </c>
      <c r="I99" s="69">
        <f t="shared" si="58"/>
        <v>1</v>
      </c>
      <c r="J99" s="76" t="str">
        <f t="shared" si="58"/>
        <v>Senecio</v>
      </c>
      <c r="K99" s="76" t="str">
        <f t="shared" si="58"/>
        <v>burtoni</v>
      </c>
      <c r="L99" s="77">
        <f t="shared" si="58"/>
        <v>7</v>
      </c>
      <c r="M99" s="77">
        <f t="shared" si="58"/>
        <v>7</v>
      </c>
      <c r="N99" s="71">
        <f t="shared" si="58"/>
        <v>0</v>
      </c>
      <c r="O99" s="44"/>
      <c r="P99" s="45">
        <f t="shared" si="40"/>
        <v>1</v>
      </c>
      <c r="Q99" s="46" t="str">
        <f t="shared" si="41"/>
        <v>10:45:44</v>
      </c>
      <c r="R99" s="47" t="str">
        <f t="shared" si="42"/>
        <v>45:44</v>
      </c>
      <c r="S99" s="48">
        <f t="shared" si="31"/>
        <v>5</v>
      </c>
      <c r="T99" s="47" t="str">
        <f t="shared" si="43"/>
        <v>10</v>
      </c>
      <c r="U99" s="49">
        <v>45</v>
      </c>
      <c r="V99" s="50">
        <v>49</v>
      </c>
      <c r="W99" s="51" t="str">
        <f t="shared" si="44"/>
        <v>45:49</v>
      </c>
      <c r="X99" s="52" t="s">
        <v>63</v>
      </c>
      <c r="Y99" s="124" t="s">
        <v>83</v>
      </c>
      <c r="Z99" s="124"/>
      <c r="AA99" s="47" t="s">
        <v>59</v>
      </c>
      <c r="AB99" s="47" t="str">
        <f t="shared" si="45"/>
        <v>NA</v>
      </c>
      <c r="AC99" s="53">
        <f t="shared" si="46"/>
        <v>0</v>
      </c>
      <c r="AD99" s="54">
        <f t="shared" si="47"/>
        <v>1</v>
      </c>
      <c r="AE99" s="54"/>
      <c r="AF99" s="54"/>
      <c r="AG99" s="55">
        <v>1</v>
      </c>
      <c r="AH99" s="56">
        <v>2</v>
      </c>
      <c r="AI99" s="55"/>
      <c r="AJ99" s="56" t="str">
        <f t="shared" si="50"/>
        <v/>
      </c>
      <c r="AK99" s="55"/>
      <c r="AL99" s="56" t="str">
        <f t="shared" si="51"/>
        <v/>
      </c>
      <c r="AM99" s="55">
        <v>1</v>
      </c>
      <c r="AN99" s="56">
        <v>3</v>
      </c>
      <c r="AO99" s="55"/>
      <c r="AP99" s="56" t="str">
        <f t="shared" si="53"/>
        <v/>
      </c>
      <c r="AQ99" s="55"/>
      <c r="AR99" s="56" t="str">
        <f t="shared" si="54"/>
        <v/>
      </c>
      <c r="AS99" s="57"/>
      <c r="AT99" s="58"/>
      <c r="AU99" s="58"/>
      <c r="AV99" s="59"/>
      <c r="AW99" s="60">
        <v>1</v>
      </c>
      <c r="AX99" s="61">
        <f t="shared" si="33"/>
        <v>1</v>
      </c>
      <c r="AY99" s="60">
        <v>1</v>
      </c>
      <c r="AZ99" s="61">
        <f t="shared" si="35"/>
        <v>1</v>
      </c>
    </row>
    <row r="100" spans="1:52" s="3" customFormat="1" hidden="1" x14ac:dyDescent="0.35">
      <c r="A100" s="72">
        <f t="shared" si="36"/>
        <v>2019</v>
      </c>
      <c r="B100" s="72" t="str">
        <f t="shared" si="37"/>
        <v>Nov</v>
      </c>
      <c r="C100" s="73">
        <f t="shared" si="55"/>
        <v>18</v>
      </c>
      <c r="D100" s="74">
        <f t="shared" si="38"/>
        <v>10</v>
      </c>
      <c r="E100" s="75">
        <f t="shared" si="39"/>
        <v>46</v>
      </c>
      <c r="F100" s="79">
        <v>28</v>
      </c>
      <c r="G100" s="82"/>
      <c r="H100" s="68" t="str">
        <f t="shared" si="56"/>
        <v>Senbur7_20191118_10_00</v>
      </c>
      <c r="I100" s="69">
        <f t="shared" si="58"/>
        <v>1</v>
      </c>
      <c r="J100" s="76" t="str">
        <f t="shared" si="58"/>
        <v>Senecio</v>
      </c>
      <c r="K100" s="76" t="str">
        <f t="shared" si="58"/>
        <v>burtoni</v>
      </c>
      <c r="L100" s="77">
        <f t="shared" si="58"/>
        <v>7</v>
      </c>
      <c r="M100" s="77">
        <f t="shared" si="58"/>
        <v>7</v>
      </c>
      <c r="N100" s="71">
        <f t="shared" si="58"/>
        <v>0</v>
      </c>
      <c r="O100" s="44"/>
      <c r="P100" s="45">
        <f t="shared" si="40"/>
        <v>1</v>
      </c>
      <c r="Q100" s="46" t="str">
        <f t="shared" si="41"/>
        <v>10:46:28</v>
      </c>
      <c r="R100" s="47" t="str">
        <f t="shared" si="42"/>
        <v>46:28</v>
      </c>
      <c r="S100" s="48">
        <f t="shared" si="31"/>
        <v>12</v>
      </c>
      <c r="T100" s="47" t="str">
        <f t="shared" si="43"/>
        <v>10</v>
      </c>
      <c r="U100" s="49">
        <v>46</v>
      </c>
      <c r="V100" s="50">
        <v>40</v>
      </c>
      <c r="W100" s="51" t="str">
        <f t="shared" si="44"/>
        <v>46:40</v>
      </c>
      <c r="X100" s="52" t="s">
        <v>63</v>
      </c>
      <c r="Y100" s="124" t="s">
        <v>83</v>
      </c>
      <c r="Z100" s="124"/>
      <c r="AA100" s="47" t="s">
        <v>59</v>
      </c>
      <c r="AB100" s="47" t="str">
        <f t="shared" si="45"/>
        <v>NA</v>
      </c>
      <c r="AC100" s="53">
        <f t="shared" si="46"/>
        <v>0</v>
      </c>
      <c r="AD100" s="54">
        <f t="shared" si="47"/>
        <v>1</v>
      </c>
      <c r="AE100" s="54"/>
      <c r="AF100" s="54"/>
      <c r="AG100" s="55" t="str">
        <f t="shared" si="48"/>
        <v/>
      </c>
      <c r="AH100" s="56" t="str">
        <f t="shared" si="49"/>
        <v/>
      </c>
      <c r="AI100" s="55"/>
      <c r="AJ100" s="56" t="str">
        <f t="shared" si="50"/>
        <v/>
      </c>
      <c r="AK100" s="55">
        <v>1</v>
      </c>
      <c r="AL100" s="56">
        <v>4</v>
      </c>
      <c r="AM100" s="55">
        <v>1</v>
      </c>
      <c r="AN100" s="56">
        <v>8</v>
      </c>
      <c r="AO100" s="55"/>
      <c r="AP100" s="56" t="str">
        <f t="shared" si="53"/>
        <v/>
      </c>
      <c r="AQ100" s="55"/>
      <c r="AR100" s="56" t="str">
        <f t="shared" si="54"/>
        <v/>
      </c>
      <c r="AS100" s="57"/>
      <c r="AT100" s="58"/>
      <c r="AU100" s="58"/>
      <c r="AV100" s="59"/>
      <c r="AW100" s="60">
        <v>1</v>
      </c>
      <c r="AX100" s="61">
        <f t="shared" si="33"/>
        <v>1</v>
      </c>
      <c r="AY100" s="60">
        <v>1</v>
      </c>
      <c r="AZ100" s="61">
        <f t="shared" si="35"/>
        <v>1</v>
      </c>
    </row>
    <row r="101" spans="1:52" s="3" customFormat="1" x14ac:dyDescent="0.35">
      <c r="A101" s="72">
        <f t="shared" si="36"/>
        <v>2019</v>
      </c>
      <c r="B101" s="72" t="str">
        <f t="shared" si="37"/>
        <v>Nov</v>
      </c>
      <c r="C101" s="73">
        <f t="shared" si="55"/>
        <v>18</v>
      </c>
      <c r="D101" s="74">
        <f t="shared" si="38"/>
        <v>10</v>
      </c>
      <c r="E101" s="75">
        <f t="shared" si="39"/>
        <v>47</v>
      </c>
      <c r="F101" s="79">
        <v>13</v>
      </c>
      <c r="G101" s="82"/>
      <c r="H101" s="68" t="str">
        <f t="shared" si="56"/>
        <v>Senbur7_20191118_10_00</v>
      </c>
      <c r="I101" s="69">
        <f t="shared" ref="I101:N116" si="59">I100</f>
        <v>1</v>
      </c>
      <c r="J101" s="76" t="str">
        <f t="shared" si="59"/>
        <v>Senecio</v>
      </c>
      <c r="K101" s="76" t="str">
        <f t="shared" si="59"/>
        <v>burtoni</v>
      </c>
      <c r="L101" s="77">
        <f t="shared" si="59"/>
        <v>7</v>
      </c>
      <c r="M101" s="77">
        <f t="shared" si="59"/>
        <v>7</v>
      </c>
      <c r="N101" s="71">
        <f t="shared" si="59"/>
        <v>0</v>
      </c>
      <c r="O101" s="44"/>
      <c r="P101" s="45">
        <f t="shared" si="40"/>
        <v>1</v>
      </c>
      <c r="Q101" s="46" t="str">
        <f t="shared" si="41"/>
        <v>10:47:13</v>
      </c>
      <c r="R101" s="47" t="str">
        <f t="shared" si="42"/>
        <v>47:13</v>
      </c>
      <c r="S101" s="48">
        <f t="shared" si="31"/>
        <v>46</v>
      </c>
      <c r="T101" s="47" t="str">
        <f t="shared" si="43"/>
        <v>10</v>
      </c>
      <c r="U101" s="49">
        <v>47</v>
      </c>
      <c r="V101" s="50">
        <v>59</v>
      </c>
      <c r="W101" s="51" t="str">
        <f t="shared" si="44"/>
        <v>47:59</v>
      </c>
      <c r="X101" s="52" t="s">
        <v>62</v>
      </c>
      <c r="Y101" s="124" t="s">
        <v>84</v>
      </c>
      <c r="Z101" s="124"/>
      <c r="AA101" s="47" t="s">
        <v>77</v>
      </c>
      <c r="AB101" s="47" t="str">
        <f t="shared" si="45"/>
        <v>NA</v>
      </c>
      <c r="AC101" s="53">
        <f t="shared" si="46"/>
        <v>0</v>
      </c>
      <c r="AD101" s="54">
        <v>3</v>
      </c>
      <c r="AE101" s="54"/>
      <c r="AF101" s="54"/>
      <c r="AG101" s="55">
        <v>1</v>
      </c>
      <c r="AH101" s="56">
        <v>6</v>
      </c>
      <c r="AI101" s="55"/>
      <c r="AJ101" s="56" t="str">
        <f t="shared" si="50"/>
        <v/>
      </c>
      <c r="AK101" s="55">
        <v>1</v>
      </c>
      <c r="AL101" s="56">
        <v>20</v>
      </c>
      <c r="AM101" s="55">
        <v>1</v>
      </c>
      <c r="AN101" s="56">
        <v>20</v>
      </c>
      <c r="AO101" s="55"/>
      <c r="AP101" s="56" t="str">
        <f t="shared" si="53"/>
        <v/>
      </c>
      <c r="AQ101" s="55"/>
      <c r="AR101" s="56" t="str">
        <f t="shared" si="54"/>
        <v/>
      </c>
      <c r="AS101" s="57"/>
      <c r="AT101" s="58"/>
      <c r="AU101" s="58"/>
      <c r="AV101" s="59"/>
      <c r="AW101" s="60">
        <v>1</v>
      </c>
      <c r="AX101" s="61">
        <f t="shared" si="33"/>
        <v>3</v>
      </c>
      <c r="AY101" s="60">
        <v>1</v>
      </c>
      <c r="AZ101" s="61">
        <f t="shared" si="35"/>
        <v>3</v>
      </c>
    </row>
    <row r="102" spans="1:52" s="3" customFormat="1" hidden="1" x14ac:dyDescent="0.35">
      <c r="A102" s="72">
        <f t="shared" si="36"/>
        <v>2019</v>
      </c>
      <c r="B102" s="72" t="str">
        <f t="shared" si="37"/>
        <v>Nov</v>
      </c>
      <c r="C102" s="73">
        <f t="shared" si="55"/>
        <v>18</v>
      </c>
      <c r="D102" s="74">
        <f t="shared" si="38"/>
        <v>10</v>
      </c>
      <c r="E102" s="75">
        <v>47</v>
      </c>
      <c r="F102" s="79">
        <v>30</v>
      </c>
      <c r="G102" s="82"/>
      <c r="H102" s="68" t="str">
        <f t="shared" si="56"/>
        <v>Senbur7_20191118_10_00</v>
      </c>
      <c r="I102" s="69">
        <f t="shared" si="59"/>
        <v>1</v>
      </c>
      <c r="J102" s="76" t="str">
        <f t="shared" si="59"/>
        <v>Senecio</v>
      </c>
      <c r="K102" s="76" t="str">
        <f t="shared" si="59"/>
        <v>burtoni</v>
      </c>
      <c r="L102" s="77">
        <f t="shared" si="59"/>
        <v>7</v>
      </c>
      <c r="M102" s="77">
        <f t="shared" si="59"/>
        <v>7</v>
      </c>
      <c r="N102" s="71">
        <f t="shared" si="59"/>
        <v>0</v>
      </c>
      <c r="O102" s="44"/>
      <c r="P102" s="45">
        <f t="shared" si="40"/>
        <v>1</v>
      </c>
      <c r="Q102" s="46" t="str">
        <f t="shared" si="41"/>
        <v>10:47:30</v>
      </c>
      <c r="R102" s="47" t="str">
        <f t="shared" si="42"/>
        <v>47:30</v>
      </c>
      <c r="S102" s="48">
        <f t="shared" si="31"/>
        <v>3</v>
      </c>
      <c r="T102" s="47" t="str">
        <f t="shared" si="43"/>
        <v>10</v>
      </c>
      <c r="U102" s="49">
        <v>47</v>
      </c>
      <c r="V102" s="50">
        <v>33</v>
      </c>
      <c r="W102" s="51" t="str">
        <f t="shared" si="44"/>
        <v>47:33</v>
      </c>
      <c r="X102" s="52" t="s">
        <v>63</v>
      </c>
      <c r="Y102" s="124" t="s">
        <v>82</v>
      </c>
      <c r="Z102" s="124"/>
      <c r="AA102" s="47" t="s">
        <v>59</v>
      </c>
      <c r="AB102" s="47" t="str">
        <f t="shared" si="45"/>
        <v>NA</v>
      </c>
      <c r="AC102" s="53">
        <f t="shared" si="46"/>
        <v>0</v>
      </c>
      <c r="AD102" s="54">
        <v>2</v>
      </c>
      <c r="AE102" s="54"/>
      <c r="AF102" s="54"/>
      <c r="AG102" s="55">
        <v>1</v>
      </c>
      <c r="AH102" s="56">
        <f t="shared" si="49"/>
        <v>3</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v>1</v>
      </c>
      <c r="AX102" s="61">
        <v>1</v>
      </c>
      <c r="AY102" s="60">
        <v>1</v>
      </c>
      <c r="AZ102" s="61">
        <v>1</v>
      </c>
    </row>
    <row r="103" spans="1:52" s="3" customFormat="1" hidden="1" x14ac:dyDescent="0.35">
      <c r="A103" s="72">
        <f t="shared" si="36"/>
        <v>2019</v>
      </c>
      <c r="B103" s="72" t="str">
        <f t="shared" si="37"/>
        <v>Nov</v>
      </c>
      <c r="C103" s="73">
        <f t="shared" si="55"/>
        <v>18</v>
      </c>
      <c r="D103" s="74">
        <f t="shared" si="38"/>
        <v>10</v>
      </c>
      <c r="E103" s="75">
        <f t="shared" si="39"/>
        <v>48</v>
      </c>
      <c r="F103" s="79"/>
      <c r="G103" s="82"/>
      <c r="H103" s="68" t="str">
        <f t="shared" si="56"/>
        <v>Senbur7_20191118_10_00</v>
      </c>
      <c r="I103" s="69">
        <f t="shared" si="59"/>
        <v>1</v>
      </c>
      <c r="J103" s="76" t="str">
        <f t="shared" si="59"/>
        <v>Senecio</v>
      </c>
      <c r="K103" s="76" t="str">
        <f t="shared" si="59"/>
        <v>burtoni</v>
      </c>
      <c r="L103" s="77">
        <f t="shared" si="59"/>
        <v>7</v>
      </c>
      <c r="M103" s="77">
        <f t="shared" si="59"/>
        <v>7</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18</v>
      </c>
      <c r="D104" s="74">
        <f t="shared" si="38"/>
        <v>10</v>
      </c>
      <c r="E104" s="75">
        <f t="shared" si="39"/>
        <v>49</v>
      </c>
      <c r="F104" s="79">
        <v>35</v>
      </c>
      <c r="G104" s="82"/>
      <c r="H104" s="68" t="str">
        <f t="shared" si="56"/>
        <v>Senbur7_20191118_10_00</v>
      </c>
      <c r="I104" s="69">
        <f t="shared" si="59"/>
        <v>1</v>
      </c>
      <c r="J104" s="76" t="str">
        <f t="shared" si="59"/>
        <v>Senecio</v>
      </c>
      <c r="K104" s="76" t="str">
        <f t="shared" si="59"/>
        <v>burtoni</v>
      </c>
      <c r="L104" s="77">
        <f t="shared" si="59"/>
        <v>7</v>
      </c>
      <c r="M104" s="77">
        <f t="shared" si="59"/>
        <v>7</v>
      </c>
      <c r="N104" s="71">
        <f t="shared" si="59"/>
        <v>0</v>
      </c>
      <c r="O104" s="44"/>
      <c r="P104" s="45">
        <f t="shared" si="40"/>
        <v>1</v>
      </c>
      <c r="Q104" s="46" t="str">
        <f t="shared" si="41"/>
        <v>10:49:35</v>
      </c>
      <c r="R104" s="47" t="str">
        <f t="shared" si="42"/>
        <v>49:35</v>
      </c>
      <c r="S104" s="48">
        <f t="shared" si="31"/>
        <v>20</v>
      </c>
      <c r="T104" s="47" t="str">
        <f t="shared" si="43"/>
        <v>10</v>
      </c>
      <c r="U104" s="49">
        <v>49</v>
      </c>
      <c r="V104" s="50">
        <v>55</v>
      </c>
      <c r="W104" s="51" t="str">
        <f t="shared" si="44"/>
        <v>49:55</v>
      </c>
      <c r="X104" s="52" t="s">
        <v>63</v>
      </c>
      <c r="Y104" s="124" t="s">
        <v>82</v>
      </c>
      <c r="Z104" s="124"/>
      <c r="AA104" s="47" t="s">
        <v>59</v>
      </c>
      <c r="AB104" s="47" t="str">
        <f t="shared" si="45"/>
        <v>NA</v>
      </c>
      <c r="AC104" s="53">
        <f t="shared" si="46"/>
        <v>0</v>
      </c>
      <c r="AD104" s="54">
        <f t="shared" si="47"/>
        <v>1</v>
      </c>
      <c r="AE104" s="54"/>
      <c r="AF104" s="54"/>
      <c r="AG104" s="55">
        <v>1</v>
      </c>
      <c r="AH104" s="56">
        <f t="shared" si="49"/>
        <v>20</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f t="shared" si="32"/>
        <v>0</v>
      </c>
      <c r="AX104" s="61" t="str">
        <f t="shared" si="33"/>
        <v/>
      </c>
      <c r="AY104" s="60">
        <f t="shared" si="34"/>
        <v>0</v>
      </c>
      <c r="AZ104" s="61" t="str">
        <f t="shared" si="35"/>
        <v/>
      </c>
    </row>
    <row r="105" spans="1:52" s="3" customFormat="1" hidden="1" x14ac:dyDescent="0.35">
      <c r="A105" s="72">
        <f t="shared" si="36"/>
        <v>2019</v>
      </c>
      <c r="B105" s="72" t="str">
        <f t="shared" si="37"/>
        <v>Nov</v>
      </c>
      <c r="C105" s="73">
        <f t="shared" si="55"/>
        <v>18</v>
      </c>
      <c r="D105" s="74">
        <f t="shared" si="38"/>
        <v>10</v>
      </c>
      <c r="E105" s="75">
        <f t="shared" si="39"/>
        <v>50</v>
      </c>
      <c r="F105" s="79"/>
      <c r="G105" s="82"/>
      <c r="H105" s="68" t="str">
        <f t="shared" si="56"/>
        <v>Senbur7_20191118_10_00</v>
      </c>
      <c r="I105" s="69">
        <f t="shared" si="59"/>
        <v>1</v>
      </c>
      <c r="J105" s="76" t="str">
        <f t="shared" si="59"/>
        <v>Senecio</v>
      </c>
      <c r="K105" s="76" t="str">
        <f t="shared" si="59"/>
        <v>burtoni</v>
      </c>
      <c r="L105" s="77">
        <f t="shared" si="59"/>
        <v>7</v>
      </c>
      <c r="M105" s="77">
        <f t="shared" si="59"/>
        <v>7</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18</v>
      </c>
      <c r="D106" s="74">
        <f t="shared" si="38"/>
        <v>10</v>
      </c>
      <c r="E106" s="75">
        <f t="shared" si="39"/>
        <v>51</v>
      </c>
      <c r="F106" s="79"/>
      <c r="G106" s="82"/>
      <c r="H106" s="68" t="str">
        <f t="shared" si="56"/>
        <v>Senbur7_20191118_10_00</v>
      </c>
      <c r="I106" s="69">
        <f t="shared" si="59"/>
        <v>1</v>
      </c>
      <c r="J106" s="76" t="str">
        <f t="shared" si="59"/>
        <v>Senecio</v>
      </c>
      <c r="K106" s="76" t="str">
        <f t="shared" si="59"/>
        <v>burtoni</v>
      </c>
      <c r="L106" s="77">
        <f t="shared" si="59"/>
        <v>7</v>
      </c>
      <c r="M106" s="77">
        <f t="shared" si="59"/>
        <v>7</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18</v>
      </c>
      <c r="D107" s="74">
        <f t="shared" si="38"/>
        <v>10</v>
      </c>
      <c r="E107" s="75">
        <f t="shared" si="39"/>
        <v>52</v>
      </c>
      <c r="F107" s="79"/>
      <c r="G107" s="82"/>
      <c r="H107" s="68" t="str">
        <f t="shared" si="56"/>
        <v>Senbur7_20191118_10_00</v>
      </c>
      <c r="I107" s="69">
        <f t="shared" si="59"/>
        <v>1</v>
      </c>
      <c r="J107" s="76" t="str">
        <f t="shared" si="59"/>
        <v>Senecio</v>
      </c>
      <c r="K107" s="76" t="str">
        <f t="shared" si="59"/>
        <v>burtoni</v>
      </c>
      <c r="L107" s="77">
        <f t="shared" si="59"/>
        <v>7</v>
      </c>
      <c r="M107" s="77">
        <f t="shared" si="59"/>
        <v>7</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18</v>
      </c>
      <c r="D108" s="74">
        <f t="shared" si="38"/>
        <v>10</v>
      </c>
      <c r="E108" s="75">
        <f t="shared" si="39"/>
        <v>53</v>
      </c>
      <c r="F108" s="79"/>
      <c r="G108" s="82"/>
      <c r="H108" s="68" t="str">
        <f t="shared" si="56"/>
        <v>Senbur7_20191118_10_00</v>
      </c>
      <c r="I108" s="69">
        <f t="shared" si="59"/>
        <v>1</v>
      </c>
      <c r="J108" s="76" t="str">
        <f t="shared" si="59"/>
        <v>Senecio</v>
      </c>
      <c r="K108" s="76" t="str">
        <f t="shared" si="59"/>
        <v>burtoni</v>
      </c>
      <c r="L108" s="77">
        <f t="shared" si="59"/>
        <v>7</v>
      </c>
      <c r="M108" s="77">
        <f t="shared" si="59"/>
        <v>7</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18</v>
      </c>
      <c r="D109" s="74">
        <f t="shared" si="38"/>
        <v>10</v>
      </c>
      <c r="E109" s="75">
        <f t="shared" si="39"/>
        <v>54</v>
      </c>
      <c r="F109" s="79">
        <v>34</v>
      </c>
      <c r="G109" s="82"/>
      <c r="H109" s="68" t="str">
        <f t="shared" si="56"/>
        <v>Senbur7_20191118_10_00</v>
      </c>
      <c r="I109" s="69">
        <f t="shared" si="59"/>
        <v>1</v>
      </c>
      <c r="J109" s="76" t="str">
        <f t="shared" si="59"/>
        <v>Senecio</v>
      </c>
      <c r="K109" s="76" t="str">
        <f t="shared" si="59"/>
        <v>burtoni</v>
      </c>
      <c r="L109" s="77">
        <f t="shared" si="59"/>
        <v>7</v>
      </c>
      <c r="M109" s="77">
        <f t="shared" si="59"/>
        <v>7</v>
      </c>
      <c r="N109" s="71">
        <f t="shared" si="59"/>
        <v>0</v>
      </c>
      <c r="O109" s="44"/>
      <c r="P109" s="45">
        <f t="shared" si="40"/>
        <v>1</v>
      </c>
      <c r="Q109" s="46" t="str">
        <f t="shared" si="41"/>
        <v>10:54:34</v>
      </c>
      <c r="R109" s="47" t="str">
        <f t="shared" si="42"/>
        <v>54:34</v>
      </c>
      <c r="S109" s="48">
        <f t="shared" si="31"/>
        <v>4</v>
      </c>
      <c r="T109" s="47" t="str">
        <f t="shared" si="43"/>
        <v>10</v>
      </c>
      <c r="U109" s="49">
        <v>54</v>
      </c>
      <c r="V109" s="50">
        <v>38</v>
      </c>
      <c r="W109" s="51" t="str">
        <f t="shared" si="44"/>
        <v>54:38</v>
      </c>
      <c r="X109" s="52" t="s">
        <v>63</v>
      </c>
      <c r="Y109" s="124" t="s">
        <v>82</v>
      </c>
      <c r="Z109" s="124"/>
      <c r="AA109" s="47" t="s">
        <v>59</v>
      </c>
      <c r="AB109" s="47" t="str">
        <f t="shared" si="45"/>
        <v>NA</v>
      </c>
      <c r="AC109" s="53">
        <f t="shared" si="46"/>
        <v>0</v>
      </c>
      <c r="AD109" s="54">
        <f t="shared" si="47"/>
        <v>1</v>
      </c>
      <c r="AE109" s="54"/>
      <c r="AF109" s="54"/>
      <c r="AG109" s="55">
        <v>1</v>
      </c>
      <c r="AH109" s="56">
        <f t="shared" si="49"/>
        <v>4</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v>1</v>
      </c>
      <c r="AX109" s="61">
        <f t="shared" si="33"/>
        <v>1</v>
      </c>
      <c r="AY109" s="60">
        <f t="shared" si="34"/>
        <v>0</v>
      </c>
      <c r="AZ109" s="61" t="str">
        <f t="shared" si="35"/>
        <v/>
      </c>
    </row>
    <row r="110" spans="1:52" s="3" customFormat="1" hidden="1" x14ac:dyDescent="0.35">
      <c r="A110" s="72">
        <f t="shared" si="36"/>
        <v>2019</v>
      </c>
      <c r="B110" s="72" t="str">
        <f t="shared" si="37"/>
        <v>Nov</v>
      </c>
      <c r="C110" s="73">
        <f t="shared" si="55"/>
        <v>18</v>
      </c>
      <c r="D110" s="74">
        <f t="shared" si="38"/>
        <v>10</v>
      </c>
      <c r="E110" s="75">
        <f t="shared" si="39"/>
        <v>55</v>
      </c>
      <c r="F110" s="79"/>
      <c r="G110" s="82"/>
      <c r="H110" s="68" t="str">
        <f t="shared" si="56"/>
        <v>Senbur7_20191118_10_00</v>
      </c>
      <c r="I110" s="69">
        <f t="shared" si="59"/>
        <v>1</v>
      </c>
      <c r="J110" s="76" t="str">
        <f t="shared" si="59"/>
        <v>Senecio</v>
      </c>
      <c r="K110" s="76" t="str">
        <f t="shared" si="59"/>
        <v>burtoni</v>
      </c>
      <c r="L110" s="77">
        <f t="shared" si="59"/>
        <v>7</v>
      </c>
      <c r="M110" s="77">
        <f t="shared" si="59"/>
        <v>7</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18</v>
      </c>
      <c r="D111" s="74">
        <f t="shared" si="38"/>
        <v>10</v>
      </c>
      <c r="E111" s="75">
        <f t="shared" si="39"/>
        <v>56</v>
      </c>
      <c r="F111" s="79"/>
      <c r="G111" s="82"/>
      <c r="H111" s="68" t="str">
        <f t="shared" si="56"/>
        <v>Senbur7_20191118_10_00</v>
      </c>
      <c r="I111" s="69">
        <f t="shared" si="59"/>
        <v>1</v>
      </c>
      <c r="J111" s="76" t="str">
        <f t="shared" si="59"/>
        <v>Senecio</v>
      </c>
      <c r="K111" s="76" t="str">
        <f t="shared" si="59"/>
        <v>burtoni</v>
      </c>
      <c r="L111" s="77">
        <f t="shared" si="59"/>
        <v>7</v>
      </c>
      <c r="M111" s="77">
        <f t="shared" si="59"/>
        <v>7</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18</v>
      </c>
      <c r="D112" s="74">
        <f t="shared" si="38"/>
        <v>10</v>
      </c>
      <c r="E112" s="75">
        <f t="shared" si="39"/>
        <v>57</v>
      </c>
      <c r="F112" s="79"/>
      <c r="G112" s="82"/>
      <c r="H112" s="68" t="str">
        <f t="shared" si="56"/>
        <v>Senbur7_20191118_10_00</v>
      </c>
      <c r="I112" s="69">
        <f t="shared" si="59"/>
        <v>1</v>
      </c>
      <c r="J112" s="76" t="str">
        <f t="shared" si="59"/>
        <v>Senecio</v>
      </c>
      <c r="K112" s="76" t="str">
        <f t="shared" si="59"/>
        <v>burtoni</v>
      </c>
      <c r="L112" s="77">
        <f t="shared" si="59"/>
        <v>7</v>
      </c>
      <c r="M112" s="77">
        <f t="shared" si="59"/>
        <v>7</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18</v>
      </c>
      <c r="D113" s="74">
        <f t="shared" si="38"/>
        <v>10</v>
      </c>
      <c r="E113" s="75">
        <f t="shared" si="39"/>
        <v>58</v>
      </c>
      <c r="F113" s="79">
        <v>41</v>
      </c>
      <c r="G113" s="82"/>
      <c r="H113" s="68" t="str">
        <f t="shared" si="56"/>
        <v>Senbur7_20191118_10_00</v>
      </c>
      <c r="I113" s="69">
        <f t="shared" si="59"/>
        <v>1</v>
      </c>
      <c r="J113" s="76" t="str">
        <f t="shared" si="59"/>
        <v>Senecio</v>
      </c>
      <c r="K113" s="76" t="str">
        <f t="shared" si="59"/>
        <v>burtoni</v>
      </c>
      <c r="L113" s="77">
        <f t="shared" si="59"/>
        <v>7</v>
      </c>
      <c r="M113" s="77">
        <f t="shared" si="59"/>
        <v>7</v>
      </c>
      <c r="N113" s="71">
        <f t="shared" si="59"/>
        <v>0</v>
      </c>
      <c r="O113" s="44"/>
      <c r="P113" s="45">
        <f t="shared" si="40"/>
        <v>1</v>
      </c>
      <c r="Q113" s="46" t="str">
        <f t="shared" si="41"/>
        <v>10:58:41</v>
      </c>
      <c r="R113" s="47" t="str">
        <f t="shared" si="42"/>
        <v>58:41</v>
      </c>
      <c r="S113" s="48">
        <f t="shared" si="31"/>
        <v>11</v>
      </c>
      <c r="T113" s="47" t="str">
        <f t="shared" si="43"/>
        <v>10</v>
      </c>
      <c r="U113" s="49">
        <v>58</v>
      </c>
      <c r="V113" s="50">
        <v>52</v>
      </c>
      <c r="W113" s="51" t="str">
        <f t="shared" si="44"/>
        <v>58:52</v>
      </c>
      <c r="X113" s="52" t="s">
        <v>63</v>
      </c>
      <c r="Y113" s="124" t="s">
        <v>82</v>
      </c>
      <c r="Z113" s="124"/>
      <c r="AA113" s="47" t="s">
        <v>59</v>
      </c>
      <c r="AB113" s="47" t="str">
        <f t="shared" si="45"/>
        <v>NA</v>
      </c>
      <c r="AC113" s="53">
        <f t="shared" si="46"/>
        <v>0</v>
      </c>
      <c r="AD113" s="54">
        <f t="shared" si="47"/>
        <v>1</v>
      </c>
      <c r="AE113" s="54"/>
      <c r="AF113" s="54"/>
      <c r="AG113" s="55">
        <v>1</v>
      </c>
      <c r="AH113" s="56">
        <v>4</v>
      </c>
      <c r="AI113" s="55"/>
      <c r="AJ113" s="56" t="str">
        <f t="shared" si="50"/>
        <v/>
      </c>
      <c r="AK113" s="55"/>
      <c r="AL113" s="56" t="str">
        <f t="shared" si="51"/>
        <v/>
      </c>
      <c r="AM113" s="55">
        <v>1</v>
      </c>
      <c r="AN113" s="56">
        <v>7</v>
      </c>
      <c r="AO113" s="55"/>
      <c r="AP113" s="56" t="str">
        <f t="shared" si="53"/>
        <v/>
      </c>
      <c r="AQ113" s="55"/>
      <c r="AR113" s="56" t="str">
        <f t="shared" si="54"/>
        <v/>
      </c>
      <c r="AS113" s="57"/>
      <c r="AT113" s="58"/>
      <c r="AU113" s="58"/>
      <c r="AV113" s="59"/>
      <c r="AW113" s="60">
        <v>1</v>
      </c>
      <c r="AX113" s="61">
        <f t="shared" si="33"/>
        <v>1</v>
      </c>
      <c r="AY113" s="60">
        <f t="shared" si="34"/>
        <v>0</v>
      </c>
      <c r="AZ113" s="61" t="str">
        <f t="shared" si="35"/>
        <v/>
      </c>
    </row>
    <row r="114" spans="1:52" s="3" customFormat="1" hidden="1" x14ac:dyDescent="0.35">
      <c r="A114" s="72">
        <f t="shared" si="36"/>
        <v>2019</v>
      </c>
      <c r="B114" s="72" t="str">
        <f t="shared" si="37"/>
        <v>Nov</v>
      </c>
      <c r="C114" s="73">
        <f t="shared" si="55"/>
        <v>18</v>
      </c>
      <c r="D114" s="74">
        <f t="shared" si="38"/>
        <v>10</v>
      </c>
      <c r="E114" s="75">
        <v>58</v>
      </c>
      <c r="F114" s="79">
        <v>44</v>
      </c>
      <c r="G114" s="82"/>
      <c r="H114" s="68" t="str">
        <f t="shared" si="56"/>
        <v>Senbur7_20191118_10_00</v>
      </c>
      <c r="I114" s="69">
        <f t="shared" si="59"/>
        <v>1</v>
      </c>
      <c r="J114" s="76" t="str">
        <f t="shared" si="59"/>
        <v>Senecio</v>
      </c>
      <c r="K114" s="76" t="str">
        <f t="shared" si="59"/>
        <v>burtoni</v>
      </c>
      <c r="L114" s="77">
        <f t="shared" si="59"/>
        <v>7</v>
      </c>
      <c r="M114" s="77">
        <f t="shared" si="59"/>
        <v>7</v>
      </c>
      <c r="N114" s="71">
        <f t="shared" si="59"/>
        <v>0</v>
      </c>
      <c r="O114" s="44"/>
      <c r="P114" s="45">
        <f t="shared" si="40"/>
        <v>1</v>
      </c>
      <c r="Q114" s="46" t="str">
        <f t="shared" si="41"/>
        <v>10:58:44</v>
      </c>
      <c r="R114" s="47" t="str">
        <f t="shared" si="42"/>
        <v>58:44</v>
      </c>
      <c r="S114" s="48">
        <f t="shared" si="31"/>
        <v>11</v>
      </c>
      <c r="T114" s="47" t="str">
        <f t="shared" si="43"/>
        <v>10</v>
      </c>
      <c r="U114" s="49">
        <v>58</v>
      </c>
      <c r="V114" s="50">
        <v>55</v>
      </c>
      <c r="W114" s="51" t="str">
        <f t="shared" si="44"/>
        <v>58:55</v>
      </c>
      <c r="X114" s="52" t="s">
        <v>63</v>
      </c>
      <c r="Y114" s="124" t="s">
        <v>83</v>
      </c>
      <c r="Z114" s="124"/>
      <c r="AA114" s="47" t="s">
        <v>59</v>
      </c>
      <c r="AB114" s="47" t="str">
        <f t="shared" si="45"/>
        <v>NA</v>
      </c>
      <c r="AC114" s="53">
        <f t="shared" si="46"/>
        <v>0</v>
      </c>
      <c r="AD114" s="54">
        <f t="shared" si="47"/>
        <v>1</v>
      </c>
      <c r="AE114" s="54"/>
      <c r="AF114" s="54"/>
      <c r="AG114" s="55">
        <v>1</v>
      </c>
      <c r="AH114" s="56">
        <f t="shared" si="49"/>
        <v>11</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v>1</v>
      </c>
      <c r="AX114" s="61">
        <f t="shared" si="33"/>
        <v>1</v>
      </c>
      <c r="AY114" s="60">
        <f t="shared" si="34"/>
        <v>0</v>
      </c>
      <c r="AZ114" s="61" t="str">
        <f t="shared" si="35"/>
        <v/>
      </c>
    </row>
    <row r="115" spans="1:52" s="3" customFormat="1" hidden="1" x14ac:dyDescent="0.35">
      <c r="A115" s="72">
        <f t="shared" si="36"/>
        <v>2019</v>
      </c>
      <c r="B115" s="72" t="str">
        <f t="shared" si="37"/>
        <v>Nov</v>
      </c>
      <c r="C115" s="73">
        <f t="shared" si="55"/>
        <v>18</v>
      </c>
      <c r="D115" s="74">
        <f t="shared" si="38"/>
        <v>10</v>
      </c>
      <c r="E115" s="75">
        <f t="shared" si="39"/>
        <v>59</v>
      </c>
      <c r="F115" s="79">
        <v>0</v>
      </c>
      <c r="G115" s="82"/>
      <c r="H115" s="68" t="str">
        <f t="shared" si="56"/>
        <v>Senbur7_20191118_10_00</v>
      </c>
      <c r="I115" s="69">
        <f t="shared" si="59"/>
        <v>1</v>
      </c>
      <c r="J115" s="76" t="str">
        <f t="shared" si="59"/>
        <v>Senecio</v>
      </c>
      <c r="K115" s="76" t="str">
        <f t="shared" si="59"/>
        <v>burtoni</v>
      </c>
      <c r="L115" s="77">
        <f t="shared" si="59"/>
        <v>7</v>
      </c>
      <c r="M115" s="77">
        <f t="shared" si="59"/>
        <v>7</v>
      </c>
      <c r="N115" s="71">
        <f t="shared" si="59"/>
        <v>0</v>
      </c>
      <c r="O115" s="44"/>
      <c r="P115" s="45">
        <f t="shared" si="40"/>
        <v>1</v>
      </c>
      <c r="Q115" s="46" t="str">
        <f t="shared" si="41"/>
        <v>10:59:00</v>
      </c>
      <c r="R115" s="47" t="str">
        <f t="shared" si="42"/>
        <v>59:00</v>
      </c>
      <c r="S115" s="48">
        <f t="shared" si="31"/>
        <v>5</v>
      </c>
      <c r="T115" s="47" t="str">
        <f t="shared" si="43"/>
        <v>10</v>
      </c>
      <c r="U115" s="49">
        <v>59</v>
      </c>
      <c r="V115" s="50">
        <v>5</v>
      </c>
      <c r="W115" s="51" t="str">
        <f t="shared" si="44"/>
        <v>59:05</v>
      </c>
      <c r="X115" s="52" t="s">
        <v>66</v>
      </c>
      <c r="Y115" s="124" t="s">
        <v>86</v>
      </c>
      <c r="Z115" s="124"/>
      <c r="AA115" s="47" t="s">
        <v>59</v>
      </c>
      <c r="AB115" s="47" t="str">
        <f t="shared" si="45"/>
        <v>NA</v>
      </c>
      <c r="AC115" s="53">
        <f t="shared" si="46"/>
        <v>0</v>
      </c>
      <c r="AD115" s="54">
        <f t="shared" si="47"/>
        <v>1</v>
      </c>
      <c r="AE115" s="54"/>
      <c r="AF115" s="54"/>
      <c r="AG115" s="55">
        <v>1</v>
      </c>
      <c r="AH115" s="56">
        <f t="shared" si="49"/>
        <v>5</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v>1</v>
      </c>
      <c r="AX115" s="61">
        <f t="shared" si="33"/>
        <v>1</v>
      </c>
      <c r="AY115" s="60">
        <f t="shared" si="34"/>
        <v>0</v>
      </c>
      <c r="AZ115" s="61" t="str">
        <f t="shared" si="35"/>
        <v/>
      </c>
    </row>
    <row r="116" spans="1:52" s="3" customFormat="1" hidden="1" x14ac:dyDescent="0.35">
      <c r="A116" s="72">
        <f t="shared" si="36"/>
        <v>2019</v>
      </c>
      <c r="B116" s="72" t="str">
        <f t="shared" si="37"/>
        <v>Nov</v>
      </c>
      <c r="C116" s="73">
        <f t="shared" si="55"/>
        <v>18</v>
      </c>
      <c r="D116" s="74">
        <f t="shared" si="38"/>
        <v>11</v>
      </c>
      <c r="E116" s="75">
        <f t="shared" si="39"/>
        <v>0</v>
      </c>
      <c r="F116" s="79">
        <v>14</v>
      </c>
      <c r="G116" s="82"/>
      <c r="H116" s="68" t="str">
        <f t="shared" si="56"/>
        <v>Senbur7_20191118_11_00</v>
      </c>
      <c r="I116" s="69">
        <f t="shared" si="59"/>
        <v>1</v>
      </c>
      <c r="J116" s="76" t="str">
        <f t="shared" si="59"/>
        <v>Senecio</v>
      </c>
      <c r="K116" s="76" t="str">
        <f t="shared" si="59"/>
        <v>burtoni</v>
      </c>
      <c r="L116" s="77">
        <f t="shared" si="59"/>
        <v>7</v>
      </c>
      <c r="M116" s="77">
        <f t="shared" si="59"/>
        <v>7</v>
      </c>
      <c r="N116" s="71">
        <f t="shared" si="59"/>
        <v>0</v>
      </c>
      <c r="O116" s="44"/>
      <c r="P116" s="45">
        <f t="shared" si="40"/>
        <v>1</v>
      </c>
      <c r="Q116" s="46" t="str">
        <f t="shared" si="41"/>
        <v>11:00:14</v>
      </c>
      <c r="R116" s="47" t="str">
        <f t="shared" si="42"/>
        <v>00:14</v>
      </c>
      <c r="S116" s="48">
        <f t="shared" si="31"/>
        <v>18</v>
      </c>
      <c r="T116" s="47" t="str">
        <f t="shared" si="43"/>
        <v>11</v>
      </c>
      <c r="U116" s="49">
        <v>0</v>
      </c>
      <c r="V116" s="50">
        <v>32</v>
      </c>
      <c r="W116" s="51" t="str">
        <f t="shared" si="44"/>
        <v>00:32</v>
      </c>
      <c r="X116" s="52" t="s">
        <v>63</v>
      </c>
      <c r="Y116" s="124" t="s">
        <v>82</v>
      </c>
      <c r="Z116" s="124"/>
      <c r="AA116" s="47" t="s">
        <v>59</v>
      </c>
      <c r="AB116" s="47" t="str">
        <f t="shared" si="45"/>
        <v>NA</v>
      </c>
      <c r="AC116" s="53">
        <f t="shared" si="46"/>
        <v>0</v>
      </c>
      <c r="AD116" s="54">
        <f t="shared" si="47"/>
        <v>1</v>
      </c>
      <c r="AE116" s="54"/>
      <c r="AF116" s="54"/>
      <c r="AG116" s="55">
        <v>1</v>
      </c>
      <c r="AH116" s="56">
        <v>2</v>
      </c>
      <c r="AI116" s="55"/>
      <c r="AJ116" s="56" t="str">
        <f t="shared" si="50"/>
        <v/>
      </c>
      <c r="AK116" s="55"/>
      <c r="AL116" s="56" t="str">
        <f t="shared" si="51"/>
        <v/>
      </c>
      <c r="AM116" s="55">
        <v>1</v>
      </c>
      <c r="AN116" s="56">
        <v>16</v>
      </c>
      <c r="AO116" s="55"/>
      <c r="AP116" s="56" t="str">
        <f t="shared" si="53"/>
        <v/>
      </c>
      <c r="AQ116" s="55"/>
      <c r="AR116" s="56" t="str">
        <f t="shared" si="54"/>
        <v/>
      </c>
      <c r="AS116" s="57"/>
      <c r="AT116" s="58"/>
      <c r="AU116" s="58"/>
      <c r="AV116" s="59"/>
      <c r="AW116" s="60">
        <v>1</v>
      </c>
      <c r="AX116" s="61">
        <f t="shared" si="33"/>
        <v>1</v>
      </c>
      <c r="AY116" s="60">
        <v>1</v>
      </c>
      <c r="AZ116" s="61">
        <f t="shared" si="35"/>
        <v>1</v>
      </c>
    </row>
    <row r="117" spans="1:52" s="3" customFormat="1" hidden="1" x14ac:dyDescent="0.35">
      <c r="A117" s="72">
        <f t="shared" si="36"/>
        <v>2019</v>
      </c>
      <c r="B117" s="72" t="str">
        <f t="shared" si="37"/>
        <v>Nov</v>
      </c>
      <c r="C117" s="73">
        <f t="shared" si="55"/>
        <v>18</v>
      </c>
      <c r="D117" s="74">
        <f t="shared" si="38"/>
        <v>11</v>
      </c>
      <c r="E117" s="75">
        <f t="shared" si="39"/>
        <v>1</v>
      </c>
      <c r="F117" s="79">
        <v>47</v>
      </c>
      <c r="G117" s="82"/>
      <c r="H117" s="68" t="str">
        <f t="shared" si="56"/>
        <v>Senbur7_20191118_11_00</v>
      </c>
      <c r="I117" s="69">
        <f t="shared" ref="I117:N132" si="60">I116</f>
        <v>1</v>
      </c>
      <c r="J117" s="76" t="str">
        <f t="shared" si="60"/>
        <v>Senecio</v>
      </c>
      <c r="K117" s="76" t="str">
        <f t="shared" si="60"/>
        <v>burtoni</v>
      </c>
      <c r="L117" s="77">
        <f t="shared" si="60"/>
        <v>7</v>
      </c>
      <c r="M117" s="77">
        <f t="shared" si="60"/>
        <v>7</v>
      </c>
      <c r="N117" s="71">
        <f t="shared" si="60"/>
        <v>0</v>
      </c>
      <c r="O117" s="44"/>
      <c r="P117" s="45">
        <f t="shared" si="40"/>
        <v>1</v>
      </c>
      <c r="Q117" s="46" t="str">
        <f t="shared" si="41"/>
        <v>11:01:47</v>
      </c>
      <c r="R117" s="47" t="str">
        <f t="shared" si="42"/>
        <v>01:47</v>
      </c>
      <c r="S117" s="48">
        <f t="shared" si="31"/>
        <v>5</v>
      </c>
      <c r="T117" s="47" t="str">
        <f t="shared" si="43"/>
        <v>11</v>
      </c>
      <c r="U117" s="49">
        <v>1</v>
      </c>
      <c r="V117" s="50">
        <v>52</v>
      </c>
      <c r="W117" s="51" t="str">
        <f t="shared" si="44"/>
        <v>01:52</v>
      </c>
      <c r="X117" s="52" t="s">
        <v>63</v>
      </c>
      <c r="Y117" s="124" t="s">
        <v>83</v>
      </c>
      <c r="Z117" s="124"/>
      <c r="AA117" s="47" t="s">
        <v>59</v>
      </c>
      <c r="AB117" s="47" t="str">
        <f t="shared" si="45"/>
        <v>NA</v>
      </c>
      <c r="AC117" s="53">
        <f t="shared" si="46"/>
        <v>0</v>
      </c>
      <c r="AD117" s="54">
        <f t="shared" si="47"/>
        <v>1</v>
      </c>
      <c r="AE117" s="54"/>
      <c r="AF117" s="54"/>
      <c r="AG117" s="55" t="str">
        <f t="shared" si="48"/>
        <v/>
      </c>
      <c r="AH117" s="56" t="str">
        <f t="shared" si="49"/>
        <v/>
      </c>
      <c r="AI117" s="55"/>
      <c r="AJ117" s="56" t="str">
        <f t="shared" si="50"/>
        <v/>
      </c>
      <c r="AK117" s="55"/>
      <c r="AL117" s="56" t="str">
        <f t="shared" si="51"/>
        <v/>
      </c>
      <c r="AM117" s="55">
        <v>1</v>
      </c>
      <c r="AN117" s="56">
        <f t="shared" si="52"/>
        <v>5</v>
      </c>
      <c r="AO117" s="55"/>
      <c r="AP117" s="56" t="str">
        <f t="shared" si="53"/>
        <v/>
      </c>
      <c r="AQ117" s="55"/>
      <c r="AR117" s="56" t="str">
        <f t="shared" si="54"/>
        <v/>
      </c>
      <c r="AS117" s="57"/>
      <c r="AT117" s="58"/>
      <c r="AU117" s="58"/>
      <c r="AV117" s="59"/>
      <c r="AW117" s="60">
        <v>1</v>
      </c>
      <c r="AX117" s="61">
        <f t="shared" si="33"/>
        <v>1</v>
      </c>
      <c r="AY117" s="60">
        <v>1</v>
      </c>
      <c r="AZ117" s="61">
        <f t="shared" si="35"/>
        <v>1</v>
      </c>
    </row>
    <row r="118" spans="1:52" s="3" customFormat="1" hidden="1" x14ac:dyDescent="0.35">
      <c r="A118" s="72">
        <f t="shared" si="36"/>
        <v>2019</v>
      </c>
      <c r="B118" s="72" t="str">
        <f t="shared" si="37"/>
        <v>Nov</v>
      </c>
      <c r="C118" s="73">
        <f t="shared" si="55"/>
        <v>18</v>
      </c>
      <c r="D118" s="74">
        <f t="shared" si="38"/>
        <v>11</v>
      </c>
      <c r="E118" s="75">
        <v>1</v>
      </c>
      <c r="F118" s="79">
        <v>57</v>
      </c>
      <c r="G118" s="82"/>
      <c r="H118" s="68" t="str">
        <f t="shared" si="56"/>
        <v>Senbur7_20191118_11_00</v>
      </c>
      <c r="I118" s="69">
        <f t="shared" si="60"/>
        <v>1</v>
      </c>
      <c r="J118" s="76" t="str">
        <f t="shared" si="60"/>
        <v>Senecio</v>
      </c>
      <c r="K118" s="76" t="str">
        <f t="shared" si="60"/>
        <v>burtoni</v>
      </c>
      <c r="L118" s="77">
        <f t="shared" si="60"/>
        <v>7</v>
      </c>
      <c r="M118" s="77">
        <f t="shared" si="60"/>
        <v>7</v>
      </c>
      <c r="N118" s="71">
        <f t="shared" si="60"/>
        <v>0</v>
      </c>
      <c r="O118" s="44"/>
      <c r="P118" s="45">
        <f t="shared" si="40"/>
        <v>1</v>
      </c>
      <c r="Q118" s="46" t="str">
        <f t="shared" si="41"/>
        <v>11:01:57</v>
      </c>
      <c r="R118" s="47" t="str">
        <f t="shared" si="42"/>
        <v>01:57</v>
      </c>
      <c r="S118" s="48">
        <f t="shared" si="31"/>
        <v>2</v>
      </c>
      <c r="T118" s="47" t="str">
        <f t="shared" si="43"/>
        <v>11</v>
      </c>
      <c r="U118" s="49">
        <v>1</v>
      </c>
      <c r="V118" s="50">
        <v>59</v>
      </c>
      <c r="W118" s="51" t="str">
        <f t="shared" si="44"/>
        <v>01:59</v>
      </c>
      <c r="X118" s="52" t="s">
        <v>63</v>
      </c>
      <c r="Y118" s="124" t="s">
        <v>82</v>
      </c>
      <c r="Z118" s="124"/>
      <c r="AA118" s="47" t="s">
        <v>59</v>
      </c>
      <c r="AB118" s="47" t="str">
        <f t="shared" si="45"/>
        <v>NA</v>
      </c>
      <c r="AC118" s="53">
        <f t="shared" si="46"/>
        <v>0</v>
      </c>
      <c r="AD118" s="54">
        <f t="shared" si="47"/>
        <v>1</v>
      </c>
      <c r="AE118" s="54"/>
      <c r="AF118" s="54"/>
      <c r="AG118" s="55">
        <v>1</v>
      </c>
      <c r="AH118" s="56">
        <f t="shared" si="49"/>
        <v>2</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f t="shared" si="32"/>
        <v>0</v>
      </c>
      <c r="AX118" s="61" t="str">
        <f t="shared" si="33"/>
        <v/>
      </c>
      <c r="AY118" s="60">
        <f t="shared" si="34"/>
        <v>0</v>
      </c>
      <c r="AZ118" s="61" t="str">
        <f t="shared" si="35"/>
        <v/>
      </c>
    </row>
    <row r="119" spans="1:52" s="3" customFormat="1" hidden="1" x14ac:dyDescent="0.35">
      <c r="A119" s="72">
        <f t="shared" si="36"/>
        <v>2019</v>
      </c>
      <c r="B119" s="72" t="str">
        <f t="shared" si="37"/>
        <v>Nov</v>
      </c>
      <c r="C119" s="73">
        <f t="shared" si="55"/>
        <v>18</v>
      </c>
      <c r="D119" s="74">
        <f t="shared" si="38"/>
        <v>11</v>
      </c>
      <c r="E119" s="75">
        <v>1</v>
      </c>
      <c r="F119" s="79">
        <v>58</v>
      </c>
      <c r="G119" s="82"/>
      <c r="H119" s="68" t="str">
        <f t="shared" si="56"/>
        <v>Senbur7_20191118_11_00</v>
      </c>
      <c r="I119" s="69">
        <f t="shared" si="60"/>
        <v>1</v>
      </c>
      <c r="J119" s="76" t="str">
        <f t="shared" si="60"/>
        <v>Senecio</v>
      </c>
      <c r="K119" s="76" t="str">
        <f t="shared" si="60"/>
        <v>burtoni</v>
      </c>
      <c r="L119" s="77">
        <f t="shared" si="60"/>
        <v>7</v>
      </c>
      <c r="M119" s="77">
        <f t="shared" si="60"/>
        <v>7</v>
      </c>
      <c r="N119" s="71">
        <f t="shared" si="60"/>
        <v>0</v>
      </c>
      <c r="O119" s="44"/>
      <c r="P119" s="45">
        <f t="shared" si="40"/>
        <v>1</v>
      </c>
      <c r="Q119" s="46" t="str">
        <f t="shared" si="41"/>
        <v>11:01:58</v>
      </c>
      <c r="R119" s="47" t="str">
        <f t="shared" si="42"/>
        <v>01:58</v>
      </c>
      <c r="S119" s="48">
        <f t="shared" si="31"/>
        <v>7</v>
      </c>
      <c r="T119" s="47" t="str">
        <f t="shared" si="43"/>
        <v>11</v>
      </c>
      <c r="U119" s="49">
        <v>2</v>
      </c>
      <c r="V119" s="50">
        <v>5</v>
      </c>
      <c r="W119" s="51" t="str">
        <f t="shared" si="44"/>
        <v>02:05</v>
      </c>
      <c r="X119" s="52" t="s">
        <v>63</v>
      </c>
      <c r="Y119" s="124" t="s">
        <v>82</v>
      </c>
      <c r="Z119" s="124"/>
      <c r="AA119" s="47" t="s">
        <v>59</v>
      </c>
      <c r="AB119" s="47" t="str">
        <f t="shared" si="45"/>
        <v>NA</v>
      </c>
      <c r="AC119" s="53">
        <f t="shared" si="46"/>
        <v>0</v>
      </c>
      <c r="AD119" s="54">
        <f t="shared" si="47"/>
        <v>1</v>
      </c>
      <c r="AE119" s="54"/>
      <c r="AF119" s="54"/>
      <c r="AG119" s="55">
        <v>1</v>
      </c>
      <c r="AH119" s="56">
        <v>2</v>
      </c>
      <c r="AI119" s="55"/>
      <c r="AJ119" s="56" t="str">
        <f t="shared" si="50"/>
        <v/>
      </c>
      <c r="AK119" s="55"/>
      <c r="AL119" s="56" t="str">
        <f t="shared" si="51"/>
        <v/>
      </c>
      <c r="AM119" s="55">
        <v>1</v>
      </c>
      <c r="AN119" s="56">
        <v>5</v>
      </c>
      <c r="AO119" s="55"/>
      <c r="AP119" s="56" t="str">
        <f t="shared" si="53"/>
        <v/>
      </c>
      <c r="AQ119" s="55"/>
      <c r="AR119" s="56" t="str">
        <f t="shared" si="54"/>
        <v/>
      </c>
      <c r="AS119" s="57"/>
      <c r="AT119" s="58"/>
      <c r="AU119" s="58"/>
      <c r="AV119" s="59"/>
      <c r="AW119" s="60">
        <v>1</v>
      </c>
      <c r="AX119" s="61">
        <f t="shared" si="33"/>
        <v>1</v>
      </c>
      <c r="AY119" s="60">
        <v>1</v>
      </c>
      <c r="AZ119" s="61">
        <f t="shared" si="35"/>
        <v>1</v>
      </c>
    </row>
    <row r="120" spans="1:52" s="3" customFormat="1" hidden="1" x14ac:dyDescent="0.35">
      <c r="A120" s="72">
        <f t="shared" si="36"/>
        <v>2019</v>
      </c>
      <c r="B120" s="72" t="str">
        <f t="shared" si="37"/>
        <v>Nov</v>
      </c>
      <c r="C120" s="73">
        <f t="shared" si="55"/>
        <v>18</v>
      </c>
      <c r="D120" s="74">
        <f t="shared" si="38"/>
        <v>11</v>
      </c>
      <c r="E120" s="75">
        <f t="shared" si="39"/>
        <v>2</v>
      </c>
      <c r="F120" s="79"/>
      <c r="G120" s="82"/>
      <c r="H120" s="68" t="str">
        <f t="shared" si="56"/>
        <v>Senbur7_20191118_11_00</v>
      </c>
      <c r="I120" s="69">
        <f t="shared" si="60"/>
        <v>1</v>
      </c>
      <c r="J120" s="76" t="str">
        <f t="shared" si="60"/>
        <v>Senecio</v>
      </c>
      <c r="K120" s="76" t="str">
        <f t="shared" si="60"/>
        <v>burtoni</v>
      </c>
      <c r="L120" s="77">
        <f t="shared" si="60"/>
        <v>7</v>
      </c>
      <c r="M120" s="77">
        <f t="shared" si="60"/>
        <v>7</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18</v>
      </c>
      <c r="D121" s="74">
        <f t="shared" si="38"/>
        <v>11</v>
      </c>
      <c r="E121" s="75">
        <f t="shared" si="39"/>
        <v>3</v>
      </c>
      <c r="F121" s="79">
        <v>25</v>
      </c>
      <c r="G121" s="82"/>
      <c r="H121" s="68" t="str">
        <f t="shared" si="56"/>
        <v>Senbur7_20191118_11_00</v>
      </c>
      <c r="I121" s="69">
        <f t="shared" si="60"/>
        <v>1</v>
      </c>
      <c r="J121" s="76" t="str">
        <f t="shared" si="60"/>
        <v>Senecio</v>
      </c>
      <c r="K121" s="76" t="str">
        <f t="shared" si="60"/>
        <v>burtoni</v>
      </c>
      <c r="L121" s="77">
        <f t="shared" si="60"/>
        <v>7</v>
      </c>
      <c r="M121" s="77">
        <f t="shared" si="60"/>
        <v>7</v>
      </c>
      <c r="N121" s="71">
        <f t="shared" si="60"/>
        <v>0</v>
      </c>
      <c r="O121" s="44"/>
      <c r="P121" s="45">
        <f t="shared" si="40"/>
        <v>1</v>
      </c>
      <c r="Q121" s="46" t="str">
        <f t="shared" si="41"/>
        <v>11:03:25</v>
      </c>
      <c r="R121" s="47" t="str">
        <f t="shared" si="42"/>
        <v>03:25</v>
      </c>
      <c r="S121" s="48">
        <f t="shared" si="31"/>
        <v>3</v>
      </c>
      <c r="T121" s="47" t="str">
        <f t="shared" si="43"/>
        <v>11</v>
      </c>
      <c r="U121" s="49">
        <v>3</v>
      </c>
      <c r="V121" s="50">
        <v>28</v>
      </c>
      <c r="W121" s="51" t="str">
        <f t="shared" si="44"/>
        <v>03:28</v>
      </c>
      <c r="X121" s="52" t="s">
        <v>63</v>
      </c>
      <c r="Y121" s="124" t="s">
        <v>83</v>
      </c>
      <c r="Z121" s="124"/>
      <c r="AA121" s="47" t="s">
        <v>59</v>
      </c>
      <c r="AB121" s="47" t="str">
        <f t="shared" si="45"/>
        <v>NA</v>
      </c>
      <c r="AC121" s="53">
        <f t="shared" si="46"/>
        <v>0</v>
      </c>
      <c r="AD121" s="54">
        <f t="shared" si="47"/>
        <v>1</v>
      </c>
      <c r="AE121" s="54"/>
      <c r="AF121" s="54"/>
      <c r="AG121" s="55">
        <v>1</v>
      </c>
      <c r="AH121" s="56">
        <f t="shared" si="49"/>
        <v>3</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v>1</v>
      </c>
      <c r="AX121" s="61">
        <f t="shared" si="33"/>
        <v>1</v>
      </c>
      <c r="AY121" s="60">
        <f t="shared" si="34"/>
        <v>0</v>
      </c>
      <c r="AZ121" s="61" t="str">
        <f t="shared" si="35"/>
        <v/>
      </c>
    </row>
    <row r="122" spans="1:52" s="3" customFormat="1" hidden="1" x14ac:dyDescent="0.35">
      <c r="A122" s="72">
        <f t="shared" si="36"/>
        <v>2019</v>
      </c>
      <c r="B122" s="72" t="str">
        <f t="shared" si="37"/>
        <v>Nov</v>
      </c>
      <c r="C122" s="73">
        <f t="shared" si="55"/>
        <v>18</v>
      </c>
      <c r="D122" s="74">
        <f t="shared" si="38"/>
        <v>11</v>
      </c>
      <c r="E122" s="75">
        <f t="shared" si="39"/>
        <v>4</v>
      </c>
      <c r="F122" s="79">
        <v>36</v>
      </c>
      <c r="G122" s="82"/>
      <c r="H122" s="68" t="str">
        <f t="shared" si="56"/>
        <v>Senbur7_20191118_11_00</v>
      </c>
      <c r="I122" s="69">
        <f t="shared" si="60"/>
        <v>1</v>
      </c>
      <c r="J122" s="76" t="str">
        <f t="shared" si="60"/>
        <v>Senecio</v>
      </c>
      <c r="K122" s="76" t="str">
        <f t="shared" si="60"/>
        <v>burtoni</v>
      </c>
      <c r="L122" s="77">
        <f t="shared" si="60"/>
        <v>7</v>
      </c>
      <c r="M122" s="77">
        <f t="shared" si="60"/>
        <v>7</v>
      </c>
      <c r="N122" s="71">
        <f t="shared" si="60"/>
        <v>0</v>
      </c>
      <c r="O122" s="44"/>
      <c r="P122" s="45">
        <f t="shared" si="40"/>
        <v>1</v>
      </c>
      <c r="Q122" s="46" t="str">
        <f t="shared" si="41"/>
        <v>11:04:36</v>
      </c>
      <c r="R122" s="47" t="str">
        <f t="shared" si="42"/>
        <v>04:36</v>
      </c>
      <c r="S122" s="48">
        <f t="shared" si="31"/>
        <v>4</v>
      </c>
      <c r="T122" s="47" t="str">
        <f t="shared" si="43"/>
        <v>11</v>
      </c>
      <c r="U122" s="49">
        <v>4</v>
      </c>
      <c r="V122" s="50">
        <v>40</v>
      </c>
      <c r="W122" s="51" t="str">
        <f t="shared" si="44"/>
        <v>04:40</v>
      </c>
      <c r="X122" s="52" t="s">
        <v>63</v>
      </c>
      <c r="Y122" s="124" t="s">
        <v>82</v>
      </c>
      <c r="Z122" s="124"/>
      <c r="AA122" s="47" t="s">
        <v>59</v>
      </c>
      <c r="AB122" s="47" t="str">
        <f t="shared" si="45"/>
        <v>NA</v>
      </c>
      <c r="AC122" s="53">
        <f t="shared" si="46"/>
        <v>0</v>
      </c>
      <c r="AD122" s="54">
        <f t="shared" si="47"/>
        <v>1</v>
      </c>
      <c r="AE122" s="54"/>
      <c r="AF122" s="54"/>
      <c r="AG122" s="55" t="str">
        <f t="shared" si="48"/>
        <v/>
      </c>
      <c r="AH122" s="56" t="str">
        <f t="shared" si="49"/>
        <v/>
      </c>
      <c r="AI122" s="55"/>
      <c r="AJ122" s="56" t="str">
        <f t="shared" si="50"/>
        <v/>
      </c>
      <c r="AK122" s="55"/>
      <c r="AL122" s="56" t="str">
        <f t="shared" si="51"/>
        <v/>
      </c>
      <c r="AM122" s="55">
        <v>1</v>
      </c>
      <c r="AN122" s="56">
        <f t="shared" si="52"/>
        <v>4</v>
      </c>
      <c r="AO122" s="55"/>
      <c r="AP122" s="56" t="str">
        <f t="shared" si="53"/>
        <v/>
      </c>
      <c r="AQ122" s="55"/>
      <c r="AR122" s="56" t="str">
        <f t="shared" si="54"/>
        <v/>
      </c>
      <c r="AS122" s="57"/>
      <c r="AT122" s="58"/>
      <c r="AU122" s="58"/>
      <c r="AV122" s="59"/>
      <c r="AW122" s="60">
        <v>1</v>
      </c>
      <c r="AX122" s="61">
        <f t="shared" si="33"/>
        <v>1</v>
      </c>
      <c r="AY122" s="60">
        <v>1</v>
      </c>
      <c r="AZ122" s="61">
        <f t="shared" si="35"/>
        <v>1</v>
      </c>
    </row>
    <row r="123" spans="1:52" s="3" customFormat="1" x14ac:dyDescent="0.35">
      <c r="A123" s="72">
        <f t="shared" si="36"/>
        <v>2019</v>
      </c>
      <c r="B123" s="72" t="str">
        <f t="shared" si="37"/>
        <v>Nov</v>
      </c>
      <c r="C123" s="73">
        <f t="shared" si="55"/>
        <v>18</v>
      </c>
      <c r="D123" s="74">
        <f t="shared" si="38"/>
        <v>11</v>
      </c>
      <c r="E123" s="75">
        <f t="shared" si="39"/>
        <v>5</v>
      </c>
      <c r="F123" s="79">
        <v>51</v>
      </c>
      <c r="G123" s="82"/>
      <c r="H123" s="68" t="str">
        <f t="shared" si="56"/>
        <v>Senbur7_20191118_11_00</v>
      </c>
      <c r="I123" s="69">
        <f t="shared" si="60"/>
        <v>1</v>
      </c>
      <c r="J123" s="76" t="str">
        <f t="shared" si="60"/>
        <v>Senecio</v>
      </c>
      <c r="K123" s="76" t="str">
        <f t="shared" si="60"/>
        <v>burtoni</v>
      </c>
      <c r="L123" s="77">
        <f t="shared" si="60"/>
        <v>7</v>
      </c>
      <c r="M123" s="77">
        <f t="shared" si="60"/>
        <v>7</v>
      </c>
      <c r="N123" s="71">
        <f t="shared" si="60"/>
        <v>0</v>
      </c>
      <c r="O123" s="44"/>
      <c r="P123" s="45">
        <f t="shared" si="40"/>
        <v>1</v>
      </c>
      <c r="Q123" s="46" t="str">
        <f t="shared" si="41"/>
        <v>11:05:51</v>
      </c>
      <c r="R123" s="47" t="str">
        <f t="shared" si="42"/>
        <v>05:51</v>
      </c>
      <c r="S123" s="48">
        <f t="shared" si="31"/>
        <v>20</v>
      </c>
      <c r="T123" s="47" t="str">
        <f t="shared" si="43"/>
        <v>11</v>
      </c>
      <c r="U123" s="49">
        <v>6</v>
      </c>
      <c r="V123" s="50">
        <v>11</v>
      </c>
      <c r="W123" s="51" t="str">
        <f t="shared" si="44"/>
        <v>06:11</v>
      </c>
      <c r="X123" s="52" t="s">
        <v>62</v>
      </c>
      <c r="Y123" s="124" t="s">
        <v>101</v>
      </c>
      <c r="Z123" s="124"/>
      <c r="AA123" s="47" t="s">
        <v>77</v>
      </c>
      <c r="AB123" s="47" t="str">
        <f t="shared" si="45"/>
        <v>NA</v>
      </c>
      <c r="AC123" s="53">
        <f t="shared" si="46"/>
        <v>0</v>
      </c>
      <c r="AD123" s="54">
        <f t="shared" si="47"/>
        <v>1</v>
      </c>
      <c r="AE123" s="54"/>
      <c r="AF123" s="54"/>
      <c r="AG123" s="55">
        <v>1</v>
      </c>
      <c r="AH123" s="56">
        <v>3</v>
      </c>
      <c r="AI123" s="55"/>
      <c r="AJ123" s="56" t="str">
        <f t="shared" si="50"/>
        <v/>
      </c>
      <c r="AK123" s="55">
        <v>1</v>
      </c>
      <c r="AL123" s="56">
        <v>10</v>
      </c>
      <c r="AM123" s="55">
        <v>1</v>
      </c>
      <c r="AN123" s="56">
        <v>7</v>
      </c>
      <c r="AO123" s="55"/>
      <c r="AP123" s="56" t="str">
        <f t="shared" si="53"/>
        <v/>
      </c>
      <c r="AQ123" s="55"/>
      <c r="AR123" s="56" t="str">
        <f t="shared" si="54"/>
        <v/>
      </c>
      <c r="AS123" s="57"/>
      <c r="AT123" s="58"/>
      <c r="AU123" s="58"/>
      <c r="AV123" s="59"/>
      <c r="AW123" s="60">
        <v>1</v>
      </c>
      <c r="AX123" s="61">
        <f t="shared" si="33"/>
        <v>1</v>
      </c>
      <c r="AY123" s="60">
        <v>1</v>
      </c>
      <c r="AZ123" s="61">
        <f t="shared" si="35"/>
        <v>1</v>
      </c>
    </row>
    <row r="124" spans="1:52" s="3" customFormat="1" hidden="1" x14ac:dyDescent="0.35">
      <c r="A124" s="72">
        <f t="shared" si="36"/>
        <v>2019</v>
      </c>
      <c r="B124" s="72" t="str">
        <f t="shared" si="37"/>
        <v>Nov</v>
      </c>
      <c r="C124" s="73">
        <f t="shared" si="55"/>
        <v>18</v>
      </c>
      <c r="D124" s="74">
        <f t="shared" si="38"/>
        <v>11</v>
      </c>
      <c r="E124" s="75">
        <f t="shared" si="39"/>
        <v>6</v>
      </c>
      <c r="F124" s="79">
        <v>11</v>
      </c>
      <c r="G124" s="82"/>
      <c r="H124" s="68" t="str">
        <f t="shared" si="56"/>
        <v>Senbur7_20191118_11_00</v>
      </c>
      <c r="I124" s="69">
        <f t="shared" si="60"/>
        <v>1</v>
      </c>
      <c r="J124" s="76" t="str">
        <f t="shared" si="60"/>
        <v>Senecio</v>
      </c>
      <c r="K124" s="76" t="str">
        <f t="shared" si="60"/>
        <v>burtoni</v>
      </c>
      <c r="L124" s="77">
        <f t="shared" si="60"/>
        <v>7</v>
      </c>
      <c r="M124" s="77">
        <f t="shared" si="60"/>
        <v>7</v>
      </c>
      <c r="N124" s="71">
        <f t="shared" si="60"/>
        <v>0</v>
      </c>
      <c r="O124" s="44"/>
      <c r="P124" s="45">
        <f t="shared" si="40"/>
        <v>1</v>
      </c>
      <c r="Q124" s="46" t="str">
        <f t="shared" si="41"/>
        <v>11:06:11</v>
      </c>
      <c r="R124" s="47" t="str">
        <f t="shared" si="42"/>
        <v>06:11</v>
      </c>
      <c r="S124" s="48">
        <f t="shared" si="31"/>
        <v>5</v>
      </c>
      <c r="T124" s="47" t="str">
        <f t="shared" si="43"/>
        <v>11</v>
      </c>
      <c r="U124" s="49">
        <v>6</v>
      </c>
      <c r="V124" s="50">
        <v>16</v>
      </c>
      <c r="W124" s="51" t="str">
        <f t="shared" si="44"/>
        <v>06:16</v>
      </c>
      <c r="X124" s="52" t="s">
        <v>63</v>
      </c>
      <c r="Y124" s="124" t="s">
        <v>82</v>
      </c>
      <c r="Z124" s="124"/>
      <c r="AA124" s="47" t="s">
        <v>59</v>
      </c>
      <c r="AB124" s="47" t="str">
        <f t="shared" si="45"/>
        <v>NA</v>
      </c>
      <c r="AC124" s="53">
        <f t="shared" si="46"/>
        <v>0</v>
      </c>
      <c r="AD124" s="54">
        <f t="shared" si="47"/>
        <v>1</v>
      </c>
      <c r="AE124" s="54"/>
      <c r="AF124" s="54"/>
      <c r="AG124" s="55" t="str">
        <f t="shared" si="48"/>
        <v/>
      </c>
      <c r="AH124" s="56" t="str">
        <f t="shared" si="49"/>
        <v/>
      </c>
      <c r="AI124" s="55"/>
      <c r="AJ124" s="56" t="str">
        <f t="shared" si="50"/>
        <v/>
      </c>
      <c r="AK124" s="55">
        <v>1</v>
      </c>
      <c r="AL124" s="56">
        <v>2</v>
      </c>
      <c r="AM124" s="55">
        <v>1</v>
      </c>
      <c r="AN124" s="56">
        <v>3</v>
      </c>
      <c r="AO124" s="55"/>
      <c r="AP124" s="56" t="str">
        <f t="shared" si="53"/>
        <v/>
      </c>
      <c r="AQ124" s="55"/>
      <c r="AR124" s="56" t="str">
        <f t="shared" si="54"/>
        <v/>
      </c>
      <c r="AS124" s="57"/>
      <c r="AT124" s="58"/>
      <c r="AU124" s="58"/>
      <c r="AV124" s="59"/>
      <c r="AW124" s="60">
        <v>1</v>
      </c>
      <c r="AX124" s="61">
        <f t="shared" si="33"/>
        <v>1</v>
      </c>
      <c r="AY124" s="60">
        <v>1</v>
      </c>
      <c r="AZ124" s="61">
        <f t="shared" si="35"/>
        <v>1</v>
      </c>
    </row>
    <row r="125" spans="1:52" s="3" customFormat="1" hidden="1" x14ac:dyDescent="0.35">
      <c r="A125" s="72">
        <f t="shared" si="36"/>
        <v>2019</v>
      </c>
      <c r="B125" s="72" t="str">
        <f t="shared" si="37"/>
        <v>Nov</v>
      </c>
      <c r="C125" s="73">
        <f t="shared" si="55"/>
        <v>18</v>
      </c>
      <c r="D125" s="74">
        <f t="shared" si="38"/>
        <v>11</v>
      </c>
      <c r="E125" s="75">
        <v>6</v>
      </c>
      <c r="F125" s="79">
        <v>25</v>
      </c>
      <c r="G125" s="82"/>
      <c r="H125" s="68" t="str">
        <f t="shared" si="56"/>
        <v>Senbur7_20191118_11_00</v>
      </c>
      <c r="I125" s="69">
        <f t="shared" si="60"/>
        <v>1</v>
      </c>
      <c r="J125" s="76" t="str">
        <f t="shared" si="60"/>
        <v>Senecio</v>
      </c>
      <c r="K125" s="76" t="str">
        <f t="shared" si="60"/>
        <v>burtoni</v>
      </c>
      <c r="L125" s="77">
        <f t="shared" si="60"/>
        <v>7</v>
      </c>
      <c r="M125" s="77">
        <f t="shared" si="60"/>
        <v>7</v>
      </c>
      <c r="N125" s="71">
        <f t="shared" si="60"/>
        <v>0</v>
      </c>
      <c r="O125" s="44"/>
      <c r="P125" s="45">
        <f t="shared" si="40"/>
        <v>1</v>
      </c>
      <c r="Q125" s="46" t="str">
        <f t="shared" si="41"/>
        <v>11:06:25</v>
      </c>
      <c r="R125" s="47" t="str">
        <f t="shared" si="42"/>
        <v>06:25</v>
      </c>
      <c r="S125" s="48">
        <f t="shared" si="31"/>
        <v>10</v>
      </c>
      <c r="T125" s="47" t="str">
        <f t="shared" si="43"/>
        <v>11</v>
      </c>
      <c r="U125" s="49">
        <v>6</v>
      </c>
      <c r="V125" s="50">
        <v>35</v>
      </c>
      <c r="W125" s="51" t="str">
        <f t="shared" si="44"/>
        <v>06:35</v>
      </c>
      <c r="X125" s="52" t="s">
        <v>63</v>
      </c>
      <c r="Y125" s="124" t="s">
        <v>83</v>
      </c>
      <c r="Z125" s="124"/>
      <c r="AA125" s="47" t="s">
        <v>59</v>
      </c>
      <c r="AB125" s="47" t="str">
        <f t="shared" si="45"/>
        <v>NA</v>
      </c>
      <c r="AC125" s="53">
        <f t="shared" si="46"/>
        <v>0</v>
      </c>
      <c r="AD125" s="54">
        <v>2</v>
      </c>
      <c r="AE125" s="54"/>
      <c r="AF125" s="54"/>
      <c r="AG125" s="55">
        <v>1</v>
      </c>
      <c r="AH125" s="56">
        <v>7</v>
      </c>
      <c r="AI125" s="55"/>
      <c r="AJ125" s="56" t="str">
        <f t="shared" si="50"/>
        <v/>
      </c>
      <c r="AK125" s="55"/>
      <c r="AL125" s="56" t="str">
        <f t="shared" si="51"/>
        <v/>
      </c>
      <c r="AM125" s="55">
        <v>1</v>
      </c>
      <c r="AN125" s="56">
        <v>3</v>
      </c>
      <c r="AO125" s="55"/>
      <c r="AP125" s="56" t="str">
        <f t="shared" si="53"/>
        <v/>
      </c>
      <c r="AQ125" s="55"/>
      <c r="AR125" s="56" t="str">
        <f t="shared" si="54"/>
        <v/>
      </c>
      <c r="AS125" s="57"/>
      <c r="AT125" s="58"/>
      <c r="AU125" s="58"/>
      <c r="AV125" s="59"/>
      <c r="AW125" s="60">
        <v>1</v>
      </c>
      <c r="AX125" s="61">
        <f t="shared" si="33"/>
        <v>2</v>
      </c>
      <c r="AY125" s="60">
        <v>1</v>
      </c>
      <c r="AZ125" s="61">
        <f t="shared" si="35"/>
        <v>2</v>
      </c>
    </row>
    <row r="126" spans="1:52" s="3" customFormat="1" hidden="1" x14ac:dyDescent="0.35">
      <c r="A126" s="72">
        <f t="shared" si="36"/>
        <v>2019</v>
      </c>
      <c r="B126" s="72" t="str">
        <f t="shared" si="37"/>
        <v>Nov</v>
      </c>
      <c r="C126" s="73">
        <f t="shared" si="55"/>
        <v>18</v>
      </c>
      <c r="D126" s="74">
        <f t="shared" si="38"/>
        <v>11</v>
      </c>
      <c r="E126" s="75">
        <f t="shared" si="39"/>
        <v>7</v>
      </c>
      <c r="F126" s="79"/>
      <c r="G126" s="82"/>
      <c r="H126" s="68" t="str">
        <f t="shared" si="56"/>
        <v>Senbur7_20191118_11_00</v>
      </c>
      <c r="I126" s="69">
        <f t="shared" si="60"/>
        <v>1</v>
      </c>
      <c r="J126" s="76" t="str">
        <f t="shared" si="60"/>
        <v>Senecio</v>
      </c>
      <c r="K126" s="76" t="str">
        <f t="shared" si="60"/>
        <v>burtoni</v>
      </c>
      <c r="L126" s="77">
        <f t="shared" si="60"/>
        <v>7</v>
      </c>
      <c r="M126" s="77">
        <f t="shared" si="60"/>
        <v>7</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18</v>
      </c>
      <c r="D127" s="74">
        <f t="shared" si="38"/>
        <v>11</v>
      </c>
      <c r="E127" s="75">
        <f t="shared" si="39"/>
        <v>8</v>
      </c>
      <c r="F127" s="79"/>
      <c r="G127" s="82"/>
      <c r="H127" s="68" t="str">
        <f t="shared" si="56"/>
        <v>Senbur7_20191118_11_00</v>
      </c>
      <c r="I127" s="69">
        <f t="shared" si="60"/>
        <v>1</v>
      </c>
      <c r="J127" s="76" t="str">
        <f t="shared" si="60"/>
        <v>Senecio</v>
      </c>
      <c r="K127" s="76" t="str">
        <f t="shared" si="60"/>
        <v>burtoni</v>
      </c>
      <c r="L127" s="77">
        <f t="shared" si="60"/>
        <v>7</v>
      </c>
      <c r="M127" s="77">
        <f t="shared" si="60"/>
        <v>7</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18</v>
      </c>
      <c r="D128" s="74">
        <f t="shared" si="38"/>
        <v>11</v>
      </c>
      <c r="E128" s="75">
        <f t="shared" si="39"/>
        <v>9</v>
      </c>
      <c r="F128" s="79"/>
      <c r="G128" s="82"/>
      <c r="H128" s="68" t="str">
        <f t="shared" si="56"/>
        <v>Senbur7_20191118_11_00</v>
      </c>
      <c r="I128" s="69">
        <f t="shared" si="60"/>
        <v>1</v>
      </c>
      <c r="J128" s="76" t="str">
        <f t="shared" si="60"/>
        <v>Senecio</v>
      </c>
      <c r="K128" s="76" t="str">
        <f t="shared" si="60"/>
        <v>burtoni</v>
      </c>
      <c r="L128" s="77">
        <f t="shared" si="60"/>
        <v>7</v>
      </c>
      <c r="M128" s="77">
        <f t="shared" si="60"/>
        <v>7</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s">
        <v>67</v>
      </c>
      <c r="AB128" s="47" t="str">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18</v>
      </c>
      <c r="D129" s="74">
        <f t="shared" si="38"/>
        <v>11</v>
      </c>
      <c r="E129" s="75">
        <f t="shared" si="39"/>
        <v>10</v>
      </c>
      <c r="F129" s="79"/>
      <c r="G129" s="82"/>
      <c r="H129" s="68" t="str">
        <f t="shared" si="56"/>
        <v>Senbur7_20191118_11_00</v>
      </c>
      <c r="I129" s="69">
        <f t="shared" si="60"/>
        <v>1</v>
      </c>
      <c r="J129" s="76" t="str">
        <f t="shared" si="60"/>
        <v>Senecio</v>
      </c>
      <c r="K129" s="76" t="str">
        <f t="shared" si="60"/>
        <v>burtoni</v>
      </c>
      <c r="L129" s="77">
        <f t="shared" si="60"/>
        <v>7</v>
      </c>
      <c r="M129" s="77">
        <f t="shared" si="60"/>
        <v>7</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18</v>
      </c>
      <c r="D130" s="74">
        <f t="shared" si="38"/>
        <v>11</v>
      </c>
      <c r="E130" s="75">
        <f t="shared" si="39"/>
        <v>11</v>
      </c>
      <c r="F130" s="79"/>
      <c r="G130" s="82"/>
      <c r="H130" s="68" t="str">
        <f t="shared" si="56"/>
        <v>Senbur7_20191118_11_00</v>
      </c>
      <c r="I130" s="69">
        <f t="shared" si="60"/>
        <v>1</v>
      </c>
      <c r="J130" s="76" t="str">
        <f t="shared" si="60"/>
        <v>Senecio</v>
      </c>
      <c r="K130" s="76" t="str">
        <f t="shared" si="60"/>
        <v>burtoni</v>
      </c>
      <c r="L130" s="77">
        <f t="shared" si="60"/>
        <v>7</v>
      </c>
      <c r="M130" s="77">
        <f t="shared" si="60"/>
        <v>7</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18</v>
      </c>
      <c r="D131" s="74">
        <f t="shared" si="38"/>
        <v>11</v>
      </c>
      <c r="E131" s="75">
        <f t="shared" si="39"/>
        <v>12</v>
      </c>
      <c r="F131" s="79"/>
      <c r="G131" s="82"/>
      <c r="H131" s="68" t="str">
        <f t="shared" si="56"/>
        <v>Senbur7_20191118_11_00</v>
      </c>
      <c r="I131" s="69">
        <f t="shared" si="60"/>
        <v>1</v>
      </c>
      <c r="J131" s="76" t="str">
        <f t="shared" si="60"/>
        <v>Senecio</v>
      </c>
      <c r="K131" s="76" t="str">
        <f t="shared" si="60"/>
        <v>burtoni</v>
      </c>
      <c r="L131" s="77">
        <f t="shared" si="60"/>
        <v>7</v>
      </c>
      <c r="M131" s="77">
        <f t="shared" si="60"/>
        <v>7</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2" si="62">IF(P131=1,0,"")</f>
        <v/>
      </c>
      <c r="AX131" s="61" t="str">
        <f t="shared" ref="AX131:AX193"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18</v>
      </c>
      <c r="D132" s="74">
        <f t="shared" ref="D132:D195" si="68">IF(IF(E131=59,D131+1,D131)=24,0,IF(E131=59,D131+1,D131))</f>
        <v>11</v>
      </c>
      <c r="E132" s="75">
        <f t="shared" ref="E132:E193" si="69">IF(E131&lt;59,E131+1,0)</f>
        <v>13</v>
      </c>
      <c r="F132" s="79"/>
      <c r="G132" s="82"/>
      <c r="H132" s="68" t="str">
        <f t="shared" si="56"/>
        <v>Senbur7_20191118_11_00</v>
      </c>
      <c r="I132" s="69">
        <f t="shared" si="60"/>
        <v>1</v>
      </c>
      <c r="J132" s="76" t="str">
        <f t="shared" si="60"/>
        <v>Senecio</v>
      </c>
      <c r="K132" s="76" t="str">
        <f t="shared" si="60"/>
        <v>burtoni</v>
      </c>
      <c r="L132" s="77">
        <f t="shared" si="60"/>
        <v>7</v>
      </c>
      <c r="M132" s="77">
        <f t="shared" si="60"/>
        <v>7</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4"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18</v>
      </c>
      <c r="D133" s="74">
        <f t="shared" si="68"/>
        <v>11</v>
      </c>
      <c r="E133" s="75">
        <f t="shared" si="69"/>
        <v>14</v>
      </c>
      <c r="F133" s="79">
        <v>17</v>
      </c>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Senbur7_20191118_11_00</v>
      </c>
      <c r="I133" s="69">
        <f t="shared" ref="I133:N148" si="87">I132</f>
        <v>1</v>
      </c>
      <c r="J133" s="76" t="str">
        <f t="shared" si="87"/>
        <v>Senecio</v>
      </c>
      <c r="K133" s="76" t="str">
        <f t="shared" si="87"/>
        <v>burtoni</v>
      </c>
      <c r="L133" s="77">
        <f t="shared" si="87"/>
        <v>7</v>
      </c>
      <c r="M133" s="77">
        <f t="shared" si="87"/>
        <v>7</v>
      </c>
      <c r="N133" s="71">
        <f t="shared" si="87"/>
        <v>0</v>
      </c>
      <c r="O133" s="44"/>
      <c r="P133" s="45">
        <f t="shared" si="70"/>
        <v>1</v>
      </c>
      <c r="Q133" s="46" t="str">
        <f t="shared" si="71"/>
        <v>11:14:17</v>
      </c>
      <c r="R133" s="47" t="str">
        <f t="shared" si="72"/>
        <v>14:17</v>
      </c>
      <c r="S133" s="48">
        <f t="shared" si="61"/>
        <v>14</v>
      </c>
      <c r="T133" s="47" t="str">
        <f t="shared" si="73"/>
        <v>11</v>
      </c>
      <c r="U133" s="49">
        <v>14</v>
      </c>
      <c r="V133" s="50">
        <v>31</v>
      </c>
      <c r="W133" s="51" t="str">
        <f t="shared" si="74"/>
        <v>14:31</v>
      </c>
      <c r="X133" s="52" t="s">
        <v>63</v>
      </c>
      <c r="Y133" s="124" t="s">
        <v>83</v>
      </c>
      <c r="Z133" s="124"/>
      <c r="AA133" s="47" t="s">
        <v>59</v>
      </c>
      <c r="AB133" s="47" t="str">
        <f t="shared" si="75"/>
        <v>NA</v>
      </c>
      <c r="AC133" s="53">
        <f t="shared" si="76"/>
        <v>0</v>
      </c>
      <c r="AD133" s="54">
        <v>2</v>
      </c>
      <c r="AE133" s="54"/>
      <c r="AF133" s="54"/>
      <c r="AG133" s="55">
        <v>1</v>
      </c>
      <c r="AH133" s="56">
        <v>7</v>
      </c>
      <c r="AI133" s="55"/>
      <c r="AJ133" s="56" t="str">
        <f t="shared" si="80"/>
        <v/>
      </c>
      <c r="AK133" s="55"/>
      <c r="AL133" s="56" t="str">
        <f t="shared" si="81"/>
        <v/>
      </c>
      <c r="AM133" s="55">
        <v>1</v>
      </c>
      <c r="AN133" s="56">
        <v>7</v>
      </c>
      <c r="AO133" s="55"/>
      <c r="AP133" s="56" t="str">
        <f t="shared" si="83"/>
        <v/>
      </c>
      <c r="AQ133" s="55"/>
      <c r="AR133" s="56" t="str">
        <f t="shared" si="84"/>
        <v/>
      </c>
      <c r="AS133" s="57"/>
      <c r="AT133" s="58"/>
      <c r="AU133" s="58"/>
      <c r="AV133" s="59"/>
      <c r="AW133" s="60">
        <v>1</v>
      </c>
      <c r="AX133" s="61">
        <v>1</v>
      </c>
      <c r="AY133" s="60">
        <v>1</v>
      </c>
      <c r="AZ133" s="61">
        <v>1</v>
      </c>
    </row>
    <row r="134" spans="1:52" s="3" customFormat="1" hidden="1" x14ac:dyDescent="0.35">
      <c r="A134" s="72">
        <f t="shared" si="66"/>
        <v>2019</v>
      </c>
      <c r="B134" s="72" t="str">
        <f t="shared" si="67"/>
        <v>Nov</v>
      </c>
      <c r="C134" s="73">
        <f t="shared" si="85"/>
        <v>18</v>
      </c>
      <c r="D134" s="74">
        <f t="shared" si="68"/>
        <v>11</v>
      </c>
      <c r="E134" s="75">
        <f t="shared" si="69"/>
        <v>15</v>
      </c>
      <c r="F134" s="79">
        <v>35</v>
      </c>
      <c r="G134" s="82"/>
      <c r="H134" s="68" t="str">
        <f t="shared" si="86"/>
        <v>Senbur7_20191118_11_00</v>
      </c>
      <c r="I134" s="69">
        <f t="shared" si="87"/>
        <v>1</v>
      </c>
      <c r="J134" s="76" t="str">
        <f t="shared" si="87"/>
        <v>Senecio</v>
      </c>
      <c r="K134" s="76" t="str">
        <f t="shared" si="87"/>
        <v>burtoni</v>
      </c>
      <c r="L134" s="77">
        <f t="shared" si="87"/>
        <v>7</v>
      </c>
      <c r="M134" s="77">
        <f t="shared" si="87"/>
        <v>7</v>
      </c>
      <c r="N134" s="71">
        <f t="shared" si="87"/>
        <v>0</v>
      </c>
      <c r="O134" s="44"/>
      <c r="P134" s="45">
        <f t="shared" si="70"/>
        <v>1</v>
      </c>
      <c r="Q134" s="46" t="str">
        <f t="shared" si="71"/>
        <v>11:15:35</v>
      </c>
      <c r="R134" s="47" t="str">
        <f t="shared" si="72"/>
        <v>15:35</v>
      </c>
      <c r="S134" s="48">
        <f t="shared" si="61"/>
        <v>170</v>
      </c>
      <c r="T134" s="47" t="str">
        <f t="shared" si="73"/>
        <v>11</v>
      </c>
      <c r="U134" s="49">
        <v>18</v>
      </c>
      <c r="V134" s="50">
        <v>25</v>
      </c>
      <c r="W134" s="51" t="str">
        <f t="shared" si="74"/>
        <v>18:25</v>
      </c>
      <c r="X134" s="52" t="s">
        <v>63</v>
      </c>
      <c r="Y134" s="124" t="s">
        <v>82</v>
      </c>
      <c r="Z134" s="124"/>
      <c r="AA134" s="47" t="s">
        <v>59</v>
      </c>
      <c r="AB134" s="47" t="str">
        <f t="shared" si="75"/>
        <v>NA</v>
      </c>
      <c r="AC134" s="53">
        <f t="shared" si="76"/>
        <v>0</v>
      </c>
      <c r="AD134" s="54">
        <v>5</v>
      </c>
      <c r="AE134" s="54"/>
      <c r="AF134" s="54"/>
      <c r="AG134" s="55">
        <v>1</v>
      </c>
      <c r="AH134" s="56">
        <v>47</v>
      </c>
      <c r="AI134" s="55">
        <v>1</v>
      </c>
      <c r="AJ134" s="56">
        <v>3</v>
      </c>
      <c r="AK134" s="55">
        <v>1</v>
      </c>
      <c r="AL134" s="56">
        <v>50</v>
      </c>
      <c r="AM134" s="55">
        <v>1</v>
      </c>
      <c r="AN134" s="56">
        <v>70</v>
      </c>
      <c r="AO134" s="55"/>
      <c r="AP134" s="56" t="str">
        <f t="shared" si="83"/>
        <v/>
      </c>
      <c r="AQ134" s="55"/>
      <c r="AR134" s="56" t="str">
        <f t="shared" si="84"/>
        <v/>
      </c>
      <c r="AS134" s="57"/>
      <c r="AT134" s="58"/>
      <c r="AU134" s="58"/>
      <c r="AV134" s="59"/>
      <c r="AW134" s="60">
        <v>1</v>
      </c>
      <c r="AX134" s="61">
        <v>4</v>
      </c>
      <c r="AY134" s="60">
        <v>1</v>
      </c>
      <c r="AZ134" s="61">
        <v>4</v>
      </c>
    </row>
    <row r="135" spans="1:52" s="3" customFormat="1" hidden="1" x14ac:dyDescent="0.35">
      <c r="A135" s="72">
        <f t="shared" si="66"/>
        <v>2019</v>
      </c>
      <c r="B135" s="72" t="str">
        <f t="shared" si="67"/>
        <v>Nov</v>
      </c>
      <c r="C135" s="73">
        <f t="shared" si="85"/>
        <v>18</v>
      </c>
      <c r="D135" s="74">
        <f t="shared" si="68"/>
        <v>11</v>
      </c>
      <c r="E135" s="75">
        <f t="shared" si="69"/>
        <v>16</v>
      </c>
      <c r="F135" s="79">
        <v>20</v>
      </c>
      <c r="G135" s="82"/>
      <c r="H135" s="68" t="str">
        <f t="shared" si="86"/>
        <v>Senbur7_20191118_11_00</v>
      </c>
      <c r="I135" s="69">
        <f t="shared" si="87"/>
        <v>1</v>
      </c>
      <c r="J135" s="76" t="str">
        <f t="shared" si="87"/>
        <v>Senecio</v>
      </c>
      <c r="K135" s="76" t="str">
        <f t="shared" si="87"/>
        <v>burtoni</v>
      </c>
      <c r="L135" s="77">
        <f t="shared" si="87"/>
        <v>7</v>
      </c>
      <c r="M135" s="77">
        <f t="shared" si="87"/>
        <v>7</v>
      </c>
      <c r="N135" s="71">
        <f t="shared" si="87"/>
        <v>0</v>
      </c>
      <c r="O135" s="44"/>
      <c r="P135" s="45">
        <f t="shared" si="70"/>
        <v>1</v>
      </c>
      <c r="Q135" s="46" t="str">
        <f t="shared" si="71"/>
        <v>11:16:20</v>
      </c>
      <c r="R135" s="47" t="str">
        <f t="shared" si="72"/>
        <v>16:20</v>
      </c>
      <c r="S135" s="48">
        <f t="shared" si="61"/>
        <v>17</v>
      </c>
      <c r="T135" s="47" t="str">
        <f t="shared" si="73"/>
        <v>11</v>
      </c>
      <c r="U135" s="49">
        <v>16</v>
      </c>
      <c r="V135" s="50">
        <v>37</v>
      </c>
      <c r="W135" s="51" t="str">
        <f t="shared" si="74"/>
        <v>16:37</v>
      </c>
      <c r="X135" s="52" t="s">
        <v>63</v>
      </c>
      <c r="Y135" s="124" t="s">
        <v>82</v>
      </c>
      <c r="Z135" s="124"/>
      <c r="AA135" s="47" t="s">
        <v>59</v>
      </c>
      <c r="AB135" s="47" t="str">
        <f t="shared" si="75"/>
        <v>NA</v>
      </c>
      <c r="AC135" s="53">
        <f t="shared" si="76"/>
        <v>0</v>
      </c>
      <c r="AD135" s="54">
        <f t="shared" si="77"/>
        <v>1</v>
      </c>
      <c r="AE135" s="54"/>
      <c r="AF135" s="54"/>
      <c r="AG135" s="55">
        <v>1</v>
      </c>
      <c r="AH135" s="56">
        <f t="shared" si="79"/>
        <v>17</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v>1</v>
      </c>
      <c r="AX135" s="61">
        <f t="shared" si="63"/>
        <v>1</v>
      </c>
      <c r="AY135" s="60">
        <f t="shared" si="64"/>
        <v>0</v>
      </c>
      <c r="AZ135" s="61" t="str">
        <f t="shared" si="65"/>
        <v/>
      </c>
    </row>
    <row r="136" spans="1:52" s="3" customFormat="1" hidden="1" x14ac:dyDescent="0.35">
      <c r="A136" s="72">
        <f t="shared" si="66"/>
        <v>2019</v>
      </c>
      <c r="B136" s="72" t="str">
        <f t="shared" si="67"/>
        <v>Nov</v>
      </c>
      <c r="C136" s="73">
        <f t="shared" si="85"/>
        <v>18</v>
      </c>
      <c r="D136" s="74">
        <f t="shared" si="68"/>
        <v>11</v>
      </c>
      <c r="E136" s="75">
        <v>16</v>
      </c>
      <c r="F136" s="79">
        <v>34</v>
      </c>
      <c r="G136" s="82"/>
      <c r="H136" s="68" t="str">
        <f t="shared" si="86"/>
        <v>Senbur7_20191118_11_00</v>
      </c>
      <c r="I136" s="69">
        <f t="shared" si="87"/>
        <v>1</v>
      </c>
      <c r="J136" s="76" t="str">
        <f t="shared" si="87"/>
        <v>Senecio</v>
      </c>
      <c r="K136" s="76" t="str">
        <f t="shared" si="87"/>
        <v>burtoni</v>
      </c>
      <c r="L136" s="77">
        <f t="shared" si="87"/>
        <v>7</v>
      </c>
      <c r="M136" s="77">
        <f t="shared" si="87"/>
        <v>7</v>
      </c>
      <c r="N136" s="71">
        <f t="shared" si="87"/>
        <v>0</v>
      </c>
      <c r="O136" s="44"/>
      <c r="P136" s="45">
        <f t="shared" si="70"/>
        <v>1</v>
      </c>
      <c r="Q136" s="46" t="str">
        <f t="shared" si="71"/>
        <v>11:16:34</v>
      </c>
      <c r="R136" s="47" t="str">
        <f t="shared" si="72"/>
        <v>16:34</v>
      </c>
      <c r="S136" s="48">
        <f t="shared" si="61"/>
        <v>4</v>
      </c>
      <c r="T136" s="47" t="str">
        <f t="shared" si="73"/>
        <v>11</v>
      </c>
      <c r="U136" s="49">
        <v>16</v>
      </c>
      <c r="V136" s="50">
        <v>38</v>
      </c>
      <c r="W136" s="51" t="str">
        <f t="shared" si="74"/>
        <v>16:38</v>
      </c>
      <c r="X136" s="52" t="s">
        <v>63</v>
      </c>
      <c r="Y136" s="124" t="s">
        <v>83</v>
      </c>
      <c r="Z136" s="124"/>
      <c r="AA136" s="47" t="s">
        <v>59</v>
      </c>
      <c r="AB136" s="47" t="str">
        <f t="shared" si="75"/>
        <v>NA</v>
      </c>
      <c r="AC136" s="53">
        <f t="shared" si="76"/>
        <v>0</v>
      </c>
      <c r="AD136" s="54">
        <f t="shared" si="77"/>
        <v>1</v>
      </c>
      <c r="AE136" s="54"/>
      <c r="AF136" s="54"/>
      <c r="AG136" s="55">
        <v>1</v>
      </c>
      <c r="AH136" s="56">
        <v>1</v>
      </c>
      <c r="AI136" s="55"/>
      <c r="AJ136" s="56" t="str">
        <f t="shared" si="80"/>
        <v/>
      </c>
      <c r="AK136" s="55"/>
      <c r="AL136" s="56" t="str">
        <f t="shared" si="81"/>
        <v/>
      </c>
      <c r="AM136" s="55">
        <v>1</v>
      </c>
      <c r="AN136" s="56">
        <v>3</v>
      </c>
      <c r="AO136" s="55"/>
      <c r="AP136" s="56" t="str">
        <f t="shared" si="83"/>
        <v/>
      </c>
      <c r="AQ136" s="55"/>
      <c r="AR136" s="56" t="str">
        <f t="shared" si="84"/>
        <v/>
      </c>
      <c r="AS136" s="57"/>
      <c r="AT136" s="58"/>
      <c r="AU136" s="58"/>
      <c r="AV136" s="59"/>
      <c r="AW136" s="60">
        <v>1</v>
      </c>
      <c r="AX136" s="61">
        <f t="shared" si="63"/>
        <v>1</v>
      </c>
      <c r="AY136" s="60">
        <f t="shared" si="64"/>
        <v>0</v>
      </c>
      <c r="AZ136" s="61" t="str">
        <f t="shared" si="65"/>
        <v/>
      </c>
    </row>
    <row r="137" spans="1:52" s="3" customFormat="1" hidden="1" x14ac:dyDescent="0.35">
      <c r="A137" s="72">
        <f t="shared" si="66"/>
        <v>2019</v>
      </c>
      <c r="B137" s="72" t="str">
        <f t="shared" si="67"/>
        <v>Nov</v>
      </c>
      <c r="C137" s="73">
        <f t="shared" si="85"/>
        <v>18</v>
      </c>
      <c r="D137" s="74">
        <f t="shared" si="68"/>
        <v>11</v>
      </c>
      <c r="E137" s="75">
        <f t="shared" si="69"/>
        <v>17</v>
      </c>
      <c r="F137" s="79"/>
      <c r="G137" s="82"/>
      <c r="H137" s="68" t="str">
        <f t="shared" si="86"/>
        <v>Senbur7_20191118_11_00</v>
      </c>
      <c r="I137" s="69">
        <f t="shared" si="87"/>
        <v>1</v>
      </c>
      <c r="J137" s="76" t="str">
        <f t="shared" si="87"/>
        <v>Senecio</v>
      </c>
      <c r="K137" s="76" t="str">
        <f t="shared" si="87"/>
        <v>burtoni</v>
      </c>
      <c r="L137" s="77">
        <f t="shared" si="87"/>
        <v>7</v>
      </c>
      <c r="M137" s="77">
        <f t="shared" si="87"/>
        <v>7</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18</v>
      </c>
      <c r="D138" s="74">
        <f t="shared" si="68"/>
        <v>11</v>
      </c>
      <c r="E138" s="75">
        <f t="shared" si="69"/>
        <v>18</v>
      </c>
      <c r="F138" s="79"/>
      <c r="G138" s="82"/>
      <c r="H138" s="68" t="str">
        <f t="shared" si="86"/>
        <v>Senbur7_20191118_11_00</v>
      </c>
      <c r="I138" s="69">
        <f t="shared" si="87"/>
        <v>1</v>
      </c>
      <c r="J138" s="76" t="str">
        <f t="shared" si="87"/>
        <v>Senecio</v>
      </c>
      <c r="K138" s="76" t="str">
        <f t="shared" si="87"/>
        <v>burtoni</v>
      </c>
      <c r="L138" s="77">
        <f t="shared" si="87"/>
        <v>7</v>
      </c>
      <c r="M138" s="77">
        <f t="shared" si="87"/>
        <v>7</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18</v>
      </c>
      <c r="D139" s="74">
        <f t="shared" si="68"/>
        <v>11</v>
      </c>
      <c r="E139" s="75">
        <f t="shared" si="69"/>
        <v>19</v>
      </c>
      <c r="F139" s="79">
        <v>20</v>
      </c>
      <c r="G139" s="82"/>
      <c r="H139" s="68" t="str">
        <f t="shared" si="86"/>
        <v>Senbur7_20191118_11_00</v>
      </c>
      <c r="I139" s="69">
        <f t="shared" si="87"/>
        <v>1</v>
      </c>
      <c r="J139" s="76" t="str">
        <f t="shared" si="87"/>
        <v>Senecio</v>
      </c>
      <c r="K139" s="76" t="str">
        <f t="shared" si="87"/>
        <v>burtoni</v>
      </c>
      <c r="L139" s="77">
        <f t="shared" si="87"/>
        <v>7</v>
      </c>
      <c r="M139" s="77">
        <f t="shared" si="87"/>
        <v>7</v>
      </c>
      <c r="N139" s="71">
        <f t="shared" si="87"/>
        <v>0</v>
      </c>
      <c r="O139" s="44"/>
      <c r="P139" s="45">
        <f t="shared" si="70"/>
        <v>1</v>
      </c>
      <c r="Q139" s="46" t="str">
        <f t="shared" si="71"/>
        <v>11:19:20</v>
      </c>
      <c r="R139" s="47" t="str">
        <f t="shared" si="72"/>
        <v>19:20</v>
      </c>
      <c r="S139" s="48">
        <f t="shared" si="61"/>
        <v>12</v>
      </c>
      <c r="T139" s="47" t="str">
        <f t="shared" si="73"/>
        <v>11</v>
      </c>
      <c r="U139" s="49">
        <v>19</v>
      </c>
      <c r="V139" s="50">
        <v>32</v>
      </c>
      <c r="W139" s="51" t="str">
        <f t="shared" si="74"/>
        <v>19:32</v>
      </c>
      <c r="X139" s="52" t="s">
        <v>63</v>
      </c>
      <c r="Y139" s="124" t="s">
        <v>83</v>
      </c>
      <c r="Z139" s="124"/>
      <c r="AA139" s="47" t="s">
        <v>59</v>
      </c>
      <c r="AB139" s="47" t="str">
        <f t="shared" si="75"/>
        <v>NA</v>
      </c>
      <c r="AC139" s="53">
        <f t="shared" si="76"/>
        <v>0</v>
      </c>
      <c r="AD139" s="54">
        <v>2</v>
      </c>
      <c r="AE139" s="54"/>
      <c r="AF139" s="54"/>
      <c r="AG139" s="55">
        <v>1</v>
      </c>
      <c r="AH139" s="56">
        <v>5</v>
      </c>
      <c r="AI139" s="55"/>
      <c r="AJ139" s="56" t="str">
        <f t="shared" si="80"/>
        <v/>
      </c>
      <c r="AK139" s="55"/>
      <c r="AL139" s="56" t="str">
        <f t="shared" si="81"/>
        <v/>
      </c>
      <c r="AM139" s="55">
        <v>1</v>
      </c>
      <c r="AN139" s="56">
        <v>7</v>
      </c>
      <c r="AO139" s="55"/>
      <c r="AP139" s="56" t="str">
        <f t="shared" si="83"/>
        <v/>
      </c>
      <c r="AQ139" s="55"/>
      <c r="AR139" s="56" t="str">
        <f t="shared" si="84"/>
        <v/>
      </c>
      <c r="AS139" s="57"/>
      <c r="AT139" s="58"/>
      <c r="AU139" s="58"/>
      <c r="AV139" s="59"/>
      <c r="AW139" s="60">
        <v>1</v>
      </c>
      <c r="AX139" s="61">
        <v>1</v>
      </c>
      <c r="AY139" s="60">
        <v>1</v>
      </c>
      <c r="AZ139" s="61">
        <v>1</v>
      </c>
    </row>
    <row r="140" spans="1:52" s="3" customFormat="1" hidden="1" x14ac:dyDescent="0.35">
      <c r="A140" s="72">
        <f t="shared" si="66"/>
        <v>2019</v>
      </c>
      <c r="B140" s="72" t="str">
        <f t="shared" si="67"/>
        <v>Nov</v>
      </c>
      <c r="C140" s="73">
        <f t="shared" si="85"/>
        <v>18</v>
      </c>
      <c r="D140" s="74">
        <f t="shared" si="68"/>
        <v>11</v>
      </c>
      <c r="E140" s="75">
        <f t="shared" si="69"/>
        <v>20</v>
      </c>
      <c r="F140" s="79">
        <v>23</v>
      </c>
      <c r="G140" s="82"/>
      <c r="H140" s="68" t="str">
        <f t="shared" si="86"/>
        <v>Senbur7_20191118_11_00</v>
      </c>
      <c r="I140" s="69">
        <f t="shared" si="87"/>
        <v>1</v>
      </c>
      <c r="J140" s="76" t="str">
        <f t="shared" si="87"/>
        <v>Senecio</v>
      </c>
      <c r="K140" s="76" t="str">
        <f t="shared" si="87"/>
        <v>burtoni</v>
      </c>
      <c r="L140" s="77">
        <f t="shared" si="87"/>
        <v>7</v>
      </c>
      <c r="M140" s="77">
        <f t="shared" si="87"/>
        <v>7</v>
      </c>
      <c r="N140" s="71">
        <f t="shared" si="87"/>
        <v>0</v>
      </c>
      <c r="O140" s="44"/>
      <c r="P140" s="45">
        <f t="shared" si="70"/>
        <v>1</v>
      </c>
      <c r="Q140" s="46" t="str">
        <f t="shared" si="71"/>
        <v>11:20:23</v>
      </c>
      <c r="R140" s="47" t="str">
        <f t="shared" si="72"/>
        <v>20:23</v>
      </c>
      <c r="S140" s="48">
        <f t="shared" si="61"/>
        <v>7</v>
      </c>
      <c r="T140" s="47" t="str">
        <f t="shared" si="73"/>
        <v>11</v>
      </c>
      <c r="U140" s="49">
        <v>20</v>
      </c>
      <c r="V140" s="50">
        <v>30</v>
      </c>
      <c r="W140" s="51" t="str">
        <f t="shared" si="74"/>
        <v>20:30</v>
      </c>
      <c r="X140" s="52" t="s">
        <v>63</v>
      </c>
      <c r="Y140" s="124" t="s">
        <v>83</v>
      </c>
      <c r="Z140" s="124"/>
      <c r="AA140" s="47" t="s">
        <v>59</v>
      </c>
      <c r="AB140" s="47" t="str">
        <f t="shared" si="75"/>
        <v>NA</v>
      </c>
      <c r="AC140" s="53">
        <f t="shared" si="76"/>
        <v>0</v>
      </c>
      <c r="AD140" s="54">
        <f t="shared" si="77"/>
        <v>1</v>
      </c>
      <c r="AE140" s="54"/>
      <c r="AF140" s="54"/>
      <c r="AG140" s="55">
        <v>1</v>
      </c>
      <c r="AH140" s="56">
        <v>1</v>
      </c>
      <c r="AI140" s="55"/>
      <c r="AJ140" s="56" t="str">
        <f t="shared" si="80"/>
        <v/>
      </c>
      <c r="AK140" s="55"/>
      <c r="AL140" s="56" t="str">
        <f t="shared" si="81"/>
        <v/>
      </c>
      <c r="AM140" s="55">
        <v>1</v>
      </c>
      <c r="AN140" s="56">
        <v>6</v>
      </c>
      <c r="AO140" s="55"/>
      <c r="AP140" s="56" t="str">
        <f t="shared" si="83"/>
        <v/>
      </c>
      <c r="AQ140" s="55"/>
      <c r="AR140" s="56" t="str">
        <f t="shared" si="84"/>
        <v/>
      </c>
      <c r="AS140" s="57"/>
      <c r="AT140" s="58"/>
      <c r="AU140" s="58"/>
      <c r="AV140" s="59"/>
      <c r="AW140" s="60">
        <v>1</v>
      </c>
      <c r="AX140" s="61">
        <f t="shared" si="63"/>
        <v>1</v>
      </c>
      <c r="AY140" s="60">
        <f t="shared" si="64"/>
        <v>0</v>
      </c>
      <c r="AZ140" s="61" t="str">
        <f t="shared" si="65"/>
        <v/>
      </c>
    </row>
    <row r="141" spans="1:52" s="3" customFormat="1" hidden="1" x14ac:dyDescent="0.35">
      <c r="A141" s="72">
        <f t="shared" si="66"/>
        <v>2019</v>
      </c>
      <c r="B141" s="72" t="str">
        <f t="shared" si="67"/>
        <v>Nov</v>
      </c>
      <c r="C141" s="73">
        <f t="shared" si="85"/>
        <v>18</v>
      </c>
      <c r="D141" s="74">
        <f t="shared" si="68"/>
        <v>11</v>
      </c>
      <c r="E141" s="75">
        <v>20</v>
      </c>
      <c r="F141" s="79">
        <v>44</v>
      </c>
      <c r="G141" s="82"/>
      <c r="H141" s="68" t="str">
        <f t="shared" si="86"/>
        <v>Senbur7_20191118_11_00</v>
      </c>
      <c r="I141" s="69">
        <f t="shared" si="87"/>
        <v>1</v>
      </c>
      <c r="J141" s="76" t="str">
        <f t="shared" si="87"/>
        <v>Senecio</v>
      </c>
      <c r="K141" s="76" t="str">
        <f t="shared" si="87"/>
        <v>burtoni</v>
      </c>
      <c r="L141" s="77">
        <f t="shared" si="87"/>
        <v>7</v>
      </c>
      <c r="M141" s="77">
        <f t="shared" si="87"/>
        <v>7</v>
      </c>
      <c r="N141" s="71">
        <f t="shared" si="87"/>
        <v>0</v>
      </c>
      <c r="O141" s="44"/>
      <c r="P141" s="45">
        <f t="shared" si="70"/>
        <v>1</v>
      </c>
      <c r="Q141" s="46" t="str">
        <f t="shared" si="71"/>
        <v>11:20:44</v>
      </c>
      <c r="R141" s="47" t="str">
        <f t="shared" si="72"/>
        <v>20:44</v>
      </c>
      <c r="S141" s="48">
        <f t="shared" si="61"/>
        <v>9</v>
      </c>
      <c r="T141" s="47" t="str">
        <f t="shared" si="73"/>
        <v>11</v>
      </c>
      <c r="U141" s="49">
        <v>20</v>
      </c>
      <c r="V141" s="50">
        <v>53</v>
      </c>
      <c r="W141" s="51" t="str">
        <f t="shared" si="74"/>
        <v>20:53</v>
      </c>
      <c r="X141" s="52" t="s">
        <v>63</v>
      </c>
      <c r="Y141" s="124" t="s">
        <v>83</v>
      </c>
      <c r="Z141" s="124"/>
      <c r="AA141" s="47" t="s">
        <v>59</v>
      </c>
      <c r="AB141" s="47" t="str">
        <f t="shared" si="75"/>
        <v>NA</v>
      </c>
      <c r="AC141" s="53">
        <f t="shared" si="76"/>
        <v>0</v>
      </c>
      <c r="AD141" s="54">
        <f t="shared" si="77"/>
        <v>1</v>
      </c>
      <c r="AE141" s="54"/>
      <c r="AF141" s="54"/>
      <c r="AG141" s="55">
        <v>1</v>
      </c>
      <c r="AH141" s="56">
        <v>1</v>
      </c>
      <c r="AI141" s="55"/>
      <c r="AJ141" s="56" t="str">
        <f t="shared" si="80"/>
        <v/>
      </c>
      <c r="AK141" s="55"/>
      <c r="AL141" s="56" t="str">
        <f t="shared" si="81"/>
        <v/>
      </c>
      <c r="AM141" s="55">
        <v>1</v>
      </c>
      <c r="AN141" s="56">
        <v>8</v>
      </c>
      <c r="AO141" s="55"/>
      <c r="AP141" s="56" t="str">
        <f t="shared" si="83"/>
        <v/>
      </c>
      <c r="AQ141" s="55"/>
      <c r="AR141" s="56" t="str">
        <f t="shared" si="84"/>
        <v/>
      </c>
      <c r="AS141" s="57"/>
      <c r="AT141" s="58"/>
      <c r="AU141" s="58"/>
      <c r="AV141" s="59"/>
      <c r="AW141" s="60">
        <v>1</v>
      </c>
      <c r="AX141" s="61">
        <f t="shared" si="63"/>
        <v>1</v>
      </c>
      <c r="AY141" s="60">
        <v>1</v>
      </c>
      <c r="AZ141" s="61">
        <f t="shared" si="65"/>
        <v>1</v>
      </c>
    </row>
    <row r="142" spans="1:52" s="3" customFormat="1" hidden="1" x14ac:dyDescent="0.35">
      <c r="A142" s="72">
        <f t="shared" si="66"/>
        <v>2019</v>
      </c>
      <c r="B142" s="72" t="str">
        <f t="shared" si="67"/>
        <v>Nov</v>
      </c>
      <c r="C142" s="73">
        <f t="shared" si="85"/>
        <v>18</v>
      </c>
      <c r="D142" s="74">
        <f t="shared" si="68"/>
        <v>11</v>
      </c>
      <c r="E142" s="75">
        <f t="shared" si="69"/>
        <v>21</v>
      </c>
      <c r="F142" s="79">
        <v>12</v>
      </c>
      <c r="G142" s="82"/>
      <c r="H142" s="68" t="str">
        <f t="shared" si="86"/>
        <v>Senbur7_20191118_11_00</v>
      </c>
      <c r="I142" s="69">
        <f t="shared" si="87"/>
        <v>1</v>
      </c>
      <c r="J142" s="76" t="str">
        <f t="shared" si="87"/>
        <v>Senecio</v>
      </c>
      <c r="K142" s="76" t="str">
        <f t="shared" si="87"/>
        <v>burtoni</v>
      </c>
      <c r="L142" s="77">
        <f t="shared" si="87"/>
        <v>7</v>
      </c>
      <c r="M142" s="77">
        <f t="shared" si="87"/>
        <v>7</v>
      </c>
      <c r="N142" s="71">
        <f t="shared" si="87"/>
        <v>0</v>
      </c>
      <c r="O142" s="44"/>
      <c r="P142" s="45">
        <f t="shared" si="70"/>
        <v>1</v>
      </c>
      <c r="Q142" s="46" t="str">
        <f t="shared" si="71"/>
        <v>11:21:12</v>
      </c>
      <c r="R142" s="47" t="str">
        <f t="shared" si="72"/>
        <v>21:12</v>
      </c>
      <c r="S142" s="48">
        <f t="shared" si="61"/>
        <v>43</v>
      </c>
      <c r="T142" s="47" t="str">
        <f t="shared" si="73"/>
        <v>11</v>
      </c>
      <c r="U142" s="49">
        <v>21</v>
      </c>
      <c r="V142" s="50">
        <v>55</v>
      </c>
      <c r="W142" s="51" t="str">
        <f t="shared" si="74"/>
        <v>21:55</v>
      </c>
      <c r="X142" s="52" t="s">
        <v>63</v>
      </c>
      <c r="Y142" s="124" t="s">
        <v>82</v>
      </c>
      <c r="Z142" s="124"/>
      <c r="AA142" s="47" t="s">
        <v>59</v>
      </c>
      <c r="AB142" s="47" t="str">
        <f t="shared" si="75"/>
        <v>NA</v>
      </c>
      <c r="AC142" s="53">
        <f t="shared" si="76"/>
        <v>0</v>
      </c>
      <c r="AD142" s="54">
        <f t="shared" si="77"/>
        <v>1</v>
      </c>
      <c r="AE142" s="54"/>
      <c r="AF142" s="54"/>
      <c r="AG142" s="55" t="str">
        <f t="shared" si="78"/>
        <v/>
      </c>
      <c r="AH142" s="56" t="str">
        <f t="shared" si="79"/>
        <v/>
      </c>
      <c r="AI142" s="55"/>
      <c r="AJ142" s="56" t="str">
        <f t="shared" si="80"/>
        <v/>
      </c>
      <c r="AK142" s="55"/>
      <c r="AL142" s="56" t="str">
        <f t="shared" si="81"/>
        <v/>
      </c>
      <c r="AM142" s="55">
        <v>1</v>
      </c>
      <c r="AN142" s="56">
        <f t="shared" si="82"/>
        <v>43</v>
      </c>
      <c r="AO142" s="55"/>
      <c r="AP142" s="56" t="str">
        <f t="shared" si="83"/>
        <v/>
      </c>
      <c r="AQ142" s="55"/>
      <c r="AR142" s="56" t="str">
        <f t="shared" si="84"/>
        <v/>
      </c>
      <c r="AS142" s="57"/>
      <c r="AT142" s="58"/>
      <c r="AU142" s="58"/>
      <c r="AV142" s="59"/>
      <c r="AW142" s="60">
        <v>1</v>
      </c>
      <c r="AX142" s="61">
        <f t="shared" si="63"/>
        <v>1</v>
      </c>
      <c r="AY142" s="60">
        <v>1</v>
      </c>
      <c r="AZ142" s="61">
        <f t="shared" si="65"/>
        <v>1</v>
      </c>
    </row>
    <row r="143" spans="1:52" s="3" customFormat="1" hidden="1" x14ac:dyDescent="0.35">
      <c r="A143" s="72">
        <f t="shared" si="66"/>
        <v>2019</v>
      </c>
      <c r="B143" s="72" t="str">
        <f t="shared" si="67"/>
        <v>Nov</v>
      </c>
      <c r="C143" s="73">
        <f t="shared" si="85"/>
        <v>18</v>
      </c>
      <c r="D143" s="74">
        <f t="shared" si="68"/>
        <v>11</v>
      </c>
      <c r="E143" s="75">
        <v>21</v>
      </c>
      <c r="F143" s="79">
        <v>59</v>
      </c>
      <c r="G143" s="82"/>
      <c r="H143" s="68" t="str">
        <f t="shared" si="86"/>
        <v>Senbur7_20191118_11_00</v>
      </c>
      <c r="I143" s="69">
        <f t="shared" si="87"/>
        <v>1</v>
      </c>
      <c r="J143" s="76" t="str">
        <f t="shared" si="87"/>
        <v>Senecio</v>
      </c>
      <c r="K143" s="76" t="str">
        <f t="shared" si="87"/>
        <v>burtoni</v>
      </c>
      <c r="L143" s="77">
        <f t="shared" si="87"/>
        <v>7</v>
      </c>
      <c r="M143" s="77">
        <f t="shared" si="87"/>
        <v>7</v>
      </c>
      <c r="N143" s="71">
        <f t="shared" si="87"/>
        <v>0</v>
      </c>
      <c r="O143" s="44"/>
      <c r="P143" s="45">
        <f t="shared" si="70"/>
        <v>1</v>
      </c>
      <c r="Q143" s="46" t="str">
        <f t="shared" si="71"/>
        <v>11:21:59</v>
      </c>
      <c r="R143" s="47" t="str">
        <f t="shared" si="72"/>
        <v>21:59</v>
      </c>
      <c r="S143" s="48">
        <f t="shared" si="61"/>
        <v>4</v>
      </c>
      <c r="T143" s="47" t="str">
        <f t="shared" si="73"/>
        <v>11</v>
      </c>
      <c r="U143" s="49">
        <v>22</v>
      </c>
      <c r="V143" s="50">
        <v>3</v>
      </c>
      <c r="W143" s="51" t="str">
        <f t="shared" si="74"/>
        <v>22:03</v>
      </c>
      <c r="X143" s="52" t="s">
        <v>63</v>
      </c>
      <c r="Y143" s="124" t="s">
        <v>83</v>
      </c>
      <c r="Z143" s="124"/>
      <c r="AA143" s="47" t="s">
        <v>59</v>
      </c>
      <c r="AB143" s="47" t="str">
        <f t="shared" si="75"/>
        <v>NA</v>
      </c>
      <c r="AC143" s="53">
        <f t="shared" si="76"/>
        <v>0</v>
      </c>
      <c r="AD143" s="54">
        <f t="shared" si="77"/>
        <v>1</v>
      </c>
      <c r="AE143" s="54"/>
      <c r="AF143" s="54"/>
      <c r="AG143" s="55">
        <v>1</v>
      </c>
      <c r="AH143" s="56">
        <f t="shared" si="79"/>
        <v>4</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v>1</v>
      </c>
      <c r="AX143" s="61">
        <f t="shared" si="63"/>
        <v>1</v>
      </c>
      <c r="AY143" s="60">
        <f t="shared" si="64"/>
        <v>0</v>
      </c>
      <c r="AZ143" s="61" t="str">
        <f t="shared" si="65"/>
        <v/>
      </c>
    </row>
    <row r="144" spans="1:52" s="3" customFormat="1" hidden="1" x14ac:dyDescent="0.35">
      <c r="A144" s="72">
        <f t="shared" si="66"/>
        <v>2019</v>
      </c>
      <c r="B144" s="72" t="str">
        <f t="shared" si="67"/>
        <v>Nov</v>
      </c>
      <c r="C144" s="73">
        <f t="shared" si="85"/>
        <v>18</v>
      </c>
      <c r="D144" s="74">
        <f t="shared" si="68"/>
        <v>11</v>
      </c>
      <c r="E144" s="75">
        <f t="shared" si="69"/>
        <v>22</v>
      </c>
      <c r="F144" s="79">
        <v>25</v>
      </c>
      <c r="G144" s="82"/>
      <c r="H144" s="68" t="str">
        <f t="shared" si="86"/>
        <v>Senbur7_20191118_11_00</v>
      </c>
      <c r="I144" s="69">
        <f t="shared" si="87"/>
        <v>1</v>
      </c>
      <c r="J144" s="76" t="str">
        <f t="shared" si="87"/>
        <v>Senecio</v>
      </c>
      <c r="K144" s="76" t="str">
        <f t="shared" si="87"/>
        <v>burtoni</v>
      </c>
      <c r="L144" s="77">
        <f t="shared" si="87"/>
        <v>7</v>
      </c>
      <c r="M144" s="77">
        <f t="shared" si="87"/>
        <v>7</v>
      </c>
      <c r="N144" s="71">
        <f t="shared" si="87"/>
        <v>0</v>
      </c>
      <c r="O144" s="44"/>
      <c r="P144" s="45">
        <f t="shared" si="70"/>
        <v>1</v>
      </c>
      <c r="Q144" s="46" t="str">
        <f t="shared" si="71"/>
        <v>11:22:25</v>
      </c>
      <c r="R144" s="47" t="str">
        <f t="shared" si="72"/>
        <v>22:25</v>
      </c>
      <c r="S144" s="48">
        <f t="shared" si="61"/>
        <v>5</v>
      </c>
      <c r="T144" s="47" t="str">
        <f t="shared" si="73"/>
        <v>11</v>
      </c>
      <c r="U144" s="49">
        <v>22</v>
      </c>
      <c r="V144" s="50">
        <v>30</v>
      </c>
      <c r="W144" s="51" t="str">
        <f t="shared" si="74"/>
        <v>22:30</v>
      </c>
      <c r="X144" s="52" t="s">
        <v>63</v>
      </c>
      <c r="Y144" s="124" t="s">
        <v>83</v>
      </c>
      <c r="Z144" s="124"/>
      <c r="AA144" s="47" t="s">
        <v>59</v>
      </c>
      <c r="AB144" s="47" t="str">
        <f t="shared" si="75"/>
        <v>NA</v>
      </c>
      <c r="AC144" s="53">
        <f t="shared" si="76"/>
        <v>0</v>
      </c>
      <c r="AD144" s="54">
        <f t="shared" si="77"/>
        <v>1</v>
      </c>
      <c r="AE144" s="54"/>
      <c r="AF144" s="54"/>
      <c r="AG144" s="55">
        <v>1</v>
      </c>
      <c r="AH144" s="56">
        <f t="shared" si="79"/>
        <v>5</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f t="shared" si="62"/>
        <v>0</v>
      </c>
      <c r="AX144" s="61" t="str">
        <f t="shared" si="63"/>
        <v/>
      </c>
      <c r="AY144" s="60">
        <f t="shared" si="64"/>
        <v>0</v>
      </c>
      <c r="AZ144" s="61" t="str">
        <f t="shared" si="65"/>
        <v/>
      </c>
    </row>
    <row r="145" spans="1:52" s="3" customFormat="1" x14ac:dyDescent="0.35">
      <c r="A145" s="72">
        <f t="shared" si="66"/>
        <v>2019</v>
      </c>
      <c r="B145" s="72" t="str">
        <f t="shared" si="67"/>
        <v>Nov</v>
      </c>
      <c r="C145" s="73">
        <f t="shared" si="85"/>
        <v>18</v>
      </c>
      <c r="D145" s="74">
        <f t="shared" si="68"/>
        <v>11</v>
      </c>
      <c r="E145" s="75">
        <v>22</v>
      </c>
      <c r="F145" s="79">
        <v>30</v>
      </c>
      <c r="G145" s="82"/>
      <c r="H145" s="68" t="str">
        <f t="shared" si="86"/>
        <v>Senbur7_20191118_11_00</v>
      </c>
      <c r="I145" s="69">
        <f t="shared" si="87"/>
        <v>1</v>
      </c>
      <c r="J145" s="76" t="str">
        <f t="shared" si="87"/>
        <v>Senecio</v>
      </c>
      <c r="K145" s="76" t="str">
        <f t="shared" si="87"/>
        <v>burtoni</v>
      </c>
      <c r="L145" s="77">
        <f t="shared" si="87"/>
        <v>7</v>
      </c>
      <c r="M145" s="77">
        <f t="shared" si="87"/>
        <v>7</v>
      </c>
      <c r="N145" s="71">
        <f t="shared" si="87"/>
        <v>0</v>
      </c>
      <c r="O145" s="44"/>
      <c r="P145" s="45">
        <f t="shared" si="70"/>
        <v>1</v>
      </c>
      <c r="Q145" s="46" t="str">
        <f t="shared" si="71"/>
        <v>11:22:30</v>
      </c>
      <c r="R145" s="47" t="str">
        <f t="shared" si="72"/>
        <v>22:30</v>
      </c>
      <c r="S145" s="48">
        <f t="shared" si="61"/>
        <v>77</v>
      </c>
      <c r="T145" s="47" t="str">
        <f t="shared" si="73"/>
        <v>11</v>
      </c>
      <c r="U145" s="49">
        <v>23</v>
      </c>
      <c r="V145" s="50">
        <v>47</v>
      </c>
      <c r="W145" s="51" t="str">
        <f t="shared" si="74"/>
        <v>23:47</v>
      </c>
      <c r="X145" s="52" t="s">
        <v>62</v>
      </c>
      <c r="Y145" s="124" t="s">
        <v>84</v>
      </c>
      <c r="Z145" s="124"/>
      <c r="AA145" s="47" t="s">
        <v>77</v>
      </c>
      <c r="AB145" s="47" t="str">
        <f t="shared" si="75"/>
        <v>NA</v>
      </c>
      <c r="AC145" s="53">
        <f t="shared" si="76"/>
        <v>0</v>
      </c>
      <c r="AD145" s="54">
        <v>3</v>
      </c>
      <c r="AE145" s="54"/>
      <c r="AF145" s="54"/>
      <c r="AG145" s="55">
        <v>1</v>
      </c>
      <c r="AH145" s="56">
        <v>5</v>
      </c>
      <c r="AI145" s="55"/>
      <c r="AJ145" s="56" t="str">
        <f t="shared" si="80"/>
        <v/>
      </c>
      <c r="AK145" s="55">
        <v>1</v>
      </c>
      <c r="AL145" s="56">
        <v>42</v>
      </c>
      <c r="AM145" s="55">
        <v>1</v>
      </c>
      <c r="AN145" s="56">
        <v>30</v>
      </c>
      <c r="AO145" s="55"/>
      <c r="AP145" s="56" t="str">
        <f t="shared" si="83"/>
        <v/>
      </c>
      <c r="AQ145" s="55"/>
      <c r="AR145" s="56" t="str">
        <f t="shared" si="84"/>
        <v/>
      </c>
      <c r="AS145" s="57"/>
      <c r="AT145" s="58"/>
      <c r="AU145" s="58"/>
      <c r="AV145" s="59"/>
      <c r="AW145" s="60">
        <v>1</v>
      </c>
      <c r="AX145" s="61">
        <v>2</v>
      </c>
      <c r="AY145" s="60">
        <v>1</v>
      </c>
      <c r="AZ145" s="61">
        <v>2</v>
      </c>
    </row>
    <row r="146" spans="1:52" s="3" customFormat="1" hidden="1" x14ac:dyDescent="0.35">
      <c r="A146" s="72">
        <f t="shared" si="66"/>
        <v>2019</v>
      </c>
      <c r="B146" s="72" t="str">
        <f t="shared" si="67"/>
        <v>Nov</v>
      </c>
      <c r="C146" s="73">
        <f t="shared" si="85"/>
        <v>18</v>
      </c>
      <c r="D146" s="74">
        <f t="shared" si="68"/>
        <v>11</v>
      </c>
      <c r="E146" s="75">
        <f t="shared" si="69"/>
        <v>23</v>
      </c>
      <c r="F146" s="79">
        <v>34</v>
      </c>
      <c r="G146" s="82"/>
      <c r="H146" s="68" t="str">
        <f t="shared" si="86"/>
        <v>Senbur7_20191118_11_00</v>
      </c>
      <c r="I146" s="69">
        <f t="shared" si="87"/>
        <v>1</v>
      </c>
      <c r="J146" s="76" t="str">
        <f t="shared" si="87"/>
        <v>Senecio</v>
      </c>
      <c r="K146" s="76" t="str">
        <f t="shared" si="87"/>
        <v>burtoni</v>
      </c>
      <c r="L146" s="77">
        <f t="shared" si="87"/>
        <v>7</v>
      </c>
      <c r="M146" s="77">
        <f t="shared" si="87"/>
        <v>7</v>
      </c>
      <c r="N146" s="71">
        <f t="shared" si="87"/>
        <v>0</v>
      </c>
      <c r="O146" s="44"/>
      <c r="P146" s="45">
        <f t="shared" si="70"/>
        <v>1</v>
      </c>
      <c r="Q146" s="46" t="str">
        <f t="shared" si="71"/>
        <v>11:23:34</v>
      </c>
      <c r="R146" s="47" t="str">
        <f t="shared" si="72"/>
        <v>23:34</v>
      </c>
      <c r="S146" s="48">
        <f t="shared" si="61"/>
        <v>12</v>
      </c>
      <c r="T146" s="47" t="str">
        <f t="shared" si="73"/>
        <v>11</v>
      </c>
      <c r="U146" s="49">
        <v>23</v>
      </c>
      <c r="V146" s="50">
        <v>46</v>
      </c>
      <c r="W146" s="51" t="str">
        <f t="shared" si="74"/>
        <v>23:46</v>
      </c>
      <c r="X146" s="52" t="s">
        <v>63</v>
      </c>
      <c r="Y146" s="124" t="s">
        <v>82</v>
      </c>
      <c r="Z146" s="124"/>
      <c r="AA146" s="47" t="s">
        <v>59</v>
      </c>
      <c r="AB146" s="47" t="str">
        <f t="shared" si="75"/>
        <v>NA</v>
      </c>
      <c r="AC146" s="53">
        <f t="shared" si="76"/>
        <v>0</v>
      </c>
      <c r="AD146" s="54">
        <f t="shared" si="77"/>
        <v>1</v>
      </c>
      <c r="AE146" s="54"/>
      <c r="AF146" s="54"/>
      <c r="AG146" s="55">
        <v>1</v>
      </c>
      <c r="AH146" s="56">
        <v>2</v>
      </c>
      <c r="AI146" s="55"/>
      <c r="AJ146" s="56" t="str">
        <f t="shared" si="80"/>
        <v/>
      </c>
      <c r="AK146" s="55">
        <v>1</v>
      </c>
      <c r="AL146" s="56">
        <v>3</v>
      </c>
      <c r="AM146" s="55">
        <v>1</v>
      </c>
      <c r="AN146" s="56">
        <v>7</v>
      </c>
      <c r="AO146" s="55"/>
      <c r="AP146" s="56" t="str">
        <f t="shared" si="83"/>
        <v/>
      </c>
      <c r="AQ146" s="55"/>
      <c r="AR146" s="56" t="str">
        <f t="shared" si="84"/>
        <v/>
      </c>
      <c r="AS146" s="57"/>
      <c r="AT146" s="58"/>
      <c r="AU146" s="58"/>
      <c r="AV146" s="59"/>
      <c r="AW146" s="60">
        <v>1</v>
      </c>
      <c r="AX146" s="61">
        <f t="shared" si="63"/>
        <v>1</v>
      </c>
      <c r="AY146" s="60">
        <v>1</v>
      </c>
      <c r="AZ146" s="61">
        <f t="shared" si="65"/>
        <v>1</v>
      </c>
    </row>
    <row r="147" spans="1:52" s="3" customFormat="1" hidden="1" x14ac:dyDescent="0.35">
      <c r="A147" s="72">
        <f t="shared" si="66"/>
        <v>2019</v>
      </c>
      <c r="B147" s="72" t="str">
        <f t="shared" si="67"/>
        <v>Nov</v>
      </c>
      <c r="C147" s="73">
        <f t="shared" si="85"/>
        <v>18</v>
      </c>
      <c r="D147" s="74">
        <f t="shared" si="68"/>
        <v>11</v>
      </c>
      <c r="E147" s="75">
        <f t="shared" si="69"/>
        <v>24</v>
      </c>
      <c r="F147" s="79">
        <v>36</v>
      </c>
      <c r="G147" s="82"/>
      <c r="H147" s="68" t="str">
        <f t="shared" si="86"/>
        <v>Senbur7_20191118_11_00</v>
      </c>
      <c r="I147" s="69">
        <f t="shared" si="87"/>
        <v>1</v>
      </c>
      <c r="J147" s="76" t="str">
        <f t="shared" si="87"/>
        <v>Senecio</v>
      </c>
      <c r="K147" s="76" t="str">
        <f t="shared" si="87"/>
        <v>burtoni</v>
      </c>
      <c r="L147" s="77">
        <f t="shared" si="87"/>
        <v>7</v>
      </c>
      <c r="M147" s="77">
        <f t="shared" si="87"/>
        <v>7</v>
      </c>
      <c r="N147" s="71">
        <f t="shared" si="87"/>
        <v>0</v>
      </c>
      <c r="O147" s="44"/>
      <c r="P147" s="45">
        <f t="shared" si="70"/>
        <v>1</v>
      </c>
      <c r="Q147" s="46" t="str">
        <f t="shared" si="71"/>
        <v>11:24:36</v>
      </c>
      <c r="R147" s="47" t="str">
        <f t="shared" si="72"/>
        <v>24:36</v>
      </c>
      <c r="S147" s="48">
        <f t="shared" si="61"/>
        <v>11</v>
      </c>
      <c r="T147" s="47" t="str">
        <f t="shared" si="73"/>
        <v>11</v>
      </c>
      <c r="U147" s="49">
        <v>24</v>
      </c>
      <c r="V147" s="50">
        <v>47</v>
      </c>
      <c r="W147" s="51" t="str">
        <f t="shared" si="74"/>
        <v>24:47</v>
      </c>
      <c r="X147" s="52" t="s">
        <v>63</v>
      </c>
      <c r="Y147" s="124" t="s">
        <v>87</v>
      </c>
      <c r="Z147" s="124"/>
      <c r="AA147" s="47" t="s">
        <v>59</v>
      </c>
      <c r="AB147" s="47" t="str">
        <f t="shared" si="75"/>
        <v>NA</v>
      </c>
      <c r="AC147" s="53">
        <f t="shared" si="76"/>
        <v>0</v>
      </c>
      <c r="AD147" s="54">
        <f t="shared" si="77"/>
        <v>1</v>
      </c>
      <c r="AE147" s="54"/>
      <c r="AF147" s="54"/>
      <c r="AG147" s="55">
        <v>1</v>
      </c>
      <c r="AH147" s="56">
        <v>2</v>
      </c>
      <c r="AI147" s="55"/>
      <c r="AJ147" s="56" t="str">
        <f t="shared" si="80"/>
        <v/>
      </c>
      <c r="AK147" s="55"/>
      <c r="AL147" s="56" t="str">
        <f t="shared" si="81"/>
        <v/>
      </c>
      <c r="AM147" s="55">
        <v>1</v>
      </c>
      <c r="AN147" s="56">
        <v>9</v>
      </c>
      <c r="AO147" s="55"/>
      <c r="AP147" s="56" t="str">
        <f t="shared" si="83"/>
        <v/>
      </c>
      <c r="AQ147" s="55"/>
      <c r="AR147" s="56" t="str">
        <f t="shared" si="84"/>
        <v/>
      </c>
      <c r="AS147" s="57"/>
      <c r="AT147" s="58"/>
      <c r="AU147" s="58"/>
      <c r="AV147" s="59"/>
      <c r="AW147" s="60">
        <v>1</v>
      </c>
      <c r="AX147" s="61">
        <f t="shared" si="63"/>
        <v>1</v>
      </c>
      <c r="AY147" s="60">
        <v>1</v>
      </c>
      <c r="AZ147" s="61">
        <f t="shared" si="65"/>
        <v>1</v>
      </c>
    </row>
    <row r="148" spans="1:52" s="3" customFormat="1" hidden="1" x14ac:dyDescent="0.35">
      <c r="A148" s="72">
        <f t="shared" si="66"/>
        <v>2019</v>
      </c>
      <c r="B148" s="72" t="str">
        <f t="shared" si="67"/>
        <v>Nov</v>
      </c>
      <c r="C148" s="73">
        <f t="shared" si="85"/>
        <v>18</v>
      </c>
      <c r="D148" s="74">
        <f t="shared" si="68"/>
        <v>11</v>
      </c>
      <c r="E148" s="75">
        <f t="shared" si="69"/>
        <v>25</v>
      </c>
      <c r="F148" s="79"/>
      <c r="G148" s="82"/>
      <c r="H148" s="68" t="str">
        <f t="shared" si="86"/>
        <v>Senbur7_20191118_11_00</v>
      </c>
      <c r="I148" s="69">
        <f t="shared" si="87"/>
        <v>1</v>
      </c>
      <c r="J148" s="76" t="str">
        <f t="shared" si="87"/>
        <v>Senecio</v>
      </c>
      <c r="K148" s="76" t="str">
        <f t="shared" si="87"/>
        <v>burtoni</v>
      </c>
      <c r="L148" s="77">
        <f t="shared" si="87"/>
        <v>7</v>
      </c>
      <c r="M148" s="77">
        <f t="shared" si="87"/>
        <v>7</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18</v>
      </c>
      <c r="D149" s="74">
        <f t="shared" si="68"/>
        <v>11</v>
      </c>
      <c r="E149" s="75">
        <f t="shared" si="69"/>
        <v>26</v>
      </c>
      <c r="F149" s="79">
        <v>50</v>
      </c>
      <c r="G149" s="82"/>
      <c r="H149" s="68" t="str">
        <f t="shared" si="86"/>
        <v>Senbur7_20191118_11_00</v>
      </c>
      <c r="I149" s="69">
        <f t="shared" ref="I149:N164" si="88">I148</f>
        <v>1</v>
      </c>
      <c r="J149" s="76" t="str">
        <f t="shared" si="88"/>
        <v>Senecio</v>
      </c>
      <c r="K149" s="76" t="str">
        <f t="shared" si="88"/>
        <v>burtoni</v>
      </c>
      <c r="L149" s="77">
        <f t="shared" si="88"/>
        <v>7</v>
      </c>
      <c r="M149" s="77">
        <f t="shared" si="88"/>
        <v>7</v>
      </c>
      <c r="N149" s="71">
        <f t="shared" si="88"/>
        <v>0</v>
      </c>
      <c r="O149" s="44"/>
      <c r="P149" s="45">
        <f t="shared" si="70"/>
        <v>1</v>
      </c>
      <c r="Q149" s="46" t="str">
        <f t="shared" si="71"/>
        <v>11:26:50</v>
      </c>
      <c r="R149" s="47" t="str">
        <f t="shared" si="72"/>
        <v>26:50</v>
      </c>
      <c r="S149" s="48">
        <f t="shared" si="61"/>
        <v>70</v>
      </c>
      <c r="T149" s="47" t="str">
        <f t="shared" si="73"/>
        <v>11</v>
      </c>
      <c r="U149" s="49">
        <v>28</v>
      </c>
      <c r="V149" s="50">
        <v>0</v>
      </c>
      <c r="W149" s="51" t="str">
        <f t="shared" si="74"/>
        <v>28:00</v>
      </c>
      <c r="X149" s="52" t="s">
        <v>63</v>
      </c>
      <c r="Y149" s="124" t="s">
        <v>88</v>
      </c>
      <c r="Z149" s="124"/>
      <c r="AA149" s="47" t="s">
        <v>59</v>
      </c>
      <c r="AB149" s="47" t="str">
        <f t="shared" si="75"/>
        <v>NA</v>
      </c>
      <c r="AC149" s="53">
        <f t="shared" si="76"/>
        <v>0</v>
      </c>
      <c r="AD149" s="54">
        <v>1</v>
      </c>
      <c r="AE149" s="54"/>
      <c r="AF149" s="54"/>
      <c r="AG149" s="55">
        <v>1</v>
      </c>
      <c r="AH149" s="56">
        <v>60</v>
      </c>
      <c r="AI149" s="55"/>
      <c r="AJ149" s="56" t="str">
        <f t="shared" si="80"/>
        <v/>
      </c>
      <c r="AK149" s="55"/>
      <c r="AL149" s="56" t="str">
        <f t="shared" si="81"/>
        <v/>
      </c>
      <c r="AM149" s="55">
        <v>1</v>
      </c>
      <c r="AN149" s="56">
        <v>10</v>
      </c>
      <c r="AO149" s="55"/>
      <c r="AP149" s="56" t="str">
        <f t="shared" si="83"/>
        <v/>
      </c>
      <c r="AQ149" s="55"/>
      <c r="AR149" s="56" t="str">
        <f t="shared" si="84"/>
        <v/>
      </c>
      <c r="AS149" s="57"/>
      <c r="AT149" s="58"/>
      <c r="AU149" s="58"/>
      <c r="AV149" s="59"/>
      <c r="AW149" s="60">
        <v>1</v>
      </c>
      <c r="AX149" s="61">
        <f t="shared" si="63"/>
        <v>1</v>
      </c>
      <c r="AY149" s="60">
        <f t="shared" si="64"/>
        <v>0</v>
      </c>
      <c r="AZ149" s="61" t="str">
        <f t="shared" si="65"/>
        <v/>
      </c>
    </row>
    <row r="150" spans="1:52" s="3" customFormat="1" hidden="1" x14ac:dyDescent="0.35">
      <c r="A150" s="72">
        <f t="shared" si="66"/>
        <v>2019</v>
      </c>
      <c r="B150" s="72" t="str">
        <f t="shared" si="67"/>
        <v>Nov</v>
      </c>
      <c r="C150" s="73">
        <f t="shared" si="85"/>
        <v>18</v>
      </c>
      <c r="D150" s="74">
        <f t="shared" si="68"/>
        <v>11</v>
      </c>
      <c r="E150" s="75">
        <f t="shared" si="69"/>
        <v>27</v>
      </c>
      <c r="F150" s="79">
        <v>33</v>
      </c>
      <c r="G150" s="82"/>
      <c r="H150" s="68" t="str">
        <f t="shared" si="86"/>
        <v>Senbur7_20191118_11_00</v>
      </c>
      <c r="I150" s="69">
        <f t="shared" si="88"/>
        <v>1</v>
      </c>
      <c r="J150" s="76" t="str">
        <f t="shared" si="88"/>
        <v>Senecio</v>
      </c>
      <c r="K150" s="76" t="str">
        <f t="shared" si="88"/>
        <v>burtoni</v>
      </c>
      <c r="L150" s="77">
        <f t="shared" si="88"/>
        <v>7</v>
      </c>
      <c r="M150" s="77">
        <f t="shared" si="88"/>
        <v>7</v>
      </c>
      <c r="N150" s="71">
        <f t="shared" si="88"/>
        <v>0</v>
      </c>
      <c r="O150" s="44"/>
      <c r="P150" s="45">
        <f t="shared" si="70"/>
        <v>1</v>
      </c>
      <c r="Q150" s="46" t="str">
        <f t="shared" si="71"/>
        <v>11:27:33</v>
      </c>
      <c r="R150" s="47" t="str">
        <f t="shared" si="72"/>
        <v>27:33</v>
      </c>
      <c r="S150" s="48">
        <f t="shared" si="61"/>
        <v>9</v>
      </c>
      <c r="T150" s="47" t="str">
        <f t="shared" si="73"/>
        <v>11</v>
      </c>
      <c r="U150" s="49">
        <v>27</v>
      </c>
      <c r="V150" s="50">
        <v>42</v>
      </c>
      <c r="W150" s="51" t="str">
        <f t="shared" si="74"/>
        <v>27:42</v>
      </c>
      <c r="X150" s="52" t="s">
        <v>63</v>
      </c>
      <c r="Y150" s="124" t="s">
        <v>82</v>
      </c>
      <c r="Z150" s="124"/>
      <c r="AA150" s="47" t="s">
        <v>59</v>
      </c>
      <c r="AB150" s="47" t="str">
        <f t="shared" si="75"/>
        <v>NA</v>
      </c>
      <c r="AC150" s="53">
        <f t="shared" si="76"/>
        <v>0</v>
      </c>
      <c r="AD150" s="54">
        <v>2</v>
      </c>
      <c r="AE150" s="54"/>
      <c r="AF150" s="54"/>
      <c r="AG150" s="55">
        <v>1</v>
      </c>
      <c r="AH150" s="56">
        <v>4</v>
      </c>
      <c r="AI150" s="55"/>
      <c r="AJ150" s="56" t="str">
        <f t="shared" si="80"/>
        <v/>
      </c>
      <c r="AK150" s="55"/>
      <c r="AL150" s="56" t="str">
        <f t="shared" si="81"/>
        <v/>
      </c>
      <c r="AM150" s="55">
        <v>1</v>
      </c>
      <c r="AN150" s="56">
        <v>5</v>
      </c>
      <c r="AO150" s="55"/>
      <c r="AP150" s="56" t="str">
        <f t="shared" si="83"/>
        <v/>
      </c>
      <c r="AQ150" s="55"/>
      <c r="AR150" s="56" t="str">
        <f t="shared" si="84"/>
        <v/>
      </c>
      <c r="AS150" s="57"/>
      <c r="AT150" s="58"/>
      <c r="AU150" s="58"/>
      <c r="AV150" s="59"/>
      <c r="AW150" s="60">
        <v>1</v>
      </c>
      <c r="AX150" s="61">
        <v>1</v>
      </c>
      <c r="AY150" s="60">
        <f t="shared" si="64"/>
        <v>0</v>
      </c>
      <c r="AZ150" s="61" t="str">
        <f t="shared" si="65"/>
        <v/>
      </c>
    </row>
    <row r="151" spans="1:52" s="3" customFormat="1" hidden="1" x14ac:dyDescent="0.35">
      <c r="A151" s="72">
        <f t="shared" si="66"/>
        <v>2019</v>
      </c>
      <c r="B151" s="72" t="str">
        <f t="shared" si="67"/>
        <v>Nov</v>
      </c>
      <c r="C151" s="73">
        <f t="shared" si="85"/>
        <v>18</v>
      </c>
      <c r="D151" s="74">
        <f t="shared" si="68"/>
        <v>11</v>
      </c>
      <c r="E151" s="75">
        <f t="shared" si="69"/>
        <v>28</v>
      </c>
      <c r="F151" s="79"/>
      <c r="G151" s="82"/>
      <c r="H151" s="68" t="str">
        <f t="shared" si="86"/>
        <v>Senbur7_20191118_11_00</v>
      </c>
      <c r="I151" s="69">
        <f t="shared" si="88"/>
        <v>1</v>
      </c>
      <c r="J151" s="76" t="str">
        <f t="shared" si="88"/>
        <v>Senecio</v>
      </c>
      <c r="K151" s="76" t="str">
        <f t="shared" si="88"/>
        <v>burtoni</v>
      </c>
      <c r="L151" s="77">
        <f t="shared" si="88"/>
        <v>7</v>
      </c>
      <c r="M151" s="77">
        <f t="shared" si="88"/>
        <v>7</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18</v>
      </c>
      <c r="D152" s="74">
        <f t="shared" si="68"/>
        <v>11</v>
      </c>
      <c r="E152" s="75">
        <f t="shared" si="69"/>
        <v>29</v>
      </c>
      <c r="F152" s="79"/>
      <c r="G152" s="82"/>
      <c r="H152" s="68" t="str">
        <f t="shared" si="86"/>
        <v>Senbur7_20191118_11_00</v>
      </c>
      <c r="I152" s="69">
        <f t="shared" si="88"/>
        <v>1</v>
      </c>
      <c r="J152" s="76" t="str">
        <f t="shared" si="88"/>
        <v>Senecio</v>
      </c>
      <c r="K152" s="76" t="str">
        <f t="shared" si="88"/>
        <v>burtoni</v>
      </c>
      <c r="L152" s="77">
        <f t="shared" si="88"/>
        <v>7</v>
      </c>
      <c r="M152" s="77">
        <f t="shared" si="88"/>
        <v>7</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18</v>
      </c>
      <c r="D153" s="74">
        <f t="shared" si="68"/>
        <v>11</v>
      </c>
      <c r="E153" s="75">
        <f t="shared" si="69"/>
        <v>30</v>
      </c>
      <c r="F153" s="79">
        <v>47</v>
      </c>
      <c r="G153" s="82"/>
      <c r="H153" s="68" t="str">
        <f t="shared" si="86"/>
        <v>Senbur7_20191118_11_00</v>
      </c>
      <c r="I153" s="69">
        <f t="shared" si="88"/>
        <v>1</v>
      </c>
      <c r="J153" s="76" t="str">
        <f t="shared" si="88"/>
        <v>Senecio</v>
      </c>
      <c r="K153" s="76" t="str">
        <f t="shared" si="88"/>
        <v>burtoni</v>
      </c>
      <c r="L153" s="77">
        <f t="shared" si="88"/>
        <v>7</v>
      </c>
      <c r="M153" s="77">
        <f t="shared" si="88"/>
        <v>7</v>
      </c>
      <c r="N153" s="71">
        <f t="shared" si="88"/>
        <v>0</v>
      </c>
      <c r="O153" s="44"/>
      <c r="P153" s="45">
        <f t="shared" si="70"/>
        <v>1</v>
      </c>
      <c r="Q153" s="46" t="str">
        <f t="shared" si="71"/>
        <v>11:30:47</v>
      </c>
      <c r="R153" s="47" t="str">
        <f t="shared" si="72"/>
        <v>30:47</v>
      </c>
      <c r="S153" s="48">
        <f t="shared" si="61"/>
        <v>10</v>
      </c>
      <c r="T153" s="47" t="str">
        <f t="shared" si="73"/>
        <v>11</v>
      </c>
      <c r="U153" s="49">
        <v>30</v>
      </c>
      <c r="V153" s="50">
        <v>57</v>
      </c>
      <c r="W153" s="51" t="str">
        <f t="shared" si="74"/>
        <v>30:57</v>
      </c>
      <c r="X153" s="52" t="s">
        <v>63</v>
      </c>
      <c r="Y153" s="124" t="s">
        <v>83</v>
      </c>
      <c r="Z153" s="124"/>
      <c r="AA153" s="47" t="s">
        <v>59</v>
      </c>
      <c r="AB153" s="47" t="str">
        <f t="shared" si="75"/>
        <v>NA</v>
      </c>
      <c r="AC153" s="53">
        <f t="shared" si="76"/>
        <v>0</v>
      </c>
      <c r="AD153" s="54">
        <f t="shared" si="77"/>
        <v>1</v>
      </c>
      <c r="AE153" s="54"/>
      <c r="AF153" s="54"/>
      <c r="AG153" s="55">
        <v>1</v>
      </c>
      <c r="AH153" s="56">
        <v>3</v>
      </c>
      <c r="AI153" s="55"/>
      <c r="AJ153" s="56" t="str">
        <f t="shared" si="80"/>
        <v/>
      </c>
      <c r="AK153" s="55"/>
      <c r="AL153" s="56" t="str">
        <f t="shared" si="81"/>
        <v/>
      </c>
      <c r="AM153" s="55">
        <v>1</v>
      </c>
      <c r="AN153" s="56">
        <v>7</v>
      </c>
      <c r="AO153" s="55"/>
      <c r="AP153" s="56" t="str">
        <f t="shared" si="83"/>
        <v/>
      </c>
      <c r="AQ153" s="55"/>
      <c r="AR153" s="56" t="str">
        <f t="shared" si="84"/>
        <v/>
      </c>
      <c r="AS153" s="57"/>
      <c r="AT153" s="58"/>
      <c r="AU153" s="58"/>
      <c r="AV153" s="59"/>
      <c r="AW153" s="60">
        <v>1</v>
      </c>
      <c r="AX153" s="61">
        <f t="shared" si="63"/>
        <v>1</v>
      </c>
      <c r="AY153" s="60">
        <v>1</v>
      </c>
      <c r="AZ153" s="61">
        <f t="shared" si="65"/>
        <v>1</v>
      </c>
    </row>
    <row r="154" spans="1:52" s="3" customFormat="1" hidden="1" x14ac:dyDescent="0.35">
      <c r="A154" s="72">
        <f t="shared" si="66"/>
        <v>2019</v>
      </c>
      <c r="B154" s="72" t="str">
        <f t="shared" si="67"/>
        <v>Nov</v>
      </c>
      <c r="C154" s="73">
        <f t="shared" si="85"/>
        <v>18</v>
      </c>
      <c r="D154" s="74">
        <f t="shared" si="68"/>
        <v>11</v>
      </c>
      <c r="E154" s="75">
        <f t="shared" si="69"/>
        <v>31</v>
      </c>
      <c r="F154" s="79">
        <v>14</v>
      </c>
      <c r="G154" s="82"/>
      <c r="H154" s="68" t="str">
        <f t="shared" si="86"/>
        <v>Senbur7_20191118_11_00</v>
      </c>
      <c r="I154" s="69">
        <f t="shared" si="88"/>
        <v>1</v>
      </c>
      <c r="J154" s="76" t="str">
        <f t="shared" si="88"/>
        <v>Senecio</v>
      </c>
      <c r="K154" s="76" t="str">
        <f t="shared" si="88"/>
        <v>burtoni</v>
      </c>
      <c r="L154" s="77">
        <f t="shared" si="88"/>
        <v>7</v>
      </c>
      <c r="M154" s="77">
        <f t="shared" si="88"/>
        <v>7</v>
      </c>
      <c r="N154" s="71">
        <f t="shared" si="88"/>
        <v>0</v>
      </c>
      <c r="O154" s="44"/>
      <c r="P154" s="45">
        <f t="shared" si="70"/>
        <v>1</v>
      </c>
      <c r="Q154" s="46" t="str">
        <f t="shared" si="71"/>
        <v>11:31:14</v>
      </c>
      <c r="R154" s="47" t="str">
        <f t="shared" si="72"/>
        <v>31:14</v>
      </c>
      <c r="S154" s="48">
        <f t="shared" si="61"/>
        <v>12</v>
      </c>
      <c r="T154" s="47" t="str">
        <f t="shared" si="73"/>
        <v>11</v>
      </c>
      <c r="U154" s="49">
        <v>31</v>
      </c>
      <c r="V154" s="50">
        <v>26</v>
      </c>
      <c r="W154" s="51" t="str">
        <f t="shared" si="74"/>
        <v>31:26</v>
      </c>
      <c r="X154" s="52" t="s">
        <v>63</v>
      </c>
      <c r="Y154" s="124" t="s">
        <v>82</v>
      </c>
      <c r="Z154" s="124"/>
      <c r="AA154" s="47" t="s">
        <v>59</v>
      </c>
      <c r="AB154" s="47" t="str">
        <f t="shared" si="75"/>
        <v>NA</v>
      </c>
      <c r="AC154" s="53">
        <f t="shared" si="76"/>
        <v>0</v>
      </c>
      <c r="AD154" s="54">
        <f t="shared" si="77"/>
        <v>1</v>
      </c>
      <c r="AE154" s="54"/>
      <c r="AF154" s="54"/>
      <c r="AG154" s="55">
        <v>1</v>
      </c>
      <c r="AH154" s="56">
        <v>4</v>
      </c>
      <c r="AI154" s="55"/>
      <c r="AJ154" s="56" t="str">
        <f t="shared" si="80"/>
        <v/>
      </c>
      <c r="AK154" s="55"/>
      <c r="AL154" s="56" t="str">
        <f t="shared" si="81"/>
        <v/>
      </c>
      <c r="AM154" s="55">
        <v>1</v>
      </c>
      <c r="AN154" s="56">
        <v>8</v>
      </c>
      <c r="AO154" s="55"/>
      <c r="AP154" s="56" t="str">
        <f t="shared" si="83"/>
        <v/>
      </c>
      <c r="AQ154" s="55"/>
      <c r="AR154" s="56" t="str">
        <f t="shared" si="84"/>
        <v/>
      </c>
      <c r="AS154" s="57"/>
      <c r="AT154" s="58"/>
      <c r="AU154" s="58"/>
      <c r="AV154" s="59"/>
      <c r="AW154" s="60">
        <v>1</v>
      </c>
      <c r="AX154" s="61">
        <f t="shared" si="63"/>
        <v>1</v>
      </c>
      <c r="AY154" s="60">
        <v>1</v>
      </c>
      <c r="AZ154" s="61">
        <f t="shared" si="65"/>
        <v>1</v>
      </c>
    </row>
    <row r="155" spans="1:52" s="3" customFormat="1" hidden="1" x14ac:dyDescent="0.35">
      <c r="A155" s="72">
        <f t="shared" si="66"/>
        <v>2019</v>
      </c>
      <c r="B155" s="72" t="str">
        <f t="shared" si="67"/>
        <v>Nov</v>
      </c>
      <c r="C155" s="73">
        <f t="shared" si="85"/>
        <v>18</v>
      </c>
      <c r="D155" s="74">
        <f t="shared" si="68"/>
        <v>11</v>
      </c>
      <c r="E155" s="75">
        <f t="shared" si="69"/>
        <v>32</v>
      </c>
      <c r="F155" s="79">
        <v>21</v>
      </c>
      <c r="G155" s="82"/>
      <c r="H155" s="68" t="str">
        <f t="shared" si="86"/>
        <v>Senbur7_20191118_11_00</v>
      </c>
      <c r="I155" s="69">
        <f t="shared" si="88"/>
        <v>1</v>
      </c>
      <c r="J155" s="76" t="str">
        <f t="shared" si="88"/>
        <v>Senecio</v>
      </c>
      <c r="K155" s="76" t="str">
        <f t="shared" si="88"/>
        <v>burtoni</v>
      </c>
      <c r="L155" s="77">
        <f t="shared" si="88"/>
        <v>7</v>
      </c>
      <c r="M155" s="77">
        <f t="shared" si="88"/>
        <v>7</v>
      </c>
      <c r="N155" s="71">
        <f t="shared" si="88"/>
        <v>0</v>
      </c>
      <c r="O155" s="44"/>
      <c r="P155" s="45">
        <f t="shared" si="70"/>
        <v>1</v>
      </c>
      <c r="Q155" s="46" t="str">
        <f t="shared" si="71"/>
        <v>11:32:21</v>
      </c>
      <c r="R155" s="47" t="str">
        <f t="shared" si="72"/>
        <v>32:21</v>
      </c>
      <c r="S155" s="48">
        <f t="shared" si="61"/>
        <v>16</v>
      </c>
      <c r="T155" s="47" t="str">
        <f t="shared" si="73"/>
        <v>11</v>
      </c>
      <c r="U155" s="49">
        <v>32</v>
      </c>
      <c r="V155" s="50">
        <v>37</v>
      </c>
      <c r="W155" s="51" t="str">
        <f t="shared" si="74"/>
        <v>32:37</v>
      </c>
      <c r="X155" s="52" t="s">
        <v>62</v>
      </c>
      <c r="Y155" s="124" t="s">
        <v>84</v>
      </c>
      <c r="Z155" s="124"/>
      <c r="AA155" s="47" t="s">
        <v>59</v>
      </c>
      <c r="AB155" s="47" t="str">
        <f t="shared" si="75"/>
        <v>NA</v>
      </c>
      <c r="AC155" s="53">
        <f t="shared" si="76"/>
        <v>0</v>
      </c>
      <c r="AD155" s="54">
        <v>2</v>
      </c>
      <c r="AE155" s="54"/>
      <c r="AF155" s="54"/>
      <c r="AG155" s="55">
        <v>1</v>
      </c>
      <c r="AH155" s="56">
        <v>1</v>
      </c>
      <c r="AI155" s="55"/>
      <c r="AJ155" s="56" t="str">
        <f t="shared" si="80"/>
        <v/>
      </c>
      <c r="AK155" s="55">
        <v>1</v>
      </c>
      <c r="AL155" s="56">
        <v>10</v>
      </c>
      <c r="AM155" s="55">
        <v>1</v>
      </c>
      <c r="AN155" s="56">
        <v>5</v>
      </c>
      <c r="AO155" s="55"/>
      <c r="AP155" s="56" t="str">
        <f t="shared" si="83"/>
        <v/>
      </c>
      <c r="AQ155" s="55"/>
      <c r="AR155" s="56" t="str">
        <f t="shared" si="84"/>
        <v/>
      </c>
      <c r="AS155" s="57"/>
      <c r="AT155" s="58"/>
      <c r="AU155" s="58"/>
      <c r="AV155" s="59"/>
      <c r="AW155" s="60">
        <v>1</v>
      </c>
      <c r="AX155" s="61">
        <v>2</v>
      </c>
      <c r="AY155" s="60">
        <v>1</v>
      </c>
      <c r="AZ155" s="61">
        <f t="shared" si="65"/>
        <v>2</v>
      </c>
    </row>
    <row r="156" spans="1:52" s="3" customFormat="1" hidden="1" x14ac:dyDescent="0.35">
      <c r="A156" s="72">
        <f t="shared" si="66"/>
        <v>2019</v>
      </c>
      <c r="B156" s="72" t="str">
        <f t="shared" si="67"/>
        <v>Nov</v>
      </c>
      <c r="C156" s="73">
        <f t="shared" si="85"/>
        <v>18</v>
      </c>
      <c r="D156" s="74">
        <f t="shared" si="68"/>
        <v>11</v>
      </c>
      <c r="E156" s="75">
        <f t="shared" si="69"/>
        <v>33</v>
      </c>
      <c r="F156" s="79"/>
      <c r="G156" s="82"/>
      <c r="H156" s="68" t="str">
        <f t="shared" si="86"/>
        <v>Senbur7_20191118_11_00</v>
      </c>
      <c r="I156" s="69">
        <f t="shared" si="88"/>
        <v>1</v>
      </c>
      <c r="J156" s="76" t="str">
        <f t="shared" si="88"/>
        <v>Senecio</v>
      </c>
      <c r="K156" s="76" t="str">
        <f t="shared" si="88"/>
        <v>burtoni</v>
      </c>
      <c r="L156" s="77">
        <f t="shared" si="88"/>
        <v>7</v>
      </c>
      <c r="M156" s="77">
        <f t="shared" si="88"/>
        <v>7</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18</v>
      </c>
      <c r="D157" s="74">
        <f t="shared" si="68"/>
        <v>11</v>
      </c>
      <c r="E157" s="75">
        <f t="shared" si="69"/>
        <v>34</v>
      </c>
      <c r="F157" s="79">
        <v>27</v>
      </c>
      <c r="G157" s="82"/>
      <c r="H157" s="68" t="str">
        <f t="shared" si="86"/>
        <v>Senbur7_20191118_11_00</v>
      </c>
      <c r="I157" s="69">
        <f t="shared" si="88"/>
        <v>1</v>
      </c>
      <c r="J157" s="76" t="str">
        <f t="shared" si="88"/>
        <v>Senecio</v>
      </c>
      <c r="K157" s="76" t="str">
        <f t="shared" si="88"/>
        <v>burtoni</v>
      </c>
      <c r="L157" s="77">
        <f t="shared" si="88"/>
        <v>7</v>
      </c>
      <c r="M157" s="77">
        <f t="shared" si="88"/>
        <v>7</v>
      </c>
      <c r="N157" s="71">
        <f t="shared" si="88"/>
        <v>0</v>
      </c>
      <c r="O157" s="44"/>
      <c r="P157" s="45">
        <f t="shared" si="70"/>
        <v>1</v>
      </c>
      <c r="Q157" s="46" t="str">
        <f t="shared" si="71"/>
        <v>11:34:27</v>
      </c>
      <c r="R157" s="47" t="str">
        <f t="shared" si="72"/>
        <v>34:27</v>
      </c>
      <c r="S157" s="48">
        <f t="shared" si="61"/>
        <v>40</v>
      </c>
      <c r="T157" s="47" t="str">
        <f t="shared" si="73"/>
        <v>11</v>
      </c>
      <c r="U157" s="49">
        <v>35</v>
      </c>
      <c r="V157" s="50">
        <v>7</v>
      </c>
      <c r="W157" s="51" t="str">
        <f t="shared" si="74"/>
        <v>35:07</v>
      </c>
      <c r="X157" s="52" t="s">
        <v>63</v>
      </c>
      <c r="Y157" s="124" t="s">
        <v>82</v>
      </c>
      <c r="Z157" s="124"/>
      <c r="AA157" s="47" t="s">
        <v>59</v>
      </c>
      <c r="AB157" s="47" t="str">
        <f t="shared" si="75"/>
        <v>NA</v>
      </c>
      <c r="AC157" s="53">
        <f t="shared" si="76"/>
        <v>0</v>
      </c>
      <c r="AD157" s="54">
        <v>2</v>
      </c>
      <c r="AE157" s="54"/>
      <c r="AF157" s="54"/>
      <c r="AG157" s="55">
        <v>1</v>
      </c>
      <c r="AH157" s="56">
        <v>5</v>
      </c>
      <c r="AI157" s="55"/>
      <c r="AJ157" s="56" t="str">
        <f t="shared" si="80"/>
        <v/>
      </c>
      <c r="AK157" s="55">
        <v>1</v>
      </c>
      <c r="AL157" s="56">
        <v>10</v>
      </c>
      <c r="AM157" s="55">
        <v>1</v>
      </c>
      <c r="AN157" s="56">
        <v>25</v>
      </c>
      <c r="AO157" s="55"/>
      <c r="AP157" s="56" t="str">
        <f t="shared" si="83"/>
        <v/>
      </c>
      <c r="AQ157" s="55"/>
      <c r="AR157" s="56" t="str">
        <f t="shared" si="84"/>
        <v/>
      </c>
      <c r="AS157" s="57"/>
      <c r="AT157" s="58"/>
      <c r="AU157" s="58"/>
      <c r="AV157" s="59"/>
      <c r="AW157" s="60">
        <v>1</v>
      </c>
      <c r="AX157" s="61">
        <f t="shared" si="63"/>
        <v>2</v>
      </c>
      <c r="AY157" s="60">
        <v>1</v>
      </c>
      <c r="AZ157" s="61">
        <f t="shared" si="65"/>
        <v>2</v>
      </c>
    </row>
    <row r="158" spans="1:52" s="3" customFormat="1" hidden="1" x14ac:dyDescent="0.35">
      <c r="A158" s="72">
        <f t="shared" si="66"/>
        <v>2019</v>
      </c>
      <c r="B158" s="72" t="str">
        <f t="shared" si="67"/>
        <v>Nov</v>
      </c>
      <c r="C158" s="73">
        <f t="shared" si="85"/>
        <v>18</v>
      </c>
      <c r="D158" s="74">
        <f t="shared" si="68"/>
        <v>11</v>
      </c>
      <c r="E158" s="75">
        <f t="shared" si="69"/>
        <v>35</v>
      </c>
      <c r="F158" s="79">
        <v>33</v>
      </c>
      <c r="G158" s="82"/>
      <c r="H158" s="68" t="str">
        <f t="shared" si="86"/>
        <v>Senbur7_20191118_11_00</v>
      </c>
      <c r="I158" s="69">
        <f t="shared" si="88"/>
        <v>1</v>
      </c>
      <c r="J158" s="76" t="str">
        <f t="shared" si="88"/>
        <v>Senecio</v>
      </c>
      <c r="K158" s="76" t="str">
        <f t="shared" si="88"/>
        <v>burtoni</v>
      </c>
      <c r="L158" s="77">
        <f t="shared" si="88"/>
        <v>7</v>
      </c>
      <c r="M158" s="77">
        <f t="shared" si="88"/>
        <v>7</v>
      </c>
      <c r="N158" s="71">
        <f t="shared" si="88"/>
        <v>0</v>
      </c>
      <c r="O158" s="44"/>
      <c r="P158" s="45">
        <f t="shared" si="70"/>
        <v>1</v>
      </c>
      <c r="Q158" s="46" t="str">
        <f t="shared" si="71"/>
        <v>11:35:33</v>
      </c>
      <c r="R158" s="47" t="str">
        <f t="shared" si="72"/>
        <v>35:33</v>
      </c>
      <c r="S158" s="48">
        <f t="shared" si="61"/>
        <v>27</v>
      </c>
      <c r="T158" s="47" t="str">
        <f t="shared" si="73"/>
        <v>11</v>
      </c>
      <c r="U158" s="49">
        <v>36</v>
      </c>
      <c r="V158" s="50">
        <v>0</v>
      </c>
      <c r="W158" s="51" t="str">
        <f t="shared" si="74"/>
        <v>36:00</v>
      </c>
      <c r="X158" s="52" t="s">
        <v>63</v>
      </c>
      <c r="Y158" s="124" t="s">
        <v>82</v>
      </c>
      <c r="Z158" s="124"/>
      <c r="AA158" s="47" t="s">
        <v>59</v>
      </c>
      <c r="AB158" s="47" t="str">
        <f t="shared" si="75"/>
        <v>NA</v>
      </c>
      <c r="AC158" s="53">
        <f t="shared" si="76"/>
        <v>0</v>
      </c>
      <c r="AD158" s="54">
        <f t="shared" si="77"/>
        <v>1</v>
      </c>
      <c r="AE158" s="54"/>
      <c r="AF158" s="54"/>
      <c r="AG158" s="55"/>
      <c r="AH158" s="56" t="str">
        <f t="shared" si="79"/>
        <v/>
      </c>
      <c r="AI158" s="55"/>
      <c r="AJ158" s="56" t="str">
        <f t="shared" si="80"/>
        <v/>
      </c>
      <c r="AK158" s="55"/>
      <c r="AL158" s="56" t="str">
        <f t="shared" si="81"/>
        <v/>
      </c>
      <c r="AM158" s="55">
        <v>1</v>
      </c>
      <c r="AN158" s="56">
        <f t="shared" si="82"/>
        <v>27</v>
      </c>
      <c r="AO158" s="55"/>
      <c r="AP158" s="56" t="str">
        <f t="shared" si="83"/>
        <v/>
      </c>
      <c r="AQ158" s="55"/>
      <c r="AR158" s="56" t="str">
        <f t="shared" si="84"/>
        <v/>
      </c>
      <c r="AS158" s="57"/>
      <c r="AT158" s="58"/>
      <c r="AU158" s="58"/>
      <c r="AV158" s="59"/>
      <c r="AW158" s="60">
        <v>1</v>
      </c>
      <c r="AX158" s="61">
        <f t="shared" si="63"/>
        <v>1</v>
      </c>
      <c r="AY158" s="60">
        <v>1</v>
      </c>
      <c r="AZ158" s="61">
        <f t="shared" si="65"/>
        <v>1</v>
      </c>
    </row>
    <row r="159" spans="1:52" s="3" customFormat="1" hidden="1" x14ac:dyDescent="0.35">
      <c r="A159" s="72">
        <f t="shared" si="66"/>
        <v>2019</v>
      </c>
      <c r="B159" s="72" t="str">
        <f t="shared" si="67"/>
        <v>Nov</v>
      </c>
      <c r="C159" s="73">
        <f t="shared" si="85"/>
        <v>18</v>
      </c>
      <c r="D159" s="74">
        <f t="shared" si="68"/>
        <v>11</v>
      </c>
      <c r="E159" s="75">
        <f t="shared" si="69"/>
        <v>36</v>
      </c>
      <c r="F159" s="79">
        <v>22</v>
      </c>
      <c r="G159" s="82"/>
      <c r="H159" s="68" t="str">
        <f t="shared" si="86"/>
        <v>Senbur7_20191118_11_00</v>
      </c>
      <c r="I159" s="69">
        <f t="shared" si="88"/>
        <v>1</v>
      </c>
      <c r="J159" s="76" t="str">
        <f t="shared" si="88"/>
        <v>Senecio</v>
      </c>
      <c r="K159" s="76" t="str">
        <f t="shared" si="88"/>
        <v>burtoni</v>
      </c>
      <c r="L159" s="77">
        <f t="shared" si="88"/>
        <v>7</v>
      </c>
      <c r="M159" s="77">
        <f t="shared" si="88"/>
        <v>7</v>
      </c>
      <c r="N159" s="71">
        <f t="shared" si="88"/>
        <v>0</v>
      </c>
      <c r="O159" s="44"/>
      <c r="P159" s="45">
        <f t="shared" si="70"/>
        <v>1</v>
      </c>
      <c r="Q159" s="46" t="str">
        <f t="shared" si="71"/>
        <v>11:36:22</v>
      </c>
      <c r="R159" s="47" t="str">
        <f t="shared" si="72"/>
        <v>36:22</v>
      </c>
      <c r="S159" s="48">
        <f t="shared" si="61"/>
        <v>70</v>
      </c>
      <c r="T159" s="47" t="str">
        <f t="shared" si="73"/>
        <v>11</v>
      </c>
      <c r="U159" s="49">
        <v>37</v>
      </c>
      <c r="V159" s="50">
        <v>32</v>
      </c>
      <c r="W159" s="51" t="str">
        <f t="shared" si="74"/>
        <v>37:32</v>
      </c>
      <c r="X159" s="52" t="s">
        <v>63</v>
      </c>
      <c r="Y159" s="124" t="s">
        <v>82</v>
      </c>
      <c r="Z159" s="124"/>
      <c r="AA159" s="47" t="s">
        <v>59</v>
      </c>
      <c r="AB159" s="47" t="str">
        <f t="shared" si="75"/>
        <v>NA</v>
      </c>
      <c r="AC159" s="53">
        <f t="shared" si="76"/>
        <v>0</v>
      </c>
      <c r="AD159" s="54">
        <f t="shared" si="77"/>
        <v>1</v>
      </c>
      <c r="AE159" s="54"/>
      <c r="AF159" s="54"/>
      <c r="AG159" s="55">
        <v>1</v>
      </c>
      <c r="AH159" s="56">
        <v>10</v>
      </c>
      <c r="AI159" s="55"/>
      <c r="AJ159" s="56" t="str">
        <f t="shared" si="80"/>
        <v/>
      </c>
      <c r="AK159" s="55">
        <v>1</v>
      </c>
      <c r="AL159" s="56">
        <v>20</v>
      </c>
      <c r="AM159" s="55">
        <v>1</v>
      </c>
      <c r="AN159" s="56">
        <v>40</v>
      </c>
      <c r="AO159" s="55"/>
      <c r="AP159" s="56" t="str">
        <f t="shared" si="83"/>
        <v/>
      </c>
      <c r="AQ159" s="55"/>
      <c r="AR159" s="56" t="str">
        <f t="shared" si="84"/>
        <v/>
      </c>
      <c r="AS159" s="57"/>
      <c r="AT159" s="58"/>
      <c r="AU159" s="58"/>
      <c r="AV159" s="59"/>
      <c r="AW159" s="60">
        <v>1</v>
      </c>
      <c r="AX159" s="61">
        <f t="shared" si="63"/>
        <v>1</v>
      </c>
      <c r="AY159" s="60">
        <v>1</v>
      </c>
      <c r="AZ159" s="61">
        <f t="shared" si="65"/>
        <v>1</v>
      </c>
    </row>
    <row r="160" spans="1:52" s="3" customFormat="1" hidden="1" x14ac:dyDescent="0.35">
      <c r="A160" s="72">
        <f t="shared" si="66"/>
        <v>2019</v>
      </c>
      <c r="B160" s="72" t="str">
        <f t="shared" si="67"/>
        <v>Nov</v>
      </c>
      <c r="C160" s="73">
        <f t="shared" si="85"/>
        <v>18</v>
      </c>
      <c r="D160" s="74">
        <f t="shared" si="68"/>
        <v>11</v>
      </c>
      <c r="E160" s="75">
        <f t="shared" si="69"/>
        <v>37</v>
      </c>
      <c r="F160" s="79"/>
      <c r="G160" s="82"/>
      <c r="H160" s="68" t="str">
        <f t="shared" si="86"/>
        <v>Senbur7_20191118_11_00</v>
      </c>
      <c r="I160" s="69">
        <f t="shared" si="88"/>
        <v>1</v>
      </c>
      <c r="J160" s="76" t="str">
        <f t="shared" si="88"/>
        <v>Senecio</v>
      </c>
      <c r="K160" s="76" t="str">
        <f t="shared" si="88"/>
        <v>burtoni</v>
      </c>
      <c r="L160" s="77">
        <f t="shared" si="88"/>
        <v>7</v>
      </c>
      <c r="M160" s="77">
        <f t="shared" si="88"/>
        <v>7</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18</v>
      </c>
      <c r="D161" s="74">
        <f t="shared" si="68"/>
        <v>11</v>
      </c>
      <c r="E161" s="75">
        <f t="shared" si="69"/>
        <v>38</v>
      </c>
      <c r="F161" s="79">
        <v>11</v>
      </c>
      <c r="G161" s="82"/>
      <c r="H161" s="68" t="str">
        <f t="shared" si="86"/>
        <v>Senbur7_20191118_11_00</v>
      </c>
      <c r="I161" s="69">
        <f t="shared" si="88"/>
        <v>1</v>
      </c>
      <c r="J161" s="76" t="str">
        <f t="shared" si="88"/>
        <v>Senecio</v>
      </c>
      <c r="K161" s="76" t="str">
        <f t="shared" si="88"/>
        <v>burtoni</v>
      </c>
      <c r="L161" s="77">
        <f t="shared" si="88"/>
        <v>7</v>
      </c>
      <c r="M161" s="77">
        <f t="shared" si="88"/>
        <v>7</v>
      </c>
      <c r="N161" s="71">
        <f t="shared" si="88"/>
        <v>0</v>
      </c>
      <c r="O161" s="44"/>
      <c r="P161" s="45">
        <f t="shared" si="70"/>
        <v>1</v>
      </c>
      <c r="Q161" s="46" t="str">
        <f t="shared" si="71"/>
        <v>11:38:11</v>
      </c>
      <c r="R161" s="47" t="str">
        <f t="shared" si="72"/>
        <v>38:11</v>
      </c>
      <c r="S161" s="48">
        <f t="shared" si="61"/>
        <v>45</v>
      </c>
      <c r="T161" s="47" t="str">
        <f t="shared" si="73"/>
        <v>11</v>
      </c>
      <c r="U161" s="49">
        <v>38</v>
      </c>
      <c r="V161" s="50">
        <v>56</v>
      </c>
      <c r="W161" s="51" t="str">
        <f t="shared" si="74"/>
        <v>38:56</v>
      </c>
      <c r="X161" s="52" t="s">
        <v>63</v>
      </c>
      <c r="Y161" s="124" t="s">
        <v>82</v>
      </c>
      <c r="Z161" s="124"/>
      <c r="AA161" s="47" t="s">
        <v>59</v>
      </c>
      <c r="AB161" s="47" t="str">
        <f t="shared" si="75"/>
        <v>NA</v>
      </c>
      <c r="AC161" s="53">
        <f t="shared" si="76"/>
        <v>0</v>
      </c>
      <c r="AD161" s="54">
        <v>2</v>
      </c>
      <c r="AE161" s="54"/>
      <c r="AF161" s="54"/>
      <c r="AG161" s="55">
        <v>1</v>
      </c>
      <c r="AH161" s="56">
        <v>15</v>
      </c>
      <c r="AI161" s="55"/>
      <c r="AJ161" s="56" t="str">
        <f t="shared" si="80"/>
        <v/>
      </c>
      <c r="AK161" s="55"/>
      <c r="AL161" s="56" t="str">
        <f t="shared" si="81"/>
        <v/>
      </c>
      <c r="AM161" s="55">
        <v>1</v>
      </c>
      <c r="AN161" s="56">
        <v>30</v>
      </c>
      <c r="AO161" s="55"/>
      <c r="AP161" s="56" t="str">
        <f t="shared" si="83"/>
        <v/>
      </c>
      <c r="AQ161" s="55"/>
      <c r="AR161" s="56" t="str">
        <f t="shared" si="84"/>
        <v/>
      </c>
      <c r="AS161" s="57"/>
      <c r="AT161" s="58"/>
      <c r="AU161" s="58"/>
      <c r="AV161" s="59"/>
      <c r="AW161" s="60">
        <v>1</v>
      </c>
      <c r="AX161" s="61">
        <f t="shared" si="63"/>
        <v>2</v>
      </c>
      <c r="AY161" s="60">
        <v>1</v>
      </c>
      <c r="AZ161" s="61">
        <f t="shared" si="65"/>
        <v>2</v>
      </c>
    </row>
    <row r="162" spans="1:52" s="3" customFormat="1" x14ac:dyDescent="0.35">
      <c r="A162" s="72">
        <f t="shared" si="66"/>
        <v>2019</v>
      </c>
      <c r="B162" s="72" t="str">
        <f t="shared" si="67"/>
        <v>Nov</v>
      </c>
      <c r="C162" s="73">
        <f t="shared" si="85"/>
        <v>18</v>
      </c>
      <c r="D162" s="74">
        <f t="shared" si="68"/>
        <v>11</v>
      </c>
      <c r="E162" s="75">
        <v>38</v>
      </c>
      <c r="F162" s="79">
        <v>53</v>
      </c>
      <c r="G162" s="82"/>
      <c r="H162" s="68" t="str">
        <f t="shared" si="86"/>
        <v>Senbur7_20191118_11_00</v>
      </c>
      <c r="I162" s="69">
        <f t="shared" si="88"/>
        <v>1</v>
      </c>
      <c r="J162" s="76" t="str">
        <f t="shared" si="88"/>
        <v>Senecio</v>
      </c>
      <c r="K162" s="76" t="str">
        <f t="shared" si="88"/>
        <v>burtoni</v>
      </c>
      <c r="L162" s="77">
        <f t="shared" si="88"/>
        <v>7</v>
      </c>
      <c r="M162" s="77">
        <f t="shared" si="88"/>
        <v>7</v>
      </c>
      <c r="N162" s="71">
        <f t="shared" si="88"/>
        <v>0</v>
      </c>
      <c r="O162" s="44"/>
      <c r="P162" s="45">
        <f t="shared" si="70"/>
        <v>1</v>
      </c>
      <c r="Q162" s="46" t="str">
        <f t="shared" si="71"/>
        <v>11:38:53</v>
      </c>
      <c r="R162" s="47" t="str">
        <f t="shared" si="72"/>
        <v>38:53</v>
      </c>
      <c r="S162" s="48">
        <f t="shared" si="61"/>
        <v>4</v>
      </c>
      <c r="T162" s="47" t="str">
        <f t="shared" si="73"/>
        <v>11</v>
      </c>
      <c r="U162" s="49">
        <v>38</v>
      </c>
      <c r="V162" s="50">
        <v>57</v>
      </c>
      <c r="W162" s="51" t="str">
        <f t="shared" si="74"/>
        <v>38:57</v>
      </c>
      <c r="X162" s="52" t="s">
        <v>62</v>
      </c>
      <c r="Y162" s="124" t="s">
        <v>84</v>
      </c>
      <c r="Z162" s="124"/>
      <c r="AA162" s="47" t="s">
        <v>77</v>
      </c>
      <c r="AB162" s="47" t="str">
        <f t="shared" si="75"/>
        <v>NA</v>
      </c>
      <c r="AC162" s="53">
        <f t="shared" si="76"/>
        <v>0</v>
      </c>
      <c r="AD162" s="54">
        <f t="shared" si="77"/>
        <v>1</v>
      </c>
      <c r="AE162" s="54"/>
      <c r="AF162" s="54"/>
      <c r="AG162" s="55">
        <v>1</v>
      </c>
      <c r="AH162" s="56">
        <f t="shared" si="79"/>
        <v>4</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f t="shared" si="62"/>
        <v>0</v>
      </c>
      <c r="AX162" s="61" t="str">
        <f t="shared" si="63"/>
        <v/>
      </c>
      <c r="AY162" s="60">
        <f t="shared" si="64"/>
        <v>0</v>
      </c>
      <c r="AZ162" s="61" t="str">
        <f t="shared" si="65"/>
        <v/>
      </c>
    </row>
    <row r="163" spans="1:52" s="3" customFormat="1" hidden="1" x14ac:dyDescent="0.35">
      <c r="A163" s="72">
        <f t="shared" si="66"/>
        <v>2019</v>
      </c>
      <c r="B163" s="72" t="str">
        <f t="shared" si="67"/>
        <v>Nov</v>
      </c>
      <c r="C163" s="73">
        <f t="shared" si="85"/>
        <v>18</v>
      </c>
      <c r="D163" s="74">
        <f t="shared" si="68"/>
        <v>11</v>
      </c>
      <c r="E163" s="75">
        <v>38</v>
      </c>
      <c r="F163" s="79">
        <v>53</v>
      </c>
      <c r="G163" s="82"/>
      <c r="H163" s="68" t="str">
        <f t="shared" si="86"/>
        <v>Senbur7_20191118_11_00</v>
      </c>
      <c r="I163" s="69">
        <f t="shared" si="88"/>
        <v>1</v>
      </c>
      <c r="J163" s="76" t="str">
        <f t="shared" si="88"/>
        <v>Senecio</v>
      </c>
      <c r="K163" s="76" t="str">
        <f t="shared" si="88"/>
        <v>burtoni</v>
      </c>
      <c r="L163" s="77">
        <f t="shared" si="88"/>
        <v>7</v>
      </c>
      <c r="M163" s="77">
        <f t="shared" si="88"/>
        <v>7</v>
      </c>
      <c r="N163" s="71">
        <f t="shared" si="88"/>
        <v>0</v>
      </c>
      <c r="O163" s="44"/>
      <c r="P163" s="45">
        <f t="shared" si="70"/>
        <v>1</v>
      </c>
      <c r="Q163" s="46" t="str">
        <f t="shared" si="71"/>
        <v>11:38:53</v>
      </c>
      <c r="R163" s="47" t="str">
        <f t="shared" si="72"/>
        <v>38:53</v>
      </c>
      <c r="S163" s="48">
        <f t="shared" si="61"/>
        <v>3</v>
      </c>
      <c r="T163" s="47" t="str">
        <f t="shared" si="73"/>
        <v>11</v>
      </c>
      <c r="U163" s="49">
        <v>38</v>
      </c>
      <c r="V163" s="50">
        <v>56</v>
      </c>
      <c r="W163" s="51" t="str">
        <f t="shared" si="74"/>
        <v>38:56</v>
      </c>
      <c r="X163" s="52" t="s">
        <v>63</v>
      </c>
      <c r="Y163" s="124" t="s">
        <v>83</v>
      </c>
      <c r="Z163" s="124"/>
      <c r="AA163" s="47" t="s">
        <v>59</v>
      </c>
      <c r="AB163" s="47" t="str">
        <f t="shared" si="75"/>
        <v>NA</v>
      </c>
      <c r="AC163" s="53">
        <f t="shared" si="76"/>
        <v>0</v>
      </c>
      <c r="AD163" s="54">
        <f t="shared" si="77"/>
        <v>1</v>
      </c>
      <c r="AE163" s="54"/>
      <c r="AF163" s="54"/>
      <c r="AG163" s="55">
        <v>1</v>
      </c>
      <c r="AH163" s="56">
        <v>3</v>
      </c>
      <c r="AI163" s="55"/>
      <c r="AJ163" s="56" t="str">
        <f t="shared" si="80"/>
        <v/>
      </c>
      <c r="AK163" s="55"/>
      <c r="AL163" s="56" t="str">
        <f t="shared" si="81"/>
        <v/>
      </c>
      <c r="AM163" s="55"/>
      <c r="AN163" s="56"/>
      <c r="AO163" s="55"/>
      <c r="AP163" s="56" t="str">
        <f t="shared" si="83"/>
        <v/>
      </c>
      <c r="AQ163" s="55"/>
      <c r="AR163" s="56" t="str">
        <f t="shared" si="84"/>
        <v/>
      </c>
      <c r="AS163" s="57"/>
      <c r="AT163" s="58"/>
      <c r="AU163" s="58"/>
      <c r="AV163" s="59"/>
      <c r="AW163" s="60">
        <f t="shared" si="62"/>
        <v>0</v>
      </c>
      <c r="AX163" s="61" t="str">
        <f t="shared" si="63"/>
        <v/>
      </c>
      <c r="AY163" s="60">
        <f t="shared" si="64"/>
        <v>0</v>
      </c>
      <c r="AZ163" s="61" t="str">
        <f t="shared" si="65"/>
        <v/>
      </c>
    </row>
    <row r="164" spans="1:52" s="3" customFormat="1" hidden="1" x14ac:dyDescent="0.35">
      <c r="A164" s="72">
        <f t="shared" si="66"/>
        <v>2019</v>
      </c>
      <c r="B164" s="72" t="str">
        <f t="shared" si="67"/>
        <v>Nov</v>
      </c>
      <c r="C164" s="73">
        <f t="shared" si="85"/>
        <v>18</v>
      </c>
      <c r="D164" s="74">
        <f t="shared" si="68"/>
        <v>11</v>
      </c>
      <c r="E164" s="75">
        <f t="shared" si="69"/>
        <v>39</v>
      </c>
      <c r="F164" s="79"/>
      <c r="G164" s="82"/>
      <c r="H164" s="68" t="str">
        <f t="shared" si="86"/>
        <v>Senbur7_20191118_11_00</v>
      </c>
      <c r="I164" s="69">
        <f t="shared" si="88"/>
        <v>1</v>
      </c>
      <c r="J164" s="76" t="str">
        <f t="shared" si="88"/>
        <v>Senecio</v>
      </c>
      <c r="K164" s="76" t="str">
        <f t="shared" si="88"/>
        <v>burtoni</v>
      </c>
      <c r="L164" s="77">
        <f t="shared" si="88"/>
        <v>7</v>
      </c>
      <c r="M164" s="77">
        <f t="shared" si="88"/>
        <v>7</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18</v>
      </c>
      <c r="D165" s="74">
        <f t="shared" si="68"/>
        <v>11</v>
      </c>
      <c r="E165" s="75">
        <f t="shared" si="69"/>
        <v>40</v>
      </c>
      <c r="F165" s="79"/>
      <c r="G165" s="82"/>
      <c r="H165" s="68" t="str">
        <f t="shared" si="86"/>
        <v>Senbur7_20191118_11_00</v>
      </c>
      <c r="I165" s="69">
        <f t="shared" ref="I165:N180" si="89">I164</f>
        <v>1</v>
      </c>
      <c r="J165" s="76" t="str">
        <f t="shared" si="89"/>
        <v>Senecio</v>
      </c>
      <c r="K165" s="76" t="str">
        <f t="shared" si="89"/>
        <v>burtoni</v>
      </c>
      <c r="L165" s="77">
        <f t="shared" si="89"/>
        <v>7</v>
      </c>
      <c r="M165" s="77">
        <f t="shared" si="89"/>
        <v>7</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18</v>
      </c>
      <c r="D166" s="74">
        <f t="shared" si="68"/>
        <v>11</v>
      </c>
      <c r="E166" s="75">
        <f t="shared" si="69"/>
        <v>41</v>
      </c>
      <c r="F166" s="79">
        <v>16</v>
      </c>
      <c r="G166" s="82"/>
      <c r="H166" s="68" t="str">
        <f t="shared" si="86"/>
        <v>Senbur7_20191118_11_00</v>
      </c>
      <c r="I166" s="69">
        <f t="shared" si="89"/>
        <v>1</v>
      </c>
      <c r="J166" s="76" t="str">
        <f t="shared" si="89"/>
        <v>Senecio</v>
      </c>
      <c r="K166" s="76" t="str">
        <f t="shared" si="89"/>
        <v>burtoni</v>
      </c>
      <c r="L166" s="77">
        <f t="shared" si="89"/>
        <v>7</v>
      </c>
      <c r="M166" s="77">
        <f t="shared" si="89"/>
        <v>7</v>
      </c>
      <c r="N166" s="71">
        <f t="shared" si="89"/>
        <v>0</v>
      </c>
      <c r="O166" s="44" t="s">
        <v>67</v>
      </c>
      <c r="P166" s="45">
        <f t="shared" si="70"/>
        <v>1</v>
      </c>
      <c r="Q166" s="46" t="str">
        <f t="shared" si="71"/>
        <v>11:41:16</v>
      </c>
      <c r="R166" s="47" t="str">
        <f t="shared" si="72"/>
        <v>41:16</v>
      </c>
      <c r="S166" s="48">
        <f t="shared" si="61"/>
        <v>17</v>
      </c>
      <c r="T166" s="47" t="str">
        <f t="shared" si="73"/>
        <v>11</v>
      </c>
      <c r="U166" s="49">
        <v>41</v>
      </c>
      <c r="V166" s="50">
        <v>33</v>
      </c>
      <c r="W166" s="51" t="e">
        <f t="shared" si="74"/>
        <v>#VALUE!</v>
      </c>
      <c r="X166" s="52" t="s">
        <v>63</v>
      </c>
      <c r="Y166" s="124" t="s">
        <v>82</v>
      </c>
      <c r="Z166" s="124"/>
      <c r="AA166" s="47" t="s">
        <v>59</v>
      </c>
      <c r="AB166" s="47" t="str">
        <f t="shared" si="75"/>
        <v>NA</v>
      </c>
      <c r="AC166" s="53">
        <f t="shared" si="76"/>
        <v>0</v>
      </c>
      <c r="AD166" s="54">
        <f t="shared" si="77"/>
        <v>1</v>
      </c>
      <c r="AE166" s="54"/>
      <c r="AF166" s="54"/>
      <c r="AG166" s="55">
        <v>1</v>
      </c>
      <c r="AH166" s="56">
        <v>7</v>
      </c>
      <c r="AI166" s="55"/>
      <c r="AJ166" s="56" t="str">
        <f t="shared" si="80"/>
        <v/>
      </c>
      <c r="AK166" s="55"/>
      <c r="AL166" s="56" t="str">
        <f t="shared" si="81"/>
        <v/>
      </c>
      <c r="AM166" s="55">
        <v>1</v>
      </c>
      <c r="AN166" s="56">
        <v>10</v>
      </c>
      <c r="AO166" s="55"/>
      <c r="AP166" s="56" t="str">
        <f t="shared" si="83"/>
        <v/>
      </c>
      <c r="AQ166" s="55"/>
      <c r="AR166" s="56" t="str">
        <f t="shared" si="84"/>
        <v/>
      </c>
      <c r="AS166" s="57"/>
      <c r="AT166" s="58"/>
      <c r="AU166" s="58"/>
      <c r="AV166" s="59"/>
      <c r="AW166" s="60">
        <v>1</v>
      </c>
      <c r="AX166" s="61">
        <f t="shared" si="63"/>
        <v>1</v>
      </c>
      <c r="AY166" s="60">
        <v>1</v>
      </c>
      <c r="AZ166" s="61">
        <f t="shared" si="65"/>
        <v>1</v>
      </c>
    </row>
    <row r="167" spans="1:52" s="3" customFormat="1" hidden="1" x14ac:dyDescent="0.35">
      <c r="A167" s="72">
        <f t="shared" si="66"/>
        <v>2019</v>
      </c>
      <c r="B167" s="72" t="str">
        <f t="shared" si="67"/>
        <v>Nov</v>
      </c>
      <c r="C167" s="73">
        <f t="shared" si="85"/>
        <v>18</v>
      </c>
      <c r="D167" s="74">
        <f t="shared" si="68"/>
        <v>11</v>
      </c>
      <c r="E167" s="75">
        <f t="shared" si="69"/>
        <v>42</v>
      </c>
      <c r="F167" s="79"/>
      <c r="G167" s="82"/>
      <c r="H167" s="68" t="str">
        <f t="shared" si="86"/>
        <v>Senbur7_20191118_11_00</v>
      </c>
      <c r="I167" s="69">
        <f t="shared" si="89"/>
        <v>1</v>
      </c>
      <c r="J167" s="76" t="str">
        <f t="shared" si="89"/>
        <v>Senecio</v>
      </c>
      <c r="K167" s="76" t="str">
        <f t="shared" si="89"/>
        <v>burtoni</v>
      </c>
      <c r="L167" s="77">
        <f t="shared" si="89"/>
        <v>7</v>
      </c>
      <c r="M167" s="77">
        <f t="shared" si="89"/>
        <v>7</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18</v>
      </c>
      <c r="D168" s="74">
        <f t="shared" si="68"/>
        <v>11</v>
      </c>
      <c r="E168" s="75">
        <f t="shared" si="69"/>
        <v>43</v>
      </c>
      <c r="F168" s="79">
        <v>33</v>
      </c>
      <c r="G168" s="82"/>
      <c r="H168" s="68" t="str">
        <f t="shared" si="86"/>
        <v>Senbur7_20191118_11_00</v>
      </c>
      <c r="I168" s="69">
        <f t="shared" si="89"/>
        <v>1</v>
      </c>
      <c r="J168" s="76" t="str">
        <f t="shared" si="89"/>
        <v>Senecio</v>
      </c>
      <c r="K168" s="76" t="str">
        <f t="shared" si="89"/>
        <v>burtoni</v>
      </c>
      <c r="L168" s="77">
        <f t="shared" si="89"/>
        <v>7</v>
      </c>
      <c r="M168" s="77">
        <f t="shared" si="89"/>
        <v>7</v>
      </c>
      <c r="N168" s="71">
        <f t="shared" si="89"/>
        <v>0</v>
      </c>
      <c r="O168" s="44"/>
      <c r="P168" s="45">
        <f t="shared" si="70"/>
        <v>1</v>
      </c>
      <c r="Q168" s="46" t="str">
        <f t="shared" si="71"/>
        <v>11:43:33</v>
      </c>
      <c r="R168" s="47" t="str">
        <f t="shared" si="72"/>
        <v>43:33</v>
      </c>
      <c r="S168" s="48">
        <f t="shared" si="61"/>
        <v>19</v>
      </c>
      <c r="T168" s="47" t="str">
        <f t="shared" si="73"/>
        <v>11</v>
      </c>
      <c r="U168" s="49">
        <v>43</v>
      </c>
      <c r="V168" s="50">
        <v>52</v>
      </c>
      <c r="W168" s="51" t="str">
        <f t="shared" si="74"/>
        <v>43:52</v>
      </c>
      <c r="X168" s="52" t="s">
        <v>63</v>
      </c>
      <c r="Y168" s="124" t="s">
        <v>82</v>
      </c>
      <c r="Z168" s="124"/>
      <c r="AA168" s="47" t="s">
        <v>59</v>
      </c>
      <c r="AB168" s="47" t="str">
        <f t="shared" si="75"/>
        <v>NA</v>
      </c>
      <c r="AC168" s="53">
        <f t="shared" si="76"/>
        <v>0</v>
      </c>
      <c r="AD168" s="54">
        <f t="shared" si="77"/>
        <v>1</v>
      </c>
      <c r="AE168" s="54"/>
      <c r="AF168" s="54"/>
      <c r="AG168" s="55">
        <v>1</v>
      </c>
      <c r="AH168" s="56">
        <v>6</v>
      </c>
      <c r="AI168" s="55"/>
      <c r="AJ168" s="56" t="str">
        <f t="shared" si="80"/>
        <v/>
      </c>
      <c r="AK168" s="55"/>
      <c r="AL168" s="56" t="str">
        <f t="shared" si="81"/>
        <v/>
      </c>
      <c r="AM168" s="55">
        <v>1</v>
      </c>
      <c r="AN168" s="56">
        <v>13</v>
      </c>
      <c r="AO168" s="55"/>
      <c r="AP168" s="56" t="str">
        <f t="shared" si="83"/>
        <v/>
      </c>
      <c r="AQ168" s="55"/>
      <c r="AR168" s="56" t="str">
        <f t="shared" si="84"/>
        <v/>
      </c>
      <c r="AS168" s="57"/>
      <c r="AT168" s="58"/>
      <c r="AU168" s="58"/>
      <c r="AV168" s="59"/>
      <c r="AW168" s="60">
        <v>1</v>
      </c>
      <c r="AX168" s="61">
        <f t="shared" si="63"/>
        <v>1</v>
      </c>
      <c r="AY168" s="60">
        <f t="shared" si="64"/>
        <v>0</v>
      </c>
      <c r="AZ168" s="61" t="str">
        <f t="shared" si="65"/>
        <v/>
      </c>
    </row>
    <row r="169" spans="1:52" s="3" customFormat="1" hidden="1" x14ac:dyDescent="0.35">
      <c r="A169" s="72">
        <f t="shared" si="66"/>
        <v>2019</v>
      </c>
      <c r="B169" s="72" t="str">
        <f t="shared" si="67"/>
        <v>Nov</v>
      </c>
      <c r="C169" s="73">
        <f t="shared" si="85"/>
        <v>18</v>
      </c>
      <c r="D169" s="74">
        <f t="shared" si="68"/>
        <v>11</v>
      </c>
      <c r="E169" s="75">
        <f t="shared" si="69"/>
        <v>44</v>
      </c>
      <c r="F169" s="79"/>
      <c r="G169" s="82"/>
      <c r="H169" s="68" t="str">
        <f t="shared" si="86"/>
        <v>Senbur7_20191118_11_00</v>
      </c>
      <c r="I169" s="69">
        <f t="shared" si="89"/>
        <v>1</v>
      </c>
      <c r="J169" s="76" t="str">
        <f t="shared" si="89"/>
        <v>Senecio</v>
      </c>
      <c r="K169" s="76" t="str">
        <f t="shared" si="89"/>
        <v>burtoni</v>
      </c>
      <c r="L169" s="77">
        <f t="shared" si="89"/>
        <v>7</v>
      </c>
      <c r="M169" s="77">
        <f t="shared" si="89"/>
        <v>7</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2019</v>
      </c>
      <c r="B170" s="72" t="str">
        <f t="shared" si="67"/>
        <v>Nov</v>
      </c>
      <c r="C170" s="73">
        <f t="shared" si="85"/>
        <v>18</v>
      </c>
      <c r="D170" s="74">
        <f t="shared" si="68"/>
        <v>11</v>
      </c>
      <c r="E170" s="75">
        <f t="shared" si="69"/>
        <v>45</v>
      </c>
      <c r="F170" s="79">
        <v>42</v>
      </c>
      <c r="G170" s="82"/>
      <c r="H170" s="68" t="str">
        <f t="shared" si="86"/>
        <v>Senbur7_20191118_11_00</v>
      </c>
      <c r="I170" s="69">
        <f t="shared" si="89"/>
        <v>1</v>
      </c>
      <c r="J170" s="76" t="str">
        <f t="shared" si="89"/>
        <v>Senecio</v>
      </c>
      <c r="K170" s="76" t="str">
        <f t="shared" si="89"/>
        <v>burtoni</v>
      </c>
      <c r="L170" s="77">
        <f t="shared" si="89"/>
        <v>7</v>
      </c>
      <c r="M170" s="77">
        <f t="shared" si="89"/>
        <v>7</v>
      </c>
      <c r="N170" s="71">
        <f t="shared" si="89"/>
        <v>0</v>
      </c>
      <c r="O170" s="44"/>
      <c r="P170" s="45">
        <f t="shared" si="70"/>
        <v>1</v>
      </c>
      <c r="Q170" s="46" t="str">
        <f t="shared" si="71"/>
        <v>11:45:42</v>
      </c>
      <c r="R170" s="47" t="str">
        <f t="shared" si="72"/>
        <v>45:42</v>
      </c>
      <c r="S170" s="48">
        <f t="shared" si="61"/>
        <v>8</v>
      </c>
      <c r="T170" s="47" t="str">
        <f t="shared" si="73"/>
        <v>11</v>
      </c>
      <c r="U170" s="49">
        <v>45</v>
      </c>
      <c r="V170" s="50">
        <v>50</v>
      </c>
      <c r="W170" s="51" t="str">
        <f t="shared" si="74"/>
        <v>45:50</v>
      </c>
      <c r="X170" s="52" t="s">
        <v>62</v>
      </c>
      <c r="Y170" s="124" t="s">
        <v>84</v>
      </c>
      <c r="Z170" s="124"/>
      <c r="AA170" s="47" t="s">
        <v>77</v>
      </c>
      <c r="AB170" s="47" t="str">
        <f t="shared" si="75"/>
        <v>NA</v>
      </c>
      <c r="AC170" s="53">
        <f t="shared" si="76"/>
        <v>0</v>
      </c>
      <c r="AD170" s="54">
        <f t="shared" si="77"/>
        <v>1</v>
      </c>
      <c r="AE170" s="54"/>
      <c r="AF170" s="54"/>
      <c r="AG170" s="55" t="str">
        <f t="shared" si="78"/>
        <v/>
      </c>
      <c r="AH170" s="56" t="str">
        <f t="shared" si="79"/>
        <v/>
      </c>
      <c r="AI170" s="55"/>
      <c r="AJ170" s="56" t="str">
        <f t="shared" si="80"/>
        <v/>
      </c>
      <c r="AK170" s="55">
        <v>1</v>
      </c>
      <c r="AL170" s="56">
        <v>5</v>
      </c>
      <c r="AM170" s="55">
        <v>1</v>
      </c>
      <c r="AN170" s="56">
        <v>3</v>
      </c>
      <c r="AO170" s="55"/>
      <c r="AP170" s="56" t="str">
        <f t="shared" si="83"/>
        <v/>
      </c>
      <c r="AQ170" s="55"/>
      <c r="AR170" s="56" t="str">
        <f t="shared" si="84"/>
        <v/>
      </c>
      <c r="AS170" s="57"/>
      <c r="AT170" s="58"/>
      <c r="AU170" s="58"/>
      <c r="AV170" s="59"/>
      <c r="AW170" s="60">
        <v>1</v>
      </c>
      <c r="AX170" s="61">
        <f t="shared" si="63"/>
        <v>1</v>
      </c>
      <c r="AY170" s="60">
        <v>1</v>
      </c>
      <c r="AZ170" s="61">
        <f t="shared" si="65"/>
        <v>1</v>
      </c>
    </row>
    <row r="171" spans="1:52" s="3" customFormat="1" hidden="1" x14ac:dyDescent="0.35">
      <c r="A171" s="72">
        <f t="shared" si="66"/>
        <v>2019</v>
      </c>
      <c r="B171" s="72" t="str">
        <f t="shared" si="67"/>
        <v>Nov</v>
      </c>
      <c r="C171" s="73">
        <f t="shared" si="85"/>
        <v>18</v>
      </c>
      <c r="D171" s="74">
        <f t="shared" si="68"/>
        <v>11</v>
      </c>
      <c r="E171" s="75">
        <f t="shared" si="69"/>
        <v>46</v>
      </c>
      <c r="F171" s="79"/>
      <c r="G171" s="82"/>
      <c r="H171" s="68" t="str">
        <f t="shared" si="86"/>
        <v>Senbur7_20191118_11_00</v>
      </c>
      <c r="I171" s="69">
        <f t="shared" si="89"/>
        <v>1</v>
      </c>
      <c r="J171" s="76" t="str">
        <f t="shared" si="89"/>
        <v>Senecio</v>
      </c>
      <c r="K171" s="76" t="str">
        <f t="shared" si="89"/>
        <v>burtoni</v>
      </c>
      <c r="L171" s="77">
        <f t="shared" si="89"/>
        <v>7</v>
      </c>
      <c r="M171" s="77">
        <f t="shared" si="89"/>
        <v>7</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18</v>
      </c>
      <c r="D172" s="74">
        <f t="shared" si="68"/>
        <v>11</v>
      </c>
      <c r="E172" s="75">
        <f t="shared" si="69"/>
        <v>47</v>
      </c>
      <c r="F172" s="128">
        <v>25</v>
      </c>
      <c r="G172" s="82"/>
      <c r="H172" s="68" t="str">
        <f t="shared" si="86"/>
        <v>Senbur7_20191118_11_00</v>
      </c>
      <c r="I172" s="69">
        <f t="shared" si="89"/>
        <v>1</v>
      </c>
      <c r="J172" s="76" t="str">
        <f t="shared" si="89"/>
        <v>Senecio</v>
      </c>
      <c r="K172" s="76" t="str">
        <f t="shared" si="89"/>
        <v>burtoni</v>
      </c>
      <c r="L172" s="77">
        <f t="shared" si="89"/>
        <v>7</v>
      </c>
      <c r="M172" s="77">
        <f t="shared" si="89"/>
        <v>7</v>
      </c>
      <c r="N172" s="71">
        <f t="shared" si="89"/>
        <v>0</v>
      </c>
      <c r="O172" s="44"/>
      <c r="P172" s="45">
        <f t="shared" si="70"/>
        <v>1</v>
      </c>
      <c r="Q172" s="46" t="str">
        <f t="shared" si="71"/>
        <v>11:47:25</v>
      </c>
      <c r="R172" s="47" t="str">
        <f t="shared" si="72"/>
        <v>47:25</v>
      </c>
      <c r="S172" s="48">
        <f t="shared" si="61"/>
        <v>19</v>
      </c>
      <c r="T172" s="47" t="str">
        <f t="shared" si="73"/>
        <v>11</v>
      </c>
      <c r="U172" s="49">
        <v>47</v>
      </c>
      <c r="V172" s="50">
        <v>44</v>
      </c>
      <c r="W172" s="51" t="str">
        <f t="shared" si="74"/>
        <v>47:44</v>
      </c>
      <c r="X172" s="52" t="s">
        <v>63</v>
      </c>
      <c r="Y172" s="124" t="s">
        <v>82</v>
      </c>
      <c r="Z172" s="124"/>
      <c r="AA172" s="47" t="s">
        <v>59</v>
      </c>
      <c r="AB172" s="47" t="str">
        <f t="shared" si="75"/>
        <v>NA</v>
      </c>
      <c r="AC172" s="53" t="str">
        <f t="shared" si="76"/>
        <v/>
      </c>
      <c r="AD172" s="54">
        <f t="shared" si="77"/>
        <v>1</v>
      </c>
      <c r="AE172" s="54"/>
      <c r="AF172" s="54"/>
      <c r="AG172" s="55">
        <v>1</v>
      </c>
      <c r="AH172" s="56">
        <v>1</v>
      </c>
      <c r="AI172" s="55"/>
      <c r="AJ172" s="56" t="str">
        <f t="shared" si="80"/>
        <v/>
      </c>
      <c r="AK172" s="55"/>
      <c r="AL172" s="56" t="str">
        <f t="shared" si="81"/>
        <v/>
      </c>
      <c r="AM172" s="55">
        <v>1</v>
      </c>
      <c r="AN172" s="56">
        <v>1</v>
      </c>
      <c r="AO172" s="55"/>
      <c r="AP172" s="56" t="str">
        <f t="shared" si="83"/>
        <v/>
      </c>
      <c r="AQ172" s="55"/>
      <c r="AR172" s="56" t="str">
        <f t="shared" si="84"/>
        <v/>
      </c>
      <c r="AS172" s="57"/>
      <c r="AT172" s="58"/>
      <c r="AU172" s="58"/>
      <c r="AV172" s="59"/>
      <c r="AW172" s="60">
        <v>1</v>
      </c>
      <c r="AX172" s="61">
        <f t="shared" si="63"/>
        <v>1</v>
      </c>
      <c r="AY172" s="60">
        <f t="shared" si="64"/>
        <v>0</v>
      </c>
      <c r="AZ172" s="61" t="str">
        <f t="shared" si="65"/>
        <v/>
      </c>
    </row>
    <row r="173" spans="1:52" s="3" customFormat="1" hidden="1" x14ac:dyDescent="0.35">
      <c r="A173" s="72">
        <f t="shared" si="66"/>
        <v>2019</v>
      </c>
      <c r="B173" s="72" t="str">
        <f t="shared" si="67"/>
        <v>Nov</v>
      </c>
      <c r="C173" s="73">
        <f t="shared" si="85"/>
        <v>18</v>
      </c>
      <c r="D173" s="74">
        <f t="shared" si="68"/>
        <v>11</v>
      </c>
      <c r="E173" s="75">
        <f t="shared" si="69"/>
        <v>48</v>
      </c>
      <c r="F173" s="79">
        <v>59</v>
      </c>
      <c r="G173" s="82"/>
      <c r="H173" s="68" t="str">
        <f t="shared" si="86"/>
        <v>Senbur7_20191118_11_00</v>
      </c>
      <c r="I173" s="69">
        <f t="shared" si="89"/>
        <v>1</v>
      </c>
      <c r="J173" s="76" t="str">
        <f t="shared" si="89"/>
        <v>Senecio</v>
      </c>
      <c r="K173" s="76" t="str">
        <f t="shared" si="89"/>
        <v>burtoni</v>
      </c>
      <c r="L173" s="77">
        <f t="shared" si="89"/>
        <v>7</v>
      </c>
      <c r="M173" s="77">
        <f t="shared" si="89"/>
        <v>7</v>
      </c>
      <c r="N173" s="71">
        <f t="shared" si="89"/>
        <v>0</v>
      </c>
      <c r="O173" s="44"/>
      <c r="P173" s="45">
        <f t="shared" si="70"/>
        <v>1</v>
      </c>
      <c r="Q173" s="46" t="str">
        <f t="shared" si="71"/>
        <v>11:48:59</v>
      </c>
      <c r="R173" s="47" t="str">
        <f t="shared" si="72"/>
        <v>48:59</v>
      </c>
      <c r="S173" s="48">
        <f t="shared" si="61"/>
        <v>15</v>
      </c>
      <c r="T173" s="47" t="str">
        <f t="shared" si="73"/>
        <v>11</v>
      </c>
      <c r="U173" s="49">
        <v>49</v>
      </c>
      <c r="V173" s="50">
        <v>14</v>
      </c>
      <c r="W173" s="51" t="str">
        <f t="shared" si="74"/>
        <v>49:14</v>
      </c>
      <c r="X173" s="52" t="s">
        <v>63</v>
      </c>
      <c r="Y173" s="124" t="s">
        <v>83</v>
      </c>
      <c r="Z173" s="124"/>
      <c r="AA173" s="47" t="s">
        <v>59</v>
      </c>
      <c r="AB173" s="47" t="str">
        <f t="shared" si="75"/>
        <v>NA</v>
      </c>
      <c r="AC173" s="53">
        <f t="shared" si="76"/>
        <v>0</v>
      </c>
      <c r="AD173" s="54">
        <f t="shared" si="77"/>
        <v>1</v>
      </c>
      <c r="AE173" s="54"/>
      <c r="AF173" s="54"/>
      <c r="AG173" s="55">
        <v>1</v>
      </c>
      <c r="AH173" s="56">
        <v>6</v>
      </c>
      <c r="AI173" s="55"/>
      <c r="AJ173" s="56" t="str">
        <f t="shared" si="80"/>
        <v/>
      </c>
      <c r="AK173" s="55"/>
      <c r="AL173" s="56" t="str">
        <f t="shared" si="81"/>
        <v/>
      </c>
      <c r="AM173" s="55">
        <v>1</v>
      </c>
      <c r="AN173" s="56">
        <v>9</v>
      </c>
      <c r="AO173" s="55"/>
      <c r="AP173" s="56" t="str">
        <f t="shared" si="83"/>
        <v/>
      </c>
      <c r="AQ173" s="55"/>
      <c r="AR173" s="56" t="str">
        <f t="shared" si="84"/>
        <v/>
      </c>
      <c r="AS173" s="57"/>
      <c r="AT173" s="58"/>
      <c r="AU173" s="58"/>
      <c r="AV173" s="59"/>
      <c r="AW173" s="60">
        <v>1</v>
      </c>
      <c r="AX173" s="61">
        <f t="shared" si="63"/>
        <v>1</v>
      </c>
      <c r="AY173" s="60">
        <v>1</v>
      </c>
      <c r="AZ173" s="61">
        <v>1</v>
      </c>
    </row>
    <row r="174" spans="1:52" s="3" customFormat="1" hidden="1" x14ac:dyDescent="0.35">
      <c r="A174" s="72">
        <f t="shared" si="66"/>
        <v>2019</v>
      </c>
      <c r="B174" s="72" t="str">
        <f t="shared" si="67"/>
        <v>Nov</v>
      </c>
      <c r="C174" s="73">
        <f t="shared" si="85"/>
        <v>18</v>
      </c>
      <c r="D174" s="74">
        <f t="shared" si="68"/>
        <v>11</v>
      </c>
      <c r="E174" s="75">
        <f t="shared" si="69"/>
        <v>49</v>
      </c>
      <c r="F174" s="79">
        <v>29</v>
      </c>
      <c r="G174" s="82"/>
      <c r="H174" s="68" t="str">
        <f t="shared" si="86"/>
        <v>Senbur7_20191118_11_00</v>
      </c>
      <c r="I174" s="69">
        <f t="shared" si="89"/>
        <v>1</v>
      </c>
      <c r="J174" s="76" t="str">
        <f t="shared" si="89"/>
        <v>Senecio</v>
      </c>
      <c r="K174" s="76" t="str">
        <f t="shared" si="89"/>
        <v>burtoni</v>
      </c>
      <c r="L174" s="77">
        <f t="shared" si="89"/>
        <v>7</v>
      </c>
      <c r="M174" s="77">
        <f t="shared" si="89"/>
        <v>7</v>
      </c>
      <c r="N174" s="71">
        <f t="shared" si="89"/>
        <v>0</v>
      </c>
      <c r="O174" s="44"/>
      <c r="P174" s="45">
        <f t="shared" si="70"/>
        <v>1</v>
      </c>
      <c r="Q174" s="46" t="str">
        <f t="shared" si="71"/>
        <v>11:49:29</v>
      </c>
      <c r="R174" s="47" t="str">
        <f t="shared" si="72"/>
        <v>49:29</v>
      </c>
      <c r="S174" s="48">
        <f t="shared" si="61"/>
        <v>13</v>
      </c>
      <c r="T174" s="47" t="str">
        <f t="shared" si="73"/>
        <v>11</v>
      </c>
      <c r="U174" s="49">
        <v>49</v>
      </c>
      <c r="V174" s="50">
        <v>42</v>
      </c>
      <c r="W174" s="51" t="str">
        <f t="shared" si="74"/>
        <v>49:42</v>
      </c>
      <c r="X174" s="52" t="s">
        <v>63</v>
      </c>
      <c r="Y174" s="124" t="s">
        <v>82</v>
      </c>
      <c r="Z174" s="124"/>
      <c r="AA174" s="47" t="s">
        <v>59</v>
      </c>
      <c r="AB174" s="47" t="str">
        <f t="shared" si="75"/>
        <v>NA</v>
      </c>
      <c r="AC174" s="53">
        <f t="shared" si="76"/>
        <v>0</v>
      </c>
      <c r="AD174" s="54">
        <f t="shared" si="77"/>
        <v>1</v>
      </c>
      <c r="AE174" s="54"/>
      <c r="AF174" s="54"/>
      <c r="AG174" s="55">
        <v>1</v>
      </c>
      <c r="AH174" s="56">
        <v>3</v>
      </c>
      <c r="AI174" s="55"/>
      <c r="AJ174" s="56" t="str">
        <f t="shared" si="80"/>
        <v/>
      </c>
      <c r="AK174" s="55"/>
      <c r="AL174" s="56" t="str">
        <f t="shared" si="81"/>
        <v/>
      </c>
      <c r="AM174" s="55">
        <v>1</v>
      </c>
      <c r="AN174" s="56">
        <v>10</v>
      </c>
      <c r="AO174" s="55"/>
      <c r="AP174" s="56" t="str">
        <f t="shared" si="83"/>
        <v/>
      </c>
      <c r="AQ174" s="55"/>
      <c r="AR174" s="56" t="str">
        <f t="shared" si="84"/>
        <v/>
      </c>
      <c r="AS174" s="57"/>
      <c r="AT174" s="58"/>
      <c r="AU174" s="58"/>
      <c r="AV174" s="59"/>
      <c r="AW174" s="60">
        <v>1</v>
      </c>
      <c r="AX174" s="61">
        <f t="shared" si="63"/>
        <v>1</v>
      </c>
      <c r="AY174" s="60">
        <v>1</v>
      </c>
      <c r="AZ174" s="61">
        <f t="shared" si="65"/>
        <v>1</v>
      </c>
    </row>
    <row r="175" spans="1:52" s="3" customFormat="1" hidden="1" x14ac:dyDescent="0.35">
      <c r="A175" s="72">
        <f t="shared" si="66"/>
        <v>2019</v>
      </c>
      <c r="B175" s="72" t="str">
        <f t="shared" si="67"/>
        <v>Nov</v>
      </c>
      <c r="C175" s="73">
        <f t="shared" si="85"/>
        <v>18</v>
      </c>
      <c r="D175" s="74">
        <f t="shared" si="68"/>
        <v>11</v>
      </c>
      <c r="E175" s="75">
        <f t="shared" si="69"/>
        <v>50</v>
      </c>
      <c r="F175" s="79">
        <v>11</v>
      </c>
      <c r="G175" s="82"/>
      <c r="H175" s="68" t="str">
        <f t="shared" si="86"/>
        <v>Senbur7_20191118_11_00</v>
      </c>
      <c r="I175" s="69">
        <f t="shared" si="89"/>
        <v>1</v>
      </c>
      <c r="J175" s="76" t="str">
        <f t="shared" si="89"/>
        <v>Senecio</v>
      </c>
      <c r="K175" s="76" t="str">
        <f t="shared" si="89"/>
        <v>burtoni</v>
      </c>
      <c r="L175" s="77">
        <f t="shared" si="89"/>
        <v>7</v>
      </c>
      <c r="M175" s="77">
        <f t="shared" si="89"/>
        <v>7</v>
      </c>
      <c r="N175" s="71">
        <f t="shared" si="89"/>
        <v>0</v>
      </c>
      <c r="O175" s="44"/>
      <c r="P175" s="45">
        <f t="shared" si="70"/>
        <v>1</v>
      </c>
      <c r="Q175" s="46" t="str">
        <f t="shared" si="71"/>
        <v>11:50:11</v>
      </c>
      <c r="R175" s="47" t="str">
        <f t="shared" si="72"/>
        <v>50:11</v>
      </c>
      <c r="S175" s="48">
        <f t="shared" si="61"/>
        <v>32</v>
      </c>
      <c r="T175" s="47" t="str">
        <f t="shared" si="73"/>
        <v>11</v>
      </c>
      <c r="U175" s="49">
        <v>50</v>
      </c>
      <c r="V175" s="50">
        <v>43</v>
      </c>
      <c r="W175" s="51" t="str">
        <f t="shared" si="74"/>
        <v>50:43</v>
      </c>
      <c r="X175" s="52" t="s">
        <v>63</v>
      </c>
      <c r="Y175" s="124" t="s">
        <v>83</v>
      </c>
      <c r="Z175" s="124"/>
      <c r="AA175" s="47" t="s">
        <v>59</v>
      </c>
      <c r="AB175" s="47" t="str">
        <f t="shared" si="75"/>
        <v>NA</v>
      </c>
      <c r="AC175" s="53">
        <f t="shared" si="76"/>
        <v>0</v>
      </c>
      <c r="AD175" s="54">
        <f t="shared" si="77"/>
        <v>1</v>
      </c>
      <c r="AE175" s="54"/>
      <c r="AF175" s="54"/>
      <c r="AG175" s="55">
        <v>1</v>
      </c>
      <c r="AH175" s="56">
        <v>3</v>
      </c>
      <c r="AI175" s="55"/>
      <c r="AJ175" s="56" t="str">
        <f t="shared" si="80"/>
        <v/>
      </c>
      <c r="AK175" s="55"/>
      <c r="AL175" s="56" t="str">
        <f t="shared" si="81"/>
        <v/>
      </c>
      <c r="AM175" s="55">
        <v>1</v>
      </c>
      <c r="AN175" s="56">
        <v>29</v>
      </c>
      <c r="AO175" s="55"/>
      <c r="AP175" s="56" t="str">
        <f t="shared" si="83"/>
        <v/>
      </c>
      <c r="AQ175" s="55"/>
      <c r="AR175" s="56" t="str">
        <f t="shared" si="84"/>
        <v/>
      </c>
      <c r="AS175" s="57"/>
      <c r="AT175" s="58"/>
      <c r="AU175" s="58"/>
      <c r="AV175" s="59"/>
      <c r="AW175" s="60">
        <v>1</v>
      </c>
      <c r="AX175" s="61">
        <f t="shared" si="63"/>
        <v>1</v>
      </c>
      <c r="AY175" s="60">
        <v>1</v>
      </c>
      <c r="AZ175" s="61">
        <f t="shared" si="65"/>
        <v>1</v>
      </c>
    </row>
    <row r="176" spans="1:52" s="3" customFormat="1" hidden="1" x14ac:dyDescent="0.35">
      <c r="A176" s="72">
        <f t="shared" si="66"/>
        <v>2019</v>
      </c>
      <c r="B176" s="72" t="str">
        <f t="shared" si="67"/>
        <v>Nov</v>
      </c>
      <c r="C176" s="73">
        <f t="shared" si="85"/>
        <v>18</v>
      </c>
      <c r="D176" s="74">
        <f t="shared" si="68"/>
        <v>11</v>
      </c>
      <c r="E176" s="75">
        <v>50</v>
      </c>
      <c r="F176" s="79">
        <v>49</v>
      </c>
      <c r="G176" s="82"/>
      <c r="H176" s="68" t="str">
        <f t="shared" si="86"/>
        <v>Senbur7_20191118_11_00</v>
      </c>
      <c r="I176" s="69">
        <f t="shared" si="89"/>
        <v>1</v>
      </c>
      <c r="J176" s="76" t="str">
        <f t="shared" si="89"/>
        <v>Senecio</v>
      </c>
      <c r="K176" s="76" t="str">
        <f t="shared" si="89"/>
        <v>burtoni</v>
      </c>
      <c r="L176" s="77">
        <f t="shared" si="89"/>
        <v>7</v>
      </c>
      <c r="M176" s="77">
        <f t="shared" si="89"/>
        <v>7</v>
      </c>
      <c r="N176" s="71">
        <f t="shared" si="89"/>
        <v>0</v>
      </c>
      <c r="O176" s="44"/>
      <c r="P176" s="45">
        <f t="shared" si="70"/>
        <v>1</v>
      </c>
      <c r="Q176" s="46" t="str">
        <f t="shared" si="71"/>
        <v>11:50:49</v>
      </c>
      <c r="R176" s="47" t="str">
        <f t="shared" si="72"/>
        <v>50:49</v>
      </c>
      <c r="S176" s="48">
        <f t="shared" si="61"/>
        <v>148</v>
      </c>
      <c r="T176" s="47" t="str">
        <f t="shared" si="73"/>
        <v>11</v>
      </c>
      <c r="U176" s="49">
        <v>53</v>
      </c>
      <c r="V176" s="50">
        <v>17</v>
      </c>
      <c r="W176" s="51" t="str">
        <f t="shared" si="74"/>
        <v>53:17</v>
      </c>
      <c r="X176" s="52" t="s">
        <v>63</v>
      </c>
      <c r="Y176" s="124" t="s">
        <v>82</v>
      </c>
      <c r="Z176" s="124"/>
      <c r="AA176" s="47" t="s">
        <v>59</v>
      </c>
      <c r="AB176" s="47" t="str">
        <f t="shared" si="75"/>
        <v>NA</v>
      </c>
      <c r="AC176" s="53">
        <f t="shared" si="76"/>
        <v>0</v>
      </c>
      <c r="AD176" s="54">
        <v>2</v>
      </c>
      <c r="AE176" s="54"/>
      <c r="AF176" s="54"/>
      <c r="AG176" s="55">
        <v>1</v>
      </c>
      <c r="AH176" s="56">
        <v>28</v>
      </c>
      <c r="AI176" s="55"/>
      <c r="AJ176" s="56" t="str">
        <f t="shared" si="80"/>
        <v/>
      </c>
      <c r="AK176" s="55">
        <v>1</v>
      </c>
      <c r="AL176" s="56">
        <v>40</v>
      </c>
      <c r="AM176" s="55">
        <v>1</v>
      </c>
      <c r="AN176" s="56">
        <v>80</v>
      </c>
      <c r="AO176" s="55"/>
      <c r="AP176" s="56" t="str">
        <f t="shared" si="83"/>
        <v/>
      </c>
      <c r="AQ176" s="55"/>
      <c r="AR176" s="56" t="str">
        <f t="shared" si="84"/>
        <v/>
      </c>
      <c r="AS176" s="57"/>
      <c r="AT176" s="58"/>
      <c r="AU176" s="58"/>
      <c r="AV176" s="59"/>
      <c r="AW176" s="60">
        <v>1</v>
      </c>
      <c r="AX176" s="61">
        <f t="shared" si="63"/>
        <v>2</v>
      </c>
      <c r="AY176" s="60">
        <v>1</v>
      </c>
      <c r="AZ176" s="61">
        <f t="shared" si="65"/>
        <v>2</v>
      </c>
    </row>
    <row r="177" spans="1:52" s="3" customFormat="1" hidden="1" x14ac:dyDescent="0.35">
      <c r="A177" s="72">
        <f t="shared" si="66"/>
        <v>2019</v>
      </c>
      <c r="B177" s="72" t="str">
        <f t="shared" si="67"/>
        <v>Nov</v>
      </c>
      <c r="C177" s="73">
        <f t="shared" si="85"/>
        <v>18</v>
      </c>
      <c r="D177" s="74">
        <f t="shared" si="68"/>
        <v>11</v>
      </c>
      <c r="E177" s="75">
        <f t="shared" si="69"/>
        <v>51</v>
      </c>
      <c r="F177" s="79"/>
      <c r="G177" s="82"/>
      <c r="H177" s="68" t="str">
        <f t="shared" si="86"/>
        <v>Senbur7_20191118_11_00</v>
      </c>
      <c r="I177" s="69">
        <f t="shared" si="89"/>
        <v>1</v>
      </c>
      <c r="J177" s="76" t="str">
        <f t="shared" si="89"/>
        <v>Senecio</v>
      </c>
      <c r="K177" s="76" t="str">
        <f t="shared" si="89"/>
        <v>burtoni</v>
      </c>
      <c r="L177" s="77">
        <f t="shared" si="89"/>
        <v>7</v>
      </c>
      <c r="M177" s="77">
        <f t="shared" si="89"/>
        <v>7</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18</v>
      </c>
      <c r="D178" s="74">
        <f t="shared" si="68"/>
        <v>11</v>
      </c>
      <c r="E178" s="75">
        <f t="shared" si="69"/>
        <v>52</v>
      </c>
      <c r="F178" s="79">
        <v>32</v>
      </c>
      <c r="G178" s="82"/>
      <c r="H178" s="68" t="str">
        <f t="shared" si="86"/>
        <v>Senbur7_20191118_11_00</v>
      </c>
      <c r="I178" s="69">
        <f t="shared" si="89"/>
        <v>1</v>
      </c>
      <c r="J178" s="76" t="str">
        <f t="shared" si="89"/>
        <v>Senecio</v>
      </c>
      <c r="K178" s="76" t="str">
        <f t="shared" si="89"/>
        <v>burtoni</v>
      </c>
      <c r="L178" s="77">
        <f t="shared" si="89"/>
        <v>7</v>
      </c>
      <c r="M178" s="77">
        <f t="shared" si="89"/>
        <v>7</v>
      </c>
      <c r="N178" s="71">
        <f t="shared" si="89"/>
        <v>0</v>
      </c>
      <c r="O178" s="44"/>
      <c r="P178" s="45">
        <f t="shared" si="70"/>
        <v>1</v>
      </c>
      <c r="Q178" s="46" t="str">
        <f t="shared" si="71"/>
        <v>11:52:32</v>
      </c>
      <c r="R178" s="47" t="str">
        <f t="shared" si="72"/>
        <v>52:32</v>
      </c>
      <c r="S178" s="48">
        <f t="shared" si="61"/>
        <v>6</v>
      </c>
      <c r="T178" s="47" t="str">
        <f t="shared" si="73"/>
        <v>11</v>
      </c>
      <c r="U178" s="49">
        <v>52</v>
      </c>
      <c r="V178" s="50">
        <v>38</v>
      </c>
      <c r="W178" s="51" t="str">
        <f t="shared" si="74"/>
        <v>52:38</v>
      </c>
      <c r="X178" s="52" t="s">
        <v>63</v>
      </c>
      <c r="Y178" s="124" t="s">
        <v>83</v>
      </c>
      <c r="Z178" s="124"/>
      <c r="AA178" s="47" t="s">
        <v>59</v>
      </c>
      <c r="AB178" s="47" t="str">
        <f t="shared" si="75"/>
        <v>NA</v>
      </c>
      <c r="AC178" s="53">
        <f t="shared" si="76"/>
        <v>0</v>
      </c>
      <c r="AD178" s="54">
        <f t="shared" si="77"/>
        <v>1</v>
      </c>
      <c r="AE178" s="54"/>
      <c r="AF178" s="54"/>
      <c r="AG178" s="55">
        <v>1</v>
      </c>
      <c r="AH178" s="56">
        <v>1</v>
      </c>
      <c r="AI178" s="55"/>
      <c r="AJ178" s="56" t="str">
        <f t="shared" si="80"/>
        <v/>
      </c>
      <c r="AK178" s="55"/>
      <c r="AL178" s="56" t="str">
        <f t="shared" si="81"/>
        <v/>
      </c>
      <c r="AM178" s="55">
        <v>1</v>
      </c>
      <c r="AN178" s="56">
        <v>5</v>
      </c>
      <c r="AO178" s="55"/>
      <c r="AP178" s="56" t="str">
        <f t="shared" si="83"/>
        <v/>
      </c>
      <c r="AQ178" s="55"/>
      <c r="AR178" s="56" t="str">
        <f t="shared" si="84"/>
        <v/>
      </c>
      <c r="AS178" s="57"/>
      <c r="AT178" s="58"/>
      <c r="AU178" s="58"/>
      <c r="AV178" s="59"/>
      <c r="AW178" s="60">
        <v>1</v>
      </c>
      <c r="AX178" s="61">
        <f t="shared" si="63"/>
        <v>1</v>
      </c>
      <c r="AY178" s="60">
        <f t="shared" si="64"/>
        <v>0</v>
      </c>
      <c r="AZ178" s="61" t="str">
        <f t="shared" si="65"/>
        <v/>
      </c>
    </row>
    <row r="179" spans="1:52" s="3" customFormat="1" hidden="1" x14ac:dyDescent="0.35">
      <c r="A179" s="72">
        <f t="shared" si="66"/>
        <v>2019</v>
      </c>
      <c r="B179" s="72" t="str">
        <f t="shared" si="67"/>
        <v>Nov</v>
      </c>
      <c r="C179" s="73">
        <f t="shared" si="85"/>
        <v>18</v>
      </c>
      <c r="D179" s="74">
        <f t="shared" si="68"/>
        <v>11</v>
      </c>
      <c r="E179" s="75">
        <f t="shared" si="69"/>
        <v>53</v>
      </c>
      <c r="F179" s="79"/>
      <c r="G179" s="82"/>
      <c r="H179" s="68" t="str">
        <f t="shared" si="86"/>
        <v>Senbur7_20191118_11_00</v>
      </c>
      <c r="I179" s="69">
        <f t="shared" si="89"/>
        <v>1</v>
      </c>
      <c r="J179" s="76" t="str">
        <f t="shared" si="89"/>
        <v>Senecio</v>
      </c>
      <c r="K179" s="76" t="str">
        <f t="shared" si="89"/>
        <v>burtoni</v>
      </c>
      <c r="L179" s="77">
        <f t="shared" si="89"/>
        <v>7</v>
      </c>
      <c r="M179" s="77">
        <f t="shared" si="89"/>
        <v>7</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2019</v>
      </c>
      <c r="B180" s="72" t="str">
        <f t="shared" si="67"/>
        <v>Nov</v>
      </c>
      <c r="C180" s="73">
        <f t="shared" si="85"/>
        <v>18</v>
      </c>
      <c r="D180" s="74">
        <f t="shared" si="68"/>
        <v>11</v>
      </c>
      <c r="E180" s="75">
        <f t="shared" si="69"/>
        <v>54</v>
      </c>
      <c r="F180" s="79">
        <v>23</v>
      </c>
      <c r="G180" s="82"/>
      <c r="H180" s="68" t="str">
        <f t="shared" si="86"/>
        <v>Senbur7_20191118_11_00</v>
      </c>
      <c r="I180" s="69">
        <f t="shared" si="89"/>
        <v>1</v>
      </c>
      <c r="J180" s="76" t="str">
        <f t="shared" si="89"/>
        <v>Senecio</v>
      </c>
      <c r="K180" s="76" t="str">
        <f t="shared" si="89"/>
        <v>burtoni</v>
      </c>
      <c r="L180" s="77">
        <f t="shared" si="89"/>
        <v>7</v>
      </c>
      <c r="M180" s="77">
        <f t="shared" si="89"/>
        <v>7</v>
      </c>
      <c r="N180" s="71">
        <f t="shared" si="89"/>
        <v>0</v>
      </c>
      <c r="O180" s="44"/>
      <c r="P180" s="45">
        <f t="shared" si="70"/>
        <v>1</v>
      </c>
      <c r="Q180" s="46" t="str">
        <f t="shared" si="71"/>
        <v>11:54:23</v>
      </c>
      <c r="R180" s="47" t="str">
        <f t="shared" si="72"/>
        <v>54:23</v>
      </c>
      <c r="S180" s="48">
        <f t="shared" si="61"/>
        <v>63</v>
      </c>
      <c r="T180" s="47" t="str">
        <f t="shared" si="73"/>
        <v>11</v>
      </c>
      <c r="U180" s="49">
        <v>55</v>
      </c>
      <c r="V180" s="50">
        <v>26</v>
      </c>
      <c r="W180" s="51" t="str">
        <f t="shared" si="74"/>
        <v>55:26</v>
      </c>
      <c r="X180" s="52" t="s">
        <v>62</v>
      </c>
      <c r="Y180" s="124" t="s">
        <v>84</v>
      </c>
      <c r="Z180" s="124"/>
      <c r="AA180" s="47" t="s">
        <v>77</v>
      </c>
      <c r="AB180" s="47" t="str">
        <f t="shared" si="75"/>
        <v>NA</v>
      </c>
      <c r="AC180" s="53">
        <f t="shared" si="76"/>
        <v>0</v>
      </c>
      <c r="AD180" s="54">
        <v>3</v>
      </c>
      <c r="AE180" s="54"/>
      <c r="AF180" s="54"/>
      <c r="AG180" s="55">
        <v>1</v>
      </c>
      <c r="AH180" s="56">
        <v>5</v>
      </c>
      <c r="AI180" s="55"/>
      <c r="AJ180" s="56" t="str">
        <f t="shared" si="80"/>
        <v/>
      </c>
      <c r="AK180" s="55">
        <v>1</v>
      </c>
      <c r="AL180" s="56">
        <v>37</v>
      </c>
      <c r="AM180" s="55">
        <v>1</v>
      </c>
      <c r="AN180" s="56">
        <v>21</v>
      </c>
      <c r="AO180" s="55"/>
      <c r="AP180" s="56" t="str">
        <f t="shared" si="83"/>
        <v/>
      </c>
      <c r="AQ180" s="55"/>
      <c r="AR180" s="56" t="str">
        <f t="shared" si="84"/>
        <v/>
      </c>
      <c r="AS180" s="57"/>
      <c r="AT180" s="58"/>
      <c r="AU180" s="58"/>
      <c r="AV180" s="59"/>
      <c r="AW180" s="60">
        <v>1</v>
      </c>
      <c r="AX180" s="61">
        <f t="shared" si="63"/>
        <v>3</v>
      </c>
      <c r="AY180" s="60">
        <v>1</v>
      </c>
      <c r="AZ180" s="61">
        <f t="shared" si="65"/>
        <v>3</v>
      </c>
    </row>
    <row r="181" spans="1:52" s="3" customFormat="1" hidden="1" x14ac:dyDescent="0.35">
      <c r="A181" s="72">
        <f t="shared" si="66"/>
        <v>2019</v>
      </c>
      <c r="B181" s="72" t="str">
        <f t="shared" si="67"/>
        <v>Nov</v>
      </c>
      <c r="C181" s="73">
        <f t="shared" si="85"/>
        <v>18</v>
      </c>
      <c r="D181" s="74">
        <f t="shared" si="68"/>
        <v>11</v>
      </c>
      <c r="E181" s="75">
        <f t="shared" si="69"/>
        <v>55</v>
      </c>
      <c r="F181" s="79">
        <v>49</v>
      </c>
      <c r="G181" s="82"/>
      <c r="H181" s="68" t="str">
        <f t="shared" si="86"/>
        <v>Senbur7_20191118_11_00</v>
      </c>
      <c r="I181" s="69">
        <f t="shared" ref="I181:N196" si="90">I180</f>
        <v>1</v>
      </c>
      <c r="J181" s="76" t="str">
        <f t="shared" si="90"/>
        <v>Senecio</v>
      </c>
      <c r="K181" s="76" t="str">
        <f t="shared" si="90"/>
        <v>burtoni</v>
      </c>
      <c r="L181" s="77">
        <f t="shared" si="90"/>
        <v>7</v>
      </c>
      <c r="M181" s="77">
        <f t="shared" si="90"/>
        <v>7</v>
      </c>
      <c r="N181" s="71">
        <f t="shared" si="90"/>
        <v>0</v>
      </c>
      <c r="O181" s="44"/>
      <c r="P181" s="45">
        <f t="shared" si="70"/>
        <v>1</v>
      </c>
      <c r="Q181" s="46" t="str">
        <f t="shared" si="71"/>
        <v>11:55:49</v>
      </c>
      <c r="R181" s="47" t="str">
        <f t="shared" si="72"/>
        <v>55:49</v>
      </c>
      <c r="S181" s="48">
        <f t="shared" si="61"/>
        <v>14</v>
      </c>
      <c r="T181" s="47" t="str">
        <f t="shared" si="73"/>
        <v>11</v>
      </c>
      <c r="U181" s="49">
        <v>56</v>
      </c>
      <c r="V181" s="50">
        <v>3</v>
      </c>
      <c r="W181" s="51" t="str">
        <f t="shared" si="74"/>
        <v>56:03</v>
      </c>
      <c r="X181" s="52" t="s">
        <v>63</v>
      </c>
      <c r="Y181" s="124" t="s">
        <v>83</v>
      </c>
      <c r="Z181" s="124"/>
      <c r="AA181" s="47" t="s">
        <v>59</v>
      </c>
      <c r="AB181" s="47" t="str">
        <f t="shared" si="75"/>
        <v>NA</v>
      </c>
      <c r="AC181" s="53">
        <f t="shared" si="76"/>
        <v>0</v>
      </c>
      <c r="AD181" s="54">
        <f t="shared" si="77"/>
        <v>1</v>
      </c>
      <c r="AE181" s="54"/>
      <c r="AF181" s="54"/>
      <c r="AG181" s="55">
        <v>1</v>
      </c>
      <c r="AH181" s="56">
        <v>4</v>
      </c>
      <c r="AI181" s="55"/>
      <c r="AJ181" s="56" t="str">
        <f t="shared" si="80"/>
        <v/>
      </c>
      <c r="AK181" s="55"/>
      <c r="AL181" s="56" t="str">
        <f t="shared" si="81"/>
        <v/>
      </c>
      <c r="AM181" s="55">
        <v>1</v>
      </c>
      <c r="AN181" s="56">
        <v>10</v>
      </c>
      <c r="AO181" s="55"/>
      <c r="AP181" s="56" t="str">
        <f t="shared" si="83"/>
        <v/>
      </c>
      <c r="AQ181" s="55"/>
      <c r="AR181" s="56" t="str">
        <f t="shared" si="84"/>
        <v/>
      </c>
      <c r="AS181" s="57"/>
      <c r="AT181" s="58"/>
      <c r="AU181" s="58"/>
      <c r="AV181" s="59"/>
      <c r="AW181" s="60">
        <v>1</v>
      </c>
      <c r="AX181" s="61">
        <f t="shared" si="63"/>
        <v>1</v>
      </c>
      <c r="AY181" s="60">
        <v>1</v>
      </c>
      <c r="AZ181" s="61">
        <f t="shared" si="65"/>
        <v>1</v>
      </c>
    </row>
    <row r="182" spans="1:52" s="3" customFormat="1" hidden="1" x14ac:dyDescent="0.35">
      <c r="A182" s="72">
        <f t="shared" si="66"/>
        <v>2019</v>
      </c>
      <c r="B182" s="72" t="str">
        <f t="shared" si="67"/>
        <v>Nov</v>
      </c>
      <c r="C182" s="73">
        <f t="shared" si="85"/>
        <v>18</v>
      </c>
      <c r="D182" s="74">
        <f t="shared" si="68"/>
        <v>11</v>
      </c>
      <c r="E182" s="75">
        <v>55</v>
      </c>
      <c r="F182" s="79">
        <v>52</v>
      </c>
      <c r="G182" s="82"/>
      <c r="H182" s="68" t="str">
        <f t="shared" si="86"/>
        <v>Senbur7_20191118_11_00</v>
      </c>
      <c r="I182" s="69">
        <f t="shared" si="90"/>
        <v>1</v>
      </c>
      <c r="J182" s="76" t="str">
        <f t="shared" si="90"/>
        <v>Senecio</v>
      </c>
      <c r="K182" s="76" t="str">
        <f t="shared" si="90"/>
        <v>burtoni</v>
      </c>
      <c r="L182" s="77">
        <f t="shared" si="90"/>
        <v>7</v>
      </c>
      <c r="M182" s="77">
        <f t="shared" si="90"/>
        <v>7</v>
      </c>
      <c r="N182" s="71">
        <f t="shared" si="90"/>
        <v>0</v>
      </c>
      <c r="O182" s="44"/>
      <c r="P182" s="45">
        <f t="shared" si="70"/>
        <v>1</v>
      </c>
      <c r="Q182" s="46" t="str">
        <f t="shared" si="71"/>
        <v>11:55:52</v>
      </c>
      <c r="R182" s="47" t="str">
        <f t="shared" si="72"/>
        <v>55:52</v>
      </c>
      <c r="S182" s="48">
        <f t="shared" si="61"/>
        <v>6</v>
      </c>
      <c r="T182" s="47" t="str">
        <f t="shared" si="73"/>
        <v>11</v>
      </c>
      <c r="U182" s="49">
        <v>55</v>
      </c>
      <c r="V182" s="50">
        <v>58</v>
      </c>
      <c r="W182" s="51" t="str">
        <f t="shared" si="74"/>
        <v>55:58</v>
      </c>
      <c r="X182" s="52" t="s">
        <v>63</v>
      </c>
      <c r="Y182" s="124" t="s">
        <v>83</v>
      </c>
      <c r="Z182" s="124"/>
      <c r="AA182" s="47" t="s">
        <v>59</v>
      </c>
      <c r="AB182" s="47" t="str">
        <f t="shared" si="75"/>
        <v>NA</v>
      </c>
      <c r="AC182" s="53">
        <f t="shared" si="76"/>
        <v>0</v>
      </c>
      <c r="AD182" s="54">
        <f t="shared" si="77"/>
        <v>1</v>
      </c>
      <c r="AE182" s="54"/>
      <c r="AF182" s="54"/>
      <c r="AG182" s="55"/>
      <c r="AH182" s="56" t="str">
        <f t="shared" si="79"/>
        <v/>
      </c>
      <c r="AI182" s="55"/>
      <c r="AJ182" s="56" t="str">
        <f t="shared" si="80"/>
        <v/>
      </c>
      <c r="AK182" s="55"/>
      <c r="AL182" s="56" t="str">
        <f t="shared" si="81"/>
        <v/>
      </c>
      <c r="AM182" s="55">
        <v>1</v>
      </c>
      <c r="AN182" s="56">
        <f t="shared" si="82"/>
        <v>6</v>
      </c>
      <c r="AO182" s="55"/>
      <c r="AP182" s="56" t="str">
        <f t="shared" si="83"/>
        <v/>
      </c>
      <c r="AQ182" s="55"/>
      <c r="AR182" s="56" t="str">
        <f t="shared" si="84"/>
        <v/>
      </c>
      <c r="AS182" s="57"/>
      <c r="AT182" s="58"/>
      <c r="AU182" s="58"/>
      <c r="AV182" s="59"/>
      <c r="AW182" s="60">
        <v>1</v>
      </c>
      <c r="AX182" s="61">
        <f t="shared" si="63"/>
        <v>1</v>
      </c>
      <c r="AY182" s="60">
        <v>1</v>
      </c>
      <c r="AZ182" s="61">
        <f t="shared" si="65"/>
        <v>1</v>
      </c>
    </row>
    <row r="183" spans="1:52" s="3" customFormat="1" hidden="1" x14ac:dyDescent="0.35">
      <c r="A183" s="72">
        <f t="shared" si="66"/>
        <v>2019</v>
      </c>
      <c r="B183" s="72" t="str">
        <f t="shared" si="67"/>
        <v>Nov</v>
      </c>
      <c r="C183" s="73">
        <f t="shared" si="85"/>
        <v>18</v>
      </c>
      <c r="D183" s="74">
        <f t="shared" si="68"/>
        <v>11</v>
      </c>
      <c r="E183" s="75">
        <f t="shared" si="69"/>
        <v>56</v>
      </c>
      <c r="F183" s="79"/>
      <c r="G183" s="82"/>
      <c r="H183" s="68" t="str">
        <f t="shared" si="86"/>
        <v>Senbur7_20191118_11_00</v>
      </c>
      <c r="I183" s="69">
        <f t="shared" si="90"/>
        <v>1</v>
      </c>
      <c r="J183" s="76" t="str">
        <f t="shared" si="90"/>
        <v>Senecio</v>
      </c>
      <c r="K183" s="76" t="str">
        <f t="shared" si="90"/>
        <v>burtoni</v>
      </c>
      <c r="L183" s="77">
        <f t="shared" si="90"/>
        <v>7</v>
      </c>
      <c r="M183" s="77">
        <f t="shared" si="90"/>
        <v>7</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18</v>
      </c>
      <c r="D184" s="74">
        <f t="shared" si="68"/>
        <v>11</v>
      </c>
      <c r="E184" s="75">
        <f t="shared" si="69"/>
        <v>57</v>
      </c>
      <c r="F184" s="79"/>
      <c r="G184" s="82"/>
      <c r="H184" s="68" t="str">
        <f t="shared" si="86"/>
        <v>Senbur7_20191118_11_00</v>
      </c>
      <c r="I184" s="69">
        <f t="shared" si="90"/>
        <v>1</v>
      </c>
      <c r="J184" s="76" t="str">
        <f t="shared" si="90"/>
        <v>Senecio</v>
      </c>
      <c r="K184" s="76" t="str">
        <f t="shared" si="90"/>
        <v>burtoni</v>
      </c>
      <c r="L184" s="77">
        <f t="shared" si="90"/>
        <v>7</v>
      </c>
      <c r="M184" s="77">
        <f t="shared" si="90"/>
        <v>7</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18</v>
      </c>
      <c r="D185" s="74">
        <f t="shared" si="68"/>
        <v>11</v>
      </c>
      <c r="E185" s="75">
        <f t="shared" si="69"/>
        <v>58</v>
      </c>
      <c r="F185" s="79">
        <v>47</v>
      </c>
      <c r="G185" s="82"/>
      <c r="H185" s="68" t="str">
        <f t="shared" si="86"/>
        <v>Senbur7_20191118_11_00</v>
      </c>
      <c r="I185" s="69">
        <f t="shared" si="90"/>
        <v>1</v>
      </c>
      <c r="J185" s="76" t="str">
        <f t="shared" si="90"/>
        <v>Senecio</v>
      </c>
      <c r="K185" s="76" t="str">
        <f t="shared" si="90"/>
        <v>burtoni</v>
      </c>
      <c r="L185" s="77">
        <f t="shared" si="90"/>
        <v>7</v>
      </c>
      <c r="M185" s="77">
        <f t="shared" si="90"/>
        <v>7</v>
      </c>
      <c r="N185" s="71">
        <f t="shared" si="90"/>
        <v>0</v>
      </c>
      <c r="O185" s="44"/>
      <c r="P185" s="45">
        <f t="shared" si="70"/>
        <v>1</v>
      </c>
      <c r="Q185" s="46" t="str">
        <f t="shared" si="71"/>
        <v>11:58:47</v>
      </c>
      <c r="R185" s="47" t="str">
        <f t="shared" si="72"/>
        <v>58:47</v>
      </c>
      <c r="S185" s="48">
        <f t="shared" si="61"/>
        <v>127</v>
      </c>
      <c r="T185" s="47">
        <v>12</v>
      </c>
      <c r="U185" s="49">
        <v>0</v>
      </c>
      <c r="V185" s="50">
        <v>54</v>
      </c>
      <c r="W185" s="51" t="str">
        <f t="shared" si="74"/>
        <v>00:54</v>
      </c>
      <c r="X185" s="52" t="s">
        <v>63</v>
      </c>
      <c r="Y185" s="124" t="s">
        <v>82</v>
      </c>
      <c r="Z185" s="124"/>
      <c r="AA185" s="47" t="s">
        <v>59</v>
      </c>
      <c r="AB185" s="47" t="str">
        <f t="shared" si="75"/>
        <v>NA</v>
      </c>
      <c r="AC185" s="53">
        <f t="shared" si="76"/>
        <v>0</v>
      </c>
      <c r="AD185" s="54">
        <v>4</v>
      </c>
      <c r="AE185" s="54"/>
      <c r="AF185" s="54"/>
      <c r="AG185" s="55">
        <v>1</v>
      </c>
      <c r="AH185" s="56">
        <v>27</v>
      </c>
      <c r="AI185" s="55"/>
      <c r="AJ185" s="56" t="str">
        <f t="shared" si="80"/>
        <v/>
      </c>
      <c r="AK185" s="55">
        <v>1</v>
      </c>
      <c r="AL185" s="56">
        <v>25</v>
      </c>
      <c r="AM185" s="55">
        <v>1</v>
      </c>
      <c r="AN185" s="56">
        <v>75</v>
      </c>
      <c r="AO185" s="55"/>
      <c r="AP185" s="56" t="str">
        <f t="shared" si="83"/>
        <v/>
      </c>
      <c r="AQ185" s="55"/>
      <c r="AR185" s="56" t="str">
        <f t="shared" si="84"/>
        <v/>
      </c>
      <c r="AS185" s="57"/>
      <c r="AT185" s="58"/>
      <c r="AU185" s="58"/>
      <c r="AV185" s="59"/>
      <c r="AW185" s="60">
        <v>1</v>
      </c>
      <c r="AX185" s="61">
        <v>3</v>
      </c>
      <c r="AY185" s="60">
        <v>1</v>
      </c>
      <c r="AZ185" s="61">
        <v>3</v>
      </c>
    </row>
    <row r="186" spans="1:52" s="3" customFormat="1" hidden="1" x14ac:dyDescent="0.35">
      <c r="A186" s="72">
        <f t="shared" si="66"/>
        <v>2019</v>
      </c>
      <c r="B186" s="72" t="str">
        <f t="shared" si="67"/>
        <v>Nov</v>
      </c>
      <c r="C186" s="73">
        <f t="shared" si="85"/>
        <v>18</v>
      </c>
      <c r="D186" s="74">
        <f t="shared" si="68"/>
        <v>11</v>
      </c>
      <c r="E186" s="75">
        <f t="shared" si="69"/>
        <v>59</v>
      </c>
      <c r="F186" s="79">
        <v>14</v>
      </c>
      <c r="G186" s="82"/>
      <c r="H186" s="68" t="str">
        <f t="shared" si="86"/>
        <v>Senbur7_20191118_11_00</v>
      </c>
      <c r="I186" s="69">
        <f t="shared" si="90"/>
        <v>1</v>
      </c>
      <c r="J186" s="76" t="str">
        <f t="shared" si="90"/>
        <v>Senecio</v>
      </c>
      <c r="K186" s="76" t="str">
        <f t="shared" si="90"/>
        <v>burtoni</v>
      </c>
      <c r="L186" s="77">
        <f t="shared" si="90"/>
        <v>7</v>
      </c>
      <c r="M186" s="77">
        <f t="shared" si="90"/>
        <v>7</v>
      </c>
      <c r="N186" s="71">
        <f t="shared" si="90"/>
        <v>0</v>
      </c>
      <c r="O186" s="44"/>
      <c r="P186" s="45">
        <f t="shared" si="70"/>
        <v>1</v>
      </c>
      <c r="Q186" s="46" t="str">
        <f t="shared" si="71"/>
        <v>11:59:14</v>
      </c>
      <c r="R186" s="47" t="str">
        <f t="shared" si="72"/>
        <v>59:14</v>
      </c>
      <c r="S186" s="48">
        <f t="shared" si="61"/>
        <v>17</v>
      </c>
      <c r="T186" s="47" t="str">
        <f t="shared" si="73"/>
        <v>11</v>
      </c>
      <c r="U186" s="49">
        <v>59</v>
      </c>
      <c r="V186" s="50">
        <v>31</v>
      </c>
      <c r="W186" s="51" t="str">
        <f t="shared" si="74"/>
        <v>59:31</v>
      </c>
      <c r="X186" s="52" t="s">
        <v>63</v>
      </c>
      <c r="Y186" s="124" t="s">
        <v>83</v>
      </c>
      <c r="Z186" s="124"/>
      <c r="AA186" s="47" t="s">
        <v>59</v>
      </c>
      <c r="AB186" s="47" t="str">
        <f t="shared" si="75"/>
        <v>NA</v>
      </c>
      <c r="AC186" s="53">
        <f t="shared" si="76"/>
        <v>0</v>
      </c>
      <c r="AD186" s="54">
        <f t="shared" si="77"/>
        <v>1</v>
      </c>
      <c r="AE186" s="54"/>
      <c r="AF186" s="54"/>
      <c r="AG186" s="55">
        <v>1</v>
      </c>
      <c r="AH186" s="56">
        <v>5</v>
      </c>
      <c r="AI186" s="55"/>
      <c r="AJ186" s="56" t="str">
        <f t="shared" si="80"/>
        <v/>
      </c>
      <c r="AK186" s="55"/>
      <c r="AL186" s="56" t="str">
        <f t="shared" si="81"/>
        <v/>
      </c>
      <c r="AM186" s="55">
        <v>1</v>
      </c>
      <c r="AN186" s="56">
        <v>12</v>
      </c>
      <c r="AO186" s="55"/>
      <c r="AP186" s="56" t="str">
        <f t="shared" si="83"/>
        <v/>
      </c>
      <c r="AQ186" s="55"/>
      <c r="AR186" s="56" t="str">
        <f t="shared" si="84"/>
        <v/>
      </c>
      <c r="AS186" s="57"/>
      <c r="AT186" s="58"/>
      <c r="AU186" s="58"/>
      <c r="AV186" s="59"/>
      <c r="AW186" s="60">
        <v>1</v>
      </c>
      <c r="AX186" s="61">
        <f t="shared" si="63"/>
        <v>1</v>
      </c>
      <c r="AY186" s="60">
        <v>1</v>
      </c>
      <c r="AZ186" s="61">
        <f t="shared" si="65"/>
        <v>1</v>
      </c>
    </row>
    <row r="187" spans="1:52" s="3" customFormat="1" hidden="1" x14ac:dyDescent="0.35">
      <c r="A187" s="72">
        <f t="shared" si="66"/>
        <v>2019</v>
      </c>
      <c r="B187" s="72" t="str">
        <f t="shared" si="67"/>
        <v>Nov</v>
      </c>
      <c r="C187" s="73">
        <f t="shared" si="85"/>
        <v>18</v>
      </c>
      <c r="D187" s="74">
        <v>11</v>
      </c>
      <c r="E187" s="75">
        <v>59</v>
      </c>
      <c r="F187" s="79">
        <v>51</v>
      </c>
      <c r="G187" s="82"/>
      <c r="H187" s="68" t="str">
        <f t="shared" si="86"/>
        <v>Senbur7_20191118_11_00</v>
      </c>
      <c r="I187" s="69">
        <f t="shared" si="90"/>
        <v>1</v>
      </c>
      <c r="J187" s="76" t="str">
        <f t="shared" si="90"/>
        <v>Senecio</v>
      </c>
      <c r="K187" s="76" t="str">
        <f t="shared" si="90"/>
        <v>burtoni</v>
      </c>
      <c r="L187" s="77">
        <f t="shared" si="90"/>
        <v>7</v>
      </c>
      <c r="M187" s="77">
        <f t="shared" si="90"/>
        <v>7</v>
      </c>
      <c r="N187" s="71">
        <f t="shared" si="90"/>
        <v>0</v>
      </c>
      <c r="O187" s="44"/>
      <c r="P187" s="45">
        <f t="shared" si="70"/>
        <v>1</v>
      </c>
      <c r="Q187" s="46" t="str">
        <f t="shared" si="71"/>
        <v>11:59:51</v>
      </c>
      <c r="R187" s="47" t="str">
        <f t="shared" si="72"/>
        <v>59:51</v>
      </c>
      <c r="S187" s="48">
        <f t="shared" si="61"/>
        <v>27</v>
      </c>
      <c r="T187" s="47">
        <v>12</v>
      </c>
      <c r="U187" s="49">
        <v>0</v>
      </c>
      <c r="V187" s="50">
        <v>18</v>
      </c>
      <c r="W187" s="51" t="str">
        <f t="shared" si="74"/>
        <v>00:18</v>
      </c>
      <c r="X187" s="52" t="s">
        <v>63</v>
      </c>
      <c r="Y187" s="124" t="s">
        <v>83</v>
      </c>
      <c r="Z187" s="124"/>
      <c r="AA187" s="47" t="s">
        <v>59</v>
      </c>
      <c r="AB187" s="47" t="str">
        <f t="shared" si="75"/>
        <v>NA</v>
      </c>
      <c r="AC187" s="53">
        <f t="shared" si="76"/>
        <v>0</v>
      </c>
      <c r="AD187" s="54">
        <f t="shared" si="77"/>
        <v>1</v>
      </c>
      <c r="AE187" s="54"/>
      <c r="AF187" s="54"/>
      <c r="AG187" s="55">
        <v>1</v>
      </c>
      <c r="AH187" s="56">
        <v>7</v>
      </c>
      <c r="AI187" s="55"/>
      <c r="AJ187" s="56" t="str">
        <f t="shared" si="80"/>
        <v/>
      </c>
      <c r="AK187" s="55"/>
      <c r="AL187" s="56" t="str">
        <f t="shared" si="81"/>
        <v/>
      </c>
      <c r="AM187" s="55">
        <v>1</v>
      </c>
      <c r="AN187" s="56">
        <v>20</v>
      </c>
      <c r="AO187" s="55"/>
      <c r="AP187" s="56" t="str">
        <f t="shared" si="83"/>
        <v/>
      </c>
      <c r="AQ187" s="55"/>
      <c r="AR187" s="56" t="str">
        <f t="shared" si="84"/>
        <v/>
      </c>
      <c r="AS187" s="57"/>
      <c r="AT187" s="58"/>
      <c r="AU187" s="58"/>
      <c r="AV187" s="59"/>
      <c r="AW187" s="60">
        <v>1</v>
      </c>
      <c r="AX187" s="61">
        <f t="shared" si="63"/>
        <v>1</v>
      </c>
      <c r="AY187" s="60">
        <v>1</v>
      </c>
      <c r="AZ187" s="61">
        <f t="shared" si="65"/>
        <v>1</v>
      </c>
    </row>
    <row r="188" spans="1:52" s="3" customFormat="1" hidden="1" x14ac:dyDescent="0.35">
      <c r="A188" s="72">
        <f t="shared" si="66"/>
        <v>2019</v>
      </c>
      <c r="B188" s="72" t="str">
        <f t="shared" si="67"/>
        <v>Nov</v>
      </c>
      <c r="C188" s="73">
        <f t="shared" si="85"/>
        <v>18</v>
      </c>
      <c r="D188" s="74">
        <f t="shared" si="68"/>
        <v>12</v>
      </c>
      <c r="E188" s="75">
        <f t="shared" si="69"/>
        <v>0</v>
      </c>
      <c r="F188" s="79"/>
      <c r="G188" s="82"/>
      <c r="H188" s="68" t="str">
        <f t="shared" si="86"/>
        <v>Senbur7_20191118_12_00</v>
      </c>
      <c r="I188" s="69">
        <f t="shared" si="90"/>
        <v>1</v>
      </c>
      <c r="J188" s="76" t="str">
        <f t="shared" si="90"/>
        <v>Senecio</v>
      </c>
      <c r="K188" s="76" t="str">
        <f t="shared" si="90"/>
        <v>burtoni</v>
      </c>
      <c r="L188" s="77">
        <f t="shared" si="90"/>
        <v>7</v>
      </c>
      <c r="M188" s="77">
        <f t="shared" si="90"/>
        <v>7</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18</v>
      </c>
      <c r="D189" s="74">
        <f t="shared" si="68"/>
        <v>12</v>
      </c>
      <c r="E189" s="75">
        <f t="shared" si="69"/>
        <v>1</v>
      </c>
      <c r="F189" s="79">
        <v>11</v>
      </c>
      <c r="G189" s="82"/>
      <c r="H189" s="68" t="str">
        <f t="shared" si="86"/>
        <v>Senbur7_20191118_12_00</v>
      </c>
      <c r="I189" s="69">
        <f t="shared" si="90"/>
        <v>1</v>
      </c>
      <c r="J189" s="76" t="str">
        <f t="shared" si="90"/>
        <v>Senecio</v>
      </c>
      <c r="K189" s="76" t="str">
        <f t="shared" si="90"/>
        <v>burtoni</v>
      </c>
      <c r="L189" s="77">
        <f t="shared" si="90"/>
        <v>7</v>
      </c>
      <c r="M189" s="77">
        <f t="shared" si="90"/>
        <v>7</v>
      </c>
      <c r="N189" s="71">
        <f t="shared" si="90"/>
        <v>0</v>
      </c>
      <c r="O189" s="44"/>
      <c r="P189" s="45">
        <f t="shared" si="70"/>
        <v>1</v>
      </c>
      <c r="Q189" s="46" t="str">
        <f t="shared" si="71"/>
        <v>12:01:11</v>
      </c>
      <c r="R189" s="47" t="str">
        <f t="shared" si="72"/>
        <v>01:11</v>
      </c>
      <c r="S189" s="48">
        <f t="shared" si="61"/>
        <v>17</v>
      </c>
      <c r="T189" s="47" t="str">
        <f t="shared" si="73"/>
        <v>12</v>
      </c>
      <c r="U189" s="49">
        <v>1</v>
      </c>
      <c r="V189" s="50">
        <v>28</v>
      </c>
      <c r="W189" s="51" t="str">
        <f t="shared" si="74"/>
        <v>01:28</v>
      </c>
      <c r="X189" s="52" t="s">
        <v>63</v>
      </c>
      <c r="Y189" s="124" t="s">
        <v>83</v>
      </c>
      <c r="Z189" s="124"/>
      <c r="AA189" s="47" t="s">
        <v>59</v>
      </c>
      <c r="AB189" s="47" t="str">
        <f t="shared" si="75"/>
        <v>NA</v>
      </c>
      <c r="AC189" s="53">
        <f t="shared" si="76"/>
        <v>0</v>
      </c>
      <c r="AD189" s="54">
        <f t="shared" si="77"/>
        <v>1</v>
      </c>
      <c r="AE189" s="54"/>
      <c r="AF189" s="54"/>
      <c r="AG189" s="55">
        <v>1</v>
      </c>
      <c r="AH189" s="56">
        <v>10</v>
      </c>
      <c r="AI189" s="55"/>
      <c r="AJ189" s="56" t="str">
        <f t="shared" si="80"/>
        <v/>
      </c>
      <c r="AK189" s="55"/>
      <c r="AL189" s="56" t="str">
        <f t="shared" si="81"/>
        <v/>
      </c>
      <c r="AM189" s="55">
        <v>1</v>
      </c>
      <c r="AN189" s="56">
        <v>7</v>
      </c>
      <c r="AO189" s="55"/>
      <c r="AP189" s="56" t="str">
        <f t="shared" si="83"/>
        <v/>
      </c>
      <c r="AQ189" s="55"/>
      <c r="AR189" s="56" t="str">
        <f t="shared" si="84"/>
        <v/>
      </c>
      <c r="AS189" s="57"/>
      <c r="AT189" s="58"/>
      <c r="AU189" s="58"/>
      <c r="AV189" s="59"/>
      <c r="AW189" s="60">
        <v>1</v>
      </c>
      <c r="AX189" s="61">
        <f t="shared" si="63"/>
        <v>1</v>
      </c>
      <c r="AY189" s="60">
        <v>1</v>
      </c>
      <c r="AZ189" s="61">
        <f t="shared" si="65"/>
        <v>1</v>
      </c>
    </row>
    <row r="190" spans="1:52" s="3" customFormat="1" hidden="1" x14ac:dyDescent="0.35">
      <c r="A190" s="72">
        <f t="shared" si="66"/>
        <v>2019</v>
      </c>
      <c r="B190" s="72" t="str">
        <f t="shared" si="67"/>
        <v>Nov</v>
      </c>
      <c r="C190" s="73">
        <f t="shared" si="85"/>
        <v>18</v>
      </c>
      <c r="D190" s="74">
        <f t="shared" si="68"/>
        <v>12</v>
      </c>
      <c r="E190" s="75">
        <v>1</v>
      </c>
      <c r="F190" s="79">
        <v>23</v>
      </c>
      <c r="G190" s="82"/>
      <c r="H190" s="68" t="str">
        <f t="shared" si="86"/>
        <v>Senbur7_20191118_12_00</v>
      </c>
      <c r="I190" s="69">
        <f t="shared" si="90"/>
        <v>1</v>
      </c>
      <c r="J190" s="76" t="str">
        <f t="shared" si="90"/>
        <v>Senecio</v>
      </c>
      <c r="K190" s="76" t="str">
        <f t="shared" si="90"/>
        <v>burtoni</v>
      </c>
      <c r="L190" s="77">
        <f t="shared" si="90"/>
        <v>7</v>
      </c>
      <c r="M190" s="77">
        <f t="shared" si="90"/>
        <v>7</v>
      </c>
      <c r="N190" s="71">
        <f t="shared" si="90"/>
        <v>0</v>
      </c>
      <c r="O190" s="44"/>
      <c r="P190" s="45">
        <f t="shared" si="70"/>
        <v>1</v>
      </c>
      <c r="Q190" s="46" t="str">
        <f t="shared" si="71"/>
        <v>12:01:23</v>
      </c>
      <c r="R190" s="47" t="str">
        <f t="shared" si="72"/>
        <v>01:23</v>
      </c>
      <c r="S190" s="48">
        <f t="shared" si="61"/>
        <v>20</v>
      </c>
      <c r="T190" s="47" t="str">
        <f t="shared" si="73"/>
        <v>12</v>
      </c>
      <c r="U190" s="49">
        <v>1</v>
      </c>
      <c r="V190" s="50">
        <v>43</v>
      </c>
      <c r="W190" s="51" t="str">
        <f t="shared" si="74"/>
        <v>01:43</v>
      </c>
      <c r="X190" s="52" t="s">
        <v>63</v>
      </c>
      <c r="Y190" s="124" t="s">
        <v>82</v>
      </c>
      <c r="Z190" s="124"/>
      <c r="AA190" s="47" t="s">
        <v>59</v>
      </c>
      <c r="AB190" s="47" t="str">
        <f t="shared" si="75"/>
        <v>NA</v>
      </c>
      <c r="AC190" s="53">
        <f t="shared" si="76"/>
        <v>0</v>
      </c>
      <c r="AD190" s="54">
        <v>2</v>
      </c>
      <c r="AE190" s="54"/>
      <c r="AF190" s="54"/>
      <c r="AG190" s="55">
        <v>1</v>
      </c>
      <c r="AH190" s="56">
        <v>10</v>
      </c>
      <c r="AI190" s="55"/>
      <c r="AJ190" s="56" t="str">
        <f t="shared" si="80"/>
        <v/>
      </c>
      <c r="AK190" s="55"/>
      <c r="AL190" s="56" t="str">
        <f t="shared" si="81"/>
        <v/>
      </c>
      <c r="AM190" s="55">
        <v>1</v>
      </c>
      <c r="AN190" s="56">
        <v>10</v>
      </c>
      <c r="AO190" s="55"/>
      <c r="AP190" s="56" t="str">
        <f t="shared" si="83"/>
        <v/>
      </c>
      <c r="AQ190" s="55"/>
      <c r="AR190" s="56" t="str">
        <f t="shared" si="84"/>
        <v/>
      </c>
      <c r="AS190" s="57"/>
      <c r="AT190" s="58"/>
      <c r="AU190" s="58"/>
      <c r="AV190" s="59"/>
      <c r="AW190" s="60">
        <v>1</v>
      </c>
      <c r="AX190" s="61">
        <v>1</v>
      </c>
      <c r="AY190" s="60">
        <v>1</v>
      </c>
      <c r="AZ190" s="61">
        <f t="shared" si="65"/>
        <v>2</v>
      </c>
    </row>
    <row r="191" spans="1:52" s="3" customFormat="1" hidden="1" x14ac:dyDescent="0.35">
      <c r="A191" s="72">
        <f t="shared" si="66"/>
        <v>2019</v>
      </c>
      <c r="B191" s="72" t="str">
        <f t="shared" si="67"/>
        <v>Nov</v>
      </c>
      <c r="C191" s="73">
        <f t="shared" si="85"/>
        <v>18</v>
      </c>
      <c r="D191" s="74">
        <f t="shared" si="68"/>
        <v>12</v>
      </c>
      <c r="E191" s="75">
        <v>1</v>
      </c>
      <c r="F191" s="79">
        <v>29</v>
      </c>
      <c r="G191" s="82"/>
      <c r="H191" s="68" t="str">
        <f t="shared" si="86"/>
        <v>Senbur7_20191118_12_00</v>
      </c>
      <c r="I191" s="69">
        <f t="shared" si="90"/>
        <v>1</v>
      </c>
      <c r="J191" s="76" t="str">
        <f t="shared" si="90"/>
        <v>Senecio</v>
      </c>
      <c r="K191" s="76" t="str">
        <f t="shared" si="90"/>
        <v>burtoni</v>
      </c>
      <c r="L191" s="77">
        <f t="shared" si="90"/>
        <v>7</v>
      </c>
      <c r="M191" s="77">
        <f t="shared" si="90"/>
        <v>7</v>
      </c>
      <c r="N191" s="71">
        <f t="shared" si="90"/>
        <v>0</v>
      </c>
      <c r="O191" s="44"/>
      <c r="P191" s="45">
        <f t="shared" si="70"/>
        <v>1</v>
      </c>
      <c r="Q191" s="46" t="str">
        <f t="shared" si="71"/>
        <v>12:01:29</v>
      </c>
      <c r="R191" s="47" t="str">
        <f t="shared" si="72"/>
        <v>01:29</v>
      </c>
      <c r="S191" s="48">
        <f t="shared" si="61"/>
        <v>29</v>
      </c>
      <c r="T191" s="47" t="str">
        <f t="shared" si="73"/>
        <v>12</v>
      </c>
      <c r="U191" s="49">
        <v>1</v>
      </c>
      <c r="V191" s="50">
        <v>58</v>
      </c>
      <c r="W191" s="51" t="str">
        <f t="shared" si="74"/>
        <v>01:58</v>
      </c>
      <c r="X191" s="52" t="s">
        <v>63</v>
      </c>
      <c r="Y191" s="124" t="s">
        <v>83</v>
      </c>
      <c r="Z191" s="124"/>
      <c r="AA191" s="47" t="s">
        <v>59</v>
      </c>
      <c r="AB191" s="47" t="str">
        <f t="shared" si="75"/>
        <v>NA</v>
      </c>
      <c r="AC191" s="53">
        <f t="shared" si="76"/>
        <v>0</v>
      </c>
      <c r="AD191" s="54">
        <f t="shared" si="77"/>
        <v>1</v>
      </c>
      <c r="AE191" s="54"/>
      <c r="AF191" s="54"/>
      <c r="AG191" s="55">
        <v>1</v>
      </c>
      <c r="AH191" s="56">
        <v>20</v>
      </c>
      <c r="AI191" s="55"/>
      <c r="AJ191" s="56" t="str">
        <f t="shared" si="80"/>
        <v/>
      </c>
      <c r="AK191" s="55"/>
      <c r="AL191" s="56" t="str">
        <f t="shared" si="81"/>
        <v/>
      </c>
      <c r="AM191" s="55">
        <v>1</v>
      </c>
      <c r="AN191" s="56">
        <v>9</v>
      </c>
      <c r="AO191" s="55"/>
      <c r="AP191" s="56" t="str">
        <f t="shared" si="83"/>
        <v/>
      </c>
      <c r="AQ191" s="55"/>
      <c r="AR191" s="56" t="str">
        <f t="shared" si="84"/>
        <v/>
      </c>
      <c r="AS191" s="57"/>
      <c r="AT191" s="58"/>
      <c r="AU191" s="58"/>
      <c r="AV191" s="59"/>
      <c r="AW191" s="60">
        <v>1</v>
      </c>
      <c r="AX191" s="61">
        <f t="shared" si="63"/>
        <v>1</v>
      </c>
      <c r="AY191" s="60">
        <v>1</v>
      </c>
      <c r="AZ191" s="61">
        <f t="shared" si="65"/>
        <v>1</v>
      </c>
    </row>
    <row r="192" spans="1:52" s="3" customFormat="1" hidden="1" x14ac:dyDescent="0.35">
      <c r="A192" s="72">
        <f t="shared" si="66"/>
        <v>2019</v>
      </c>
      <c r="B192" s="72" t="str">
        <f t="shared" si="67"/>
        <v>Nov</v>
      </c>
      <c r="C192" s="73">
        <f t="shared" si="85"/>
        <v>18</v>
      </c>
      <c r="D192" s="74">
        <f t="shared" si="68"/>
        <v>12</v>
      </c>
      <c r="E192" s="75">
        <f t="shared" si="69"/>
        <v>2</v>
      </c>
      <c r="F192" s="79"/>
      <c r="G192" s="82"/>
      <c r="H192" s="68" t="str">
        <f t="shared" si="86"/>
        <v>Senbur7_20191118_12_00</v>
      </c>
      <c r="I192" s="69">
        <f t="shared" si="90"/>
        <v>1</v>
      </c>
      <c r="J192" s="76" t="str">
        <f t="shared" si="90"/>
        <v>Senecio</v>
      </c>
      <c r="K192" s="76" t="str">
        <f t="shared" si="90"/>
        <v>burtoni</v>
      </c>
      <c r="L192" s="77">
        <f t="shared" si="90"/>
        <v>7</v>
      </c>
      <c r="M192" s="77">
        <f t="shared" si="90"/>
        <v>7</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18</v>
      </c>
      <c r="D193" s="74">
        <f t="shared" si="68"/>
        <v>12</v>
      </c>
      <c r="E193" s="75">
        <f t="shared" si="69"/>
        <v>3</v>
      </c>
      <c r="F193" s="79">
        <v>8</v>
      </c>
      <c r="G193" s="82"/>
      <c r="H193" s="68" t="str">
        <f t="shared" si="86"/>
        <v>Senbur7_20191118_12_00</v>
      </c>
      <c r="I193" s="69">
        <f t="shared" si="90"/>
        <v>1</v>
      </c>
      <c r="J193" s="76" t="str">
        <f t="shared" si="90"/>
        <v>Senecio</v>
      </c>
      <c r="K193" s="76" t="str">
        <f t="shared" si="90"/>
        <v>burtoni</v>
      </c>
      <c r="L193" s="77">
        <f t="shared" si="90"/>
        <v>7</v>
      </c>
      <c r="M193" s="77">
        <f t="shared" si="90"/>
        <v>7</v>
      </c>
      <c r="N193" s="71">
        <f t="shared" si="90"/>
        <v>0</v>
      </c>
      <c r="O193" s="44"/>
      <c r="P193" s="45">
        <f t="shared" si="70"/>
        <v>1</v>
      </c>
      <c r="Q193" s="46" t="str">
        <f t="shared" si="71"/>
        <v>12:03:08</v>
      </c>
      <c r="R193" s="47" t="str">
        <f t="shared" si="72"/>
        <v>03:08</v>
      </c>
      <c r="S193" s="48">
        <f t="shared" si="61"/>
        <v>9</v>
      </c>
      <c r="T193" s="47" t="str">
        <f t="shared" si="73"/>
        <v>12</v>
      </c>
      <c r="U193" s="49">
        <v>3</v>
      </c>
      <c r="V193" s="50">
        <v>17</v>
      </c>
      <c r="W193" s="51" t="str">
        <f t="shared" si="74"/>
        <v>03:17</v>
      </c>
      <c r="X193" s="52" t="s">
        <v>63</v>
      </c>
      <c r="Y193" s="124" t="s">
        <v>83</v>
      </c>
      <c r="Z193" s="124"/>
      <c r="AA193" s="47" t="s">
        <v>59</v>
      </c>
      <c r="AB193" s="47" t="str">
        <f t="shared" si="75"/>
        <v>NA</v>
      </c>
      <c r="AC193" s="53">
        <f t="shared" si="76"/>
        <v>0</v>
      </c>
      <c r="AD193" s="54">
        <f t="shared" si="77"/>
        <v>1</v>
      </c>
      <c r="AE193" s="54"/>
      <c r="AF193" s="54"/>
      <c r="AG193" s="55">
        <v>1</v>
      </c>
      <c r="AH193" s="56">
        <v>2</v>
      </c>
      <c r="AI193" s="55"/>
      <c r="AJ193" s="56" t="str">
        <f t="shared" si="80"/>
        <v/>
      </c>
      <c r="AK193" s="55"/>
      <c r="AL193" s="56" t="str">
        <f t="shared" si="81"/>
        <v/>
      </c>
      <c r="AM193" s="55">
        <v>1</v>
      </c>
      <c r="AN193" s="56">
        <v>7</v>
      </c>
      <c r="AO193" s="55"/>
      <c r="AP193" s="56" t="str">
        <f t="shared" si="83"/>
        <v/>
      </c>
      <c r="AQ193" s="55"/>
      <c r="AR193" s="56" t="str">
        <f t="shared" si="84"/>
        <v/>
      </c>
      <c r="AS193" s="57"/>
      <c r="AT193" s="58"/>
      <c r="AU193" s="58"/>
      <c r="AV193" s="59"/>
      <c r="AW193" s="60">
        <v>1</v>
      </c>
      <c r="AX193" s="61">
        <f t="shared" si="63"/>
        <v>1</v>
      </c>
      <c r="AY193" s="60">
        <f t="shared" si="64"/>
        <v>0</v>
      </c>
      <c r="AZ193" s="61" t="str">
        <f t="shared" si="65"/>
        <v/>
      </c>
    </row>
    <row r="194" spans="1:52" s="3" customFormat="1" hidden="1" x14ac:dyDescent="0.35">
      <c r="A194" s="72">
        <f t="shared" si="66"/>
        <v>2019</v>
      </c>
      <c r="B194" s="72" t="str">
        <f t="shared" si="67"/>
        <v>Nov</v>
      </c>
      <c r="C194" s="73">
        <f t="shared" si="85"/>
        <v>18</v>
      </c>
      <c r="D194" s="74">
        <f t="shared" si="68"/>
        <v>12</v>
      </c>
      <c r="E194" s="75">
        <v>3</v>
      </c>
      <c r="F194" s="79">
        <v>15</v>
      </c>
      <c r="G194" s="82"/>
      <c r="H194" s="68" t="str">
        <f t="shared" si="86"/>
        <v>Senbur7_20191118_12_00</v>
      </c>
      <c r="I194" s="69">
        <f t="shared" si="90"/>
        <v>1</v>
      </c>
      <c r="J194" s="76" t="str">
        <f t="shared" si="90"/>
        <v>Senecio</v>
      </c>
      <c r="K194" s="76" t="str">
        <f t="shared" si="90"/>
        <v>burtoni</v>
      </c>
      <c r="L194" s="77">
        <f t="shared" si="90"/>
        <v>7</v>
      </c>
      <c r="M194" s="77">
        <f t="shared" si="90"/>
        <v>7</v>
      </c>
      <c r="N194" s="71">
        <f t="shared" si="90"/>
        <v>0</v>
      </c>
      <c r="O194" s="44"/>
      <c r="P194" s="45">
        <f t="shared" si="70"/>
        <v>1</v>
      </c>
      <c r="Q194" s="46" t="str">
        <f t="shared" si="71"/>
        <v>12:03:15</v>
      </c>
      <c r="R194" s="47" t="str">
        <f t="shared" si="72"/>
        <v>03:15</v>
      </c>
      <c r="S194" s="48">
        <f t="shared" si="61"/>
        <v>11</v>
      </c>
      <c r="T194" s="47" t="str">
        <f t="shared" si="73"/>
        <v>12</v>
      </c>
      <c r="U194" s="49">
        <v>3</v>
      </c>
      <c r="V194" s="50">
        <v>26</v>
      </c>
      <c r="W194" s="51" t="str">
        <f t="shared" si="74"/>
        <v>03:26</v>
      </c>
      <c r="X194" s="52" t="s">
        <v>63</v>
      </c>
      <c r="Y194" s="124" t="s">
        <v>83</v>
      </c>
      <c r="Z194" s="124"/>
      <c r="AA194" s="47" t="s">
        <v>59</v>
      </c>
      <c r="AB194" s="47" t="str">
        <f t="shared" si="75"/>
        <v>NA</v>
      </c>
      <c r="AC194" s="53">
        <f t="shared" si="76"/>
        <v>0</v>
      </c>
      <c r="AD194" s="54">
        <f t="shared" si="77"/>
        <v>1</v>
      </c>
      <c r="AE194" s="54"/>
      <c r="AF194" s="54"/>
      <c r="AG194" s="55" t="str">
        <f t="shared" si="78"/>
        <v/>
      </c>
      <c r="AH194" s="56" t="str">
        <f t="shared" si="79"/>
        <v/>
      </c>
      <c r="AI194" s="55"/>
      <c r="AJ194" s="56" t="str">
        <f t="shared" si="80"/>
        <v/>
      </c>
      <c r="AK194" s="55"/>
      <c r="AL194" s="56" t="str">
        <f t="shared" si="81"/>
        <v/>
      </c>
      <c r="AM194" s="55">
        <v>1</v>
      </c>
      <c r="AN194" s="56">
        <f t="shared" si="82"/>
        <v>11</v>
      </c>
      <c r="AO194" s="55"/>
      <c r="AP194" s="56" t="str">
        <f t="shared" si="83"/>
        <v/>
      </c>
      <c r="AQ194" s="55"/>
      <c r="AR194" s="56" t="str">
        <f t="shared" si="84"/>
        <v/>
      </c>
      <c r="AS194" s="57"/>
      <c r="AT194" s="58"/>
      <c r="AU194" s="58"/>
      <c r="AV194" s="59"/>
      <c r="AW194" s="60">
        <v>1</v>
      </c>
      <c r="AX194" s="61">
        <v>1</v>
      </c>
      <c r="AY194" s="60">
        <f t="shared" si="64"/>
        <v>0</v>
      </c>
      <c r="AZ194" s="61" t="str">
        <f t="shared" si="65"/>
        <v/>
      </c>
    </row>
    <row r="195" spans="1:52" s="3" customFormat="1" hidden="1" x14ac:dyDescent="0.35">
      <c r="A195" s="72">
        <f t="shared" si="66"/>
        <v>2019</v>
      </c>
      <c r="B195" s="72" t="str">
        <f t="shared" si="67"/>
        <v>Nov</v>
      </c>
      <c r="C195" s="73">
        <f t="shared" si="85"/>
        <v>18</v>
      </c>
      <c r="D195" s="74">
        <f t="shared" si="68"/>
        <v>12</v>
      </c>
      <c r="E195" s="75">
        <v>3</v>
      </c>
      <c r="F195" s="79">
        <v>34</v>
      </c>
      <c r="G195" s="82"/>
      <c r="H195" s="68" t="str">
        <f t="shared" si="86"/>
        <v>Senbur7_20191118_12_00</v>
      </c>
      <c r="I195" s="69">
        <f t="shared" si="90"/>
        <v>1</v>
      </c>
      <c r="J195" s="76" t="str">
        <f t="shared" si="90"/>
        <v>Senecio</v>
      </c>
      <c r="K195" s="76" t="str">
        <f t="shared" si="90"/>
        <v>burtoni</v>
      </c>
      <c r="L195" s="77">
        <f t="shared" si="90"/>
        <v>7</v>
      </c>
      <c r="M195" s="77">
        <f t="shared" si="90"/>
        <v>7</v>
      </c>
      <c r="N195" s="71">
        <f t="shared" si="90"/>
        <v>0</v>
      </c>
      <c r="O195" s="44"/>
      <c r="P195" s="45">
        <f t="shared" si="70"/>
        <v>1</v>
      </c>
      <c r="Q195" s="46" t="str">
        <f t="shared" si="71"/>
        <v>12:03:34</v>
      </c>
      <c r="R195" s="47" t="str">
        <f t="shared" si="72"/>
        <v>03:34</v>
      </c>
      <c r="S195" s="48">
        <f t="shared" ref="S195:S258" si="91">IF(T195&lt;D195, (T195*3600+U195*60+V195)+((23*3600+59*60+60)-(D195*3600+E195*60+LEFT(F195,2))), (T195*3600+U195*60+V195)-(D195*3600+E195*60+LEFT(F195,2)))</f>
        <v>2</v>
      </c>
      <c r="T195" s="47" t="str">
        <f t="shared" si="73"/>
        <v>12</v>
      </c>
      <c r="U195" s="49">
        <v>3</v>
      </c>
      <c r="V195" s="50">
        <v>36</v>
      </c>
      <c r="W195" s="51" t="str">
        <f t="shared" si="74"/>
        <v>03:36</v>
      </c>
      <c r="X195" s="52" t="s">
        <v>63</v>
      </c>
      <c r="Y195" s="124" t="s">
        <v>82</v>
      </c>
      <c r="Z195" s="124"/>
      <c r="AA195" s="47" t="s">
        <v>59</v>
      </c>
      <c r="AB195" s="47" t="str">
        <f t="shared" si="75"/>
        <v>NA</v>
      </c>
      <c r="AC195" s="53">
        <f t="shared" si="76"/>
        <v>0</v>
      </c>
      <c r="AD195" s="54">
        <f t="shared" si="77"/>
        <v>1</v>
      </c>
      <c r="AE195" s="54"/>
      <c r="AF195" s="54"/>
      <c r="AG195" s="55">
        <v>1</v>
      </c>
      <c r="AH195" s="56">
        <f t="shared" si="79"/>
        <v>2</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f t="shared" ref="AW195:AW257" si="92">IF(P195=1,0,"")</f>
        <v>0</v>
      </c>
      <c r="AX195" s="61" t="str">
        <f t="shared" ref="AX195:AX258" si="93">IF(AW195=1,AD195,"")</f>
        <v/>
      </c>
      <c r="AY195" s="60">
        <f t="shared" ref="AY195:AY258" si="94">IF(P195=1,0,"")</f>
        <v>0</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18</v>
      </c>
      <c r="D196" s="74">
        <f t="shared" ref="D196:D259" si="98">IF(IF(E195=59,D195+1,D195)=24,0,IF(E195=59,D195+1,D195))</f>
        <v>12</v>
      </c>
      <c r="E196" s="75">
        <f t="shared" ref="E196:E259" si="99">IF(E195&lt;59,E195+1,0)</f>
        <v>4</v>
      </c>
      <c r="F196" s="79"/>
      <c r="G196" s="82"/>
      <c r="H196" s="68" t="str">
        <f t="shared" si="86"/>
        <v>Senbur7_20191118_12_00</v>
      </c>
      <c r="I196" s="69">
        <f t="shared" si="90"/>
        <v>1</v>
      </c>
      <c r="J196" s="76" t="str">
        <f t="shared" si="90"/>
        <v>Senecio</v>
      </c>
      <c r="K196" s="76" t="str">
        <f t="shared" si="90"/>
        <v>burtoni</v>
      </c>
      <c r="L196" s="77">
        <f t="shared" si="90"/>
        <v>7</v>
      </c>
      <c r="M196" s="77">
        <f t="shared" si="90"/>
        <v>7</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8"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18</v>
      </c>
      <c r="D197" s="74">
        <f t="shared" si="98"/>
        <v>12</v>
      </c>
      <c r="E197" s="75">
        <f t="shared" si="99"/>
        <v>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Senbur7_20191118_12_00</v>
      </c>
      <c r="I197" s="69">
        <f t="shared" ref="I197:N212" si="117">I196</f>
        <v>1</v>
      </c>
      <c r="J197" s="76" t="str">
        <f t="shared" si="117"/>
        <v>Senecio</v>
      </c>
      <c r="K197" s="76" t="str">
        <f t="shared" si="117"/>
        <v>burtoni</v>
      </c>
      <c r="L197" s="77">
        <f t="shared" si="117"/>
        <v>7</v>
      </c>
      <c r="M197" s="77">
        <f t="shared" si="117"/>
        <v>7</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18</v>
      </c>
      <c r="D198" s="74">
        <f t="shared" si="98"/>
        <v>12</v>
      </c>
      <c r="E198" s="75">
        <f t="shared" si="99"/>
        <v>6</v>
      </c>
      <c r="F198" s="79"/>
      <c r="G198" s="82"/>
      <c r="H198" s="68" t="str">
        <f t="shared" si="116"/>
        <v>Senbur7_20191118_12_00</v>
      </c>
      <c r="I198" s="69">
        <f t="shared" si="117"/>
        <v>1</v>
      </c>
      <c r="J198" s="76" t="str">
        <f t="shared" si="117"/>
        <v>Senecio</v>
      </c>
      <c r="K198" s="76" t="str">
        <f t="shared" si="117"/>
        <v>burtoni</v>
      </c>
      <c r="L198" s="77">
        <f t="shared" si="117"/>
        <v>7</v>
      </c>
      <c r="M198" s="77">
        <f t="shared" si="117"/>
        <v>7</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18</v>
      </c>
      <c r="D199" s="74">
        <f t="shared" si="98"/>
        <v>12</v>
      </c>
      <c r="E199" s="75">
        <f t="shared" si="99"/>
        <v>7</v>
      </c>
      <c r="F199" s="79"/>
      <c r="G199" s="82"/>
      <c r="H199" s="68" t="str">
        <f t="shared" si="116"/>
        <v>Senbur7_20191118_12_00</v>
      </c>
      <c r="I199" s="69">
        <f t="shared" si="117"/>
        <v>1</v>
      </c>
      <c r="J199" s="76" t="str">
        <f t="shared" si="117"/>
        <v>Senecio</v>
      </c>
      <c r="K199" s="76" t="str">
        <f t="shared" si="117"/>
        <v>burtoni</v>
      </c>
      <c r="L199" s="77">
        <f t="shared" si="117"/>
        <v>7</v>
      </c>
      <c r="M199" s="77">
        <f t="shared" si="117"/>
        <v>7</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18</v>
      </c>
      <c r="D200" s="74">
        <f t="shared" si="98"/>
        <v>12</v>
      </c>
      <c r="E200" s="75">
        <f t="shared" si="99"/>
        <v>8</v>
      </c>
      <c r="F200" s="79"/>
      <c r="G200" s="82"/>
      <c r="H200" s="68" t="str">
        <f t="shared" si="116"/>
        <v>Senbur7_20191118_12_00</v>
      </c>
      <c r="I200" s="69">
        <f t="shared" si="117"/>
        <v>1</v>
      </c>
      <c r="J200" s="76" t="str">
        <f t="shared" si="117"/>
        <v>Senecio</v>
      </c>
      <c r="K200" s="76" t="str">
        <f t="shared" si="117"/>
        <v>burtoni</v>
      </c>
      <c r="L200" s="77">
        <f t="shared" si="117"/>
        <v>7</v>
      </c>
      <c r="M200" s="77">
        <f t="shared" si="117"/>
        <v>7</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18</v>
      </c>
      <c r="D201" s="74">
        <f t="shared" si="98"/>
        <v>12</v>
      </c>
      <c r="E201" s="75">
        <f t="shared" si="99"/>
        <v>9</v>
      </c>
      <c r="F201" s="79"/>
      <c r="G201" s="82"/>
      <c r="H201" s="68" t="str">
        <f t="shared" si="116"/>
        <v>Senbur7_20191118_12_00</v>
      </c>
      <c r="I201" s="69">
        <f t="shared" si="117"/>
        <v>1</v>
      </c>
      <c r="J201" s="76" t="str">
        <f t="shared" si="117"/>
        <v>Senecio</v>
      </c>
      <c r="K201" s="76" t="str">
        <f t="shared" si="117"/>
        <v>burtoni</v>
      </c>
      <c r="L201" s="77">
        <f t="shared" si="117"/>
        <v>7</v>
      </c>
      <c r="M201" s="77">
        <f t="shared" si="117"/>
        <v>7</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18</v>
      </c>
      <c r="D202" s="74">
        <f t="shared" si="98"/>
        <v>12</v>
      </c>
      <c r="E202" s="75">
        <f t="shared" si="99"/>
        <v>10</v>
      </c>
      <c r="F202" s="79"/>
      <c r="G202" s="82"/>
      <c r="H202" s="68" t="str">
        <f t="shared" si="116"/>
        <v>Senbur7_20191118_12_00</v>
      </c>
      <c r="I202" s="69">
        <f t="shared" si="117"/>
        <v>1</v>
      </c>
      <c r="J202" s="76" t="str">
        <f t="shared" si="117"/>
        <v>Senecio</v>
      </c>
      <c r="K202" s="76" t="str">
        <f t="shared" si="117"/>
        <v>burtoni</v>
      </c>
      <c r="L202" s="77">
        <f t="shared" si="117"/>
        <v>7</v>
      </c>
      <c r="M202" s="77">
        <f t="shared" si="117"/>
        <v>7</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18</v>
      </c>
      <c r="D203" s="74">
        <f t="shared" si="98"/>
        <v>12</v>
      </c>
      <c r="E203" s="75">
        <f t="shared" si="99"/>
        <v>11</v>
      </c>
      <c r="F203" s="79"/>
      <c r="G203" s="82"/>
      <c r="H203" s="68" t="str">
        <f t="shared" si="116"/>
        <v>Senbur7_20191118_12_00</v>
      </c>
      <c r="I203" s="69">
        <f t="shared" si="117"/>
        <v>1</v>
      </c>
      <c r="J203" s="76" t="str">
        <f t="shared" si="117"/>
        <v>Senecio</v>
      </c>
      <c r="K203" s="76" t="str">
        <f t="shared" si="117"/>
        <v>burtoni</v>
      </c>
      <c r="L203" s="77">
        <f t="shared" si="117"/>
        <v>7</v>
      </c>
      <c r="M203" s="77">
        <f t="shared" si="117"/>
        <v>7</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18</v>
      </c>
      <c r="D204" s="74">
        <f t="shared" si="98"/>
        <v>12</v>
      </c>
      <c r="E204" s="75">
        <f t="shared" si="99"/>
        <v>12</v>
      </c>
      <c r="F204" s="79"/>
      <c r="G204" s="82"/>
      <c r="H204" s="68" t="str">
        <f t="shared" si="116"/>
        <v>Senbur7_20191118_12_00</v>
      </c>
      <c r="I204" s="69">
        <f t="shared" si="117"/>
        <v>1</v>
      </c>
      <c r="J204" s="76" t="str">
        <f t="shared" si="117"/>
        <v>Senecio</v>
      </c>
      <c r="K204" s="76" t="str">
        <f t="shared" si="117"/>
        <v>burtoni</v>
      </c>
      <c r="L204" s="77">
        <f t="shared" si="117"/>
        <v>7</v>
      </c>
      <c r="M204" s="77">
        <f t="shared" si="117"/>
        <v>7</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18</v>
      </c>
      <c r="D205" s="74">
        <f t="shared" si="98"/>
        <v>12</v>
      </c>
      <c r="E205" s="75">
        <f t="shared" si="99"/>
        <v>13</v>
      </c>
      <c r="F205" s="79"/>
      <c r="G205" s="82"/>
      <c r="H205" s="68" t="str">
        <f t="shared" si="116"/>
        <v>Senbur7_20191118_12_00</v>
      </c>
      <c r="I205" s="69">
        <f t="shared" si="117"/>
        <v>1</v>
      </c>
      <c r="J205" s="76" t="str">
        <f t="shared" si="117"/>
        <v>Senecio</v>
      </c>
      <c r="K205" s="76" t="str">
        <f t="shared" si="117"/>
        <v>burtoni</v>
      </c>
      <c r="L205" s="77">
        <f t="shared" si="117"/>
        <v>7</v>
      </c>
      <c r="M205" s="77">
        <f t="shared" si="117"/>
        <v>7</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18</v>
      </c>
      <c r="D206" s="74">
        <f t="shared" si="98"/>
        <v>12</v>
      </c>
      <c r="E206" s="75">
        <f t="shared" si="99"/>
        <v>14</v>
      </c>
      <c r="F206" s="79"/>
      <c r="G206" s="82"/>
      <c r="H206" s="68" t="str">
        <f t="shared" si="116"/>
        <v>Senbur7_20191118_12_00</v>
      </c>
      <c r="I206" s="69">
        <f t="shared" si="117"/>
        <v>1</v>
      </c>
      <c r="J206" s="76" t="str">
        <f t="shared" si="117"/>
        <v>Senecio</v>
      </c>
      <c r="K206" s="76" t="str">
        <f t="shared" si="117"/>
        <v>burtoni</v>
      </c>
      <c r="L206" s="77">
        <f t="shared" si="117"/>
        <v>7</v>
      </c>
      <c r="M206" s="77">
        <f t="shared" si="117"/>
        <v>7</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18</v>
      </c>
      <c r="D207" s="74">
        <f t="shared" si="98"/>
        <v>12</v>
      </c>
      <c r="E207" s="75">
        <f t="shared" si="99"/>
        <v>15</v>
      </c>
      <c r="F207" s="79"/>
      <c r="G207" s="82"/>
      <c r="H207" s="68" t="str">
        <f t="shared" si="116"/>
        <v>Senbur7_20191118_12_00</v>
      </c>
      <c r="I207" s="69">
        <f t="shared" si="117"/>
        <v>1</v>
      </c>
      <c r="J207" s="76" t="str">
        <f t="shared" si="117"/>
        <v>Senecio</v>
      </c>
      <c r="K207" s="76" t="str">
        <f t="shared" si="117"/>
        <v>burtoni</v>
      </c>
      <c r="L207" s="77">
        <f t="shared" si="117"/>
        <v>7</v>
      </c>
      <c r="M207" s="77">
        <f t="shared" si="117"/>
        <v>7</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18</v>
      </c>
      <c r="D208" s="74">
        <f t="shared" si="98"/>
        <v>12</v>
      </c>
      <c r="E208" s="75">
        <f t="shared" si="99"/>
        <v>16</v>
      </c>
      <c r="F208" s="79"/>
      <c r="G208" s="82"/>
      <c r="H208" s="68" t="str">
        <f t="shared" si="116"/>
        <v>Senbur7_20191118_12_00</v>
      </c>
      <c r="I208" s="69">
        <f t="shared" si="117"/>
        <v>1</v>
      </c>
      <c r="J208" s="76" t="str">
        <f t="shared" si="117"/>
        <v>Senecio</v>
      </c>
      <c r="K208" s="76" t="str">
        <f t="shared" si="117"/>
        <v>burtoni</v>
      </c>
      <c r="L208" s="77">
        <f t="shared" si="117"/>
        <v>7</v>
      </c>
      <c r="M208" s="77">
        <f t="shared" si="117"/>
        <v>7</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18</v>
      </c>
      <c r="D209" s="74">
        <f t="shared" si="98"/>
        <v>12</v>
      </c>
      <c r="E209" s="75">
        <f t="shared" si="99"/>
        <v>17</v>
      </c>
      <c r="F209" s="79"/>
      <c r="G209" s="82"/>
      <c r="H209" s="68" t="str">
        <f t="shared" si="116"/>
        <v>Senbur7_20191118_12_00</v>
      </c>
      <c r="I209" s="69">
        <f t="shared" si="117"/>
        <v>1</v>
      </c>
      <c r="J209" s="76" t="str">
        <f t="shared" si="117"/>
        <v>Senecio</v>
      </c>
      <c r="K209" s="76" t="str">
        <f t="shared" si="117"/>
        <v>burtoni</v>
      </c>
      <c r="L209" s="77">
        <f t="shared" si="117"/>
        <v>7</v>
      </c>
      <c r="M209" s="77">
        <f t="shared" si="117"/>
        <v>7</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18</v>
      </c>
      <c r="D210" s="74">
        <f t="shared" si="98"/>
        <v>12</v>
      </c>
      <c r="E210" s="75">
        <f t="shared" si="99"/>
        <v>18</v>
      </c>
      <c r="F210" s="79"/>
      <c r="G210" s="82"/>
      <c r="H210" s="68" t="str">
        <f t="shared" si="116"/>
        <v>Senbur7_20191118_12_00</v>
      </c>
      <c r="I210" s="69">
        <f t="shared" si="117"/>
        <v>1</v>
      </c>
      <c r="J210" s="76" t="str">
        <f t="shared" si="117"/>
        <v>Senecio</v>
      </c>
      <c r="K210" s="76" t="str">
        <f t="shared" si="117"/>
        <v>burtoni</v>
      </c>
      <c r="L210" s="77">
        <f t="shared" si="117"/>
        <v>7</v>
      </c>
      <c r="M210" s="77">
        <f t="shared" si="117"/>
        <v>7</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18</v>
      </c>
      <c r="D211" s="74">
        <f t="shared" si="98"/>
        <v>12</v>
      </c>
      <c r="E211" s="75">
        <f t="shared" si="99"/>
        <v>19</v>
      </c>
      <c r="F211" s="79"/>
      <c r="G211" s="82"/>
      <c r="H211" s="68" t="str">
        <f t="shared" si="116"/>
        <v>Senbur7_20191118_12_00</v>
      </c>
      <c r="I211" s="69">
        <f t="shared" si="117"/>
        <v>1</v>
      </c>
      <c r="J211" s="76" t="str">
        <f t="shared" si="117"/>
        <v>Senecio</v>
      </c>
      <c r="K211" s="76" t="str">
        <f t="shared" si="117"/>
        <v>burtoni</v>
      </c>
      <c r="L211" s="77">
        <f t="shared" si="117"/>
        <v>7</v>
      </c>
      <c r="M211" s="77">
        <f t="shared" si="117"/>
        <v>7</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18</v>
      </c>
      <c r="D212" s="74">
        <f t="shared" si="98"/>
        <v>12</v>
      </c>
      <c r="E212" s="75">
        <f t="shared" si="99"/>
        <v>20</v>
      </c>
      <c r="F212" s="79"/>
      <c r="G212" s="82"/>
      <c r="H212" s="68" t="str">
        <f t="shared" si="116"/>
        <v>Senbur7_20191118_12_00</v>
      </c>
      <c r="I212" s="69">
        <f t="shared" si="117"/>
        <v>1</v>
      </c>
      <c r="J212" s="76" t="str">
        <f t="shared" si="117"/>
        <v>Senecio</v>
      </c>
      <c r="K212" s="76" t="str">
        <f t="shared" si="117"/>
        <v>burtoni</v>
      </c>
      <c r="L212" s="77">
        <f t="shared" si="117"/>
        <v>7</v>
      </c>
      <c r="M212" s="77">
        <f t="shared" si="117"/>
        <v>7</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18</v>
      </c>
      <c r="D213" s="74">
        <f t="shared" si="98"/>
        <v>12</v>
      </c>
      <c r="E213" s="75">
        <f t="shared" si="99"/>
        <v>21</v>
      </c>
      <c r="F213" s="79"/>
      <c r="G213" s="82"/>
      <c r="H213" s="68" t="str">
        <f t="shared" si="116"/>
        <v>Senbur7_20191118_12_00</v>
      </c>
      <c r="I213" s="69">
        <f t="shared" ref="I213:N228" si="118">I212</f>
        <v>1</v>
      </c>
      <c r="J213" s="76" t="str">
        <f t="shared" si="118"/>
        <v>Senecio</v>
      </c>
      <c r="K213" s="76" t="str">
        <f t="shared" si="118"/>
        <v>burtoni</v>
      </c>
      <c r="L213" s="77">
        <f t="shared" si="118"/>
        <v>7</v>
      </c>
      <c r="M213" s="77">
        <f t="shared" si="118"/>
        <v>7</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18</v>
      </c>
      <c r="D214" s="74">
        <f t="shared" si="98"/>
        <v>12</v>
      </c>
      <c r="E214" s="75">
        <f t="shared" si="99"/>
        <v>22</v>
      </c>
      <c r="F214" s="79"/>
      <c r="G214" s="82"/>
      <c r="H214" s="68" t="str">
        <f t="shared" si="116"/>
        <v>Senbur7_20191118_12_00</v>
      </c>
      <c r="I214" s="69">
        <f t="shared" si="118"/>
        <v>1</v>
      </c>
      <c r="J214" s="76" t="str">
        <f t="shared" si="118"/>
        <v>Senecio</v>
      </c>
      <c r="K214" s="76" t="str">
        <f t="shared" si="118"/>
        <v>burtoni</v>
      </c>
      <c r="L214" s="77">
        <f t="shared" si="118"/>
        <v>7</v>
      </c>
      <c r="M214" s="77">
        <f t="shared" si="118"/>
        <v>7</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18</v>
      </c>
      <c r="D215" s="74">
        <f t="shared" si="98"/>
        <v>12</v>
      </c>
      <c r="E215" s="75">
        <f t="shared" si="99"/>
        <v>23</v>
      </c>
      <c r="F215" s="79"/>
      <c r="G215" s="82"/>
      <c r="H215" s="68" t="str">
        <f t="shared" si="116"/>
        <v>Senbur7_20191118_12_00</v>
      </c>
      <c r="I215" s="69">
        <f t="shared" si="118"/>
        <v>1</v>
      </c>
      <c r="J215" s="76" t="str">
        <f t="shared" si="118"/>
        <v>Senecio</v>
      </c>
      <c r="K215" s="76" t="str">
        <f t="shared" si="118"/>
        <v>burtoni</v>
      </c>
      <c r="L215" s="77">
        <f t="shared" si="118"/>
        <v>7</v>
      </c>
      <c r="M215" s="77">
        <f t="shared" si="118"/>
        <v>7</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18</v>
      </c>
      <c r="D216" s="74">
        <f t="shared" si="98"/>
        <v>12</v>
      </c>
      <c r="E216" s="75">
        <f t="shared" si="99"/>
        <v>24</v>
      </c>
      <c r="F216" s="79"/>
      <c r="G216" s="82"/>
      <c r="H216" s="68" t="str">
        <f t="shared" si="116"/>
        <v>Senbur7_20191118_12_00</v>
      </c>
      <c r="I216" s="69">
        <f t="shared" si="118"/>
        <v>1</v>
      </c>
      <c r="J216" s="76" t="str">
        <f t="shared" si="118"/>
        <v>Senecio</v>
      </c>
      <c r="K216" s="76" t="str">
        <f t="shared" si="118"/>
        <v>burtoni</v>
      </c>
      <c r="L216" s="77">
        <f t="shared" si="118"/>
        <v>7</v>
      </c>
      <c r="M216" s="77">
        <f t="shared" si="118"/>
        <v>7</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18</v>
      </c>
      <c r="D217" s="74">
        <f t="shared" si="98"/>
        <v>12</v>
      </c>
      <c r="E217" s="75">
        <f t="shared" si="99"/>
        <v>25</v>
      </c>
      <c r="F217" s="79"/>
      <c r="G217" s="82"/>
      <c r="H217" s="68" t="str">
        <f t="shared" si="116"/>
        <v>Senbur7_20191118_12_00</v>
      </c>
      <c r="I217" s="69">
        <f t="shared" si="118"/>
        <v>1</v>
      </c>
      <c r="J217" s="76" t="str">
        <f t="shared" si="118"/>
        <v>Senecio</v>
      </c>
      <c r="K217" s="76" t="str">
        <f t="shared" si="118"/>
        <v>burtoni</v>
      </c>
      <c r="L217" s="77">
        <f t="shared" si="118"/>
        <v>7</v>
      </c>
      <c r="M217" s="77">
        <f t="shared" si="118"/>
        <v>7</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18</v>
      </c>
      <c r="D218" s="74">
        <f t="shared" si="98"/>
        <v>12</v>
      </c>
      <c r="E218" s="75">
        <f t="shared" si="99"/>
        <v>26</v>
      </c>
      <c r="F218" s="79"/>
      <c r="G218" s="82"/>
      <c r="H218" s="68" t="str">
        <f t="shared" si="116"/>
        <v>Senbur7_20191118_12_00</v>
      </c>
      <c r="I218" s="69">
        <f t="shared" si="118"/>
        <v>1</v>
      </c>
      <c r="J218" s="76" t="str">
        <f t="shared" si="118"/>
        <v>Senecio</v>
      </c>
      <c r="K218" s="76" t="str">
        <f t="shared" si="118"/>
        <v>burtoni</v>
      </c>
      <c r="L218" s="77">
        <f t="shared" si="118"/>
        <v>7</v>
      </c>
      <c r="M218" s="77">
        <f t="shared" si="118"/>
        <v>7</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18</v>
      </c>
      <c r="D219" s="74">
        <f t="shared" si="98"/>
        <v>12</v>
      </c>
      <c r="E219" s="75">
        <f t="shared" si="99"/>
        <v>27</v>
      </c>
      <c r="F219" s="79"/>
      <c r="G219" s="82"/>
      <c r="H219" s="68" t="str">
        <f t="shared" si="116"/>
        <v>Senbur7_20191118_12_00</v>
      </c>
      <c r="I219" s="69">
        <f t="shared" si="118"/>
        <v>1</v>
      </c>
      <c r="J219" s="76" t="str">
        <f t="shared" si="118"/>
        <v>Senecio</v>
      </c>
      <c r="K219" s="76" t="str">
        <f t="shared" si="118"/>
        <v>burtoni</v>
      </c>
      <c r="L219" s="77">
        <f t="shared" si="118"/>
        <v>7</v>
      </c>
      <c r="M219" s="77">
        <f t="shared" si="118"/>
        <v>7</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18</v>
      </c>
      <c r="D220" s="74">
        <f t="shared" si="98"/>
        <v>12</v>
      </c>
      <c r="E220" s="75">
        <f t="shared" si="99"/>
        <v>28</v>
      </c>
      <c r="F220" s="79">
        <v>24</v>
      </c>
      <c r="G220" s="82"/>
      <c r="H220" s="68" t="str">
        <f t="shared" si="116"/>
        <v>Senbur7_20191118_12_00</v>
      </c>
      <c r="I220" s="69">
        <f t="shared" si="118"/>
        <v>1</v>
      </c>
      <c r="J220" s="76" t="str">
        <f t="shared" si="118"/>
        <v>Senecio</v>
      </c>
      <c r="K220" s="76" t="str">
        <f t="shared" si="118"/>
        <v>burtoni</v>
      </c>
      <c r="L220" s="77">
        <f t="shared" si="118"/>
        <v>7</v>
      </c>
      <c r="M220" s="77">
        <f t="shared" si="118"/>
        <v>7</v>
      </c>
      <c r="N220" s="71">
        <f t="shared" si="118"/>
        <v>0</v>
      </c>
      <c r="O220" s="44"/>
      <c r="P220" s="45">
        <f t="shared" si="100"/>
        <v>1</v>
      </c>
      <c r="Q220" s="46" t="str">
        <f t="shared" si="101"/>
        <v>12:28:24</v>
      </c>
      <c r="R220" s="47" t="str">
        <f t="shared" si="102"/>
        <v>28:24</v>
      </c>
      <c r="S220" s="48">
        <f t="shared" si="91"/>
        <v>19</v>
      </c>
      <c r="T220" s="47" t="str">
        <f t="shared" si="103"/>
        <v>12</v>
      </c>
      <c r="U220" s="49">
        <v>28</v>
      </c>
      <c r="V220" s="50">
        <v>43</v>
      </c>
      <c r="W220" s="51" t="str">
        <f t="shared" si="104"/>
        <v>28:43</v>
      </c>
      <c r="X220" s="52" t="s">
        <v>63</v>
      </c>
      <c r="Y220" s="124" t="s">
        <v>83</v>
      </c>
      <c r="Z220" s="124"/>
      <c r="AA220" s="47" t="s">
        <v>59</v>
      </c>
      <c r="AB220" s="47" t="str">
        <f t="shared" si="105"/>
        <v>NA</v>
      </c>
      <c r="AC220" s="53">
        <f t="shared" si="106"/>
        <v>0</v>
      </c>
      <c r="AD220" s="54">
        <f t="shared" si="107"/>
        <v>1</v>
      </c>
      <c r="AE220" s="54"/>
      <c r="AF220" s="54"/>
      <c r="AG220" s="55">
        <v>1</v>
      </c>
      <c r="AH220" s="56">
        <v>2</v>
      </c>
      <c r="AI220" s="55"/>
      <c r="AJ220" s="56" t="str">
        <f t="shared" si="110"/>
        <v/>
      </c>
      <c r="AK220" s="55">
        <v>1</v>
      </c>
      <c r="AL220" s="56">
        <v>6</v>
      </c>
      <c r="AM220" s="55">
        <v>1</v>
      </c>
      <c r="AN220" s="56">
        <v>11</v>
      </c>
      <c r="AO220" s="55"/>
      <c r="AP220" s="56" t="str">
        <f t="shared" si="113"/>
        <v/>
      </c>
      <c r="AQ220" s="55"/>
      <c r="AR220" s="56" t="str">
        <f t="shared" si="114"/>
        <v/>
      </c>
      <c r="AS220" s="57"/>
      <c r="AT220" s="58"/>
      <c r="AU220" s="58"/>
      <c r="AV220" s="59"/>
      <c r="AW220" s="60">
        <v>1</v>
      </c>
      <c r="AX220" s="61">
        <f t="shared" si="93"/>
        <v>1</v>
      </c>
      <c r="AY220" s="60">
        <v>1</v>
      </c>
      <c r="AZ220" s="61">
        <f t="shared" si="95"/>
        <v>1</v>
      </c>
    </row>
    <row r="221" spans="1:52" s="3" customFormat="1" hidden="1" x14ac:dyDescent="0.35">
      <c r="A221" s="72">
        <f t="shared" si="96"/>
        <v>2019</v>
      </c>
      <c r="B221" s="72" t="str">
        <f t="shared" si="97"/>
        <v>Nov</v>
      </c>
      <c r="C221" s="73">
        <f t="shared" si="115"/>
        <v>18</v>
      </c>
      <c r="D221" s="74">
        <f t="shared" si="98"/>
        <v>12</v>
      </c>
      <c r="E221" s="75">
        <f t="shared" si="99"/>
        <v>29</v>
      </c>
      <c r="F221" s="79">
        <v>19</v>
      </c>
      <c r="G221" s="82"/>
      <c r="H221" s="68" t="str">
        <f t="shared" si="116"/>
        <v>Senbur7_20191118_12_00</v>
      </c>
      <c r="I221" s="69">
        <f t="shared" si="118"/>
        <v>1</v>
      </c>
      <c r="J221" s="76" t="str">
        <f t="shared" si="118"/>
        <v>Senecio</v>
      </c>
      <c r="K221" s="76" t="str">
        <f t="shared" si="118"/>
        <v>burtoni</v>
      </c>
      <c r="L221" s="77">
        <f t="shared" si="118"/>
        <v>7</v>
      </c>
      <c r="M221" s="77">
        <f t="shared" si="118"/>
        <v>7</v>
      </c>
      <c r="N221" s="71">
        <f t="shared" si="118"/>
        <v>0</v>
      </c>
      <c r="O221" s="44"/>
      <c r="P221" s="45">
        <f t="shared" si="100"/>
        <v>1</v>
      </c>
      <c r="Q221" s="46" t="str">
        <f t="shared" si="101"/>
        <v>12:29:19</v>
      </c>
      <c r="R221" s="47" t="str">
        <f t="shared" si="102"/>
        <v>29:19</v>
      </c>
      <c r="S221" s="48">
        <f t="shared" si="91"/>
        <v>10</v>
      </c>
      <c r="T221" s="47" t="str">
        <f t="shared" si="103"/>
        <v>12</v>
      </c>
      <c r="U221" s="49">
        <v>29</v>
      </c>
      <c r="V221" s="50">
        <v>29</v>
      </c>
      <c r="W221" s="51" t="str">
        <f t="shared" si="104"/>
        <v>29:29</v>
      </c>
      <c r="X221" s="52" t="s">
        <v>63</v>
      </c>
      <c r="Y221" s="124" t="s">
        <v>82</v>
      </c>
      <c r="Z221" s="124"/>
      <c r="AA221" s="47" t="s">
        <v>59</v>
      </c>
      <c r="AB221" s="47" t="str">
        <f t="shared" si="105"/>
        <v>NA</v>
      </c>
      <c r="AC221" s="53">
        <f t="shared" si="106"/>
        <v>0</v>
      </c>
      <c r="AD221" s="54">
        <f t="shared" si="107"/>
        <v>1</v>
      </c>
      <c r="AE221" s="54"/>
      <c r="AF221" s="54"/>
      <c r="AG221" s="55" t="str">
        <f t="shared" si="108"/>
        <v/>
      </c>
      <c r="AH221" s="56" t="str">
        <f t="shared" si="109"/>
        <v/>
      </c>
      <c r="AI221" s="55"/>
      <c r="AJ221" s="56" t="str">
        <f t="shared" si="110"/>
        <v/>
      </c>
      <c r="AK221" s="55"/>
      <c r="AL221" s="56" t="str">
        <f t="shared" si="111"/>
        <v/>
      </c>
      <c r="AM221" s="55">
        <v>1</v>
      </c>
      <c r="AN221" s="56">
        <f t="shared" si="112"/>
        <v>10</v>
      </c>
      <c r="AO221" s="55"/>
      <c r="AP221" s="56" t="str">
        <f t="shared" si="113"/>
        <v/>
      </c>
      <c r="AQ221" s="55"/>
      <c r="AR221" s="56" t="str">
        <f t="shared" si="114"/>
        <v/>
      </c>
      <c r="AS221" s="57"/>
      <c r="AT221" s="58"/>
      <c r="AU221" s="58"/>
      <c r="AV221" s="59"/>
      <c r="AW221" s="60">
        <v>1</v>
      </c>
      <c r="AX221" s="61">
        <f t="shared" si="93"/>
        <v>1</v>
      </c>
      <c r="AY221" s="60">
        <v>1</v>
      </c>
      <c r="AZ221" s="61">
        <f t="shared" si="95"/>
        <v>1</v>
      </c>
    </row>
    <row r="222" spans="1:52" s="3" customFormat="1" hidden="1" x14ac:dyDescent="0.35">
      <c r="A222" s="72">
        <f t="shared" si="96"/>
        <v>2019</v>
      </c>
      <c r="B222" s="72" t="str">
        <f t="shared" si="97"/>
        <v>Nov</v>
      </c>
      <c r="C222" s="73">
        <f t="shared" si="115"/>
        <v>18</v>
      </c>
      <c r="D222" s="74">
        <f t="shared" si="98"/>
        <v>12</v>
      </c>
      <c r="E222" s="75">
        <f t="shared" si="99"/>
        <v>30</v>
      </c>
      <c r="F222" s="79">
        <v>49</v>
      </c>
      <c r="G222" s="82"/>
      <c r="H222" s="68" t="str">
        <f t="shared" si="116"/>
        <v>Senbur7_20191118_12_00</v>
      </c>
      <c r="I222" s="69">
        <f t="shared" si="118"/>
        <v>1</v>
      </c>
      <c r="J222" s="76" t="str">
        <f t="shared" si="118"/>
        <v>Senecio</v>
      </c>
      <c r="K222" s="76" t="str">
        <f t="shared" si="118"/>
        <v>burtoni</v>
      </c>
      <c r="L222" s="77">
        <f t="shared" si="118"/>
        <v>7</v>
      </c>
      <c r="M222" s="77">
        <f t="shared" si="118"/>
        <v>7</v>
      </c>
      <c r="N222" s="71">
        <f t="shared" si="118"/>
        <v>0</v>
      </c>
      <c r="O222" s="44"/>
      <c r="P222" s="45">
        <f t="shared" si="100"/>
        <v>1</v>
      </c>
      <c r="Q222" s="46" t="str">
        <f t="shared" si="101"/>
        <v>12:30:49</v>
      </c>
      <c r="R222" s="47" t="str">
        <f t="shared" si="102"/>
        <v>30:49</v>
      </c>
      <c r="S222" s="48">
        <f t="shared" si="91"/>
        <v>11</v>
      </c>
      <c r="T222" s="47" t="str">
        <f t="shared" si="103"/>
        <v>12</v>
      </c>
      <c r="U222" s="49">
        <v>31</v>
      </c>
      <c r="V222" s="50">
        <v>0</v>
      </c>
      <c r="W222" s="51" t="str">
        <f t="shared" si="104"/>
        <v>31:00</v>
      </c>
      <c r="X222" s="52" t="s">
        <v>63</v>
      </c>
      <c r="Y222" s="124" t="s">
        <v>83</v>
      </c>
      <c r="Z222" s="124"/>
      <c r="AA222" s="47" t="s">
        <v>59</v>
      </c>
      <c r="AB222" s="47" t="str">
        <f t="shared" si="105"/>
        <v>NA</v>
      </c>
      <c r="AC222" s="53">
        <f t="shared" si="106"/>
        <v>0</v>
      </c>
      <c r="AD222" s="54">
        <f t="shared" si="107"/>
        <v>1</v>
      </c>
      <c r="AE222" s="54"/>
      <c r="AF222" s="54"/>
      <c r="AG222" s="55">
        <v>1</v>
      </c>
      <c r="AH222" s="56">
        <v>3</v>
      </c>
      <c r="AI222" s="55"/>
      <c r="AJ222" s="56" t="str">
        <f t="shared" si="110"/>
        <v/>
      </c>
      <c r="AK222" s="55"/>
      <c r="AL222" s="56" t="str">
        <f t="shared" si="111"/>
        <v/>
      </c>
      <c r="AM222" s="55">
        <v>1</v>
      </c>
      <c r="AN222" s="56">
        <v>8</v>
      </c>
      <c r="AO222" s="55"/>
      <c r="AP222" s="56" t="str">
        <f t="shared" si="113"/>
        <v/>
      </c>
      <c r="AQ222" s="55"/>
      <c r="AR222" s="56" t="str">
        <f t="shared" si="114"/>
        <v/>
      </c>
      <c r="AS222" s="57"/>
      <c r="AT222" s="58"/>
      <c r="AU222" s="58"/>
      <c r="AV222" s="59"/>
      <c r="AW222" s="60">
        <v>1</v>
      </c>
      <c r="AX222" s="61">
        <f t="shared" si="93"/>
        <v>1</v>
      </c>
      <c r="AY222" s="60">
        <v>1</v>
      </c>
      <c r="AZ222" s="61">
        <f t="shared" si="95"/>
        <v>1</v>
      </c>
    </row>
    <row r="223" spans="1:52" s="3" customFormat="1" hidden="1" x14ac:dyDescent="0.35">
      <c r="A223" s="72">
        <f t="shared" si="96"/>
        <v>2019</v>
      </c>
      <c r="B223" s="72" t="str">
        <f t="shared" si="97"/>
        <v>Nov</v>
      </c>
      <c r="C223" s="73">
        <f t="shared" si="115"/>
        <v>18</v>
      </c>
      <c r="D223" s="74">
        <f t="shared" si="98"/>
        <v>12</v>
      </c>
      <c r="E223" s="75">
        <f t="shared" si="99"/>
        <v>31</v>
      </c>
      <c r="F223" s="79"/>
      <c r="G223" s="82"/>
      <c r="H223" s="68" t="str">
        <f t="shared" si="116"/>
        <v>Senbur7_20191118_12_00</v>
      </c>
      <c r="I223" s="69">
        <f t="shared" si="118"/>
        <v>1</v>
      </c>
      <c r="J223" s="76" t="str">
        <f t="shared" si="118"/>
        <v>Senecio</v>
      </c>
      <c r="K223" s="76" t="str">
        <f t="shared" si="118"/>
        <v>burtoni</v>
      </c>
      <c r="L223" s="77">
        <f t="shared" si="118"/>
        <v>7</v>
      </c>
      <c r="M223" s="77">
        <f t="shared" si="118"/>
        <v>7</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18</v>
      </c>
      <c r="D224" s="74">
        <f t="shared" si="98"/>
        <v>12</v>
      </c>
      <c r="E224" s="75">
        <f t="shared" si="99"/>
        <v>32</v>
      </c>
      <c r="F224" s="79">
        <v>6</v>
      </c>
      <c r="G224" s="82"/>
      <c r="H224" s="68" t="str">
        <f t="shared" si="116"/>
        <v>Senbur7_20191118_12_00</v>
      </c>
      <c r="I224" s="69">
        <f t="shared" si="118"/>
        <v>1</v>
      </c>
      <c r="J224" s="76" t="str">
        <f t="shared" si="118"/>
        <v>Senecio</v>
      </c>
      <c r="K224" s="76" t="str">
        <f t="shared" si="118"/>
        <v>burtoni</v>
      </c>
      <c r="L224" s="77">
        <f t="shared" si="118"/>
        <v>7</v>
      </c>
      <c r="M224" s="77">
        <f t="shared" si="118"/>
        <v>7</v>
      </c>
      <c r="N224" s="71">
        <f t="shared" si="118"/>
        <v>0</v>
      </c>
      <c r="O224" s="44"/>
      <c r="P224" s="45">
        <f t="shared" si="100"/>
        <v>1</v>
      </c>
      <c r="Q224" s="46" t="str">
        <f t="shared" si="101"/>
        <v>12:32:06</v>
      </c>
      <c r="R224" s="47" t="str">
        <f t="shared" si="102"/>
        <v>32:06</v>
      </c>
      <c r="S224" s="48">
        <f t="shared" si="91"/>
        <v>3</v>
      </c>
      <c r="T224" s="47" t="str">
        <f t="shared" si="103"/>
        <v>12</v>
      </c>
      <c r="U224" s="49">
        <v>32</v>
      </c>
      <c r="V224" s="50">
        <v>9</v>
      </c>
      <c r="W224" s="51" t="str">
        <f t="shared" si="104"/>
        <v>32:09</v>
      </c>
      <c r="X224" s="52" t="s">
        <v>63</v>
      </c>
      <c r="Y224" s="124" t="s">
        <v>82</v>
      </c>
      <c r="Z224" s="124"/>
      <c r="AA224" s="47" t="s">
        <v>59</v>
      </c>
      <c r="AB224" s="47" t="str">
        <f t="shared" si="105"/>
        <v>NA</v>
      </c>
      <c r="AC224" s="53">
        <f t="shared" si="106"/>
        <v>0</v>
      </c>
      <c r="AD224" s="54">
        <f t="shared" si="107"/>
        <v>1</v>
      </c>
      <c r="AE224" s="54"/>
      <c r="AF224" s="54"/>
      <c r="AG224" s="55">
        <v>1</v>
      </c>
      <c r="AH224" s="56">
        <f t="shared" si="109"/>
        <v>3</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f t="shared" si="92"/>
        <v>0</v>
      </c>
      <c r="AX224" s="61" t="str">
        <f t="shared" si="93"/>
        <v/>
      </c>
      <c r="AY224" s="60">
        <f t="shared" si="94"/>
        <v>0</v>
      </c>
      <c r="AZ224" s="61" t="str">
        <f t="shared" si="95"/>
        <v/>
      </c>
    </row>
    <row r="225" spans="1:52" s="3" customFormat="1" x14ac:dyDescent="0.35">
      <c r="A225" s="72">
        <f t="shared" si="96"/>
        <v>2019</v>
      </c>
      <c r="B225" s="72" t="str">
        <f t="shared" si="97"/>
        <v>Nov</v>
      </c>
      <c r="C225" s="73">
        <f t="shared" si="115"/>
        <v>18</v>
      </c>
      <c r="D225" s="74">
        <f t="shared" si="98"/>
        <v>12</v>
      </c>
      <c r="E225" s="75">
        <v>32</v>
      </c>
      <c r="F225" s="79">
        <v>24</v>
      </c>
      <c r="G225" s="82"/>
      <c r="H225" s="68" t="str">
        <f t="shared" si="116"/>
        <v>Senbur7_20191118_12_00</v>
      </c>
      <c r="I225" s="69">
        <f t="shared" si="118"/>
        <v>1</v>
      </c>
      <c r="J225" s="76" t="str">
        <f t="shared" si="118"/>
        <v>Senecio</v>
      </c>
      <c r="K225" s="76" t="str">
        <f t="shared" si="118"/>
        <v>burtoni</v>
      </c>
      <c r="L225" s="77">
        <f t="shared" si="118"/>
        <v>7</v>
      </c>
      <c r="M225" s="77">
        <f t="shared" si="118"/>
        <v>7</v>
      </c>
      <c r="N225" s="71">
        <f t="shared" si="118"/>
        <v>0</v>
      </c>
      <c r="O225" s="44"/>
      <c r="P225" s="45">
        <f t="shared" si="100"/>
        <v>1</v>
      </c>
      <c r="Q225" s="46" t="str">
        <f t="shared" si="101"/>
        <v>12:32:24</v>
      </c>
      <c r="R225" s="47" t="str">
        <f t="shared" si="102"/>
        <v>32:24</v>
      </c>
      <c r="S225" s="48">
        <f t="shared" si="91"/>
        <v>50</v>
      </c>
      <c r="T225" s="47" t="str">
        <f t="shared" si="103"/>
        <v>12</v>
      </c>
      <c r="U225" s="49">
        <v>33</v>
      </c>
      <c r="V225" s="50">
        <v>14</v>
      </c>
      <c r="W225" s="51" t="str">
        <f t="shared" si="104"/>
        <v>33:14</v>
      </c>
      <c r="X225" s="52" t="s">
        <v>63</v>
      </c>
      <c r="Y225" s="124" t="s">
        <v>101</v>
      </c>
      <c r="Z225" s="124"/>
      <c r="AA225" s="47" t="s">
        <v>77</v>
      </c>
      <c r="AB225" s="47" t="str">
        <f t="shared" si="105"/>
        <v>NA</v>
      </c>
      <c r="AC225" s="53">
        <f t="shared" si="106"/>
        <v>0</v>
      </c>
      <c r="AD225" s="54">
        <v>2</v>
      </c>
      <c r="AE225" s="54"/>
      <c r="AF225" s="54"/>
      <c r="AG225" s="55">
        <v>1</v>
      </c>
      <c r="AH225" s="56">
        <v>10</v>
      </c>
      <c r="AI225" s="55"/>
      <c r="AJ225" s="56" t="str">
        <f t="shared" si="110"/>
        <v/>
      </c>
      <c r="AK225" s="55"/>
      <c r="AL225" s="56" t="str">
        <f t="shared" si="111"/>
        <v/>
      </c>
      <c r="AM225" s="55">
        <v>1</v>
      </c>
      <c r="AN225" s="56">
        <v>40</v>
      </c>
      <c r="AO225" s="55"/>
      <c r="AP225" s="56" t="str">
        <f t="shared" si="113"/>
        <v/>
      </c>
      <c r="AQ225" s="55"/>
      <c r="AR225" s="56" t="str">
        <f t="shared" si="114"/>
        <v/>
      </c>
      <c r="AS225" s="57"/>
      <c r="AT225" s="58"/>
      <c r="AU225" s="58"/>
      <c r="AV225" s="59"/>
      <c r="AW225" s="60">
        <v>1</v>
      </c>
      <c r="AX225" s="61">
        <f t="shared" si="93"/>
        <v>2</v>
      </c>
      <c r="AY225" s="60">
        <v>1</v>
      </c>
      <c r="AZ225" s="61">
        <f t="shared" si="95"/>
        <v>2</v>
      </c>
    </row>
    <row r="226" spans="1:52" s="3" customFormat="1" hidden="1" x14ac:dyDescent="0.35">
      <c r="A226" s="72">
        <f t="shared" si="96"/>
        <v>2019</v>
      </c>
      <c r="B226" s="72" t="str">
        <f t="shared" si="97"/>
        <v>Nov</v>
      </c>
      <c r="C226" s="73">
        <f t="shared" si="115"/>
        <v>18</v>
      </c>
      <c r="D226" s="74">
        <f t="shared" si="98"/>
        <v>12</v>
      </c>
      <c r="E226" s="75">
        <v>32</v>
      </c>
      <c r="F226" s="79">
        <v>44</v>
      </c>
      <c r="G226" s="82"/>
      <c r="H226" s="68" t="str">
        <f t="shared" si="116"/>
        <v>Senbur7_20191118_12_00</v>
      </c>
      <c r="I226" s="69">
        <f t="shared" si="118"/>
        <v>1</v>
      </c>
      <c r="J226" s="76" t="str">
        <f t="shared" si="118"/>
        <v>Senecio</v>
      </c>
      <c r="K226" s="76" t="str">
        <f t="shared" si="118"/>
        <v>burtoni</v>
      </c>
      <c r="L226" s="77">
        <f t="shared" si="118"/>
        <v>7</v>
      </c>
      <c r="M226" s="77">
        <f t="shared" si="118"/>
        <v>7</v>
      </c>
      <c r="N226" s="71">
        <f t="shared" si="118"/>
        <v>0</v>
      </c>
      <c r="O226" s="44"/>
      <c r="P226" s="45">
        <f t="shared" si="100"/>
        <v>1</v>
      </c>
      <c r="Q226" s="46" t="str">
        <f t="shared" si="101"/>
        <v>12:32:44</v>
      </c>
      <c r="R226" s="47" t="str">
        <f t="shared" si="102"/>
        <v>32:44</v>
      </c>
      <c r="S226" s="48">
        <f t="shared" si="91"/>
        <v>20</v>
      </c>
      <c r="T226" s="47" t="str">
        <f t="shared" si="103"/>
        <v>12</v>
      </c>
      <c r="U226" s="49">
        <v>33</v>
      </c>
      <c r="V226" s="50">
        <v>4</v>
      </c>
      <c r="W226" s="51" t="str">
        <f t="shared" si="104"/>
        <v>33:04</v>
      </c>
      <c r="X226" s="52" t="s">
        <v>63</v>
      </c>
      <c r="Y226" s="124" t="s">
        <v>82</v>
      </c>
      <c r="Z226" s="124"/>
      <c r="AA226" s="47" t="s">
        <v>59</v>
      </c>
      <c r="AB226" s="47" t="str">
        <f t="shared" si="105"/>
        <v>NA</v>
      </c>
      <c r="AC226" s="53">
        <f t="shared" si="106"/>
        <v>0</v>
      </c>
      <c r="AD226" s="54">
        <v>3</v>
      </c>
      <c r="AE226" s="54"/>
      <c r="AF226" s="54"/>
      <c r="AG226" s="55">
        <v>1</v>
      </c>
      <c r="AH226" s="56">
        <v>15</v>
      </c>
      <c r="AI226" s="55"/>
      <c r="AJ226" s="56" t="str">
        <f t="shared" si="110"/>
        <v/>
      </c>
      <c r="AK226" s="55"/>
      <c r="AL226" s="56" t="str">
        <f t="shared" si="111"/>
        <v/>
      </c>
      <c r="AM226" s="55">
        <v>1</v>
      </c>
      <c r="AN226" s="56">
        <v>5</v>
      </c>
      <c r="AO226" s="55"/>
      <c r="AP226" s="56" t="str">
        <f t="shared" si="113"/>
        <v/>
      </c>
      <c r="AQ226" s="55"/>
      <c r="AR226" s="56" t="str">
        <f t="shared" si="114"/>
        <v/>
      </c>
      <c r="AS226" s="57"/>
      <c r="AT226" s="58"/>
      <c r="AU226" s="58"/>
      <c r="AV226" s="59"/>
      <c r="AW226" s="60">
        <v>1</v>
      </c>
      <c r="AX226" s="61">
        <v>1</v>
      </c>
      <c r="AY226" s="60">
        <v>1</v>
      </c>
      <c r="AZ226" s="61">
        <v>1</v>
      </c>
    </row>
    <row r="227" spans="1:52" s="3" customFormat="1" hidden="1" x14ac:dyDescent="0.35">
      <c r="A227" s="72">
        <f t="shared" si="96"/>
        <v>2019</v>
      </c>
      <c r="B227" s="72" t="str">
        <f t="shared" si="97"/>
        <v>Nov</v>
      </c>
      <c r="C227" s="73">
        <f t="shared" si="115"/>
        <v>18</v>
      </c>
      <c r="D227" s="74">
        <f t="shared" si="98"/>
        <v>12</v>
      </c>
      <c r="E227" s="75">
        <f t="shared" si="99"/>
        <v>33</v>
      </c>
      <c r="F227" s="79">
        <v>33</v>
      </c>
      <c r="G227" s="82"/>
      <c r="H227" s="68" t="str">
        <f t="shared" si="116"/>
        <v>Senbur7_20191118_12_00</v>
      </c>
      <c r="I227" s="69">
        <f t="shared" si="118"/>
        <v>1</v>
      </c>
      <c r="J227" s="76" t="str">
        <f t="shared" si="118"/>
        <v>Senecio</v>
      </c>
      <c r="K227" s="76" t="str">
        <f t="shared" si="118"/>
        <v>burtoni</v>
      </c>
      <c r="L227" s="77">
        <f t="shared" si="118"/>
        <v>7</v>
      </c>
      <c r="M227" s="77">
        <f t="shared" si="118"/>
        <v>7</v>
      </c>
      <c r="N227" s="71">
        <f t="shared" si="118"/>
        <v>0</v>
      </c>
      <c r="O227" s="44"/>
      <c r="P227" s="45">
        <f t="shared" si="100"/>
        <v>1</v>
      </c>
      <c r="Q227" s="46" t="str">
        <f t="shared" si="101"/>
        <v>12:33:33</v>
      </c>
      <c r="R227" s="47" t="str">
        <f t="shared" si="102"/>
        <v>33:33</v>
      </c>
      <c r="S227" s="48">
        <f t="shared" si="91"/>
        <v>37</v>
      </c>
      <c r="T227" s="47" t="str">
        <f t="shared" si="103"/>
        <v>12</v>
      </c>
      <c r="U227" s="49">
        <v>34</v>
      </c>
      <c r="V227" s="50">
        <v>10</v>
      </c>
      <c r="W227" s="51" t="str">
        <f t="shared" si="104"/>
        <v>34:10</v>
      </c>
      <c r="X227" s="52" t="s">
        <v>60</v>
      </c>
      <c r="Y227" s="124" t="s">
        <v>61</v>
      </c>
      <c r="Z227" s="124"/>
      <c r="AA227" s="47" t="s">
        <v>61</v>
      </c>
      <c r="AB227" s="47" t="str">
        <f t="shared" si="105"/>
        <v>NA</v>
      </c>
      <c r="AC227" s="53">
        <f t="shared" si="106"/>
        <v>0</v>
      </c>
      <c r="AD227" s="54">
        <f t="shared" si="107"/>
        <v>1</v>
      </c>
      <c r="AE227" s="54"/>
      <c r="AF227" s="54"/>
      <c r="AG227" s="55">
        <v>1</v>
      </c>
      <c r="AH227" s="56">
        <f t="shared" si="109"/>
        <v>37</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f t="shared" si="92"/>
        <v>0</v>
      </c>
      <c r="AX227" s="61" t="str">
        <f t="shared" si="93"/>
        <v/>
      </c>
      <c r="AY227" s="60">
        <f t="shared" si="94"/>
        <v>0</v>
      </c>
      <c r="AZ227" s="61" t="str">
        <f t="shared" si="95"/>
        <v/>
      </c>
    </row>
    <row r="228" spans="1:52" s="3" customFormat="1" hidden="1" x14ac:dyDescent="0.35">
      <c r="A228" s="72">
        <f t="shared" si="96"/>
        <v>2019</v>
      </c>
      <c r="B228" s="72" t="str">
        <f t="shared" si="97"/>
        <v>Nov</v>
      </c>
      <c r="C228" s="73">
        <f t="shared" si="115"/>
        <v>18</v>
      </c>
      <c r="D228" s="74">
        <f t="shared" si="98"/>
        <v>12</v>
      </c>
      <c r="E228" s="75">
        <f t="shared" si="99"/>
        <v>34</v>
      </c>
      <c r="F228" s="79"/>
      <c r="G228" s="82"/>
      <c r="H228" s="68" t="str">
        <f t="shared" si="116"/>
        <v>Senbur7_20191118_12_00</v>
      </c>
      <c r="I228" s="69">
        <f t="shared" si="118"/>
        <v>1</v>
      </c>
      <c r="J228" s="76" t="str">
        <f t="shared" si="118"/>
        <v>Senecio</v>
      </c>
      <c r="K228" s="76" t="str">
        <f t="shared" si="118"/>
        <v>burtoni</v>
      </c>
      <c r="L228" s="77">
        <f t="shared" si="118"/>
        <v>7</v>
      </c>
      <c r="M228" s="77">
        <f t="shared" si="118"/>
        <v>7</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2019</v>
      </c>
      <c r="B229" s="72" t="str">
        <f t="shared" si="97"/>
        <v>Nov</v>
      </c>
      <c r="C229" s="73">
        <f t="shared" si="115"/>
        <v>18</v>
      </c>
      <c r="D229" s="74">
        <f t="shared" si="98"/>
        <v>12</v>
      </c>
      <c r="E229" s="75">
        <f t="shared" si="99"/>
        <v>35</v>
      </c>
      <c r="F229" s="79">
        <v>34</v>
      </c>
      <c r="G229" s="82"/>
      <c r="H229" s="68" t="str">
        <f t="shared" si="116"/>
        <v>Senbur7_20191118_12_00</v>
      </c>
      <c r="I229" s="69">
        <f t="shared" ref="I229:N244" si="119">I228</f>
        <v>1</v>
      </c>
      <c r="J229" s="76" t="str">
        <f t="shared" si="119"/>
        <v>Senecio</v>
      </c>
      <c r="K229" s="76" t="str">
        <f t="shared" si="119"/>
        <v>burtoni</v>
      </c>
      <c r="L229" s="77">
        <f t="shared" si="119"/>
        <v>7</v>
      </c>
      <c r="M229" s="77">
        <f t="shared" si="119"/>
        <v>7</v>
      </c>
      <c r="N229" s="71">
        <f t="shared" si="119"/>
        <v>0</v>
      </c>
      <c r="O229" s="44"/>
      <c r="P229" s="45">
        <f t="shared" si="100"/>
        <v>1</v>
      </c>
      <c r="Q229" s="46" t="str">
        <f t="shared" si="101"/>
        <v>12:35:34</v>
      </c>
      <c r="R229" s="47" t="str">
        <f t="shared" si="102"/>
        <v>35:34</v>
      </c>
      <c r="S229" s="48">
        <f t="shared" si="91"/>
        <v>26</v>
      </c>
      <c r="T229" s="47" t="str">
        <f t="shared" si="103"/>
        <v>12</v>
      </c>
      <c r="U229" s="49">
        <v>36</v>
      </c>
      <c r="V229" s="50">
        <v>0</v>
      </c>
      <c r="W229" s="51" t="str">
        <f t="shared" si="104"/>
        <v>36:00</v>
      </c>
      <c r="X229" s="52" t="s">
        <v>63</v>
      </c>
      <c r="Y229" s="124" t="s">
        <v>101</v>
      </c>
      <c r="Z229" s="124"/>
      <c r="AA229" s="47" t="s">
        <v>77</v>
      </c>
      <c r="AB229" s="47" t="str">
        <f t="shared" si="105"/>
        <v>NA</v>
      </c>
      <c r="AC229" s="53">
        <f t="shared" si="106"/>
        <v>0</v>
      </c>
      <c r="AD229" s="54">
        <f t="shared" si="107"/>
        <v>1</v>
      </c>
      <c r="AE229" s="54"/>
      <c r="AF229" s="54"/>
      <c r="AG229" s="55">
        <v>1</v>
      </c>
      <c r="AH229" s="56">
        <v>3</v>
      </c>
      <c r="AI229" s="55"/>
      <c r="AJ229" s="56" t="str">
        <f t="shared" si="110"/>
        <v/>
      </c>
      <c r="AK229" s="55"/>
      <c r="AL229" s="56" t="str">
        <f t="shared" si="111"/>
        <v/>
      </c>
      <c r="AM229" s="55">
        <v>1</v>
      </c>
      <c r="AN229" s="56">
        <v>23</v>
      </c>
      <c r="AO229" s="55"/>
      <c r="AP229" s="56" t="str">
        <f t="shared" si="113"/>
        <v/>
      </c>
      <c r="AQ229" s="55"/>
      <c r="AR229" s="56" t="str">
        <f t="shared" si="114"/>
        <v/>
      </c>
      <c r="AS229" s="57"/>
      <c r="AT229" s="58"/>
      <c r="AU229" s="58"/>
      <c r="AV229" s="59"/>
      <c r="AW229" s="60">
        <v>1</v>
      </c>
      <c r="AX229" s="61">
        <f t="shared" si="93"/>
        <v>1</v>
      </c>
      <c r="AY229" s="60">
        <f t="shared" si="94"/>
        <v>0</v>
      </c>
      <c r="AZ229" s="61" t="str">
        <f t="shared" si="95"/>
        <v/>
      </c>
    </row>
    <row r="230" spans="1:52" s="3" customFormat="1" hidden="1" x14ac:dyDescent="0.35">
      <c r="A230" s="72">
        <f t="shared" si="96"/>
        <v>2019</v>
      </c>
      <c r="B230" s="72" t="str">
        <f t="shared" si="97"/>
        <v>Nov</v>
      </c>
      <c r="C230" s="73">
        <f t="shared" si="115"/>
        <v>18</v>
      </c>
      <c r="D230" s="74">
        <f t="shared" si="98"/>
        <v>12</v>
      </c>
      <c r="E230" s="75">
        <f t="shared" si="99"/>
        <v>36</v>
      </c>
      <c r="F230" s="79"/>
      <c r="G230" s="82"/>
      <c r="H230" s="68" t="str">
        <f t="shared" si="116"/>
        <v>Senbur7_20191118_12_00</v>
      </c>
      <c r="I230" s="69">
        <f t="shared" si="119"/>
        <v>1</v>
      </c>
      <c r="J230" s="76" t="str">
        <f t="shared" si="119"/>
        <v>Senecio</v>
      </c>
      <c r="K230" s="76" t="str">
        <f t="shared" si="119"/>
        <v>burtoni</v>
      </c>
      <c r="L230" s="77">
        <f t="shared" si="119"/>
        <v>7</v>
      </c>
      <c r="M230" s="77">
        <f t="shared" si="119"/>
        <v>7</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18</v>
      </c>
      <c r="D231" s="74">
        <f t="shared" si="98"/>
        <v>12</v>
      </c>
      <c r="E231" s="75">
        <f t="shared" si="99"/>
        <v>37</v>
      </c>
      <c r="F231" s="79"/>
      <c r="G231" s="82"/>
      <c r="H231" s="68" t="str">
        <f t="shared" si="116"/>
        <v>Senbur7_20191118_12_00</v>
      </c>
      <c r="I231" s="69">
        <f t="shared" si="119"/>
        <v>1</v>
      </c>
      <c r="J231" s="76" t="str">
        <f t="shared" si="119"/>
        <v>Senecio</v>
      </c>
      <c r="K231" s="76" t="str">
        <f t="shared" si="119"/>
        <v>burtoni</v>
      </c>
      <c r="L231" s="77">
        <f t="shared" si="119"/>
        <v>7</v>
      </c>
      <c r="M231" s="77">
        <f t="shared" si="119"/>
        <v>7</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18</v>
      </c>
      <c r="D232" s="74">
        <f t="shared" si="98"/>
        <v>12</v>
      </c>
      <c r="E232" s="75">
        <f t="shared" si="99"/>
        <v>38</v>
      </c>
      <c r="F232" s="79">
        <v>4</v>
      </c>
      <c r="G232" s="82"/>
      <c r="H232" s="68" t="str">
        <f t="shared" si="116"/>
        <v>Senbur7_20191118_12_00</v>
      </c>
      <c r="I232" s="69">
        <f t="shared" si="119"/>
        <v>1</v>
      </c>
      <c r="J232" s="76" t="str">
        <f t="shared" si="119"/>
        <v>Senecio</v>
      </c>
      <c r="K232" s="76" t="str">
        <f t="shared" si="119"/>
        <v>burtoni</v>
      </c>
      <c r="L232" s="77">
        <f t="shared" si="119"/>
        <v>7</v>
      </c>
      <c r="M232" s="77">
        <f t="shared" si="119"/>
        <v>7</v>
      </c>
      <c r="N232" s="71">
        <f t="shared" si="119"/>
        <v>0</v>
      </c>
      <c r="O232" s="44"/>
      <c r="P232" s="45">
        <f t="shared" si="100"/>
        <v>1</v>
      </c>
      <c r="Q232" s="46" t="str">
        <f t="shared" si="101"/>
        <v>12:38:04</v>
      </c>
      <c r="R232" s="47" t="str">
        <f t="shared" si="102"/>
        <v>38:04</v>
      </c>
      <c r="S232" s="48">
        <f t="shared" si="91"/>
        <v>9</v>
      </c>
      <c r="T232" s="47" t="str">
        <f t="shared" si="103"/>
        <v>12</v>
      </c>
      <c r="U232" s="49">
        <v>38</v>
      </c>
      <c r="V232" s="50">
        <v>13</v>
      </c>
      <c r="W232" s="51" t="str">
        <f t="shared" si="104"/>
        <v>38:13</v>
      </c>
      <c r="X232" s="52" t="s">
        <v>63</v>
      </c>
      <c r="Y232" s="124" t="s">
        <v>83</v>
      </c>
      <c r="Z232" s="124"/>
      <c r="AA232" s="47" t="s">
        <v>59</v>
      </c>
      <c r="AB232" s="47" t="str">
        <f t="shared" si="105"/>
        <v>NA</v>
      </c>
      <c r="AC232" s="53">
        <f t="shared" si="106"/>
        <v>0</v>
      </c>
      <c r="AD232" s="54">
        <f t="shared" si="107"/>
        <v>1</v>
      </c>
      <c r="AE232" s="54"/>
      <c r="AF232" s="54"/>
      <c r="AG232" s="55">
        <v>1</v>
      </c>
      <c r="AH232" s="56">
        <v>2</v>
      </c>
      <c r="AI232" s="55"/>
      <c r="AJ232" s="56" t="str">
        <f t="shared" si="110"/>
        <v/>
      </c>
      <c r="AK232" s="55"/>
      <c r="AL232" s="56" t="str">
        <f t="shared" si="111"/>
        <v/>
      </c>
      <c r="AM232" s="55">
        <v>1</v>
      </c>
      <c r="AN232" s="56">
        <v>7</v>
      </c>
      <c r="AO232" s="55"/>
      <c r="AP232" s="56" t="str">
        <f t="shared" si="113"/>
        <v/>
      </c>
      <c r="AQ232" s="55"/>
      <c r="AR232" s="56" t="str">
        <f t="shared" si="114"/>
        <v/>
      </c>
      <c r="AS232" s="57"/>
      <c r="AT232" s="58"/>
      <c r="AU232" s="58"/>
      <c r="AV232" s="59"/>
      <c r="AW232" s="60">
        <v>1</v>
      </c>
      <c r="AX232" s="61">
        <f t="shared" si="93"/>
        <v>1</v>
      </c>
      <c r="AY232" s="60">
        <v>1</v>
      </c>
      <c r="AZ232" s="61">
        <f t="shared" si="95"/>
        <v>1</v>
      </c>
    </row>
    <row r="233" spans="1:52" s="3" customFormat="1" hidden="1" x14ac:dyDescent="0.35">
      <c r="A233" s="72">
        <f t="shared" si="96"/>
        <v>2019</v>
      </c>
      <c r="B233" s="72" t="str">
        <f t="shared" si="97"/>
        <v>Nov</v>
      </c>
      <c r="C233" s="73">
        <f t="shared" si="115"/>
        <v>18</v>
      </c>
      <c r="D233" s="74">
        <f t="shared" si="98"/>
        <v>12</v>
      </c>
      <c r="E233" s="75">
        <v>38</v>
      </c>
      <c r="F233" s="79">
        <v>14</v>
      </c>
      <c r="G233" s="82"/>
      <c r="H233" s="68" t="str">
        <f t="shared" si="116"/>
        <v>Senbur7_20191118_12_00</v>
      </c>
      <c r="I233" s="69">
        <f t="shared" si="119"/>
        <v>1</v>
      </c>
      <c r="J233" s="76" t="str">
        <f t="shared" si="119"/>
        <v>Senecio</v>
      </c>
      <c r="K233" s="76" t="str">
        <f t="shared" si="119"/>
        <v>burtoni</v>
      </c>
      <c r="L233" s="77">
        <f t="shared" si="119"/>
        <v>7</v>
      </c>
      <c r="M233" s="77">
        <f t="shared" si="119"/>
        <v>7</v>
      </c>
      <c r="N233" s="71">
        <f t="shared" si="119"/>
        <v>0</v>
      </c>
      <c r="O233" s="44"/>
      <c r="P233" s="45">
        <f t="shared" si="100"/>
        <v>1</v>
      </c>
      <c r="Q233" s="46" t="str">
        <f t="shared" si="101"/>
        <v>12:38:14</v>
      </c>
      <c r="R233" s="47" t="str">
        <f t="shared" si="102"/>
        <v>38:14</v>
      </c>
      <c r="S233" s="48">
        <f t="shared" si="91"/>
        <v>6</v>
      </c>
      <c r="T233" s="47" t="str">
        <f t="shared" si="103"/>
        <v>12</v>
      </c>
      <c r="U233" s="49">
        <v>38</v>
      </c>
      <c r="V233" s="50">
        <v>20</v>
      </c>
      <c r="W233" s="51" t="str">
        <f t="shared" si="104"/>
        <v>38:20</v>
      </c>
      <c r="X233" s="52" t="s">
        <v>63</v>
      </c>
      <c r="Y233" s="124" t="s">
        <v>82</v>
      </c>
      <c r="Z233" s="124"/>
      <c r="AA233" s="47" t="s">
        <v>59</v>
      </c>
      <c r="AB233" s="47" t="str">
        <f t="shared" si="105"/>
        <v>NA</v>
      </c>
      <c r="AC233" s="53">
        <f t="shared" si="106"/>
        <v>0</v>
      </c>
      <c r="AD233" s="54">
        <f t="shared" si="107"/>
        <v>1</v>
      </c>
      <c r="AE233" s="54"/>
      <c r="AF233" s="54"/>
      <c r="AG233" s="55">
        <v>1</v>
      </c>
      <c r="AH233" s="56">
        <f t="shared" si="109"/>
        <v>6</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f t="shared" si="92"/>
        <v>0</v>
      </c>
      <c r="AX233" s="61" t="str">
        <f t="shared" si="93"/>
        <v/>
      </c>
      <c r="AY233" s="60">
        <f t="shared" si="94"/>
        <v>0</v>
      </c>
      <c r="AZ233" s="61" t="str">
        <f t="shared" si="95"/>
        <v/>
      </c>
    </row>
    <row r="234" spans="1:52" s="3" customFormat="1" hidden="1" x14ac:dyDescent="0.35">
      <c r="A234" s="72">
        <f t="shared" si="96"/>
        <v>2019</v>
      </c>
      <c r="B234" s="72" t="str">
        <f t="shared" si="97"/>
        <v>Nov</v>
      </c>
      <c r="C234" s="73">
        <f t="shared" si="115"/>
        <v>18</v>
      </c>
      <c r="D234" s="74">
        <f t="shared" si="98"/>
        <v>12</v>
      </c>
      <c r="E234" s="75">
        <v>38</v>
      </c>
      <c r="F234" s="79">
        <v>15</v>
      </c>
      <c r="G234" s="82"/>
      <c r="H234" s="68" t="str">
        <f t="shared" si="116"/>
        <v>Senbur7_20191118_12_00</v>
      </c>
      <c r="I234" s="69">
        <f t="shared" si="119"/>
        <v>1</v>
      </c>
      <c r="J234" s="76" t="str">
        <f t="shared" si="119"/>
        <v>Senecio</v>
      </c>
      <c r="K234" s="76" t="str">
        <f t="shared" si="119"/>
        <v>burtoni</v>
      </c>
      <c r="L234" s="77">
        <f t="shared" si="119"/>
        <v>7</v>
      </c>
      <c r="M234" s="77">
        <f t="shared" si="119"/>
        <v>7</v>
      </c>
      <c r="N234" s="71">
        <f t="shared" si="119"/>
        <v>0</v>
      </c>
      <c r="O234" s="44"/>
      <c r="P234" s="45">
        <f t="shared" si="100"/>
        <v>1</v>
      </c>
      <c r="Q234" s="46" t="str">
        <f t="shared" si="101"/>
        <v>12:38:15</v>
      </c>
      <c r="R234" s="47" t="str">
        <f t="shared" si="102"/>
        <v>38:15</v>
      </c>
      <c r="S234" s="48">
        <f t="shared" si="91"/>
        <v>22</v>
      </c>
      <c r="T234" s="47" t="str">
        <f t="shared" si="103"/>
        <v>12</v>
      </c>
      <c r="U234" s="49">
        <v>38</v>
      </c>
      <c r="V234" s="50">
        <v>37</v>
      </c>
      <c r="W234" s="51" t="str">
        <f t="shared" si="104"/>
        <v>38:37</v>
      </c>
      <c r="X234" s="52" t="s">
        <v>69</v>
      </c>
      <c r="Y234" s="124" t="s">
        <v>89</v>
      </c>
      <c r="Z234" s="124"/>
      <c r="AA234" s="47" t="s">
        <v>68</v>
      </c>
      <c r="AB234" s="47" t="str">
        <f t="shared" si="105"/>
        <v>NA</v>
      </c>
      <c r="AC234" s="53">
        <f t="shared" si="106"/>
        <v>0</v>
      </c>
      <c r="AD234" s="54">
        <v>2</v>
      </c>
      <c r="AE234" s="54"/>
      <c r="AF234" s="54"/>
      <c r="AG234" s="55">
        <v>1</v>
      </c>
      <c r="AH234" s="56">
        <f t="shared" si="109"/>
        <v>22</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v>1</v>
      </c>
      <c r="AX234" s="61">
        <v>1</v>
      </c>
      <c r="AY234" s="60">
        <f t="shared" si="94"/>
        <v>0</v>
      </c>
      <c r="AZ234" s="61" t="str">
        <f t="shared" si="95"/>
        <v/>
      </c>
    </row>
    <row r="235" spans="1:52" s="3" customFormat="1" hidden="1" x14ac:dyDescent="0.35">
      <c r="A235" s="72">
        <f t="shared" si="96"/>
        <v>2019</v>
      </c>
      <c r="B235" s="72" t="str">
        <f t="shared" si="97"/>
        <v>Nov</v>
      </c>
      <c r="C235" s="73">
        <f t="shared" si="115"/>
        <v>18</v>
      </c>
      <c r="D235" s="74">
        <f t="shared" si="98"/>
        <v>12</v>
      </c>
      <c r="E235" s="75">
        <f t="shared" si="99"/>
        <v>39</v>
      </c>
      <c r="F235" s="79"/>
      <c r="G235" s="82"/>
      <c r="H235" s="68" t="str">
        <f t="shared" si="116"/>
        <v>Senbur7_20191118_12_00</v>
      </c>
      <c r="I235" s="69">
        <f t="shared" si="119"/>
        <v>1</v>
      </c>
      <c r="J235" s="76" t="str">
        <f t="shared" si="119"/>
        <v>Senecio</v>
      </c>
      <c r="K235" s="76" t="str">
        <f t="shared" si="119"/>
        <v>burtoni</v>
      </c>
      <c r="L235" s="77">
        <f t="shared" si="119"/>
        <v>7</v>
      </c>
      <c r="M235" s="77">
        <f t="shared" si="119"/>
        <v>7</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18</v>
      </c>
      <c r="D236" s="74">
        <f t="shared" si="98"/>
        <v>12</v>
      </c>
      <c r="E236" s="75">
        <f t="shared" si="99"/>
        <v>40</v>
      </c>
      <c r="F236" s="79"/>
      <c r="G236" s="82"/>
      <c r="H236" s="68" t="str">
        <f t="shared" si="116"/>
        <v>Senbur7_20191118_12_00</v>
      </c>
      <c r="I236" s="69">
        <f t="shared" si="119"/>
        <v>1</v>
      </c>
      <c r="J236" s="76" t="str">
        <f t="shared" si="119"/>
        <v>Senecio</v>
      </c>
      <c r="K236" s="76" t="str">
        <f t="shared" si="119"/>
        <v>burtoni</v>
      </c>
      <c r="L236" s="77">
        <f t="shared" si="119"/>
        <v>7</v>
      </c>
      <c r="M236" s="77">
        <f t="shared" si="119"/>
        <v>7</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18</v>
      </c>
      <c r="D237" s="74">
        <f t="shared" si="98"/>
        <v>12</v>
      </c>
      <c r="E237" s="75">
        <f t="shared" si="99"/>
        <v>41</v>
      </c>
      <c r="F237" s="79">
        <v>1</v>
      </c>
      <c r="G237" s="82"/>
      <c r="H237" s="68" t="str">
        <f t="shared" si="116"/>
        <v>Senbur7_20191118_12_00</v>
      </c>
      <c r="I237" s="69">
        <f t="shared" si="119"/>
        <v>1</v>
      </c>
      <c r="J237" s="76" t="str">
        <f t="shared" si="119"/>
        <v>Senecio</v>
      </c>
      <c r="K237" s="76" t="str">
        <f t="shared" si="119"/>
        <v>burtoni</v>
      </c>
      <c r="L237" s="77">
        <f t="shared" si="119"/>
        <v>7</v>
      </c>
      <c r="M237" s="77">
        <f t="shared" si="119"/>
        <v>7</v>
      </c>
      <c r="N237" s="71">
        <f t="shared" si="119"/>
        <v>0</v>
      </c>
      <c r="O237" s="44"/>
      <c r="P237" s="45">
        <f t="shared" si="100"/>
        <v>1</v>
      </c>
      <c r="Q237" s="46" t="str">
        <f t="shared" si="101"/>
        <v>12:41:01</v>
      </c>
      <c r="R237" s="47" t="str">
        <f t="shared" si="102"/>
        <v>41:01</v>
      </c>
      <c r="S237" s="48">
        <f t="shared" si="91"/>
        <v>36</v>
      </c>
      <c r="T237" s="47" t="str">
        <f t="shared" si="103"/>
        <v>12</v>
      </c>
      <c r="U237" s="49">
        <v>41</v>
      </c>
      <c r="V237" s="50">
        <v>37</v>
      </c>
      <c r="W237" s="51" t="str">
        <f t="shared" si="104"/>
        <v>41:37</v>
      </c>
      <c r="X237" s="52" t="s">
        <v>63</v>
      </c>
      <c r="Y237" s="124" t="s">
        <v>82</v>
      </c>
      <c r="Z237" s="124"/>
      <c r="AA237" s="47" t="s">
        <v>59</v>
      </c>
      <c r="AB237" s="47" t="str">
        <f t="shared" si="105"/>
        <v>NA</v>
      </c>
      <c r="AC237" s="53">
        <f t="shared" si="106"/>
        <v>0</v>
      </c>
      <c r="AD237" s="54">
        <f t="shared" si="107"/>
        <v>1</v>
      </c>
      <c r="AE237" s="54"/>
      <c r="AF237" s="54"/>
      <c r="AG237" s="55">
        <v>1</v>
      </c>
      <c r="AH237" s="56">
        <v>10</v>
      </c>
      <c r="AI237" s="55"/>
      <c r="AJ237" s="56" t="str">
        <f t="shared" si="110"/>
        <v/>
      </c>
      <c r="AK237" s="55"/>
      <c r="AL237" s="56" t="str">
        <f t="shared" si="111"/>
        <v/>
      </c>
      <c r="AM237" s="55">
        <v>1</v>
      </c>
      <c r="AN237" s="56">
        <v>26</v>
      </c>
      <c r="AO237" s="55"/>
      <c r="AP237" s="56" t="str">
        <f t="shared" si="113"/>
        <v/>
      </c>
      <c r="AQ237" s="55"/>
      <c r="AR237" s="56" t="str">
        <f t="shared" si="114"/>
        <v/>
      </c>
      <c r="AS237" s="57"/>
      <c r="AT237" s="58"/>
      <c r="AU237" s="58"/>
      <c r="AV237" s="59"/>
      <c r="AW237" s="60">
        <v>1</v>
      </c>
      <c r="AX237" s="61">
        <f t="shared" si="93"/>
        <v>1</v>
      </c>
      <c r="AY237" s="60">
        <v>1</v>
      </c>
      <c r="AZ237" s="61">
        <f t="shared" si="95"/>
        <v>1</v>
      </c>
    </row>
    <row r="238" spans="1:52" s="3" customFormat="1" hidden="1" x14ac:dyDescent="0.35">
      <c r="A238" s="72">
        <f t="shared" si="96"/>
        <v>2019</v>
      </c>
      <c r="B238" s="72" t="str">
        <f t="shared" si="97"/>
        <v>Nov</v>
      </c>
      <c r="C238" s="73">
        <f t="shared" si="115"/>
        <v>18</v>
      </c>
      <c r="D238" s="74">
        <f t="shared" si="98"/>
        <v>12</v>
      </c>
      <c r="E238" s="75">
        <f t="shared" si="99"/>
        <v>42</v>
      </c>
      <c r="F238" s="79">
        <v>46</v>
      </c>
      <c r="G238" s="82"/>
      <c r="H238" s="68" t="str">
        <f t="shared" si="116"/>
        <v>Senbur7_20191118_12_00</v>
      </c>
      <c r="I238" s="69">
        <f t="shared" si="119"/>
        <v>1</v>
      </c>
      <c r="J238" s="76" t="str">
        <f t="shared" si="119"/>
        <v>Senecio</v>
      </c>
      <c r="K238" s="76" t="str">
        <f t="shared" si="119"/>
        <v>burtoni</v>
      </c>
      <c r="L238" s="77">
        <f t="shared" si="119"/>
        <v>7</v>
      </c>
      <c r="M238" s="77">
        <f t="shared" si="119"/>
        <v>7</v>
      </c>
      <c r="N238" s="71">
        <f t="shared" si="119"/>
        <v>0</v>
      </c>
      <c r="O238" s="44"/>
      <c r="P238" s="45">
        <f t="shared" si="100"/>
        <v>1</v>
      </c>
      <c r="Q238" s="46" t="str">
        <f t="shared" si="101"/>
        <v>12:42:46</v>
      </c>
      <c r="R238" s="47" t="str">
        <f t="shared" si="102"/>
        <v>42:46</v>
      </c>
      <c r="S238" s="48">
        <f t="shared" si="91"/>
        <v>2</v>
      </c>
      <c r="T238" s="47" t="str">
        <f t="shared" si="103"/>
        <v>12</v>
      </c>
      <c r="U238" s="49">
        <v>42</v>
      </c>
      <c r="V238" s="50">
        <v>48</v>
      </c>
      <c r="W238" s="51" t="str">
        <f t="shared" si="104"/>
        <v>42:48</v>
      </c>
      <c r="X238" s="52" t="s">
        <v>63</v>
      </c>
      <c r="Y238" s="124" t="s">
        <v>83</v>
      </c>
      <c r="Z238" s="124"/>
      <c r="AA238" s="47" t="s">
        <v>59</v>
      </c>
      <c r="AB238" s="47" t="str">
        <f t="shared" si="105"/>
        <v>NA</v>
      </c>
      <c r="AC238" s="53">
        <f t="shared" si="106"/>
        <v>0</v>
      </c>
      <c r="AD238" s="54">
        <f t="shared" si="107"/>
        <v>1</v>
      </c>
      <c r="AE238" s="54"/>
      <c r="AF238" s="54"/>
      <c r="AG238" s="55">
        <v>1</v>
      </c>
      <c r="AH238" s="56">
        <f t="shared" si="109"/>
        <v>2</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v>1</v>
      </c>
      <c r="AX238" s="61">
        <f t="shared" si="93"/>
        <v>1</v>
      </c>
      <c r="AY238" s="60">
        <f t="shared" si="94"/>
        <v>0</v>
      </c>
      <c r="AZ238" s="61" t="str">
        <f t="shared" si="95"/>
        <v/>
      </c>
    </row>
    <row r="239" spans="1:52" s="3" customFormat="1" hidden="1" x14ac:dyDescent="0.35">
      <c r="A239" s="72">
        <f t="shared" si="96"/>
        <v>2019</v>
      </c>
      <c r="B239" s="72" t="str">
        <f t="shared" si="97"/>
        <v>Nov</v>
      </c>
      <c r="C239" s="73">
        <f t="shared" si="115"/>
        <v>18</v>
      </c>
      <c r="D239" s="74">
        <f t="shared" si="98"/>
        <v>12</v>
      </c>
      <c r="E239" s="75">
        <f t="shared" si="99"/>
        <v>43</v>
      </c>
      <c r="F239" s="79">
        <v>54</v>
      </c>
      <c r="G239" s="82"/>
      <c r="H239" s="68" t="str">
        <f t="shared" si="116"/>
        <v>Senbur7_20191118_12_00</v>
      </c>
      <c r="I239" s="69">
        <f t="shared" si="119"/>
        <v>1</v>
      </c>
      <c r="J239" s="76" t="str">
        <f t="shared" si="119"/>
        <v>Senecio</v>
      </c>
      <c r="K239" s="76" t="str">
        <f t="shared" si="119"/>
        <v>burtoni</v>
      </c>
      <c r="L239" s="77">
        <f t="shared" si="119"/>
        <v>7</v>
      </c>
      <c r="M239" s="77">
        <f t="shared" si="119"/>
        <v>7</v>
      </c>
      <c r="N239" s="71">
        <f t="shared" si="119"/>
        <v>0</v>
      </c>
      <c r="O239" s="44"/>
      <c r="P239" s="45">
        <f t="shared" si="100"/>
        <v>1</v>
      </c>
      <c r="Q239" s="46" t="str">
        <f t="shared" si="101"/>
        <v>12:43:54</v>
      </c>
      <c r="R239" s="47" t="str">
        <f t="shared" si="102"/>
        <v>43:54</v>
      </c>
      <c r="S239" s="48">
        <f t="shared" si="91"/>
        <v>11</v>
      </c>
      <c r="T239" s="47" t="str">
        <f t="shared" si="103"/>
        <v>12</v>
      </c>
      <c r="U239" s="49">
        <v>44</v>
      </c>
      <c r="V239" s="50">
        <v>5</v>
      </c>
      <c r="W239" s="51" t="str">
        <f t="shared" si="104"/>
        <v>44:05</v>
      </c>
      <c r="X239" s="52" t="s">
        <v>63</v>
      </c>
      <c r="Y239" s="124" t="s">
        <v>82</v>
      </c>
      <c r="Z239" s="124"/>
      <c r="AA239" s="47" t="s">
        <v>59</v>
      </c>
      <c r="AB239" s="47" t="str">
        <f t="shared" si="105"/>
        <v>NA</v>
      </c>
      <c r="AC239" s="53">
        <f t="shared" si="106"/>
        <v>0</v>
      </c>
      <c r="AD239" s="54">
        <f t="shared" si="107"/>
        <v>1</v>
      </c>
      <c r="AE239" s="54"/>
      <c r="AF239" s="54"/>
      <c r="AG239" s="55">
        <v>1</v>
      </c>
      <c r="AH239" s="56">
        <v>4</v>
      </c>
      <c r="AI239" s="55"/>
      <c r="AJ239" s="56" t="str">
        <f t="shared" si="110"/>
        <v/>
      </c>
      <c r="AK239" s="55"/>
      <c r="AL239" s="56" t="str">
        <f t="shared" si="111"/>
        <v/>
      </c>
      <c r="AM239" s="55">
        <v>1</v>
      </c>
      <c r="AN239" s="56">
        <v>7</v>
      </c>
      <c r="AO239" s="55"/>
      <c r="AP239" s="56" t="str">
        <f t="shared" si="113"/>
        <v/>
      </c>
      <c r="AQ239" s="55"/>
      <c r="AR239" s="56" t="str">
        <f t="shared" si="114"/>
        <v/>
      </c>
      <c r="AS239" s="57"/>
      <c r="AT239" s="58"/>
      <c r="AU239" s="58"/>
      <c r="AV239" s="59"/>
      <c r="AW239" s="60">
        <v>1</v>
      </c>
      <c r="AX239" s="61">
        <f t="shared" si="93"/>
        <v>1</v>
      </c>
      <c r="AY239" s="60">
        <v>1</v>
      </c>
      <c r="AZ239" s="61">
        <f t="shared" si="95"/>
        <v>1</v>
      </c>
    </row>
    <row r="240" spans="1:52" s="3" customFormat="1" hidden="1" x14ac:dyDescent="0.35">
      <c r="A240" s="72">
        <f t="shared" si="96"/>
        <v>2019</v>
      </c>
      <c r="B240" s="72" t="str">
        <f t="shared" si="97"/>
        <v>Nov</v>
      </c>
      <c r="C240" s="73">
        <f t="shared" si="115"/>
        <v>18</v>
      </c>
      <c r="D240" s="74">
        <f t="shared" si="98"/>
        <v>12</v>
      </c>
      <c r="E240" s="75">
        <f t="shared" si="99"/>
        <v>44</v>
      </c>
      <c r="F240" s="79">
        <v>5</v>
      </c>
      <c r="G240" s="82"/>
      <c r="H240" s="68" t="str">
        <f t="shared" si="116"/>
        <v>Senbur7_20191118_12_00</v>
      </c>
      <c r="I240" s="69">
        <f t="shared" si="119"/>
        <v>1</v>
      </c>
      <c r="J240" s="76" t="str">
        <f t="shared" si="119"/>
        <v>Senecio</v>
      </c>
      <c r="K240" s="76" t="str">
        <f t="shared" si="119"/>
        <v>burtoni</v>
      </c>
      <c r="L240" s="77">
        <f t="shared" si="119"/>
        <v>7</v>
      </c>
      <c r="M240" s="77">
        <f t="shared" si="119"/>
        <v>7</v>
      </c>
      <c r="N240" s="71">
        <f t="shared" si="119"/>
        <v>0</v>
      </c>
      <c r="O240" s="44"/>
      <c r="P240" s="45">
        <f t="shared" si="100"/>
        <v>1</v>
      </c>
      <c r="Q240" s="46" t="str">
        <f t="shared" si="101"/>
        <v>12:44:05</v>
      </c>
      <c r="R240" s="47" t="str">
        <f t="shared" si="102"/>
        <v>44:05</v>
      </c>
      <c r="S240" s="48">
        <f t="shared" si="91"/>
        <v>13</v>
      </c>
      <c r="T240" s="47" t="str">
        <f t="shared" si="103"/>
        <v>12</v>
      </c>
      <c r="U240" s="49">
        <v>44</v>
      </c>
      <c r="V240" s="50">
        <v>18</v>
      </c>
      <c r="W240" s="51" t="str">
        <f t="shared" si="104"/>
        <v>44:18</v>
      </c>
      <c r="X240" s="52" t="s">
        <v>63</v>
      </c>
      <c r="Y240" s="124" t="s">
        <v>82</v>
      </c>
      <c r="Z240" s="124"/>
      <c r="AA240" s="47" t="s">
        <v>59</v>
      </c>
      <c r="AB240" s="47" t="str">
        <f t="shared" si="105"/>
        <v>NA</v>
      </c>
      <c r="AC240" s="53">
        <f t="shared" si="106"/>
        <v>0</v>
      </c>
      <c r="AD240" s="54">
        <f t="shared" si="107"/>
        <v>1</v>
      </c>
      <c r="AE240" s="54"/>
      <c r="AF240" s="54"/>
      <c r="AG240" s="55">
        <v>1</v>
      </c>
      <c r="AH240" s="56">
        <v>3</v>
      </c>
      <c r="AI240" s="55"/>
      <c r="AJ240" s="56" t="str">
        <f t="shared" si="110"/>
        <v/>
      </c>
      <c r="AK240" s="55"/>
      <c r="AL240" s="56" t="str">
        <f t="shared" si="111"/>
        <v/>
      </c>
      <c r="AM240" s="55">
        <v>1</v>
      </c>
      <c r="AN240" s="56">
        <v>10</v>
      </c>
      <c r="AO240" s="55"/>
      <c r="AP240" s="56" t="str">
        <f t="shared" si="113"/>
        <v/>
      </c>
      <c r="AQ240" s="55"/>
      <c r="AR240" s="56" t="str">
        <f t="shared" si="114"/>
        <v/>
      </c>
      <c r="AS240" s="57"/>
      <c r="AT240" s="58"/>
      <c r="AU240" s="58"/>
      <c r="AV240" s="59"/>
      <c r="AW240" s="60">
        <v>1</v>
      </c>
      <c r="AX240" s="61">
        <f t="shared" si="93"/>
        <v>1</v>
      </c>
      <c r="AY240" s="60">
        <v>1</v>
      </c>
      <c r="AZ240" s="61">
        <f t="shared" si="95"/>
        <v>1</v>
      </c>
    </row>
    <row r="241" spans="1:52" s="3" customFormat="1" hidden="1" x14ac:dyDescent="0.35">
      <c r="A241" s="72">
        <f t="shared" si="96"/>
        <v>2019</v>
      </c>
      <c r="B241" s="72" t="str">
        <f t="shared" si="97"/>
        <v>Nov</v>
      </c>
      <c r="C241" s="73">
        <f t="shared" si="115"/>
        <v>18</v>
      </c>
      <c r="D241" s="74">
        <f t="shared" si="98"/>
        <v>12</v>
      </c>
      <c r="E241" s="75">
        <v>44</v>
      </c>
      <c r="F241" s="79">
        <v>24</v>
      </c>
      <c r="G241" s="82"/>
      <c r="H241" s="68" t="str">
        <f t="shared" si="116"/>
        <v>Senbur7_20191118_12_00</v>
      </c>
      <c r="I241" s="69">
        <f t="shared" si="119"/>
        <v>1</v>
      </c>
      <c r="J241" s="76" t="str">
        <f t="shared" si="119"/>
        <v>Senecio</v>
      </c>
      <c r="K241" s="76" t="str">
        <f t="shared" si="119"/>
        <v>burtoni</v>
      </c>
      <c r="L241" s="77">
        <f t="shared" si="119"/>
        <v>7</v>
      </c>
      <c r="M241" s="77">
        <f t="shared" si="119"/>
        <v>7</v>
      </c>
      <c r="N241" s="71">
        <f t="shared" si="119"/>
        <v>0</v>
      </c>
      <c r="O241" s="44"/>
      <c r="P241" s="45">
        <f t="shared" si="100"/>
        <v>1</v>
      </c>
      <c r="Q241" s="46" t="str">
        <f t="shared" si="101"/>
        <v>12:44:24</v>
      </c>
      <c r="R241" s="47" t="str">
        <f t="shared" si="102"/>
        <v>44:24</v>
      </c>
      <c r="S241" s="48">
        <f t="shared" si="91"/>
        <v>37</v>
      </c>
      <c r="T241" s="47" t="str">
        <f t="shared" si="103"/>
        <v>12</v>
      </c>
      <c r="U241" s="49">
        <v>45</v>
      </c>
      <c r="V241" s="50">
        <v>1</v>
      </c>
      <c r="W241" s="51" t="str">
        <f t="shared" si="104"/>
        <v>45:01</v>
      </c>
      <c r="X241" s="52" t="s">
        <v>63</v>
      </c>
      <c r="Y241" s="124" t="s">
        <v>82</v>
      </c>
      <c r="Z241" s="124"/>
      <c r="AA241" s="47" t="s">
        <v>68</v>
      </c>
      <c r="AB241" s="47" t="str">
        <f t="shared" si="105"/>
        <v>NA</v>
      </c>
      <c r="AC241" s="53">
        <f t="shared" si="106"/>
        <v>0</v>
      </c>
      <c r="AD241" s="54">
        <v>3</v>
      </c>
      <c r="AE241" s="54"/>
      <c r="AF241" s="54"/>
      <c r="AG241" s="55">
        <v>1</v>
      </c>
      <c r="AH241" s="56">
        <v>15</v>
      </c>
      <c r="AI241" s="55"/>
      <c r="AJ241" s="56" t="str">
        <f t="shared" si="110"/>
        <v/>
      </c>
      <c r="AK241" s="55"/>
      <c r="AL241" s="56" t="str">
        <f t="shared" si="111"/>
        <v/>
      </c>
      <c r="AM241" s="55">
        <v>1</v>
      </c>
      <c r="AN241" s="56">
        <v>22</v>
      </c>
      <c r="AO241" s="55"/>
      <c r="AP241" s="56" t="str">
        <f t="shared" si="113"/>
        <v/>
      </c>
      <c r="AQ241" s="55"/>
      <c r="AR241" s="56" t="str">
        <f t="shared" si="114"/>
        <v/>
      </c>
      <c r="AS241" s="57"/>
      <c r="AT241" s="58"/>
      <c r="AU241" s="58"/>
      <c r="AV241" s="59"/>
      <c r="AW241" s="60">
        <v>1</v>
      </c>
      <c r="AX241" s="61">
        <f t="shared" si="93"/>
        <v>3</v>
      </c>
      <c r="AY241" s="60">
        <f t="shared" si="94"/>
        <v>0</v>
      </c>
      <c r="AZ241" s="61" t="str">
        <f t="shared" si="95"/>
        <v/>
      </c>
    </row>
    <row r="242" spans="1:52" s="3" customFormat="1" hidden="1" x14ac:dyDescent="0.35">
      <c r="A242" s="72">
        <f t="shared" si="96"/>
        <v>2019</v>
      </c>
      <c r="B242" s="72" t="str">
        <f t="shared" si="97"/>
        <v>Nov</v>
      </c>
      <c r="C242" s="73">
        <f t="shared" si="115"/>
        <v>18</v>
      </c>
      <c r="D242" s="74">
        <f t="shared" si="98"/>
        <v>12</v>
      </c>
      <c r="E242" s="75">
        <v>44</v>
      </c>
      <c r="F242" s="79">
        <v>30</v>
      </c>
      <c r="G242" s="82"/>
      <c r="H242" s="68" t="str">
        <f t="shared" si="116"/>
        <v>Senbur7_20191118_12_00</v>
      </c>
      <c r="I242" s="69">
        <f t="shared" si="119"/>
        <v>1</v>
      </c>
      <c r="J242" s="76" t="str">
        <f t="shared" si="119"/>
        <v>Senecio</v>
      </c>
      <c r="K242" s="76" t="str">
        <f t="shared" si="119"/>
        <v>burtoni</v>
      </c>
      <c r="L242" s="77">
        <f t="shared" si="119"/>
        <v>7</v>
      </c>
      <c r="M242" s="77">
        <f t="shared" si="119"/>
        <v>7</v>
      </c>
      <c r="N242" s="71">
        <f t="shared" si="119"/>
        <v>0</v>
      </c>
      <c r="O242" s="44"/>
      <c r="P242" s="45">
        <f t="shared" si="100"/>
        <v>1</v>
      </c>
      <c r="Q242" s="46" t="str">
        <f t="shared" si="101"/>
        <v>12:44:30</v>
      </c>
      <c r="R242" s="47" t="str">
        <f t="shared" si="102"/>
        <v>44:30</v>
      </c>
      <c r="S242" s="48">
        <f t="shared" si="91"/>
        <v>8</v>
      </c>
      <c r="T242" s="47" t="str">
        <f t="shared" si="103"/>
        <v>12</v>
      </c>
      <c r="U242" s="49">
        <v>44</v>
      </c>
      <c r="V242" s="50">
        <v>38</v>
      </c>
      <c r="W242" s="51" t="str">
        <f t="shared" si="104"/>
        <v>44:38</v>
      </c>
      <c r="X242" s="52" t="s">
        <v>63</v>
      </c>
      <c r="Y242" s="124" t="s">
        <v>83</v>
      </c>
      <c r="Z242" s="124"/>
      <c r="AA242" s="47" t="s">
        <v>59</v>
      </c>
      <c r="AB242" s="47" t="str">
        <f t="shared" si="105"/>
        <v>NA</v>
      </c>
      <c r="AC242" s="53">
        <f t="shared" si="106"/>
        <v>0</v>
      </c>
      <c r="AD242" s="54">
        <f t="shared" si="107"/>
        <v>1</v>
      </c>
      <c r="AE242" s="54"/>
      <c r="AF242" s="54"/>
      <c r="AG242" s="55">
        <v>1</v>
      </c>
      <c r="AH242" s="56">
        <f t="shared" si="109"/>
        <v>8</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f t="shared" si="92"/>
        <v>0</v>
      </c>
      <c r="AX242" s="61" t="str">
        <f t="shared" si="93"/>
        <v/>
      </c>
      <c r="AY242" s="60">
        <f t="shared" si="94"/>
        <v>0</v>
      </c>
      <c r="AZ242" s="61" t="str">
        <f t="shared" si="95"/>
        <v/>
      </c>
    </row>
    <row r="243" spans="1:52" s="3" customFormat="1" hidden="1" x14ac:dyDescent="0.35">
      <c r="A243" s="72">
        <f t="shared" si="96"/>
        <v>2019</v>
      </c>
      <c r="B243" s="72" t="str">
        <f t="shared" si="97"/>
        <v>Nov</v>
      </c>
      <c r="C243" s="73">
        <f t="shared" si="115"/>
        <v>18</v>
      </c>
      <c r="D243" s="74">
        <f t="shared" si="98"/>
        <v>12</v>
      </c>
      <c r="E243" s="75">
        <v>44</v>
      </c>
      <c r="F243" s="79">
        <v>31</v>
      </c>
      <c r="G243" s="82"/>
      <c r="H243" s="68" t="str">
        <f t="shared" si="116"/>
        <v>Senbur7_20191118_12_00</v>
      </c>
      <c r="I243" s="69">
        <f t="shared" si="119"/>
        <v>1</v>
      </c>
      <c r="J243" s="76" t="str">
        <f t="shared" si="119"/>
        <v>Senecio</v>
      </c>
      <c r="K243" s="76" t="str">
        <f t="shared" si="119"/>
        <v>burtoni</v>
      </c>
      <c r="L243" s="77">
        <f t="shared" si="119"/>
        <v>7</v>
      </c>
      <c r="M243" s="77">
        <f t="shared" si="119"/>
        <v>7</v>
      </c>
      <c r="N243" s="71">
        <f t="shared" si="119"/>
        <v>0</v>
      </c>
      <c r="O243" s="44"/>
      <c r="P243" s="45">
        <f t="shared" si="100"/>
        <v>1</v>
      </c>
      <c r="Q243" s="46" t="str">
        <f t="shared" si="101"/>
        <v>12:44:31</v>
      </c>
      <c r="R243" s="47" t="str">
        <f t="shared" si="102"/>
        <v>44:31</v>
      </c>
      <c r="S243" s="48">
        <f t="shared" si="91"/>
        <v>6</v>
      </c>
      <c r="T243" s="47" t="str">
        <f t="shared" si="103"/>
        <v>12</v>
      </c>
      <c r="U243" s="49">
        <v>44</v>
      </c>
      <c r="V243" s="50">
        <v>37</v>
      </c>
      <c r="W243" s="51" t="str">
        <f t="shared" si="104"/>
        <v>44:37</v>
      </c>
      <c r="X243" s="52" t="s">
        <v>63</v>
      </c>
      <c r="Y243" s="124" t="s">
        <v>83</v>
      </c>
      <c r="Z243" s="124"/>
      <c r="AA243" s="47" t="s">
        <v>59</v>
      </c>
      <c r="AB243" s="47" t="str">
        <f t="shared" si="105"/>
        <v>NA</v>
      </c>
      <c r="AC243" s="53">
        <f t="shared" si="106"/>
        <v>0</v>
      </c>
      <c r="AD243" s="54">
        <f t="shared" si="107"/>
        <v>1</v>
      </c>
      <c r="AE243" s="54"/>
      <c r="AF243" s="54"/>
      <c r="AG243" s="55">
        <v>1</v>
      </c>
      <c r="AH243" s="56">
        <v>2</v>
      </c>
      <c r="AI243" s="55"/>
      <c r="AJ243" s="56" t="str">
        <f t="shared" si="110"/>
        <v/>
      </c>
      <c r="AK243" s="55"/>
      <c r="AL243" s="56" t="str">
        <f t="shared" si="111"/>
        <v/>
      </c>
      <c r="AM243" s="55">
        <v>1</v>
      </c>
      <c r="AN243" s="56">
        <v>4</v>
      </c>
      <c r="AO243" s="55"/>
      <c r="AP243" s="56" t="str">
        <f t="shared" si="113"/>
        <v/>
      </c>
      <c r="AQ243" s="55"/>
      <c r="AR243" s="56" t="str">
        <f t="shared" si="114"/>
        <v/>
      </c>
      <c r="AS243" s="57"/>
      <c r="AT243" s="58"/>
      <c r="AU243" s="58"/>
      <c r="AV243" s="59"/>
      <c r="AW243" s="60">
        <v>1</v>
      </c>
      <c r="AX243" s="61">
        <f t="shared" si="93"/>
        <v>1</v>
      </c>
      <c r="AY243" s="60">
        <v>1</v>
      </c>
      <c r="AZ243" s="61">
        <f t="shared" si="95"/>
        <v>1</v>
      </c>
    </row>
    <row r="244" spans="1:52" s="3" customFormat="1" hidden="1" x14ac:dyDescent="0.35">
      <c r="A244" s="72">
        <f t="shared" si="96"/>
        <v>2019</v>
      </c>
      <c r="B244" s="72" t="str">
        <f t="shared" si="97"/>
        <v>Nov</v>
      </c>
      <c r="C244" s="73">
        <f t="shared" si="115"/>
        <v>18</v>
      </c>
      <c r="D244" s="74">
        <f t="shared" si="98"/>
        <v>12</v>
      </c>
      <c r="E244" s="75">
        <f t="shared" si="99"/>
        <v>45</v>
      </c>
      <c r="F244" s="79">
        <v>12</v>
      </c>
      <c r="G244" s="82"/>
      <c r="H244" s="68" t="str">
        <f t="shared" si="116"/>
        <v>Senbur7_20191118_12_00</v>
      </c>
      <c r="I244" s="69">
        <f t="shared" si="119"/>
        <v>1</v>
      </c>
      <c r="J244" s="76" t="str">
        <f t="shared" si="119"/>
        <v>Senecio</v>
      </c>
      <c r="K244" s="76" t="str">
        <f t="shared" si="119"/>
        <v>burtoni</v>
      </c>
      <c r="L244" s="77">
        <f t="shared" si="119"/>
        <v>7</v>
      </c>
      <c r="M244" s="77">
        <f t="shared" si="119"/>
        <v>7</v>
      </c>
      <c r="N244" s="71">
        <f t="shared" si="119"/>
        <v>0</v>
      </c>
      <c r="O244" s="44"/>
      <c r="P244" s="45">
        <f t="shared" si="100"/>
        <v>1</v>
      </c>
      <c r="Q244" s="46" t="str">
        <f t="shared" si="101"/>
        <v>12:45:12</v>
      </c>
      <c r="R244" s="47" t="str">
        <f t="shared" si="102"/>
        <v>45:12</v>
      </c>
      <c r="S244" s="48">
        <f t="shared" si="91"/>
        <v>8</v>
      </c>
      <c r="T244" s="47" t="str">
        <f t="shared" si="103"/>
        <v>12</v>
      </c>
      <c r="U244" s="49">
        <v>45</v>
      </c>
      <c r="V244" s="50">
        <v>20</v>
      </c>
      <c r="W244" s="51" t="str">
        <f t="shared" si="104"/>
        <v>45:20</v>
      </c>
      <c r="X244" s="52" t="s">
        <v>63</v>
      </c>
      <c r="Y244" s="124" t="s">
        <v>82</v>
      </c>
      <c r="Z244" s="124"/>
      <c r="AA244" s="47" t="s">
        <v>59</v>
      </c>
      <c r="AB244" s="47" t="str">
        <f t="shared" si="105"/>
        <v>NA</v>
      </c>
      <c r="AC244" s="53">
        <f t="shared" si="106"/>
        <v>0</v>
      </c>
      <c r="AD244" s="54">
        <f t="shared" si="107"/>
        <v>1</v>
      </c>
      <c r="AE244" s="54"/>
      <c r="AF244" s="54"/>
      <c r="AG244" s="55">
        <v>1</v>
      </c>
      <c r="AH244" s="56">
        <v>2</v>
      </c>
      <c r="AI244" s="55"/>
      <c r="AJ244" s="56" t="str">
        <f t="shared" si="110"/>
        <v/>
      </c>
      <c r="AK244" s="55"/>
      <c r="AL244" s="56" t="str">
        <f t="shared" si="111"/>
        <v/>
      </c>
      <c r="AM244" s="55">
        <v>1</v>
      </c>
      <c r="AN244" s="56">
        <v>6</v>
      </c>
      <c r="AO244" s="55"/>
      <c r="AP244" s="56" t="str">
        <f t="shared" si="113"/>
        <v/>
      </c>
      <c r="AQ244" s="55"/>
      <c r="AR244" s="56" t="str">
        <f t="shared" si="114"/>
        <v/>
      </c>
      <c r="AS244" s="57"/>
      <c r="AT244" s="58"/>
      <c r="AU244" s="58"/>
      <c r="AV244" s="59"/>
      <c r="AW244" s="60">
        <v>1</v>
      </c>
      <c r="AX244" s="61">
        <f t="shared" si="93"/>
        <v>1</v>
      </c>
      <c r="AY244" s="60">
        <f t="shared" si="94"/>
        <v>0</v>
      </c>
      <c r="AZ244" s="61" t="str">
        <f t="shared" si="95"/>
        <v/>
      </c>
    </row>
    <row r="245" spans="1:52" s="3" customFormat="1" hidden="1" x14ac:dyDescent="0.35">
      <c r="A245" s="72">
        <f t="shared" si="96"/>
        <v>2019</v>
      </c>
      <c r="B245" s="72" t="str">
        <f t="shared" si="97"/>
        <v>Nov</v>
      </c>
      <c r="C245" s="73">
        <f t="shared" si="115"/>
        <v>18</v>
      </c>
      <c r="D245" s="74">
        <f t="shared" si="98"/>
        <v>12</v>
      </c>
      <c r="E245" s="75">
        <v>45</v>
      </c>
      <c r="F245" s="79">
        <v>28</v>
      </c>
      <c r="G245" s="82"/>
      <c r="H245" s="68" t="str">
        <f t="shared" si="116"/>
        <v>Senbur7_20191118_12_00</v>
      </c>
      <c r="I245" s="69">
        <f t="shared" ref="I245:N260" si="120">I244</f>
        <v>1</v>
      </c>
      <c r="J245" s="76" t="str">
        <f t="shared" si="120"/>
        <v>Senecio</v>
      </c>
      <c r="K245" s="76" t="str">
        <f t="shared" si="120"/>
        <v>burtoni</v>
      </c>
      <c r="L245" s="77">
        <f t="shared" si="120"/>
        <v>7</v>
      </c>
      <c r="M245" s="77">
        <f t="shared" si="120"/>
        <v>7</v>
      </c>
      <c r="N245" s="71">
        <f t="shared" si="120"/>
        <v>0</v>
      </c>
      <c r="O245" s="44"/>
      <c r="P245" s="45">
        <f t="shared" si="100"/>
        <v>1</v>
      </c>
      <c r="Q245" s="46" t="str">
        <f t="shared" si="101"/>
        <v>12:45:28</v>
      </c>
      <c r="R245" s="47" t="str">
        <f t="shared" si="102"/>
        <v>45:28</v>
      </c>
      <c r="S245" s="48">
        <f t="shared" si="91"/>
        <v>20</v>
      </c>
      <c r="T245" s="47" t="str">
        <f t="shared" si="103"/>
        <v>12</v>
      </c>
      <c r="U245" s="49">
        <v>45</v>
      </c>
      <c r="V245" s="50">
        <v>48</v>
      </c>
      <c r="W245" s="51" t="str">
        <f t="shared" si="104"/>
        <v>45:48</v>
      </c>
      <c r="X245" s="52" t="s">
        <v>63</v>
      </c>
      <c r="Y245" s="124" t="s">
        <v>82</v>
      </c>
      <c r="Z245" s="124"/>
      <c r="AA245" s="47" t="s">
        <v>59</v>
      </c>
      <c r="AB245" s="47" t="str">
        <f t="shared" si="105"/>
        <v>NA</v>
      </c>
      <c r="AC245" s="53">
        <f t="shared" si="106"/>
        <v>0</v>
      </c>
      <c r="AD245" s="54">
        <f t="shared" si="107"/>
        <v>1</v>
      </c>
      <c r="AE245" s="54"/>
      <c r="AF245" s="54"/>
      <c r="AG245" s="55">
        <v>1</v>
      </c>
      <c r="AH245" s="56">
        <v>10</v>
      </c>
      <c r="AI245" s="55"/>
      <c r="AJ245" s="56" t="str">
        <f t="shared" si="110"/>
        <v/>
      </c>
      <c r="AK245" s="55"/>
      <c r="AL245" s="56" t="str">
        <f t="shared" si="111"/>
        <v/>
      </c>
      <c r="AM245" s="55">
        <v>1</v>
      </c>
      <c r="AN245" s="56">
        <v>10</v>
      </c>
      <c r="AO245" s="55"/>
      <c r="AP245" s="56" t="str">
        <f t="shared" si="113"/>
        <v/>
      </c>
      <c r="AQ245" s="55"/>
      <c r="AR245" s="56" t="str">
        <f t="shared" si="114"/>
        <v/>
      </c>
      <c r="AS245" s="57"/>
      <c r="AT245" s="58"/>
      <c r="AU245" s="58"/>
      <c r="AV245" s="59"/>
      <c r="AW245" s="60">
        <v>1</v>
      </c>
      <c r="AX245" s="61">
        <f t="shared" si="93"/>
        <v>1</v>
      </c>
      <c r="AY245" s="60">
        <v>1</v>
      </c>
      <c r="AZ245" s="61">
        <f t="shared" si="95"/>
        <v>1</v>
      </c>
    </row>
    <row r="246" spans="1:52" s="3" customFormat="1" hidden="1" x14ac:dyDescent="0.35">
      <c r="A246" s="72">
        <f t="shared" si="96"/>
        <v>2019</v>
      </c>
      <c r="B246" s="72" t="str">
        <f t="shared" si="97"/>
        <v>Nov</v>
      </c>
      <c r="C246" s="73">
        <f t="shared" si="115"/>
        <v>18</v>
      </c>
      <c r="D246" s="74">
        <f t="shared" si="98"/>
        <v>12</v>
      </c>
      <c r="E246" s="75">
        <v>45</v>
      </c>
      <c r="F246" s="79">
        <v>47</v>
      </c>
      <c r="G246" s="82"/>
      <c r="H246" s="68" t="str">
        <f t="shared" si="116"/>
        <v>Senbur7_20191118_12_00</v>
      </c>
      <c r="I246" s="69">
        <f t="shared" si="120"/>
        <v>1</v>
      </c>
      <c r="J246" s="76" t="str">
        <f t="shared" si="120"/>
        <v>Senecio</v>
      </c>
      <c r="K246" s="76" t="str">
        <f t="shared" si="120"/>
        <v>burtoni</v>
      </c>
      <c r="L246" s="77">
        <f t="shared" si="120"/>
        <v>7</v>
      </c>
      <c r="M246" s="77">
        <f t="shared" si="120"/>
        <v>7</v>
      </c>
      <c r="N246" s="71">
        <f t="shared" si="120"/>
        <v>0</v>
      </c>
      <c r="O246" s="44"/>
      <c r="P246" s="45">
        <f t="shared" si="100"/>
        <v>1</v>
      </c>
      <c r="Q246" s="46" t="str">
        <f t="shared" si="101"/>
        <v>12:45:47</v>
      </c>
      <c r="R246" s="47" t="str">
        <f t="shared" si="102"/>
        <v>45:47</v>
      </c>
      <c r="S246" s="48">
        <f t="shared" si="91"/>
        <v>5</v>
      </c>
      <c r="T246" s="47" t="str">
        <f t="shared" si="103"/>
        <v>12</v>
      </c>
      <c r="U246" s="49">
        <v>45</v>
      </c>
      <c r="V246" s="50">
        <v>52</v>
      </c>
      <c r="W246" s="51" t="str">
        <f t="shared" si="104"/>
        <v>45:52</v>
      </c>
      <c r="X246" s="52" t="s">
        <v>63</v>
      </c>
      <c r="Y246" s="124" t="s">
        <v>83</v>
      </c>
      <c r="Z246" s="124"/>
      <c r="AA246" s="47" t="s">
        <v>59</v>
      </c>
      <c r="AB246" s="47" t="str">
        <f t="shared" si="105"/>
        <v>NA</v>
      </c>
      <c r="AC246" s="53">
        <f t="shared" si="106"/>
        <v>0</v>
      </c>
      <c r="AD246" s="54">
        <f t="shared" si="107"/>
        <v>1</v>
      </c>
      <c r="AE246" s="54"/>
      <c r="AF246" s="54"/>
      <c r="AG246" s="55">
        <v>1</v>
      </c>
      <c r="AH246" s="56">
        <v>2</v>
      </c>
      <c r="AI246" s="55"/>
      <c r="AJ246" s="56" t="str">
        <f t="shared" si="110"/>
        <v/>
      </c>
      <c r="AK246" s="55"/>
      <c r="AL246" s="56" t="str">
        <f t="shared" si="111"/>
        <v/>
      </c>
      <c r="AM246" s="55">
        <v>1</v>
      </c>
      <c r="AN246" s="56">
        <v>3</v>
      </c>
      <c r="AO246" s="55"/>
      <c r="AP246" s="56" t="str">
        <f t="shared" si="113"/>
        <v/>
      </c>
      <c r="AQ246" s="55"/>
      <c r="AR246" s="56" t="str">
        <f t="shared" si="114"/>
        <v/>
      </c>
      <c r="AS246" s="57"/>
      <c r="AT246" s="58"/>
      <c r="AU246" s="58"/>
      <c r="AV246" s="59"/>
      <c r="AW246" s="60">
        <v>1</v>
      </c>
      <c r="AX246" s="61">
        <f t="shared" si="93"/>
        <v>1</v>
      </c>
      <c r="AY246" s="60">
        <v>1</v>
      </c>
      <c r="AZ246" s="61">
        <f t="shared" si="95"/>
        <v>1</v>
      </c>
    </row>
    <row r="247" spans="1:52" s="3" customFormat="1" hidden="1" x14ac:dyDescent="0.35">
      <c r="A247" s="72">
        <f t="shared" si="96"/>
        <v>2019</v>
      </c>
      <c r="B247" s="72" t="str">
        <f t="shared" si="97"/>
        <v>Nov</v>
      </c>
      <c r="C247" s="73">
        <f t="shared" si="115"/>
        <v>18</v>
      </c>
      <c r="D247" s="74">
        <f t="shared" si="98"/>
        <v>12</v>
      </c>
      <c r="E247" s="75">
        <f t="shared" si="99"/>
        <v>46</v>
      </c>
      <c r="F247" s="79"/>
      <c r="G247" s="82"/>
      <c r="H247" s="68" t="str">
        <f t="shared" si="116"/>
        <v>Senbur7_20191118_12_00</v>
      </c>
      <c r="I247" s="69">
        <f t="shared" si="120"/>
        <v>1</v>
      </c>
      <c r="J247" s="76" t="str">
        <f t="shared" si="120"/>
        <v>Senecio</v>
      </c>
      <c r="K247" s="76" t="str">
        <f t="shared" si="120"/>
        <v>burtoni</v>
      </c>
      <c r="L247" s="77">
        <f t="shared" si="120"/>
        <v>7</v>
      </c>
      <c r="M247" s="77">
        <f t="shared" si="120"/>
        <v>7</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18</v>
      </c>
      <c r="D248" s="74">
        <f t="shared" si="98"/>
        <v>12</v>
      </c>
      <c r="E248" s="75">
        <f t="shared" si="99"/>
        <v>47</v>
      </c>
      <c r="F248" s="79">
        <v>0</v>
      </c>
      <c r="G248" s="82"/>
      <c r="H248" s="68" t="str">
        <f t="shared" si="116"/>
        <v>Senbur7_20191118_12_00</v>
      </c>
      <c r="I248" s="69">
        <f t="shared" si="120"/>
        <v>1</v>
      </c>
      <c r="J248" s="76" t="str">
        <f t="shared" si="120"/>
        <v>Senecio</v>
      </c>
      <c r="K248" s="76" t="str">
        <f t="shared" si="120"/>
        <v>burtoni</v>
      </c>
      <c r="L248" s="77">
        <f t="shared" si="120"/>
        <v>7</v>
      </c>
      <c r="M248" s="77">
        <f t="shared" si="120"/>
        <v>7</v>
      </c>
      <c r="N248" s="71">
        <f t="shared" si="120"/>
        <v>0</v>
      </c>
      <c r="O248" s="44"/>
      <c r="P248" s="45">
        <f t="shared" si="100"/>
        <v>1</v>
      </c>
      <c r="Q248" s="46" t="str">
        <f t="shared" si="101"/>
        <v>12:47:00</v>
      </c>
      <c r="R248" s="47" t="str">
        <f t="shared" si="102"/>
        <v>47:00</v>
      </c>
      <c r="S248" s="48">
        <f t="shared" si="91"/>
        <v>8</v>
      </c>
      <c r="T248" s="47" t="str">
        <f t="shared" si="103"/>
        <v>12</v>
      </c>
      <c r="U248" s="49">
        <v>47</v>
      </c>
      <c r="V248" s="50">
        <v>8</v>
      </c>
      <c r="W248" s="51" t="str">
        <f t="shared" si="104"/>
        <v>47:08</v>
      </c>
      <c r="X248" s="52" t="s">
        <v>63</v>
      </c>
      <c r="Y248" s="124" t="s">
        <v>82</v>
      </c>
      <c r="Z248" s="124"/>
      <c r="AA248" s="47" t="s">
        <v>59</v>
      </c>
      <c r="AB248" s="47" t="str">
        <f t="shared" si="105"/>
        <v>NA</v>
      </c>
      <c r="AC248" s="53">
        <f t="shared" si="106"/>
        <v>0</v>
      </c>
      <c r="AD248" s="54">
        <f t="shared" si="107"/>
        <v>1</v>
      </c>
      <c r="AE248" s="54"/>
      <c r="AF248" s="54"/>
      <c r="AG248" s="55"/>
      <c r="AH248" s="56" t="str">
        <f t="shared" si="109"/>
        <v/>
      </c>
      <c r="AI248" s="55"/>
      <c r="AJ248" s="56" t="str">
        <f t="shared" si="110"/>
        <v/>
      </c>
      <c r="AK248" s="55"/>
      <c r="AL248" s="56" t="str">
        <f t="shared" si="111"/>
        <v/>
      </c>
      <c r="AM248" s="55">
        <v>1</v>
      </c>
      <c r="AN248" s="56">
        <f t="shared" si="112"/>
        <v>8</v>
      </c>
      <c r="AO248" s="55"/>
      <c r="AP248" s="56" t="str">
        <f t="shared" si="113"/>
        <v/>
      </c>
      <c r="AQ248" s="55"/>
      <c r="AR248" s="56" t="str">
        <f t="shared" si="114"/>
        <v/>
      </c>
      <c r="AS248" s="57"/>
      <c r="AT248" s="58"/>
      <c r="AU248" s="58"/>
      <c r="AV248" s="59"/>
      <c r="AW248" s="60">
        <v>1</v>
      </c>
      <c r="AX248" s="61">
        <f t="shared" si="93"/>
        <v>1</v>
      </c>
      <c r="AY248" s="60">
        <v>1</v>
      </c>
      <c r="AZ248" s="61">
        <f t="shared" si="95"/>
        <v>1</v>
      </c>
    </row>
    <row r="249" spans="1:52" s="3" customFormat="1" hidden="1" x14ac:dyDescent="0.35">
      <c r="A249" s="72">
        <f t="shared" si="96"/>
        <v>2019</v>
      </c>
      <c r="B249" s="72" t="str">
        <f t="shared" si="97"/>
        <v>Nov</v>
      </c>
      <c r="C249" s="73">
        <f t="shared" si="115"/>
        <v>18</v>
      </c>
      <c r="D249" s="74">
        <f t="shared" si="98"/>
        <v>12</v>
      </c>
      <c r="E249" s="75">
        <f t="shared" si="99"/>
        <v>48</v>
      </c>
      <c r="F249" s="79">
        <v>8</v>
      </c>
      <c r="G249" s="82"/>
      <c r="H249" s="68" t="str">
        <f t="shared" si="116"/>
        <v>Senbur7_20191118_12_00</v>
      </c>
      <c r="I249" s="69">
        <f t="shared" si="120"/>
        <v>1</v>
      </c>
      <c r="J249" s="76" t="str">
        <f t="shared" si="120"/>
        <v>Senecio</v>
      </c>
      <c r="K249" s="76" t="str">
        <f t="shared" si="120"/>
        <v>burtoni</v>
      </c>
      <c r="L249" s="77">
        <f t="shared" si="120"/>
        <v>7</v>
      </c>
      <c r="M249" s="77">
        <f t="shared" si="120"/>
        <v>7</v>
      </c>
      <c r="N249" s="71">
        <f t="shared" si="120"/>
        <v>0</v>
      </c>
      <c r="O249" s="44"/>
      <c r="P249" s="45">
        <f t="shared" si="100"/>
        <v>1</v>
      </c>
      <c r="Q249" s="46" t="str">
        <f t="shared" si="101"/>
        <v>12:48:08</v>
      </c>
      <c r="R249" s="47" t="str">
        <f t="shared" si="102"/>
        <v>48:08</v>
      </c>
      <c r="S249" s="48">
        <f t="shared" si="91"/>
        <v>3</v>
      </c>
      <c r="T249" s="47" t="str">
        <f t="shared" si="103"/>
        <v>12</v>
      </c>
      <c r="U249" s="49">
        <v>48</v>
      </c>
      <c r="V249" s="50">
        <v>11</v>
      </c>
      <c r="W249" s="51" t="str">
        <f t="shared" si="104"/>
        <v>48:11</v>
      </c>
      <c r="X249" s="52" t="s">
        <v>63</v>
      </c>
      <c r="Y249" s="124" t="s">
        <v>82</v>
      </c>
      <c r="Z249" s="124"/>
      <c r="AA249" s="47" t="s">
        <v>59</v>
      </c>
      <c r="AB249" s="47" t="str">
        <f t="shared" si="105"/>
        <v>NA</v>
      </c>
      <c r="AC249" s="53">
        <f t="shared" si="106"/>
        <v>0</v>
      </c>
      <c r="AD249" s="54">
        <f t="shared" si="107"/>
        <v>1</v>
      </c>
      <c r="AE249" s="54"/>
      <c r="AF249" s="54"/>
      <c r="AG249" s="55">
        <v>1</v>
      </c>
      <c r="AH249" s="56">
        <f t="shared" si="109"/>
        <v>3</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v>1</v>
      </c>
      <c r="AX249" s="61">
        <f t="shared" si="93"/>
        <v>1</v>
      </c>
      <c r="AY249" s="60">
        <f t="shared" si="94"/>
        <v>0</v>
      </c>
      <c r="AZ249" s="61" t="str">
        <f t="shared" si="95"/>
        <v/>
      </c>
    </row>
    <row r="250" spans="1:52" s="3" customFormat="1" hidden="1" x14ac:dyDescent="0.35">
      <c r="A250" s="72">
        <f t="shared" si="96"/>
        <v>2019</v>
      </c>
      <c r="B250" s="72" t="str">
        <f t="shared" si="97"/>
        <v>Nov</v>
      </c>
      <c r="C250" s="73">
        <f t="shared" si="115"/>
        <v>18</v>
      </c>
      <c r="D250" s="74">
        <f t="shared" si="98"/>
        <v>12</v>
      </c>
      <c r="E250" s="75">
        <v>48</v>
      </c>
      <c r="F250" s="79">
        <v>42</v>
      </c>
      <c r="G250" s="82"/>
      <c r="H250" s="68" t="str">
        <f t="shared" si="116"/>
        <v>Senbur7_20191118_12_00</v>
      </c>
      <c r="I250" s="69">
        <f t="shared" si="120"/>
        <v>1</v>
      </c>
      <c r="J250" s="76" t="str">
        <f t="shared" si="120"/>
        <v>Senecio</v>
      </c>
      <c r="K250" s="76" t="str">
        <f t="shared" si="120"/>
        <v>burtoni</v>
      </c>
      <c r="L250" s="77">
        <f t="shared" si="120"/>
        <v>7</v>
      </c>
      <c r="M250" s="77">
        <f t="shared" si="120"/>
        <v>7</v>
      </c>
      <c r="N250" s="71">
        <f t="shared" si="120"/>
        <v>0</v>
      </c>
      <c r="O250" s="44"/>
      <c r="P250" s="45">
        <f t="shared" si="100"/>
        <v>1</v>
      </c>
      <c r="Q250" s="46" t="str">
        <f t="shared" si="101"/>
        <v>12:48:42</v>
      </c>
      <c r="R250" s="47" t="str">
        <f t="shared" si="102"/>
        <v>48:42</v>
      </c>
      <c r="S250" s="48">
        <f t="shared" si="91"/>
        <v>6</v>
      </c>
      <c r="T250" s="47" t="str">
        <f t="shared" si="103"/>
        <v>12</v>
      </c>
      <c r="U250" s="49">
        <v>48</v>
      </c>
      <c r="V250" s="50">
        <v>48</v>
      </c>
      <c r="W250" s="51" t="str">
        <f t="shared" si="104"/>
        <v>48:48</v>
      </c>
      <c r="X250" s="52" t="s">
        <v>63</v>
      </c>
      <c r="Y250" s="124" t="s">
        <v>83</v>
      </c>
      <c r="Z250" s="124"/>
      <c r="AA250" s="47" t="s">
        <v>59</v>
      </c>
      <c r="AB250" s="47" t="str">
        <f t="shared" si="105"/>
        <v>NA</v>
      </c>
      <c r="AC250" s="53">
        <f t="shared" si="106"/>
        <v>0</v>
      </c>
      <c r="AD250" s="54">
        <f t="shared" si="107"/>
        <v>1</v>
      </c>
      <c r="AE250" s="54"/>
      <c r="AF250" s="54"/>
      <c r="AG250" s="55">
        <v>1</v>
      </c>
      <c r="AH250" s="56">
        <v>3</v>
      </c>
      <c r="AI250" s="55"/>
      <c r="AJ250" s="56" t="str">
        <f t="shared" si="110"/>
        <v/>
      </c>
      <c r="AK250" s="55"/>
      <c r="AL250" s="56" t="str">
        <f t="shared" si="111"/>
        <v/>
      </c>
      <c r="AM250" s="55">
        <v>1</v>
      </c>
      <c r="AN250" s="56">
        <v>3</v>
      </c>
      <c r="AO250" s="55"/>
      <c r="AP250" s="56" t="str">
        <f t="shared" si="113"/>
        <v/>
      </c>
      <c r="AQ250" s="55"/>
      <c r="AR250" s="56" t="str">
        <f t="shared" si="114"/>
        <v/>
      </c>
      <c r="AS250" s="57"/>
      <c r="AT250" s="58"/>
      <c r="AU250" s="58"/>
      <c r="AV250" s="59"/>
      <c r="AW250" s="60">
        <v>1</v>
      </c>
      <c r="AX250" s="61">
        <f t="shared" si="93"/>
        <v>1</v>
      </c>
      <c r="AY250" s="60">
        <f t="shared" si="94"/>
        <v>0</v>
      </c>
      <c r="AZ250" s="61" t="str">
        <f t="shared" si="95"/>
        <v/>
      </c>
    </row>
    <row r="251" spans="1:52" s="3" customFormat="1" hidden="1" x14ac:dyDescent="0.35">
      <c r="A251" s="72">
        <f t="shared" si="96"/>
        <v>2019</v>
      </c>
      <c r="B251" s="72" t="str">
        <f t="shared" si="97"/>
        <v>Nov</v>
      </c>
      <c r="C251" s="73">
        <f t="shared" si="115"/>
        <v>18</v>
      </c>
      <c r="D251" s="74">
        <f t="shared" si="98"/>
        <v>12</v>
      </c>
      <c r="E251" s="75">
        <v>48</v>
      </c>
      <c r="F251" s="79">
        <v>47</v>
      </c>
      <c r="G251" s="82"/>
      <c r="H251" s="68" t="str">
        <f t="shared" si="116"/>
        <v>Senbur7_20191118_12_00</v>
      </c>
      <c r="I251" s="69">
        <f t="shared" si="120"/>
        <v>1</v>
      </c>
      <c r="J251" s="76" t="str">
        <f t="shared" si="120"/>
        <v>Senecio</v>
      </c>
      <c r="K251" s="76" t="str">
        <f t="shared" si="120"/>
        <v>burtoni</v>
      </c>
      <c r="L251" s="77">
        <f t="shared" si="120"/>
        <v>7</v>
      </c>
      <c r="M251" s="77">
        <f t="shared" si="120"/>
        <v>7</v>
      </c>
      <c r="N251" s="71">
        <f t="shared" si="120"/>
        <v>0</v>
      </c>
      <c r="O251" s="44"/>
      <c r="P251" s="45">
        <f t="shared" si="100"/>
        <v>1</v>
      </c>
      <c r="Q251" s="46" t="str">
        <f t="shared" si="101"/>
        <v>12:48:47</v>
      </c>
      <c r="R251" s="47" t="str">
        <f t="shared" si="102"/>
        <v>48:47</v>
      </c>
      <c r="S251" s="48">
        <f t="shared" si="91"/>
        <v>63</v>
      </c>
      <c r="T251" s="47" t="str">
        <f t="shared" si="103"/>
        <v>12</v>
      </c>
      <c r="U251" s="49">
        <v>49</v>
      </c>
      <c r="V251" s="50">
        <v>50</v>
      </c>
      <c r="W251" s="51" t="str">
        <f t="shared" si="104"/>
        <v>49:50</v>
      </c>
      <c r="X251" s="52" t="s">
        <v>63</v>
      </c>
      <c r="Y251" s="124" t="s">
        <v>83</v>
      </c>
      <c r="Z251" s="124"/>
      <c r="AA251" s="47" t="s">
        <v>59</v>
      </c>
      <c r="AB251" s="47" t="str">
        <f t="shared" si="105"/>
        <v>NA</v>
      </c>
      <c r="AC251" s="53">
        <f t="shared" si="106"/>
        <v>0</v>
      </c>
      <c r="AD251" s="54">
        <f t="shared" si="107"/>
        <v>1</v>
      </c>
      <c r="AE251" s="54"/>
      <c r="AF251" s="54"/>
      <c r="AG251" s="55">
        <v>1</v>
      </c>
      <c r="AH251" s="56">
        <v>13</v>
      </c>
      <c r="AI251" s="55"/>
      <c r="AJ251" s="56" t="str">
        <f t="shared" si="110"/>
        <v/>
      </c>
      <c r="AK251" s="55">
        <v>1</v>
      </c>
      <c r="AL251" s="56">
        <v>20</v>
      </c>
      <c r="AM251" s="55">
        <v>1</v>
      </c>
      <c r="AN251" s="56">
        <v>30</v>
      </c>
      <c r="AO251" s="55"/>
      <c r="AP251" s="56" t="str">
        <f t="shared" si="113"/>
        <v/>
      </c>
      <c r="AQ251" s="55"/>
      <c r="AR251" s="56" t="str">
        <f t="shared" si="114"/>
        <v/>
      </c>
      <c r="AS251" s="57"/>
      <c r="AT251" s="58"/>
      <c r="AU251" s="58"/>
      <c r="AV251" s="59"/>
      <c r="AW251" s="60">
        <v>1</v>
      </c>
      <c r="AX251" s="61">
        <f t="shared" si="93"/>
        <v>1</v>
      </c>
      <c r="AY251" s="60">
        <v>1</v>
      </c>
      <c r="AZ251" s="61">
        <f t="shared" si="95"/>
        <v>1</v>
      </c>
    </row>
    <row r="252" spans="1:52" s="3" customFormat="1" hidden="1" x14ac:dyDescent="0.35">
      <c r="A252" s="72">
        <f t="shared" si="96"/>
        <v>2019</v>
      </c>
      <c r="B252" s="72" t="str">
        <f t="shared" si="97"/>
        <v>Nov</v>
      </c>
      <c r="C252" s="73">
        <f t="shared" si="115"/>
        <v>18</v>
      </c>
      <c r="D252" s="74">
        <f t="shared" si="98"/>
        <v>12</v>
      </c>
      <c r="E252" s="75">
        <f t="shared" si="99"/>
        <v>49</v>
      </c>
      <c r="F252" s="79"/>
      <c r="G252" s="82"/>
      <c r="H252" s="68" t="str">
        <f t="shared" si="116"/>
        <v>Senbur7_20191118_12_00</v>
      </c>
      <c r="I252" s="69">
        <f t="shared" si="120"/>
        <v>1</v>
      </c>
      <c r="J252" s="76" t="str">
        <f t="shared" si="120"/>
        <v>Senecio</v>
      </c>
      <c r="K252" s="76" t="str">
        <f t="shared" si="120"/>
        <v>burtoni</v>
      </c>
      <c r="L252" s="77">
        <f t="shared" si="120"/>
        <v>7</v>
      </c>
      <c r="M252" s="77">
        <f t="shared" si="120"/>
        <v>7</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18</v>
      </c>
      <c r="D253" s="74">
        <f t="shared" si="98"/>
        <v>12</v>
      </c>
      <c r="E253" s="75">
        <f t="shared" si="99"/>
        <v>50</v>
      </c>
      <c r="F253" s="79"/>
      <c r="G253" s="82"/>
      <c r="H253" s="68" t="str">
        <f t="shared" si="116"/>
        <v>Senbur7_20191118_12_00</v>
      </c>
      <c r="I253" s="69">
        <f t="shared" si="120"/>
        <v>1</v>
      </c>
      <c r="J253" s="76" t="str">
        <f t="shared" si="120"/>
        <v>Senecio</v>
      </c>
      <c r="K253" s="76" t="str">
        <f t="shared" si="120"/>
        <v>burtoni</v>
      </c>
      <c r="L253" s="77">
        <f t="shared" si="120"/>
        <v>7</v>
      </c>
      <c r="M253" s="77">
        <f t="shared" si="120"/>
        <v>7</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18</v>
      </c>
      <c r="D254" s="74">
        <f t="shared" si="98"/>
        <v>12</v>
      </c>
      <c r="E254" s="75">
        <f t="shared" si="99"/>
        <v>51</v>
      </c>
      <c r="F254" s="79">
        <v>11</v>
      </c>
      <c r="G254" s="82"/>
      <c r="H254" s="68" t="str">
        <f t="shared" si="116"/>
        <v>Senbur7_20191118_12_00</v>
      </c>
      <c r="I254" s="69">
        <f t="shared" si="120"/>
        <v>1</v>
      </c>
      <c r="J254" s="76" t="str">
        <f t="shared" si="120"/>
        <v>Senecio</v>
      </c>
      <c r="K254" s="76" t="str">
        <f t="shared" si="120"/>
        <v>burtoni</v>
      </c>
      <c r="L254" s="77">
        <f t="shared" si="120"/>
        <v>7</v>
      </c>
      <c r="M254" s="77">
        <f t="shared" si="120"/>
        <v>7</v>
      </c>
      <c r="N254" s="71">
        <f t="shared" si="120"/>
        <v>0</v>
      </c>
      <c r="O254" s="44"/>
      <c r="P254" s="45">
        <f t="shared" si="100"/>
        <v>1</v>
      </c>
      <c r="Q254" s="46" t="str">
        <f t="shared" si="101"/>
        <v>12:51:11</v>
      </c>
      <c r="R254" s="47" t="str">
        <f t="shared" si="102"/>
        <v>51:11</v>
      </c>
      <c r="S254" s="48">
        <f t="shared" si="91"/>
        <v>5</v>
      </c>
      <c r="T254" s="47" t="str">
        <f t="shared" si="103"/>
        <v>12</v>
      </c>
      <c r="U254" s="49">
        <v>51</v>
      </c>
      <c r="V254" s="50">
        <v>16</v>
      </c>
      <c r="W254" s="51" t="str">
        <f t="shared" si="104"/>
        <v>51:16</v>
      </c>
      <c r="X254" s="52" t="s">
        <v>63</v>
      </c>
      <c r="Y254" s="124" t="s">
        <v>83</v>
      </c>
      <c r="Z254" s="124"/>
      <c r="AA254" s="47" t="s">
        <v>59</v>
      </c>
      <c r="AB254" s="47" t="str">
        <f t="shared" si="105"/>
        <v>NA</v>
      </c>
      <c r="AC254" s="53">
        <f t="shared" si="106"/>
        <v>0</v>
      </c>
      <c r="AD254" s="54">
        <f t="shared" si="107"/>
        <v>1</v>
      </c>
      <c r="AE254" s="54"/>
      <c r="AF254" s="54"/>
      <c r="AG254" s="55">
        <v>1</v>
      </c>
      <c r="AH254" s="56">
        <f t="shared" si="109"/>
        <v>5</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v>1</v>
      </c>
      <c r="AX254" s="61">
        <f t="shared" si="93"/>
        <v>1</v>
      </c>
      <c r="AY254" s="60">
        <f t="shared" si="94"/>
        <v>0</v>
      </c>
      <c r="AZ254" s="61" t="str">
        <f t="shared" si="95"/>
        <v/>
      </c>
    </row>
    <row r="255" spans="1:52" s="3" customFormat="1" hidden="1" x14ac:dyDescent="0.35">
      <c r="A255" s="72">
        <f t="shared" si="96"/>
        <v>2019</v>
      </c>
      <c r="B255" s="72" t="str">
        <f t="shared" si="97"/>
        <v>Nov</v>
      </c>
      <c r="C255" s="73">
        <f t="shared" si="115"/>
        <v>18</v>
      </c>
      <c r="D255" s="74">
        <f t="shared" si="98"/>
        <v>12</v>
      </c>
      <c r="E255" s="75">
        <f t="shared" si="99"/>
        <v>52</v>
      </c>
      <c r="F255" s="79">
        <v>0</v>
      </c>
      <c r="G255" s="82"/>
      <c r="H255" s="68" t="str">
        <f t="shared" si="116"/>
        <v>Senbur7_20191118_12_00</v>
      </c>
      <c r="I255" s="69">
        <f t="shared" si="120"/>
        <v>1</v>
      </c>
      <c r="J255" s="76" t="str">
        <f t="shared" si="120"/>
        <v>Senecio</v>
      </c>
      <c r="K255" s="76" t="str">
        <f t="shared" si="120"/>
        <v>burtoni</v>
      </c>
      <c r="L255" s="77">
        <f t="shared" si="120"/>
        <v>7</v>
      </c>
      <c r="M255" s="77">
        <f t="shared" si="120"/>
        <v>7</v>
      </c>
      <c r="N255" s="71">
        <f t="shared" si="120"/>
        <v>0</v>
      </c>
      <c r="O255" s="44"/>
      <c r="P255" s="45">
        <f t="shared" si="100"/>
        <v>1</v>
      </c>
      <c r="Q255" s="46" t="str">
        <f t="shared" si="101"/>
        <v>12:52:00</v>
      </c>
      <c r="R255" s="47" t="str">
        <f t="shared" si="102"/>
        <v>52:00</v>
      </c>
      <c r="S255" s="48">
        <f t="shared" si="91"/>
        <v>17</v>
      </c>
      <c r="T255" s="47" t="str">
        <f t="shared" si="103"/>
        <v>12</v>
      </c>
      <c r="U255" s="49">
        <v>52</v>
      </c>
      <c r="V255" s="50">
        <v>17</v>
      </c>
      <c r="W255" s="51" t="str">
        <f t="shared" si="104"/>
        <v>52:17</v>
      </c>
      <c r="X255" s="52" t="s">
        <v>63</v>
      </c>
      <c r="Y255" s="124" t="s">
        <v>83</v>
      </c>
      <c r="Z255" s="124"/>
      <c r="AA255" s="47" t="s">
        <v>59</v>
      </c>
      <c r="AB255" s="47" t="str">
        <f t="shared" si="105"/>
        <v>NA</v>
      </c>
      <c r="AC255" s="53">
        <f t="shared" si="106"/>
        <v>0</v>
      </c>
      <c r="AD255" s="54">
        <v>2</v>
      </c>
      <c r="AE255" s="54"/>
      <c r="AF255" s="54"/>
      <c r="AG255" s="55">
        <v>1</v>
      </c>
      <c r="AH255" s="56">
        <v>10</v>
      </c>
      <c r="AI255" s="55"/>
      <c r="AJ255" s="56" t="str">
        <f t="shared" si="110"/>
        <v/>
      </c>
      <c r="AK255" s="55"/>
      <c r="AL255" s="56" t="str">
        <f t="shared" si="111"/>
        <v/>
      </c>
      <c r="AM255" s="55">
        <v>1</v>
      </c>
      <c r="AN255" s="56">
        <v>7</v>
      </c>
      <c r="AO255" s="55"/>
      <c r="AP255" s="56" t="str">
        <f t="shared" si="113"/>
        <v/>
      </c>
      <c r="AQ255" s="55"/>
      <c r="AR255" s="56" t="str">
        <f t="shared" si="114"/>
        <v/>
      </c>
      <c r="AS255" s="57"/>
      <c r="AT255" s="58"/>
      <c r="AU255" s="58"/>
      <c r="AV255" s="59"/>
      <c r="AW255" s="60">
        <v>1</v>
      </c>
      <c r="AX255" s="61">
        <v>1</v>
      </c>
      <c r="AY255" s="60">
        <v>1</v>
      </c>
      <c r="AZ255" s="61">
        <v>1</v>
      </c>
    </row>
    <row r="256" spans="1:52" s="3" customFormat="1" hidden="1" x14ac:dyDescent="0.35">
      <c r="A256" s="72">
        <f t="shared" si="96"/>
        <v>2019</v>
      </c>
      <c r="B256" s="72" t="str">
        <f t="shared" si="97"/>
        <v>Nov</v>
      </c>
      <c r="C256" s="73">
        <f t="shared" si="115"/>
        <v>18</v>
      </c>
      <c r="D256" s="74">
        <f t="shared" si="98"/>
        <v>12</v>
      </c>
      <c r="E256" s="75">
        <v>52</v>
      </c>
      <c r="F256" s="79">
        <v>43</v>
      </c>
      <c r="G256" s="82"/>
      <c r="H256" s="68" t="str">
        <f t="shared" si="116"/>
        <v>Senbur7_20191118_12_00</v>
      </c>
      <c r="I256" s="69">
        <f t="shared" si="120"/>
        <v>1</v>
      </c>
      <c r="J256" s="76" t="str">
        <f t="shared" si="120"/>
        <v>Senecio</v>
      </c>
      <c r="K256" s="76" t="str">
        <f t="shared" si="120"/>
        <v>burtoni</v>
      </c>
      <c r="L256" s="77">
        <f t="shared" si="120"/>
        <v>7</v>
      </c>
      <c r="M256" s="77">
        <f t="shared" si="120"/>
        <v>7</v>
      </c>
      <c r="N256" s="71">
        <f t="shared" si="120"/>
        <v>0</v>
      </c>
      <c r="O256" s="44"/>
      <c r="P256" s="45">
        <f t="shared" si="100"/>
        <v>1</v>
      </c>
      <c r="Q256" s="46" t="str">
        <f t="shared" si="101"/>
        <v>12:52:43</v>
      </c>
      <c r="R256" s="47" t="str">
        <f t="shared" si="102"/>
        <v>52:43</v>
      </c>
      <c r="S256" s="48">
        <f t="shared" si="91"/>
        <v>165</v>
      </c>
      <c r="T256" s="47" t="str">
        <f t="shared" si="103"/>
        <v>12</v>
      </c>
      <c r="U256" s="49">
        <v>55</v>
      </c>
      <c r="V256" s="50">
        <v>28</v>
      </c>
      <c r="W256" s="51" t="str">
        <f t="shared" si="104"/>
        <v>55:28</v>
      </c>
      <c r="X256" s="52" t="s">
        <v>63</v>
      </c>
      <c r="Y256" s="124" t="s">
        <v>82</v>
      </c>
      <c r="Z256" s="124"/>
      <c r="AA256" s="47" t="s">
        <v>59</v>
      </c>
      <c r="AB256" s="47" t="str">
        <f t="shared" si="105"/>
        <v>NA</v>
      </c>
      <c r="AC256" s="53">
        <f t="shared" si="106"/>
        <v>0</v>
      </c>
      <c r="AD256" s="54">
        <v>2</v>
      </c>
      <c r="AE256" s="54"/>
      <c r="AF256" s="54"/>
      <c r="AG256" s="55">
        <v>1</v>
      </c>
      <c r="AH256" s="56">
        <v>10</v>
      </c>
      <c r="AI256" s="55"/>
      <c r="AJ256" s="56" t="str">
        <f t="shared" si="110"/>
        <v/>
      </c>
      <c r="AK256" s="55">
        <v>1</v>
      </c>
      <c r="AL256" s="56">
        <v>55</v>
      </c>
      <c r="AM256" s="55">
        <v>1</v>
      </c>
      <c r="AN256" s="56">
        <v>100</v>
      </c>
      <c r="AO256" s="55"/>
      <c r="AP256" s="56" t="str">
        <f t="shared" si="113"/>
        <v/>
      </c>
      <c r="AQ256" s="55"/>
      <c r="AR256" s="56" t="str">
        <f t="shared" si="114"/>
        <v/>
      </c>
      <c r="AS256" s="57"/>
      <c r="AT256" s="58"/>
      <c r="AU256" s="58"/>
      <c r="AV256" s="59"/>
      <c r="AW256" s="60">
        <v>1</v>
      </c>
      <c r="AX256" s="61">
        <f t="shared" si="93"/>
        <v>2</v>
      </c>
      <c r="AY256" s="60">
        <v>1</v>
      </c>
      <c r="AZ256" s="61">
        <f t="shared" si="95"/>
        <v>2</v>
      </c>
    </row>
    <row r="257" spans="1:52" s="3" customFormat="1" hidden="1" x14ac:dyDescent="0.35">
      <c r="A257" s="72">
        <f t="shared" si="96"/>
        <v>2019</v>
      </c>
      <c r="B257" s="72" t="str">
        <f t="shared" si="97"/>
        <v>Nov</v>
      </c>
      <c r="C257" s="73">
        <f t="shared" si="115"/>
        <v>18</v>
      </c>
      <c r="D257" s="74">
        <f t="shared" si="98"/>
        <v>12</v>
      </c>
      <c r="E257" s="75">
        <f t="shared" si="99"/>
        <v>53</v>
      </c>
      <c r="F257" s="79"/>
      <c r="G257" s="82"/>
      <c r="H257" s="68" t="str">
        <f t="shared" si="116"/>
        <v>Senbur7_20191118_12_00</v>
      </c>
      <c r="I257" s="69">
        <f t="shared" si="120"/>
        <v>1</v>
      </c>
      <c r="J257" s="76" t="str">
        <f t="shared" si="120"/>
        <v>Senecio</v>
      </c>
      <c r="K257" s="76" t="str">
        <f t="shared" si="120"/>
        <v>burtoni</v>
      </c>
      <c r="L257" s="77">
        <f t="shared" si="120"/>
        <v>7</v>
      </c>
      <c r="M257" s="77">
        <f t="shared" si="120"/>
        <v>7</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18</v>
      </c>
      <c r="D258" s="74">
        <f t="shared" si="98"/>
        <v>12</v>
      </c>
      <c r="E258" s="75">
        <f t="shared" si="99"/>
        <v>54</v>
      </c>
      <c r="F258" s="79">
        <v>9</v>
      </c>
      <c r="G258" s="82"/>
      <c r="H258" s="68" t="str">
        <f t="shared" si="116"/>
        <v>Senbur7_20191118_12_00</v>
      </c>
      <c r="I258" s="69">
        <f t="shared" si="120"/>
        <v>1</v>
      </c>
      <c r="J258" s="76" t="str">
        <f t="shared" si="120"/>
        <v>Senecio</v>
      </c>
      <c r="K258" s="76" t="str">
        <f t="shared" si="120"/>
        <v>burtoni</v>
      </c>
      <c r="L258" s="77">
        <f t="shared" si="120"/>
        <v>7</v>
      </c>
      <c r="M258" s="77">
        <f t="shared" si="120"/>
        <v>7</v>
      </c>
      <c r="N258" s="71">
        <f t="shared" si="120"/>
        <v>0</v>
      </c>
      <c r="O258" s="44"/>
      <c r="P258" s="45">
        <f t="shared" si="100"/>
        <v>1</v>
      </c>
      <c r="Q258" s="46" t="str">
        <f t="shared" si="101"/>
        <v>12:54:09</v>
      </c>
      <c r="R258" s="47" t="str">
        <f t="shared" si="102"/>
        <v>54:09</v>
      </c>
      <c r="S258" s="48">
        <f t="shared" si="91"/>
        <v>7</v>
      </c>
      <c r="T258" s="47" t="str">
        <f t="shared" si="103"/>
        <v>12</v>
      </c>
      <c r="U258" s="49">
        <v>54</v>
      </c>
      <c r="V258" s="50">
        <v>16</v>
      </c>
      <c r="W258" s="51" t="str">
        <f t="shared" si="104"/>
        <v>54:16</v>
      </c>
      <c r="X258" s="52" t="s">
        <v>63</v>
      </c>
      <c r="Y258" s="124" t="s">
        <v>83</v>
      </c>
      <c r="Z258" s="124"/>
      <c r="AA258" s="47" t="s">
        <v>59</v>
      </c>
      <c r="AB258" s="47" t="str">
        <f t="shared" si="105"/>
        <v>NA</v>
      </c>
      <c r="AC258" s="53">
        <f t="shared" si="106"/>
        <v>0</v>
      </c>
      <c r="AD258" s="54">
        <f t="shared" si="107"/>
        <v>1</v>
      </c>
      <c r="AE258" s="54"/>
      <c r="AF258" s="54"/>
      <c r="AG258" s="55">
        <v>1</v>
      </c>
      <c r="AH258" s="56">
        <f t="shared" si="109"/>
        <v>7</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v>1</v>
      </c>
      <c r="AX258" s="61">
        <f t="shared" si="93"/>
        <v>1</v>
      </c>
      <c r="AY258" s="60">
        <f t="shared" si="94"/>
        <v>0</v>
      </c>
      <c r="AZ258" s="61" t="str">
        <f t="shared" si="95"/>
        <v/>
      </c>
    </row>
    <row r="259" spans="1:52" s="3" customFormat="1" hidden="1" x14ac:dyDescent="0.35">
      <c r="A259" s="72">
        <f t="shared" si="96"/>
        <v>2019</v>
      </c>
      <c r="B259" s="72" t="str">
        <f t="shared" si="97"/>
        <v>Nov</v>
      </c>
      <c r="C259" s="73">
        <f t="shared" si="115"/>
        <v>18</v>
      </c>
      <c r="D259" s="74">
        <f t="shared" si="98"/>
        <v>12</v>
      </c>
      <c r="E259" s="75">
        <f t="shared" si="99"/>
        <v>55</v>
      </c>
      <c r="F259" s="79"/>
      <c r="G259" s="82"/>
      <c r="H259" s="68" t="str">
        <f t="shared" si="116"/>
        <v>Senbur7_20191118_12_00</v>
      </c>
      <c r="I259" s="69">
        <f t="shared" si="120"/>
        <v>1</v>
      </c>
      <c r="J259" s="76" t="str">
        <f t="shared" si="120"/>
        <v>Senecio</v>
      </c>
      <c r="K259" s="76" t="str">
        <f t="shared" si="120"/>
        <v>burtoni</v>
      </c>
      <c r="L259" s="77">
        <f t="shared" si="120"/>
        <v>7</v>
      </c>
      <c r="M259" s="77">
        <f t="shared" si="120"/>
        <v>7</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s">
        <v>67</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11" si="122">IF(P259=1,0,"")</f>
        <v/>
      </c>
      <c r="AX259" s="61" t="str">
        <f t="shared" ref="AX259:AX322" si="123">IF(AW259=1,AD259,"")</f>
        <v/>
      </c>
      <c r="AY259" s="60" t="str">
        <f t="shared" ref="AY259:AY319"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18</v>
      </c>
      <c r="D260" s="74">
        <f t="shared" ref="D260:D323" si="128">IF(IF(E259=59,D259+1,D259)=24,0,IF(E259=59,D259+1,D259))</f>
        <v>12</v>
      </c>
      <c r="E260" s="75">
        <f t="shared" ref="E260:E322" si="129">IF(E259&lt;59,E259+1,0)</f>
        <v>56</v>
      </c>
      <c r="F260" s="79">
        <v>14</v>
      </c>
      <c r="G260" s="82"/>
      <c r="H260" s="68" t="str">
        <f t="shared" si="116"/>
        <v>Senbur7_20191118_12_00</v>
      </c>
      <c r="I260" s="69">
        <f t="shared" si="120"/>
        <v>1</v>
      </c>
      <c r="J260" s="76" t="str">
        <f t="shared" si="120"/>
        <v>Senecio</v>
      </c>
      <c r="K260" s="76" t="str">
        <f t="shared" si="120"/>
        <v>burtoni</v>
      </c>
      <c r="L260" s="77">
        <f t="shared" si="120"/>
        <v>7</v>
      </c>
      <c r="M260" s="77">
        <f t="shared" si="120"/>
        <v>7</v>
      </c>
      <c r="N260" s="71">
        <f t="shared" si="120"/>
        <v>0</v>
      </c>
      <c r="O260" s="44"/>
      <c r="P260" s="45">
        <f t="shared" ref="P260:P323" si="130">IF(F260="","",1)</f>
        <v>1</v>
      </c>
      <c r="Q260" s="46" t="str">
        <f t="shared" ref="Q260:Q323" si="131">TEXT(IF(P260=1,CONCATENATE($D260,":",$E260,":",(LEFT($F260,2))),""),"hh:mm:ss")</f>
        <v>12:56:14</v>
      </c>
      <c r="R260" s="47" t="str">
        <f t="shared" ref="R260:R323" si="132">TEXT(Q260-TIME(0,RIGHT($H260,2),$G$9)+(Q260&gt;TIME(0,RIGHT($H260,2),$G$9)),"mm:ss")</f>
        <v>56:14</v>
      </c>
      <c r="S260" s="48">
        <f t="shared" si="121"/>
        <v>7</v>
      </c>
      <c r="T260" s="47" t="str">
        <f t="shared" ref="T260:T323" si="133">TEXT(IF(P260=1,D260,""),"00")</f>
        <v>12</v>
      </c>
      <c r="U260" s="49">
        <v>56</v>
      </c>
      <c r="V260" s="50">
        <v>21</v>
      </c>
      <c r="W260" s="51" t="str">
        <f t="shared" ref="W260:W323" si="134">IF(O260=0,TEXT(TIME(T260,U260,V260)-TIME(D260,E260,RIGHT(F260,2))+TIME(0,LEFT(R260,2),RIGHT(R260,2)),"mm:ss"),TEXT(TIME(T260,U260,V260)-TIME(D260,E260,RIGHT(F260,2))+TIME(0,LEFT(R260,2),RIGHT(R260,2))-TIME(0,($G$10*O260),0),"mm:ss"))</f>
        <v>56:21</v>
      </c>
      <c r="X260" s="52" t="s">
        <v>63</v>
      </c>
      <c r="Y260" s="124" t="s">
        <v>82</v>
      </c>
      <c r="Z260" s="124"/>
      <c r="AA260" s="47" t="s">
        <v>59</v>
      </c>
      <c r="AB260" s="47" t="str">
        <f t="shared" ref="AB260:AB323" si="135">IF(AA260&lt;&gt;0,"NA","")</f>
        <v>NA</v>
      </c>
      <c r="AC260" s="53">
        <f t="shared" ref="AC260:AC323" si="136">IF(SUM(AH260,AJ260,AL260,AN260,AP260,AR260)=S260,,"")</f>
        <v>0</v>
      </c>
      <c r="AD260" s="54">
        <f t="shared" ref="AD260:AD323" si="137">IF(P260=1,1,"")</f>
        <v>1</v>
      </c>
      <c r="AE260" s="54"/>
      <c r="AF260" s="54"/>
      <c r="AG260" s="55">
        <v>1</v>
      </c>
      <c r="AH260" s="56">
        <v>2</v>
      </c>
      <c r="AI260" s="55"/>
      <c r="AJ260" s="56" t="str">
        <f t="shared" ref="AJ260:AJ323" si="138">IF(AI260=1,$S260,"")</f>
        <v/>
      </c>
      <c r="AK260" s="55"/>
      <c r="AL260" s="56" t="str">
        <f t="shared" ref="AL260:AL323" si="139">IF(AK260=1,$S260,"")</f>
        <v/>
      </c>
      <c r="AM260" s="55">
        <v>1</v>
      </c>
      <c r="AN260" s="56">
        <v>5</v>
      </c>
      <c r="AO260" s="55"/>
      <c r="AP260" s="56" t="str">
        <f t="shared" ref="AP260:AP323" si="140">IF(AO260=1,$S260,"")</f>
        <v/>
      </c>
      <c r="AQ260" s="55"/>
      <c r="AR260" s="56" t="str">
        <f t="shared" ref="AR260:AR323" si="141">IF(AQ260=1,$S260,"")</f>
        <v/>
      </c>
      <c r="AS260" s="57"/>
      <c r="AT260" s="58"/>
      <c r="AU260" s="58"/>
      <c r="AV260" s="59"/>
      <c r="AW260" s="60">
        <v>1</v>
      </c>
      <c r="AX260" s="61">
        <f t="shared" si="123"/>
        <v>1</v>
      </c>
      <c r="AY260" s="60">
        <f t="shared" si="124"/>
        <v>0</v>
      </c>
      <c r="AZ260" s="61" t="str">
        <f t="shared" si="125"/>
        <v/>
      </c>
    </row>
    <row r="261" spans="1:52" s="3" customFormat="1" hidden="1" x14ac:dyDescent="0.35">
      <c r="A261" s="72">
        <f t="shared" si="126"/>
        <v>2019</v>
      </c>
      <c r="B261" s="72" t="str">
        <f t="shared" si="127"/>
        <v>Nov</v>
      </c>
      <c r="C261" s="73">
        <f t="shared" ref="C261:C324" si="142">IF(AND(D261=0, E261=0), IF(TEXT(C260,"dd")=TEXT(EOMONTH(DATE(A260,MONTH(DATEVALUE(B260&amp;"1")),C260),0), "dd"), 1, C260+1), C260)</f>
        <v>18</v>
      </c>
      <c r="D261" s="74">
        <f t="shared" si="128"/>
        <v>12</v>
      </c>
      <c r="E261" s="75">
        <v>56</v>
      </c>
      <c r="F261" s="79">
        <v>19</v>
      </c>
      <c r="G261" s="82"/>
      <c r="H261" s="68" t="str">
        <f t="shared" ref="H261:H324" si="143">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Senbur7_20191118_12_00</v>
      </c>
      <c r="I261" s="69">
        <f t="shared" ref="I261:N276" si="144">I260</f>
        <v>1</v>
      </c>
      <c r="J261" s="76" t="str">
        <f t="shared" si="144"/>
        <v>Senecio</v>
      </c>
      <c r="K261" s="76" t="str">
        <f t="shared" si="144"/>
        <v>burtoni</v>
      </c>
      <c r="L261" s="77">
        <f t="shared" si="144"/>
        <v>7</v>
      </c>
      <c r="M261" s="77">
        <f t="shared" si="144"/>
        <v>7</v>
      </c>
      <c r="N261" s="71">
        <f t="shared" si="144"/>
        <v>0</v>
      </c>
      <c r="O261" s="44"/>
      <c r="P261" s="45">
        <f t="shared" si="130"/>
        <v>1</v>
      </c>
      <c r="Q261" s="46" t="str">
        <f t="shared" si="131"/>
        <v>12:56:19</v>
      </c>
      <c r="R261" s="47" t="str">
        <f t="shared" si="132"/>
        <v>56:19</v>
      </c>
      <c r="S261" s="48">
        <f t="shared" si="121"/>
        <v>2</v>
      </c>
      <c r="T261" s="47" t="str">
        <f t="shared" si="133"/>
        <v>12</v>
      </c>
      <c r="U261" s="49">
        <v>56</v>
      </c>
      <c r="V261" s="50">
        <v>21</v>
      </c>
      <c r="W261" s="51" t="str">
        <f t="shared" si="134"/>
        <v>56:21</v>
      </c>
      <c r="X261" s="52" t="s">
        <v>63</v>
      </c>
      <c r="Y261" s="124" t="s">
        <v>82</v>
      </c>
      <c r="Z261" s="124"/>
      <c r="AA261" s="47" t="s">
        <v>59</v>
      </c>
      <c r="AB261" s="47" t="str">
        <f t="shared" si="135"/>
        <v>NA</v>
      </c>
      <c r="AC261" s="53">
        <f t="shared" si="136"/>
        <v>0</v>
      </c>
      <c r="AD261" s="54">
        <f t="shared" si="137"/>
        <v>1</v>
      </c>
      <c r="AE261" s="54"/>
      <c r="AF261" s="54"/>
      <c r="AG261" s="55">
        <v>1</v>
      </c>
      <c r="AH261" s="56">
        <f t="shared" ref="AH261:AH322" si="145">IF(AG261=1,$S261,"")</f>
        <v>2</v>
      </c>
      <c r="AI261" s="55"/>
      <c r="AJ261" s="56" t="str">
        <f t="shared" si="138"/>
        <v/>
      </c>
      <c r="AK261" s="55"/>
      <c r="AL261" s="56" t="str">
        <f t="shared" si="139"/>
        <v/>
      </c>
      <c r="AM261" s="55"/>
      <c r="AN261" s="56" t="str">
        <f t="shared" ref="AN261:AN322" si="146">IF(AM261=1,$S261,"")</f>
        <v/>
      </c>
      <c r="AO261" s="55"/>
      <c r="AP261" s="56" t="str">
        <f t="shared" si="140"/>
        <v/>
      </c>
      <c r="AQ261" s="55"/>
      <c r="AR261" s="56" t="str">
        <f t="shared" si="141"/>
        <v/>
      </c>
      <c r="AS261" s="57"/>
      <c r="AT261" s="58"/>
      <c r="AU261" s="58"/>
      <c r="AV261" s="59"/>
      <c r="AW261" s="60">
        <f t="shared" si="122"/>
        <v>0</v>
      </c>
      <c r="AX261" s="61" t="str">
        <f t="shared" si="123"/>
        <v/>
      </c>
      <c r="AY261" s="60">
        <f t="shared" si="124"/>
        <v>0</v>
      </c>
      <c r="AZ261" s="61" t="str">
        <f t="shared" si="125"/>
        <v/>
      </c>
    </row>
    <row r="262" spans="1:52" s="3" customFormat="1" hidden="1" x14ac:dyDescent="0.35">
      <c r="A262" s="72">
        <f t="shared" si="126"/>
        <v>2019</v>
      </c>
      <c r="B262" s="72" t="str">
        <f t="shared" si="127"/>
        <v>Nov</v>
      </c>
      <c r="C262" s="73">
        <f t="shared" si="142"/>
        <v>18</v>
      </c>
      <c r="D262" s="74">
        <f t="shared" si="128"/>
        <v>12</v>
      </c>
      <c r="E262" s="75">
        <v>56</v>
      </c>
      <c r="F262" s="79">
        <v>23</v>
      </c>
      <c r="G262" s="82"/>
      <c r="H262" s="68" t="str">
        <f t="shared" si="143"/>
        <v>Senbur7_20191118_12_00</v>
      </c>
      <c r="I262" s="69">
        <f t="shared" si="144"/>
        <v>1</v>
      </c>
      <c r="J262" s="76" t="str">
        <f t="shared" si="144"/>
        <v>Senecio</v>
      </c>
      <c r="K262" s="76" t="str">
        <f t="shared" si="144"/>
        <v>burtoni</v>
      </c>
      <c r="L262" s="77">
        <f t="shared" si="144"/>
        <v>7</v>
      </c>
      <c r="M262" s="77">
        <f t="shared" si="144"/>
        <v>7</v>
      </c>
      <c r="N262" s="71">
        <f t="shared" si="144"/>
        <v>0</v>
      </c>
      <c r="O262" s="44"/>
      <c r="P262" s="45">
        <f t="shared" si="130"/>
        <v>1</v>
      </c>
      <c r="Q262" s="46" t="str">
        <f t="shared" si="131"/>
        <v>12:56:23</v>
      </c>
      <c r="R262" s="47" t="str">
        <f t="shared" si="132"/>
        <v>56:23</v>
      </c>
      <c r="S262" s="48">
        <f t="shared" si="121"/>
        <v>143</v>
      </c>
      <c r="T262" s="47" t="str">
        <f t="shared" si="133"/>
        <v>12</v>
      </c>
      <c r="U262" s="49">
        <v>58</v>
      </c>
      <c r="V262" s="50">
        <v>46</v>
      </c>
      <c r="W262" s="51" t="str">
        <f t="shared" si="134"/>
        <v>58:46</v>
      </c>
      <c r="X262" s="52" t="s">
        <v>63</v>
      </c>
      <c r="Y262" s="124" t="s">
        <v>82</v>
      </c>
      <c r="Z262" s="124"/>
      <c r="AA262" s="47" t="s">
        <v>59</v>
      </c>
      <c r="AB262" s="47" t="str">
        <f t="shared" si="135"/>
        <v>NA</v>
      </c>
      <c r="AC262" s="53">
        <f t="shared" si="136"/>
        <v>0</v>
      </c>
      <c r="AD262" s="54">
        <v>2</v>
      </c>
      <c r="AE262" s="54"/>
      <c r="AF262" s="54"/>
      <c r="AG262" s="55">
        <v>1</v>
      </c>
      <c r="AH262" s="56">
        <v>13</v>
      </c>
      <c r="AI262" s="55"/>
      <c r="AJ262" s="56" t="str">
        <f t="shared" si="138"/>
        <v/>
      </c>
      <c r="AK262" s="55"/>
      <c r="AL262" s="56" t="str">
        <f t="shared" si="139"/>
        <v/>
      </c>
      <c r="AM262" s="55">
        <v>1</v>
      </c>
      <c r="AN262" s="56">
        <v>130</v>
      </c>
      <c r="AO262" s="55"/>
      <c r="AP262" s="56" t="str">
        <f t="shared" si="140"/>
        <v/>
      </c>
      <c r="AQ262" s="55"/>
      <c r="AR262" s="56" t="str">
        <f t="shared" si="141"/>
        <v/>
      </c>
      <c r="AS262" s="57"/>
      <c r="AT262" s="58"/>
      <c r="AU262" s="58"/>
      <c r="AV262" s="59"/>
      <c r="AW262" s="60">
        <v>1</v>
      </c>
      <c r="AX262" s="61">
        <v>1</v>
      </c>
      <c r="AY262" s="60">
        <f t="shared" si="124"/>
        <v>0</v>
      </c>
      <c r="AZ262" s="61" t="str">
        <f t="shared" si="125"/>
        <v/>
      </c>
    </row>
    <row r="263" spans="1:52" s="3" customFormat="1" hidden="1" x14ac:dyDescent="0.35">
      <c r="A263" s="72">
        <f t="shared" si="126"/>
        <v>2019</v>
      </c>
      <c r="B263" s="72" t="str">
        <f t="shared" si="127"/>
        <v>Nov</v>
      </c>
      <c r="C263" s="73">
        <f t="shared" si="142"/>
        <v>18</v>
      </c>
      <c r="D263" s="74">
        <f t="shared" si="128"/>
        <v>12</v>
      </c>
      <c r="E263" s="75">
        <v>56</v>
      </c>
      <c r="F263" s="79">
        <v>25</v>
      </c>
      <c r="G263" s="82"/>
      <c r="H263" s="68" t="str">
        <f t="shared" si="143"/>
        <v>Senbur7_20191118_12_00</v>
      </c>
      <c r="I263" s="69">
        <f t="shared" si="144"/>
        <v>1</v>
      </c>
      <c r="J263" s="76" t="str">
        <f t="shared" si="144"/>
        <v>Senecio</v>
      </c>
      <c r="K263" s="76" t="str">
        <f t="shared" si="144"/>
        <v>burtoni</v>
      </c>
      <c r="L263" s="77">
        <f t="shared" si="144"/>
        <v>7</v>
      </c>
      <c r="M263" s="77">
        <f t="shared" si="144"/>
        <v>7</v>
      </c>
      <c r="N263" s="71">
        <f t="shared" si="144"/>
        <v>0</v>
      </c>
      <c r="O263" s="44"/>
      <c r="P263" s="45">
        <f t="shared" si="130"/>
        <v>1</v>
      </c>
      <c r="Q263" s="46" t="str">
        <f t="shared" si="131"/>
        <v>12:56:25</v>
      </c>
      <c r="R263" s="47" t="str">
        <f t="shared" si="132"/>
        <v>56:25</v>
      </c>
      <c r="S263" s="48">
        <f t="shared" si="121"/>
        <v>7</v>
      </c>
      <c r="T263" s="47" t="str">
        <f t="shared" si="133"/>
        <v>12</v>
      </c>
      <c r="U263" s="49">
        <v>56</v>
      </c>
      <c r="V263" s="50">
        <v>32</v>
      </c>
      <c r="W263" s="51" t="str">
        <f t="shared" si="134"/>
        <v>56:32</v>
      </c>
      <c r="X263" s="52" t="s">
        <v>63</v>
      </c>
      <c r="Y263" s="124" t="s">
        <v>82</v>
      </c>
      <c r="Z263" s="124"/>
      <c r="AA263" s="47" t="s">
        <v>59</v>
      </c>
      <c r="AB263" s="47" t="str">
        <f t="shared" si="135"/>
        <v>NA</v>
      </c>
      <c r="AC263" s="53">
        <f t="shared" si="136"/>
        <v>0</v>
      </c>
      <c r="AD263" s="54">
        <v>2</v>
      </c>
      <c r="AE263" s="54"/>
      <c r="AF263" s="54"/>
      <c r="AG263" s="55">
        <v>1</v>
      </c>
      <c r="AH263" s="56">
        <v>4</v>
      </c>
      <c r="AI263" s="55"/>
      <c r="AJ263" s="56" t="str">
        <f t="shared" si="138"/>
        <v/>
      </c>
      <c r="AK263" s="55"/>
      <c r="AL263" s="56" t="str">
        <f t="shared" si="139"/>
        <v/>
      </c>
      <c r="AM263" s="55">
        <v>1</v>
      </c>
      <c r="AN263" s="56">
        <v>3</v>
      </c>
      <c r="AO263" s="55"/>
      <c r="AP263" s="56" t="str">
        <f t="shared" si="140"/>
        <v/>
      </c>
      <c r="AQ263" s="55"/>
      <c r="AR263" s="56" t="str">
        <f t="shared" si="141"/>
        <v/>
      </c>
      <c r="AS263" s="57"/>
      <c r="AT263" s="58"/>
      <c r="AU263" s="58"/>
      <c r="AV263" s="59"/>
      <c r="AW263" s="60">
        <v>1</v>
      </c>
      <c r="AX263" s="61">
        <v>1</v>
      </c>
      <c r="AY263" s="60">
        <v>1</v>
      </c>
      <c r="AZ263" s="61">
        <v>1</v>
      </c>
    </row>
    <row r="264" spans="1:52" s="3" customFormat="1" hidden="1" x14ac:dyDescent="0.35">
      <c r="A264" s="72">
        <f t="shared" si="126"/>
        <v>2019</v>
      </c>
      <c r="B264" s="72" t="str">
        <f t="shared" si="127"/>
        <v>Nov</v>
      </c>
      <c r="C264" s="73">
        <f t="shared" si="142"/>
        <v>18</v>
      </c>
      <c r="D264" s="74">
        <f t="shared" si="128"/>
        <v>12</v>
      </c>
      <c r="E264" s="75">
        <v>56</v>
      </c>
      <c r="F264" s="79">
        <v>27</v>
      </c>
      <c r="G264" s="82"/>
      <c r="H264" s="68" t="str">
        <f t="shared" si="143"/>
        <v>Senbur7_20191118_12_00</v>
      </c>
      <c r="I264" s="69">
        <f t="shared" si="144"/>
        <v>1</v>
      </c>
      <c r="J264" s="76" t="str">
        <f t="shared" si="144"/>
        <v>Senecio</v>
      </c>
      <c r="K264" s="76" t="str">
        <f t="shared" si="144"/>
        <v>burtoni</v>
      </c>
      <c r="L264" s="77">
        <f t="shared" si="144"/>
        <v>7</v>
      </c>
      <c r="M264" s="77">
        <f t="shared" si="144"/>
        <v>7</v>
      </c>
      <c r="N264" s="71">
        <f t="shared" si="144"/>
        <v>0</v>
      </c>
      <c r="O264" s="44"/>
      <c r="P264" s="45">
        <f t="shared" si="130"/>
        <v>1</v>
      </c>
      <c r="Q264" s="46" t="str">
        <f t="shared" si="131"/>
        <v>12:56:27</v>
      </c>
      <c r="R264" s="47" t="str">
        <f t="shared" si="132"/>
        <v>56:27</v>
      </c>
      <c r="S264" s="48">
        <f t="shared" si="121"/>
        <v>0</v>
      </c>
      <c r="T264" s="47" t="str">
        <f t="shared" si="133"/>
        <v>12</v>
      </c>
      <c r="U264" s="49">
        <v>56</v>
      </c>
      <c r="V264" s="50">
        <v>27</v>
      </c>
      <c r="W264" s="51" t="str">
        <f t="shared" si="134"/>
        <v>56:27</v>
      </c>
      <c r="X264" s="52" t="s">
        <v>63</v>
      </c>
      <c r="Y264" s="124" t="s">
        <v>83</v>
      </c>
      <c r="Z264" s="124"/>
      <c r="AA264" s="47" t="s">
        <v>59</v>
      </c>
      <c r="AB264" s="47" t="str">
        <f t="shared" si="135"/>
        <v>NA</v>
      </c>
      <c r="AC264" s="53">
        <f t="shared" si="136"/>
        <v>0</v>
      </c>
      <c r="AD264" s="54">
        <f t="shared" si="137"/>
        <v>1</v>
      </c>
      <c r="AE264" s="54"/>
      <c r="AF264" s="54"/>
      <c r="AG264" s="55">
        <v>1</v>
      </c>
      <c r="AH264" s="56">
        <f t="shared" si="145"/>
        <v>0</v>
      </c>
      <c r="AI264" s="55"/>
      <c r="AJ264" s="56" t="str">
        <f t="shared" si="138"/>
        <v/>
      </c>
      <c r="AK264" s="55"/>
      <c r="AL264" s="56" t="str">
        <f t="shared" si="139"/>
        <v/>
      </c>
      <c r="AM264" s="55"/>
      <c r="AN264" s="56" t="str">
        <f t="shared" si="146"/>
        <v/>
      </c>
      <c r="AO264" s="55"/>
      <c r="AP264" s="56" t="str">
        <f t="shared" si="140"/>
        <v/>
      </c>
      <c r="AQ264" s="55"/>
      <c r="AR264" s="56" t="str">
        <f t="shared" si="141"/>
        <v/>
      </c>
      <c r="AS264" s="57"/>
      <c r="AT264" s="58"/>
      <c r="AU264" s="58"/>
      <c r="AV264" s="59"/>
      <c r="AW264" s="60">
        <f t="shared" si="122"/>
        <v>0</v>
      </c>
      <c r="AX264" s="61" t="str">
        <f t="shared" si="123"/>
        <v/>
      </c>
      <c r="AY264" s="60">
        <f t="shared" si="124"/>
        <v>0</v>
      </c>
      <c r="AZ264" s="61" t="str">
        <f t="shared" si="125"/>
        <v/>
      </c>
    </row>
    <row r="265" spans="1:52" s="3" customFormat="1" hidden="1" x14ac:dyDescent="0.35">
      <c r="A265" s="72">
        <f t="shared" si="126"/>
        <v>2019</v>
      </c>
      <c r="B265" s="72" t="str">
        <f t="shared" si="127"/>
        <v>Nov</v>
      </c>
      <c r="C265" s="73">
        <f t="shared" si="142"/>
        <v>18</v>
      </c>
      <c r="D265" s="74">
        <f t="shared" si="128"/>
        <v>12</v>
      </c>
      <c r="E265" s="75">
        <v>56</v>
      </c>
      <c r="F265" s="79">
        <v>41</v>
      </c>
      <c r="G265" s="82"/>
      <c r="H265" s="68" t="str">
        <f t="shared" si="143"/>
        <v>Senbur7_20191118_12_00</v>
      </c>
      <c r="I265" s="69">
        <f t="shared" si="144"/>
        <v>1</v>
      </c>
      <c r="J265" s="76" t="str">
        <f t="shared" si="144"/>
        <v>Senecio</v>
      </c>
      <c r="K265" s="76" t="str">
        <f t="shared" si="144"/>
        <v>burtoni</v>
      </c>
      <c r="L265" s="77">
        <f t="shared" si="144"/>
        <v>7</v>
      </c>
      <c r="M265" s="77">
        <f t="shared" si="144"/>
        <v>7</v>
      </c>
      <c r="N265" s="71">
        <f t="shared" si="144"/>
        <v>0</v>
      </c>
      <c r="O265" s="44"/>
      <c r="P265" s="45">
        <f t="shared" si="130"/>
        <v>1</v>
      </c>
      <c r="Q265" s="46" t="str">
        <f t="shared" si="131"/>
        <v>12:56:41</v>
      </c>
      <c r="R265" s="47" t="str">
        <f t="shared" si="132"/>
        <v>56:41</v>
      </c>
      <c r="S265" s="48">
        <f t="shared" si="121"/>
        <v>10</v>
      </c>
      <c r="T265" s="47" t="str">
        <f t="shared" si="133"/>
        <v>12</v>
      </c>
      <c r="U265" s="49">
        <v>56</v>
      </c>
      <c r="V265" s="50">
        <v>51</v>
      </c>
      <c r="W265" s="51" t="str">
        <f t="shared" si="134"/>
        <v>56:51</v>
      </c>
      <c r="X265" s="52" t="s">
        <v>63</v>
      </c>
      <c r="Y265" s="124" t="s">
        <v>83</v>
      </c>
      <c r="Z265" s="124"/>
      <c r="AA265" s="47" t="s">
        <v>59</v>
      </c>
      <c r="AB265" s="47" t="str">
        <f t="shared" si="135"/>
        <v>NA</v>
      </c>
      <c r="AC265" s="53">
        <f t="shared" si="136"/>
        <v>0</v>
      </c>
      <c r="AD265" s="54">
        <f t="shared" si="137"/>
        <v>1</v>
      </c>
      <c r="AE265" s="54"/>
      <c r="AF265" s="54"/>
      <c r="AG265" s="55">
        <v>1</v>
      </c>
      <c r="AH265" s="56">
        <v>2</v>
      </c>
      <c r="AI265" s="55"/>
      <c r="AJ265" s="56" t="str">
        <f t="shared" si="138"/>
        <v/>
      </c>
      <c r="AK265" s="55"/>
      <c r="AL265" s="56" t="str">
        <f t="shared" si="139"/>
        <v/>
      </c>
      <c r="AM265" s="55">
        <v>1</v>
      </c>
      <c r="AN265" s="56">
        <v>8</v>
      </c>
      <c r="AO265" s="55"/>
      <c r="AP265" s="56" t="str">
        <f t="shared" si="140"/>
        <v/>
      </c>
      <c r="AQ265" s="55"/>
      <c r="AR265" s="56" t="str">
        <f t="shared" si="141"/>
        <v/>
      </c>
      <c r="AS265" s="57"/>
      <c r="AT265" s="58"/>
      <c r="AU265" s="58"/>
      <c r="AV265" s="59"/>
      <c r="AW265" s="60">
        <v>1</v>
      </c>
      <c r="AX265" s="61">
        <f t="shared" si="123"/>
        <v>1</v>
      </c>
      <c r="AY265" s="60">
        <v>1</v>
      </c>
      <c r="AZ265" s="61">
        <f t="shared" si="125"/>
        <v>1</v>
      </c>
    </row>
    <row r="266" spans="1:52" s="3" customFormat="1" hidden="1" x14ac:dyDescent="0.35">
      <c r="A266" s="72">
        <f t="shared" si="126"/>
        <v>2019</v>
      </c>
      <c r="B266" s="72" t="str">
        <f t="shared" si="127"/>
        <v>Nov</v>
      </c>
      <c r="C266" s="73">
        <f t="shared" si="142"/>
        <v>18</v>
      </c>
      <c r="D266" s="74">
        <f t="shared" si="128"/>
        <v>12</v>
      </c>
      <c r="E266" s="75">
        <f t="shared" si="129"/>
        <v>57</v>
      </c>
      <c r="F266" s="79"/>
      <c r="G266" s="82"/>
      <c r="H266" s="68" t="str">
        <f t="shared" si="143"/>
        <v>Senbur7_20191118_12_00</v>
      </c>
      <c r="I266" s="69">
        <f t="shared" si="144"/>
        <v>1</v>
      </c>
      <c r="J266" s="76" t="str">
        <f t="shared" si="144"/>
        <v>Senecio</v>
      </c>
      <c r="K266" s="76" t="str">
        <f t="shared" si="144"/>
        <v>burtoni</v>
      </c>
      <c r="L266" s="77">
        <f t="shared" si="144"/>
        <v>7</v>
      </c>
      <c r="M266" s="77">
        <f t="shared" si="144"/>
        <v>7</v>
      </c>
      <c r="N266" s="71">
        <f t="shared" si="144"/>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ref="AG266:AG322" si="147">IF(OR(X266="Something small"),1,"")</f>
        <v/>
      </c>
      <c r="AH266" s="56" t="str">
        <f t="shared" si="145"/>
        <v/>
      </c>
      <c r="AI266" s="55"/>
      <c r="AJ266" s="56" t="str">
        <f t="shared" si="138"/>
        <v/>
      </c>
      <c r="AK266" s="55"/>
      <c r="AL266" s="56" t="str">
        <f t="shared" si="139"/>
        <v/>
      </c>
      <c r="AM266" s="55"/>
      <c r="AN266" s="56" t="str">
        <f t="shared" si="146"/>
        <v/>
      </c>
      <c r="AO266" s="55"/>
      <c r="AP266" s="56" t="str">
        <f t="shared" si="140"/>
        <v/>
      </c>
      <c r="AQ266" s="55"/>
      <c r="AR266" s="56" t="str">
        <f t="shared" si="141"/>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2"/>
        <v>18</v>
      </c>
      <c r="D267" s="74">
        <f t="shared" si="128"/>
        <v>12</v>
      </c>
      <c r="E267" s="75">
        <f t="shared" si="129"/>
        <v>58</v>
      </c>
      <c r="F267" s="79"/>
      <c r="G267" s="82"/>
      <c r="H267" s="68" t="str">
        <f t="shared" si="143"/>
        <v>Senbur7_20191118_12_00</v>
      </c>
      <c r="I267" s="69">
        <f t="shared" si="144"/>
        <v>1</v>
      </c>
      <c r="J267" s="76" t="str">
        <f t="shared" si="144"/>
        <v>Senecio</v>
      </c>
      <c r="K267" s="76" t="str">
        <f t="shared" si="144"/>
        <v>burtoni</v>
      </c>
      <c r="L267" s="77">
        <f t="shared" si="144"/>
        <v>7</v>
      </c>
      <c r="M267" s="77">
        <f t="shared" si="144"/>
        <v>7</v>
      </c>
      <c r="N267" s="71">
        <f t="shared" si="144"/>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47"/>
        <v/>
      </c>
      <c r="AH267" s="56" t="str">
        <f t="shared" si="145"/>
        <v/>
      </c>
      <c r="AI267" s="55"/>
      <c r="AJ267" s="56" t="str">
        <f t="shared" si="138"/>
        <v/>
      </c>
      <c r="AK267" s="55"/>
      <c r="AL267" s="56" t="str">
        <f t="shared" si="139"/>
        <v/>
      </c>
      <c r="AM267" s="55"/>
      <c r="AN267" s="56" t="str">
        <f t="shared" si="146"/>
        <v/>
      </c>
      <c r="AO267" s="55"/>
      <c r="AP267" s="56" t="str">
        <f t="shared" si="140"/>
        <v/>
      </c>
      <c r="AQ267" s="55"/>
      <c r="AR267" s="56" t="str">
        <f t="shared" si="141"/>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2"/>
        <v>18</v>
      </c>
      <c r="D268" s="74">
        <f t="shared" si="128"/>
        <v>12</v>
      </c>
      <c r="E268" s="75">
        <f t="shared" si="129"/>
        <v>59</v>
      </c>
      <c r="F268" s="79">
        <v>53</v>
      </c>
      <c r="G268" s="82"/>
      <c r="H268" s="68" t="str">
        <f t="shared" si="143"/>
        <v>Senbur7_20191118_12_00</v>
      </c>
      <c r="I268" s="69">
        <f t="shared" si="144"/>
        <v>1</v>
      </c>
      <c r="J268" s="76" t="str">
        <f t="shared" si="144"/>
        <v>Senecio</v>
      </c>
      <c r="K268" s="76" t="str">
        <f t="shared" si="144"/>
        <v>burtoni</v>
      </c>
      <c r="L268" s="77">
        <f t="shared" si="144"/>
        <v>7</v>
      </c>
      <c r="M268" s="77">
        <f t="shared" si="144"/>
        <v>7</v>
      </c>
      <c r="N268" s="71">
        <f t="shared" si="144"/>
        <v>0</v>
      </c>
      <c r="O268" s="44"/>
      <c r="P268" s="45">
        <f t="shared" si="130"/>
        <v>1</v>
      </c>
      <c r="Q268" s="46" t="str">
        <f t="shared" si="131"/>
        <v>12:59:53</v>
      </c>
      <c r="R268" s="47" t="str">
        <f t="shared" si="132"/>
        <v>59:53</v>
      </c>
      <c r="S268" s="48">
        <f t="shared" si="121"/>
        <v>15</v>
      </c>
      <c r="T268" s="47">
        <v>13</v>
      </c>
      <c r="U268" s="49">
        <v>0</v>
      </c>
      <c r="V268" s="50">
        <v>8</v>
      </c>
      <c r="W268" s="51" t="str">
        <f t="shared" si="134"/>
        <v>00:08</v>
      </c>
      <c r="X268" s="52" t="s">
        <v>63</v>
      </c>
      <c r="Y268" s="124" t="s">
        <v>83</v>
      </c>
      <c r="Z268" s="124"/>
      <c r="AA268" s="47" t="s">
        <v>59</v>
      </c>
      <c r="AB268" s="47" t="str">
        <f t="shared" si="135"/>
        <v>NA</v>
      </c>
      <c r="AC268" s="53">
        <f t="shared" si="136"/>
        <v>0</v>
      </c>
      <c r="AD268" s="54">
        <f t="shared" si="137"/>
        <v>1</v>
      </c>
      <c r="AE268" s="54"/>
      <c r="AF268" s="54"/>
      <c r="AG268" s="55">
        <v>1</v>
      </c>
      <c r="AH268" s="56">
        <v>5</v>
      </c>
      <c r="AI268" s="55"/>
      <c r="AJ268" s="56" t="str">
        <f t="shared" si="138"/>
        <v/>
      </c>
      <c r="AK268" s="55">
        <v>1</v>
      </c>
      <c r="AL268" s="56">
        <v>1</v>
      </c>
      <c r="AM268" s="55">
        <v>1</v>
      </c>
      <c r="AN268" s="56">
        <v>9</v>
      </c>
      <c r="AO268" s="55"/>
      <c r="AP268" s="56" t="str">
        <f t="shared" si="140"/>
        <v/>
      </c>
      <c r="AQ268" s="55"/>
      <c r="AR268" s="56" t="str">
        <f t="shared" si="141"/>
        <v/>
      </c>
      <c r="AS268" s="57"/>
      <c r="AT268" s="58"/>
      <c r="AU268" s="58"/>
      <c r="AV268" s="59"/>
      <c r="AW268" s="60">
        <v>1</v>
      </c>
      <c r="AX268" s="61">
        <f t="shared" si="123"/>
        <v>1</v>
      </c>
      <c r="AY268" s="60">
        <v>1</v>
      </c>
      <c r="AZ268" s="61">
        <f t="shared" si="125"/>
        <v>1</v>
      </c>
    </row>
    <row r="269" spans="1:52" s="3" customFormat="1" hidden="1" x14ac:dyDescent="0.35">
      <c r="A269" s="72">
        <f t="shared" si="126"/>
        <v>2019</v>
      </c>
      <c r="B269" s="72" t="str">
        <f t="shared" si="127"/>
        <v>Nov</v>
      </c>
      <c r="C269" s="73">
        <f t="shared" si="142"/>
        <v>18</v>
      </c>
      <c r="D269" s="74">
        <f t="shared" si="128"/>
        <v>13</v>
      </c>
      <c r="E269" s="75">
        <f t="shared" si="129"/>
        <v>0</v>
      </c>
      <c r="F269" s="79">
        <v>4</v>
      </c>
      <c r="G269" s="82"/>
      <c r="H269" s="68" t="str">
        <f t="shared" si="143"/>
        <v>Senbur7_20191118_13_00</v>
      </c>
      <c r="I269" s="69">
        <f t="shared" si="144"/>
        <v>1</v>
      </c>
      <c r="J269" s="76" t="str">
        <f t="shared" si="144"/>
        <v>Senecio</v>
      </c>
      <c r="K269" s="76" t="str">
        <f t="shared" si="144"/>
        <v>burtoni</v>
      </c>
      <c r="L269" s="77">
        <f t="shared" si="144"/>
        <v>7</v>
      </c>
      <c r="M269" s="77">
        <f t="shared" si="144"/>
        <v>7</v>
      </c>
      <c r="N269" s="71">
        <f t="shared" si="144"/>
        <v>0</v>
      </c>
      <c r="O269" s="44"/>
      <c r="P269" s="45">
        <f t="shared" si="130"/>
        <v>1</v>
      </c>
      <c r="Q269" s="46" t="str">
        <f t="shared" si="131"/>
        <v>13:00:04</v>
      </c>
      <c r="R269" s="47" t="str">
        <f t="shared" si="132"/>
        <v>00:04</v>
      </c>
      <c r="S269" s="48">
        <f t="shared" si="121"/>
        <v>137</v>
      </c>
      <c r="T269" s="47" t="str">
        <f t="shared" si="133"/>
        <v>13</v>
      </c>
      <c r="U269" s="49">
        <v>2</v>
      </c>
      <c r="V269" s="50">
        <v>21</v>
      </c>
      <c r="W269" s="51" t="str">
        <f t="shared" si="134"/>
        <v>02:21</v>
      </c>
      <c r="X269" s="52" t="s">
        <v>63</v>
      </c>
      <c r="Y269" s="124" t="s">
        <v>83</v>
      </c>
      <c r="Z269" s="124"/>
      <c r="AA269" s="47" t="s">
        <v>59</v>
      </c>
      <c r="AB269" s="47" t="str">
        <f t="shared" si="135"/>
        <v>NA</v>
      </c>
      <c r="AC269" s="53">
        <f t="shared" si="136"/>
        <v>0</v>
      </c>
      <c r="AD269" s="54">
        <f t="shared" si="137"/>
        <v>1</v>
      </c>
      <c r="AE269" s="54"/>
      <c r="AF269" s="54"/>
      <c r="AG269" s="55">
        <v>1</v>
      </c>
      <c r="AH269" s="56">
        <v>27</v>
      </c>
      <c r="AI269" s="55"/>
      <c r="AJ269" s="56" t="str">
        <f t="shared" si="138"/>
        <v/>
      </c>
      <c r="AK269" s="55">
        <v>1</v>
      </c>
      <c r="AL269" s="56">
        <v>40</v>
      </c>
      <c r="AM269" s="55">
        <v>1</v>
      </c>
      <c r="AN269" s="56">
        <v>70</v>
      </c>
      <c r="AO269" s="55"/>
      <c r="AP269" s="56" t="str">
        <f t="shared" si="140"/>
        <v/>
      </c>
      <c r="AQ269" s="55"/>
      <c r="AR269" s="56" t="str">
        <f t="shared" si="141"/>
        <v/>
      </c>
      <c r="AS269" s="57"/>
      <c r="AT269" s="58"/>
      <c r="AU269" s="58"/>
      <c r="AV269" s="59"/>
      <c r="AW269" s="60">
        <v>1</v>
      </c>
      <c r="AX269" s="61">
        <f t="shared" si="123"/>
        <v>1</v>
      </c>
      <c r="AY269" s="60">
        <v>1</v>
      </c>
      <c r="AZ269" s="61">
        <f t="shared" si="125"/>
        <v>1</v>
      </c>
    </row>
    <row r="270" spans="1:52" s="3" customFormat="1" hidden="1" x14ac:dyDescent="0.35">
      <c r="A270" s="72">
        <f t="shared" si="126"/>
        <v>2019</v>
      </c>
      <c r="B270" s="72" t="str">
        <f t="shared" si="127"/>
        <v>Nov</v>
      </c>
      <c r="C270" s="73">
        <f t="shared" si="142"/>
        <v>18</v>
      </c>
      <c r="D270" s="74">
        <f t="shared" si="128"/>
        <v>13</v>
      </c>
      <c r="E270" s="75">
        <v>0</v>
      </c>
      <c r="F270" s="79">
        <v>12</v>
      </c>
      <c r="G270" s="82"/>
      <c r="H270" s="68" t="str">
        <f t="shared" si="143"/>
        <v>Senbur7_20191118_13_00</v>
      </c>
      <c r="I270" s="69">
        <f t="shared" si="144"/>
        <v>1</v>
      </c>
      <c r="J270" s="76" t="str">
        <f t="shared" si="144"/>
        <v>Senecio</v>
      </c>
      <c r="K270" s="76" t="str">
        <f t="shared" si="144"/>
        <v>burtoni</v>
      </c>
      <c r="L270" s="77">
        <f t="shared" si="144"/>
        <v>7</v>
      </c>
      <c r="M270" s="77">
        <f t="shared" si="144"/>
        <v>7</v>
      </c>
      <c r="N270" s="71">
        <f t="shared" si="144"/>
        <v>0</v>
      </c>
      <c r="O270" s="44"/>
      <c r="P270" s="45">
        <f t="shared" si="130"/>
        <v>1</v>
      </c>
      <c r="Q270" s="46" t="str">
        <f t="shared" si="131"/>
        <v>13:00:12</v>
      </c>
      <c r="R270" s="47" t="str">
        <f t="shared" si="132"/>
        <v>00:12</v>
      </c>
      <c r="S270" s="48">
        <f t="shared" si="121"/>
        <v>24</v>
      </c>
      <c r="T270" s="47" t="str">
        <f t="shared" si="133"/>
        <v>13</v>
      </c>
      <c r="U270" s="49">
        <v>0</v>
      </c>
      <c r="V270" s="50">
        <v>36</v>
      </c>
      <c r="W270" s="51" t="str">
        <f t="shared" si="134"/>
        <v>00:36</v>
      </c>
      <c r="X270" s="52" t="s">
        <v>63</v>
      </c>
      <c r="Y270" s="124" t="s">
        <v>82</v>
      </c>
      <c r="Z270" s="124"/>
      <c r="AA270" s="47" t="s">
        <v>59</v>
      </c>
      <c r="AB270" s="47" t="str">
        <f t="shared" si="135"/>
        <v>NA</v>
      </c>
      <c r="AC270" s="53">
        <f t="shared" si="136"/>
        <v>0</v>
      </c>
      <c r="AD270" s="54">
        <f t="shared" si="137"/>
        <v>1</v>
      </c>
      <c r="AE270" s="54"/>
      <c r="AF270" s="54"/>
      <c r="AG270" s="55">
        <v>1</v>
      </c>
      <c r="AH270" s="56">
        <v>4</v>
      </c>
      <c r="AI270" s="55"/>
      <c r="AJ270" s="56" t="str">
        <f t="shared" si="138"/>
        <v/>
      </c>
      <c r="AK270" s="55"/>
      <c r="AL270" s="56" t="str">
        <f t="shared" si="139"/>
        <v/>
      </c>
      <c r="AM270" s="55">
        <v>1</v>
      </c>
      <c r="AN270" s="56">
        <v>20</v>
      </c>
      <c r="AO270" s="55"/>
      <c r="AP270" s="56" t="str">
        <f t="shared" si="140"/>
        <v/>
      </c>
      <c r="AQ270" s="55"/>
      <c r="AR270" s="56" t="str">
        <f t="shared" si="141"/>
        <v/>
      </c>
      <c r="AS270" s="57"/>
      <c r="AT270" s="58"/>
      <c r="AU270" s="58"/>
      <c r="AV270" s="59"/>
      <c r="AW270" s="60">
        <f t="shared" si="122"/>
        <v>0</v>
      </c>
      <c r="AX270" s="61" t="str">
        <f t="shared" si="123"/>
        <v/>
      </c>
      <c r="AY270" s="60">
        <f t="shared" si="124"/>
        <v>0</v>
      </c>
      <c r="AZ270" s="61" t="str">
        <f t="shared" si="125"/>
        <v/>
      </c>
    </row>
    <row r="271" spans="1:52" s="3" customFormat="1" hidden="1" x14ac:dyDescent="0.35">
      <c r="A271" s="72">
        <f t="shared" si="126"/>
        <v>2019</v>
      </c>
      <c r="B271" s="72" t="str">
        <f t="shared" si="127"/>
        <v>Nov</v>
      </c>
      <c r="C271" s="73">
        <f t="shared" si="142"/>
        <v>18</v>
      </c>
      <c r="D271" s="74">
        <f t="shared" si="128"/>
        <v>13</v>
      </c>
      <c r="E271" s="75">
        <v>0</v>
      </c>
      <c r="F271" s="79">
        <v>28</v>
      </c>
      <c r="G271" s="82"/>
      <c r="H271" s="68" t="str">
        <f t="shared" si="143"/>
        <v>Senbur7_20191118_13_00</v>
      </c>
      <c r="I271" s="69">
        <f t="shared" si="144"/>
        <v>1</v>
      </c>
      <c r="J271" s="76" t="str">
        <f t="shared" si="144"/>
        <v>Senecio</v>
      </c>
      <c r="K271" s="76" t="str">
        <f t="shared" si="144"/>
        <v>burtoni</v>
      </c>
      <c r="L271" s="77">
        <f t="shared" si="144"/>
        <v>7</v>
      </c>
      <c r="M271" s="77">
        <f t="shared" si="144"/>
        <v>7</v>
      </c>
      <c r="N271" s="71">
        <f t="shared" si="144"/>
        <v>0</v>
      </c>
      <c r="O271" s="44"/>
      <c r="P271" s="45">
        <f t="shared" si="130"/>
        <v>1</v>
      </c>
      <c r="Q271" s="46" t="str">
        <f t="shared" si="131"/>
        <v>13:00:28</v>
      </c>
      <c r="R271" s="47" t="str">
        <f t="shared" si="132"/>
        <v>00:28</v>
      </c>
      <c r="S271" s="48">
        <f t="shared" si="121"/>
        <v>15</v>
      </c>
      <c r="T271" s="47" t="str">
        <f t="shared" si="133"/>
        <v>13</v>
      </c>
      <c r="U271" s="49">
        <v>0</v>
      </c>
      <c r="V271" s="50">
        <v>43</v>
      </c>
      <c r="W271" s="51" t="str">
        <f t="shared" si="134"/>
        <v>00:43</v>
      </c>
      <c r="X271" s="52" t="s">
        <v>63</v>
      </c>
      <c r="Y271" s="124" t="s">
        <v>83</v>
      </c>
      <c r="Z271" s="124"/>
      <c r="AA271" s="47" t="s">
        <v>59</v>
      </c>
      <c r="AB271" s="47" t="str">
        <f t="shared" si="135"/>
        <v>NA</v>
      </c>
      <c r="AC271" s="53">
        <f t="shared" si="136"/>
        <v>0</v>
      </c>
      <c r="AD271" s="54">
        <f t="shared" si="137"/>
        <v>1</v>
      </c>
      <c r="AE271" s="54"/>
      <c r="AF271" s="54"/>
      <c r="AG271" s="55">
        <v>1</v>
      </c>
      <c r="AH271" s="56">
        <v>8</v>
      </c>
      <c r="AI271" s="55"/>
      <c r="AJ271" s="56" t="str">
        <f t="shared" si="138"/>
        <v/>
      </c>
      <c r="AK271" s="55"/>
      <c r="AL271" s="56"/>
      <c r="AM271" s="55">
        <v>1</v>
      </c>
      <c r="AN271" s="56">
        <v>7</v>
      </c>
      <c r="AO271" s="55"/>
      <c r="AP271" s="56" t="str">
        <f t="shared" si="140"/>
        <v/>
      </c>
      <c r="AQ271" s="55"/>
      <c r="AR271" s="56" t="str">
        <f t="shared" si="141"/>
        <v/>
      </c>
      <c r="AS271" s="57"/>
      <c r="AT271" s="58"/>
      <c r="AU271" s="58"/>
      <c r="AV271" s="59"/>
      <c r="AW271" s="60">
        <v>1</v>
      </c>
      <c r="AX271" s="61">
        <f t="shared" si="123"/>
        <v>1</v>
      </c>
      <c r="AY271" s="60">
        <f t="shared" si="124"/>
        <v>0</v>
      </c>
      <c r="AZ271" s="61" t="str">
        <f t="shared" si="125"/>
        <v/>
      </c>
    </row>
    <row r="272" spans="1:52" s="3" customFormat="1" hidden="1" x14ac:dyDescent="0.35">
      <c r="A272" s="72">
        <f t="shared" si="126"/>
        <v>2019</v>
      </c>
      <c r="B272" s="72" t="str">
        <f t="shared" si="127"/>
        <v>Nov</v>
      </c>
      <c r="C272" s="73">
        <f t="shared" si="142"/>
        <v>18</v>
      </c>
      <c r="D272" s="74">
        <f t="shared" si="128"/>
        <v>13</v>
      </c>
      <c r="E272" s="75">
        <v>0</v>
      </c>
      <c r="F272" s="79">
        <v>55</v>
      </c>
      <c r="G272" s="82"/>
      <c r="H272" s="68" t="str">
        <f t="shared" si="143"/>
        <v>Senbur7_20191118_13_00</v>
      </c>
      <c r="I272" s="69">
        <f t="shared" si="144"/>
        <v>1</v>
      </c>
      <c r="J272" s="76" t="str">
        <f t="shared" si="144"/>
        <v>Senecio</v>
      </c>
      <c r="K272" s="76" t="str">
        <f t="shared" si="144"/>
        <v>burtoni</v>
      </c>
      <c r="L272" s="77">
        <f t="shared" si="144"/>
        <v>7</v>
      </c>
      <c r="M272" s="77">
        <f t="shared" si="144"/>
        <v>7</v>
      </c>
      <c r="N272" s="71">
        <f t="shared" si="144"/>
        <v>0</v>
      </c>
      <c r="O272" s="44"/>
      <c r="P272" s="45">
        <f t="shared" si="130"/>
        <v>1</v>
      </c>
      <c r="Q272" s="46" t="str">
        <f t="shared" si="131"/>
        <v>13:00:55</v>
      </c>
      <c r="R272" s="47" t="str">
        <f t="shared" si="132"/>
        <v>00:55</v>
      </c>
      <c r="S272" s="48">
        <f t="shared" si="121"/>
        <v>16</v>
      </c>
      <c r="T272" s="47" t="str">
        <f t="shared" si="133"/>
        <v>13</v>
      </c>
      <c r="U272" s="49">
        <v>1</v>
      </c>
      <c r="V272" s="50">
        <v>11</v>
      </c>
      <c r="W272" s="51" t="str">
        <f t="shared" si="134"/>
        <v>01:11</v>
      </c>
      <c r="X272" s="52" t="s">
        <v>63</v>
      </c>
      <c r="Y272" s="124" t="s">
        <v>82</v>
      </c>
      <c r="Z272" s="124"/>
      <c r="AA272" s="47" t="s">
        <v>59</v>
      </c>
      <c r="AB272" s="47" t="str">
        <f t="shared" si="135"/>
        <v>NA</v>
      </c>
      <c r="AC272" s="53">
        <f t="shared" si="136"/>
        <v>0</v>
      </c>
      <c r="AD272" s="54">
        <f t="shared" si="137"/>
        <v>1</v>
      </c>
      <c r="AE272" s="54"/>
      <c r="AF272" s="54"/>
      <c r="AG272" s="55">
        <v>1</v>
      </c>
      <c r="AH272" s="56">
        <v>3</v>
      </c>
      <c r="AI272" s="55"/>
      <c r="AJ272" s="56" t="str">
        <f t="shared" si="138"/>
        <v/>
      </c>
      <c r="AK272" s="55"/>
      <c r="AL272" s="56" t="str">
        <f t="shared" si="139"/>
        <v/>
      </c>
      <c r="AM272" s="55">
        <v>1</v>
      </c>
      <c r="AN272" s="56">
        <v>13</v>
      </c>
      <c r="AO272" s="55"/>
      <c r="AP272" s="56" t="str">
        <f t="shared" si="140"/>
        <v/>
      </c>
      <c r="AQ272" s="55"/>
      <c r="AR272" s="56" t="str">
        <f t="shared" si="141"/>
        <v/>
      </c>
      <c r="AS272" s="57"/>
      <c r="AT272" s="58"/>
      <c r="AU272" s="58"/>
      <c r="AV272" s="59"/>
      <c r="AW272" s="60">
        <v>1</v>
      </c>
      <c r="AX272" s="61">
        <f t="shared" si="123"/>
        <v>1</v>
      </c>
      <c r="AY272" s="60">
        <v>1</v>
      </c>
      <c r="AZ272" s="61">
        <f t="shared" si="125"/>
        <v>1</v>
      </c>
    </row>
    <row r="273" spans="1:52" s="3" customFormat="1" hidden="1" x14ac:dyDescent="0.35">
      <c r="A273" s="72">
        <f t="shared" si="126"/>
        <v>2019</v>
      </c>
      <c r="B273" s="72" t="str">
        <f t="shared" si="127"/>
        <v>Nov</v>
      </c>
      <c r="C273" s="73">
        <f t="shared" si="142"/>
        <v>18</v>
      </c>
      <c r="D273" s="74">
        <f t="shared" si="128"/>
        <v>13</v>
      </c>
      <c r="E273" s="75">
        <f t="shared" si="129"/>
        <v>1</v>
      </c>
      <c r="F273" s="79">
        <v>36</v>
      </c>
      <c r="G273" s="82"/>
      <c r="H273" s="68" t="str">
        <f t="shared" si="143"/>
        <v>Senbur7_20191118_13_00</v>
      </c>
      <c r="I273" s="69">
        <f t="shared" si="144"/>
        <v>1</v>
      </c>
      <c r="J273" s="76" t="str">
        <f t="shared" si="144"/>
        <v>Senecio</v>
      </c>
      <c r="K273" s="76" t="str">
        <f t="shared" si="144"/>
        <v>burtoni</v>
      </c>
      <c r="L273" s="77">
        <f t="shared" si="144"/>
        <v>7</v>
      </c>
      <c r="M273" s="77">
        <f t="shared" si="144"/>
        <v>7</v>
      </c>
      <c r="N273" s="71">
        <f t="shared" si="144"/>
        <v>0</v>
      </c>
      <c r="O273" s="44"/>
      <c r="P273" s="45">
        <f t="shared" si="130"/>
        <v>1</v>
      </c>
      <c r="Q273" s="46" t="str">
        <f t="shared" si="131"/>
        <v>13:01:36</v>
      </c>
      <c r="R273" s="47" t="str">
        <f t="shared" si="132"/>
        <v>01:36</v>
      </c>
      <c r="S273" s="48">
        <f t="shared" si="121"/>
        <v>15</v>
      </c>
      <c r="T273" s="47" t="str">
        <f t="shared" si="133"/>
        <v>13</v>
      </c>
      <c r="U273" s="49">
        <v>1</v>
      </c>
      <c r="V273" s="50">
        <v>51</v>
      </c>
      <c r="W273" s="51" t="str">
        <f t="shared" si="134"/>
        <v>01:51</v>
      </c>
      <c r="X273" s="52" t="s">
        <v>63</v>
      </c>
      <c r="Y273" s="124" t="s">
        <v>83</v>
      </c>
      <c r="Z273" s="124"/>
      <c r="AA273" s="47" t="s">
        <v>59</v>
      </c>
      <c r="AB273" s="47" t="str">
        <f t="shared" si="135"/>
        <v>NA</v>
      </c>
      <c r="AC273" s="53">
        <f t="shared" si="136"/>
        <v>0</v>
      </c>
      <c r="AD273" s="54">
        <v>2</v>
      </c>
      <c r="AE273" s="54"/>
      <c r="AF273" s="54"/>
      <c r="AG273" s="55">
        <v>1</v>
      </c>
      <c r="AH273" s="56">
        <f t="shared" si="145"/>
        <v>15</v>
      </c>
      <c r="AI273" s="55"/>
      <c r="AJ273" s="56" t="str">
        <f t="shared" si="138"/>
        <v/>
      </c>
      <c r="AK273" s="55"/>
      <c r="AL273" s="56" t="str">
        <f t="shared" si="139"/>
        <v/>
      </c>
      <c r="AM273" s="55"/>
      <c r="AN273" s="56" t="str">
        <f t="shared" si="146"/>
        <v/>
      </c>
      <c r="AO273" s="55"/>
      <c r="AP273" s="56" t="str">
        <f t="shared" si="140"/>
        <v/>
      </c>
      <c r="AQ273" s="55"/>
      <c r="AR273" s="56" t="str">
        <f t="shared" si="141"/>
        <v/>
      </c>
      <c r="AS273" s="57"/>
      <c r="AT273" s="58"/>
      <c r="AU273" s="58"/>
      <c r="AV273" s="59"/>
      <c r="AW273" s="60">
        <v>1</v>
      </c>
      <c r="AX273" s="61">
        <f t="shared" si="123"/>
        <v>2</v>
      </c>
      <c r="AY273" s="60">
        <f t="shared" si="124"/>
        <v>0</v>
      </c>
      <c r="AZ273" s="61" t="str">
        <f t="shared" si="125"/>
        <v/>
      </c>
    </row>
    <row r="274" spans="1:52" s="3" customFormat="1" hidden="1" x14ac:dyDescent="0.35">
      <c r="A274" s="72">
        <f t="shared" si="126"/>
        <v>2019</v>
      </c>
      <c r="B274" s="72" t="str">
        <f t="shared" si="127"/>
        <v>Nov</v>
      </c>
      <c r="C274" s="73">
        <f t="shared" si="142"/>
        <v>18</v>
      </c>
      <c r="D274" s="74">
        <f t="shared" si="128"/>
        <v>13</v>
      </c>
      <c r="E274" s="75">
        <f t="shared" si="129"/>
        <v>2</v>
      </c>
      <c r="F274" s="79"/>
      <c r="G274" s="82"/>
      <c r="H274" s="68" t="str">
        <f t="shared" si="143"/>
        <v>Senbur7_20191118_13_00</v>
      </c>
      <c r="I274" s="69">
        <f t="shared" si="144"/>
        <v>1</v>
      </c>
      <c r="J274" s="76" t="str">
        <f t="shared" si="144"/>
        <v>Senecio</v>
      </c>
      <c r="K274" s="76" t="str">
        <f t="shared" si="144"/>
        <v>burtoni</v>
      </c>
      <c r="L274" s="77">
        <f t="shared" si="144"/>
        <v>7</v>
      </c>
      <c r="M274" s="77">
        <f t="shared" si="144"/>
        <v>7</v>
      </c>
      <c r="N274" s="71">
        <f t="shared" si="144"/>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47"/>
        <v/>
      </c>
      <c r="AH274" s="56" t="str">
        <f t="shared" si="145"/>
        <v/>
      </c>
      <c r="AI274" s="55"/>
      <c r="AJ274" s="56" t="str">
        <f t="shared" si="138"/>
        <v/>
      </c>
      <c r="AK274" s="55"/>
      <c r="AL274" s="56" t="str">
        <f t="shared" si="139"/>
        <v/>
      </c>
      <c r="AM274" s="55"/>
      <c r="AN274" s="56" t="str">
        <f t="shared" si="146"/>
        <v/>
      </c>
      <c r="AO274" s="55"/>
      <c r="AP274" s="56" t="str">
        <f t="shared" si="140"/>
        <v/>
      </c>
      <c r="AQ274" s="55"/>
      <c r="AR274" s="56" t="str">
        <f t="shared" si="141"/>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2"/>
        <v>18</v>
      </c>
      <c r="D275" s="74">
        <f t="shared" si="128"/>
        <v>13</v>
      </c>
      <c r="E275" s="75">
        <f t="shared" si="129"/>
        <v>3</v>
      </c>
      <c r="F275" s="79">
        <v>23</v>
      </c>
      <c r="G275" s="82"/>
      <c r="H275" s="68" t="str">
        <f t="shared" si="143"/>
        <v>Senbur7_20191118_13_00</v>
      </c>
      <c r="I275" s="69">
        <f t="shared" si="144"/>
        <v>1</v>
      </c>
      <c r="J275" s="76" t="str">
        <f t="shared" si="144"/>
        <v>Senecio</v>
      </c>
      <c r="K275" s="76" t="str">
        <f t="shared" si="144"/>
        <v>burtoni</v>
      </c>
      <c r="L275" s="77">
        <f t="shared" si="144"/>
        <v>7</v>
      </c>
      <c r="M275" s="77">
        <f t="shared" si="144"/>
        <v>7</v>
      </c>
      <c r="N275" s="71">
        <f t="shared" si="144"/>
        <v>0</v>
      </c>
      <c r="O275" s="44"/>
      <c r="P275" s="45">
        <f t="shared" si="130"/>
        <v>1</v>
      </c>
      <c r="Q275" s="46" t="str">
        <f t="shared" si="131"/>
        <v>13:03:23</v>
      </c>
      <c r="R275" s="47" t="str">
        <f t="shared" si="132"/>
        <v>03:23</v>
      </c>
      <c r="S275" s="48">
        <f t="shared" si="121"/>
        <v>34</v>
      </c>
      <c r="T275" s="47" t="str">
        <f t="shared" si="133"/>
        <v>13</v>
      </c>
      <c r="U275" s="49">
        <v>3</v>
      </c>
      <c r="V275" s="50">
        <v>57</v>
      </c>
      <c r="W275" s="51" t="str">
        <f t="shared" si="134"/>
        <v>03:57</v>
      </c>
      <c r="X275" s="52" t="s">
        <v>63</v>
      </c>
      <c r="Y275" s="124" t="s">
        <v>82</v>
      </c>
      <c r="Z275" s="124"/>
      <c r="AA275" s="47" t="s">
        <v>59</v>
      </c>
      <c r="AB275" s="47" t="s">
        <v>67</v>
      </c>
      <c r="AC275" s="53">
        <f t="shared" si="136"/>
        <v>0</v>
      </c>
      <c r="AD275" s="54">
        <f t="shared" si="137"/>
        <v>1</v>
      </c>
      <c r="AE275" s="54"/>
      <c r="AF275" s="54"/>
      <c r="AG275" s="55">
        <v>1</v>
      </c>
      <c r="AH275" s="56">
        <v>4</v>
      </c>
      <c r="AI275" s="55"/>
      <c r="AJ275" s="56" t="str">
        <f t="shared" si="138"/>
        <v/>
      </c>
      <c r="AK275" s="55"/>
      <c r="AL275" s="56" t="str">
        <f t="shared" si="139"/>
        <v/>
      </c>
      <c r="AM275" s="55">
        <v>1</v>
      </c>
      <c r="AN275" s="56">
        <v>30</v>
      </c>
      <c r="AO275" s="55"/>
      <c r="AP275" s="56" t="str">
        <f t="shared" si="140"/>
        <v/>
      </c>
      <c r="AQ275" s="55"/>
      <c r="AR275" s="56" t="str">
        <f t="shared" si="141"/>
        <v/>
      </c>
      <c r="AS275" s="57"/>
      <c r="AT275" s="58"/>
      <c r="AU275" s="58"/>
      <c r="AV275" s="59"/>
      <c r="AW275" s="60">
        <v>1</v>
      </c>
      <c r="AX275" s="61">
        <f t="shared" si="123"/>
        <v>1</v>
      </c>
      <c r="AY275" s="60">
        <v>1</v>
      </c>
      <c r="AZ275" s="61">
        <f t="shared" si="125"/>
        <v>1</v>
      </c>
    </row>
    <row r="276" spans="1:52" s="3" customFormat="1" hidden="1" x14ac:dyDescent="0.35">
      <c r="A276" s="72">
        <f t="shared" si="126"/>
        <v>2019</v>
      </c>
      <c r="B276" s="72" t="str">
        <f t="shared" si="127"/>
        <v>Nov</v>
      </c>
      <c r="C276" s="73">
        <f t="shared" si="142"/>
        <v>18</v>
      </c>
      <c r="D276" s="74">
        <f t="shared" si="128"/>
        <v>13</v>
      </c>
      <c r="E276" s="75">
        <f t="shared" si="129"/>
        <v>4</v>
      </c>
      <c r="F276" s="79">
        <v>27</v>
      </c>
      <c r="G276" s="82"/>
      <c r="H276" s="68" t="str">
        <f t="shared" si="143"/>
        <v>Senbur7_20191118_13_00</v>
      </c>
      <c r="I276" s="69">
        <f t="shared" si="144"/>
        <v>1</v>
      </c>
      <c r="J276" s="76" t="str">
        <f t="shared" si="144"/>
        <v>Senecio</v>
      </c>
      <c r="K276" s="76" t="str">
        <f t="shared" si="144"/>
        <v>burtoni</v>
      </c>
      <c r="L276" s="77">
        <f t="shared" si="144"/>
        <v>7</v>
      </c>
      <c r="M276" s="77">
        <f t="shared" si="144"/>
        <v>7</v>
      </c>
      <c r="N276" s="71">
        <f t="shared" si="144"/>
        <v>0</v>
      </c>
      <c r="O276" s="44"/>
      <c r="P276" s="45">
        <f t="shared" si="130"/>
        <v>1</v>
      </c>
      <c r="Q276" s="46" t="str">
        <f t="shared" si="131"/>
        <v>13:04:27</v>
      </c>
      <c r="R276" s="47" t="str">
        <f t="shared" si="132"/>
        <v>04:27</v>
      </c>
      <c r="S276" s="48">
        <f t="shared" si="121"/>
        <v>51</v>
      </c>
      <c r="T276" s="47" t="str">
        <f t="shared" si="133"/>
        <v>13</v>
      </c>
      <c r="U276" s="49">
        <v>5</v>
      </c>
      <c r="V276" s="50">
        <v>18</v>
      </c>
      <c r="W276" s="51" t="str">
        <f t="shared" si="134"/>
        <v>05:18</v>
      </c>
      <c r="X276" s="52" t="s">
        <v>63</v>
      </c>
      <c r="Y276" s="124" t="s">
        <v>83</v>
      </c>
      <c r="Z276" s="124"/>
      <c r="AA276" s="47" t="s">
        <v>59</v>
      </c>
      <c r="AB276" s="47" t="str">
        <f t="shared" si="135"/>
        <v>NA</v>
      </c>
      <c r="AC276" s="53">
        <f t="shared" si="136"/>
        <v>0</v>
      </c>
      <c r="AD276" s="54">
        <f t="shared" si="137"/>
        <v>1</v>
      </c>
      <c r="AE276" s="54"/>
      <c r="AF276" s="54"/>
      <c r="AG276" s="55">
        <v>1</v>
      </c>
      <c r="AH276" s="56">
        <v>30</v>
      </c>
      <c r="AI276" s="55"/>
      <c r="AJ276" s="56" t="str">
        <f t="shared" si="138"/>
        <v/>
      </c>
      <c r="AK276" s="55"/>
      <c r="AL276" s="56" t="str">
        <f t="shared" si="139"/>
        <v/>
      </c>
      <c r="AM276" s="55">
        <v>1</v>
      </c>
      <c r="AN276" s="56">
        <v>21</v>
      </c>
      <c r="AO276" s="55"/>
      <c r="AP276" s="56" t="str">
        <f t="shared" si="140"/>
        <v/>
      </c>
      <c r="AQ276" s="55"/>
      <c r="AR276" s="56" t="str">
        <f t="shared" si="141"/>
        <v/>
      </c>
      <c r="AS276" s="57"/>
      <c r="AT276" s="58"/>
      <c r="AU276" s="58"/>
      <c r="AV276" s="59"/>
      <c r="AW276" s="60">
        <v>1</v>
      </c>
      <c r="AX276" s="61">
        <f t="shared" si="123"/>
        <v>1</v>
      </c>
      <c r="AY276" s="60">
        <f t="shared" si="124"/>
        <v>0</v>
      </c>
      <c r="AZ276" s="61" t="str">
        <f t="shared" si="125"/>
        <v/>
      </c>
    </row>
    <row r="277" spans="1:52" s="3" customFormat="1" hidden="1" x14ac:dyDescent="0.35">
      <c r="A277" s="72">
        <f t="shared" si="126"/>
        <v>2019</v>
      </c>
      <c r="B277" s="72" t="str">
        <f t="shared" si="127"/>
        <v>Nov</v>
      </c>
      <c r="C277" s="73">
        <f t="shared" si="142"/>
        <v>18</v>
      </c>
      <c r="D277" s="74">
        <f t="shared" si="128"/>
        <v>13</v>
      </c>
      <c r="E277" s="75">
        <f t="shared" si="129"/>
        <v>5</v>
      </c>
      <c r="F277" s="79">
        <v>38</v>
      </c>
      <c r="G277" s="82"/>
      <c r="H277" s="68" t="str">
        <f t="shared" si="143"/>
        <v>Senbur7_20191118_13_00</v>
      </c>
      <c r="I277" s="69">
        <f t="shared" ref="I277:N292" si="148">I276</f>
        <v>1</v>
      </c>
      <c r="J277" s="76" t="str">
        <f t="shared" si="148"/>
        <v>Senecio</v>
      </c>
      <c r="K277" s="76" t="str">
        <f t="shared" si="148"/>
        <v>burtoni</v>
      </c>
      <c r="L277" s="77">
        <f t="shared" si="148"/>
        <v>7</v>
      </c>
      <c r="M277" s="77">
        <f t="shared" si="148"/>
        <v>7</v>
      </c>
      <c r="N277" s="71">
        <f t="shared" si="148"/>
        <v>0</v>
      </c>
      <c r="O277" s="44"/>
      <c r="P277" s="45">
        <f t="shared" si="130"/>
        <v>1</v>
      </c>
      <c r="Q277" s="46" t="str">
        <f t="shared" si="131"/>
        <v>13:05:38</v>
      </c>
      <c r="R277" s="47" t="str">
        <f t="shared" si="132"/>
        <v>05:38</v>
      </c>
      <c r="S277" s="48">
        <f t="shared" si="121"/>
        <v>8</v>
      </c>
      <c r="T277" s="47" t="str">
        <f t="shared" si="133"/>
        <v>13</v>
      </c>
      <c r="U277" s="49">
        <v>5</v>
      </c>
      <c r="V277" s="50">
        <v>46</v>
      </c>
      <c r="W277" s="51" t="str">
        <f t="shared" si="134"/>
        <v>05:46</v>
      </c>
      <c r="X277" s="52" t="s">
        <v>63</v>
      </c>
      <c r="Y277" s="124" t="s">
        <v>83</v>
      </c>
      <c r="Z277" s="124"/>
      <c r="AA277" s="47" t="s">
        <v>59</v>
      </c>
      <c r="AB277" s="47" t="str">
        <f t="shared" si="135"/>
        <v>NA</v>
      </c>
      <c r="AC277" s="53">
        <f t="shared" si="136"/>
        <v>0</v>
      </c>
      <c r="AD277" s="54">
        <f t="shared" si="137"/>
        <v>1</v>
      </c>
      <c r="AE277" s="54"/>
      <c r="AF277" s="54"/>
      <c r="AG277" s="55">
        <v>1</v>
      </c>
      <c r="AH277" s="56">
        <f t="shared" si="145"/>
        <v>8</v>
      </c>
      <c r="AI277" s="55"/>
      <c r="AJ277" s="56" t="str">
        <f t="shared" si="138"/>
        <v/>
      </c>
      <c r="AK277" s="55"/>
      <c r="AL277" s="56" t="str">
        <f t="shared" si="139"/>
        <v/>
      </c>
      <c r="AM277" s="55"/>
      <c r="AN277" s="56" t="str">
        <f t="shared" si="146"/>
        <v/>
      </c>
      <c r="AO277" s="55"/>
      <c r="AP277" s="56" t="str">
        <f t="shared" si="140"/>
        <v/>
      </c>
      <c r="AQ277" s="55"/>
      <c r="AR277" s="56" t="str">
        <f t="shared" si="141"/>
        <v/>
      </c>
      <c r="AS277" s="57"/>
      <c r="AT277" s="58"/>
      <c r="AU277" s="58"/>
      <c r="AV277" s="59"/>
      <c r="AW277" s="60">
        <f t="shared" si="122"/>
        <v>0</v>
      </c>
      <c r="AX277" s="61" t="str">
        <f t="shared" si="123"/>
        <v/>
      </c>
      <c r="AY277" s="60">
        <f t="shared" si="124"/>
        <v>0</v>
      </c>
      <c r="AZ277" s="61" t="str">
        <f t="shared" si="125"/>
        <v/>
      </c>
    </row>
    <row r="278" spans="1:52" s="3" customFormat="1" hidden="1" x14ac:dyDescent="0.35">
      <c r="A278" s="72">
        <f t="shared" si="126"/>
        <v>2019</v>
      </c>
      <c r="B278" s="72" t="str">
        <f t="shared" si="127"/>
        <v>Nov</v>
      </c>
      <c r="C278" s="73">
        <f t="shared" si="142"/>
        <v>18</v>
      </c>
      <c r="D278" s="74">
        <f t="shared" si="128"/>
        <v>13</v>
      </c>
      <c r="E278" s="75">
        <f t="shared" si="129"/>
        <v>6</v>
      </c>
      <c r="F278" s="79">
        <v>26</v>
      </c>
      <c r="G278" s="82"/>
      <c r="H278" s="68" t="str">
        <f t="shared" si="143"/>
        <v>Senbur7_20191118_13_00</v>
      </c>
      <c r="I278" s="69">
        <f t="shared" si="148"/>
        <v>1</v>
      </c>
      <c r="J278" s="76" t="str">
        <f t="shared" si="148"/>
        <v>Senecio</v>
      </c>
      <c r="K278" s="76" t="str">
        <f t="shared" si="148"/>
        <v>burtoni</v>
      </c>
      <c r="L278" s="77">
        <f t="shared" si="148"/>
        <v>7</v>
      </c>
      <c r="M278" s="77">
        <f t="shared" si="148"/>
        <v>7</v>
      </c>
      <c r="N278" s="71">
        <f t="shared" si="148"/>
        <v>0</v>
      </c>
      <c r="O278" s="44"/>
      <c r="P278" s="45">
        <f t="shared" si="130"/>
        <v>1</v>
      </c>
      <c r="Q278" s="46" t="str">
        <f t="shared" si="131"/>
        <v>13:06:26</v>
      </c>
      <c r="R278" s="47" t="str">
        <f t="shared" si="132"/>
        <v>06:26</v>
      </c>
      <c r="S278" s="48">
        <f t="shared" si="121"/>
        <v>17</v>
      </c>
      <c r="T278" s="47" t="str">
        <f t="shared" si="133"/>
        <v>13</v>
      </c>
      <c r="U278" s="49">
        <v>6</v>
      </c>
      <c r="V278" s="50">
        <v>43</v>
      </c>
      <c r="W278" s="51" t="str">
        <f t="shared" si="134"/>
        <v>06:43</v>
      </c>
      <c r="X278" s="52" t="s">
        <v>63</v>
      </c>
      <c r="Y278" s="124" t="s">
        <v>82</v>
      </c>
      <c r="Z278" s="124"/>
      <c r="AA278" s="47" t="s">
        <v>59</v>
      </c>
      <c r="AB278" s="47" t="str">
        <f t="shared" si="135"/>
        <v>NA</v>
      </c>
      <c r="AC278" s="53">
        <f t="shared" si="136"/>
        <v>0</v>
      </c>
      <c r="AD278" s="54">
        <v>2</v>
      </c>
      <c r="AE278" s="54"/>
      <c r="AF278" s="54"/>
      <c r="AG278" s="55">
        <v>1</v>
      </c>
      <c r="AH278" s="56">
        <f t="shared" si="145"/>
        <v>17</v>
      </c>
      <c r="AI278" s="55"/>
      <c r="AJ278" s="56" t="str">
        <f t="shared" si="138"/>
        <v/>
      </c>
      <c r="AK278" s="55"/>
      <c r="AL278" s="56" t="str">
        <f t="shared" si="139"/>
        <v/>
      </c>
      <c r="AM278" s="55"/>
      <c r="AN278" s="56" t="str">
        <f t="shared" si="146"/>
        <v/>
      </c>
      <c r="AO278" s="55"/>
      <c r="AP278" s="56" t="str">
        <f t="shared" si="140"/>
        <v/>
      </c>
      <c r="AQ278" s="55"/>
      <c r="AR278" s="56" t="str">
        <f t="shared" si="141"/>
        <v/>
      </c>
      <c r="AS278" s="57"/>
      <c r="AT278" s="58"/>
      <c r="AU278" s="58"/>
      <c r="AV278" s="59"/>
      <c r="AW278" s="60">
        <v>1</v>
      </c>
      <c r="AX278" s="61">
        <f t="shared" si="123"/>
        <v>2</v>
      </c>
      <c r="AY278" s="60">
        <f t="shared" si="124"/>
        <v>0</v>
      </c>
      <c r="AZ278" s="61" t="str">
        <f t="shared" si="125"/>
        <v/>
      </c>
    </row>
    <row r="279" spans="1:52" s="3" customFormat="1" hidden="1" x14ac:dyDescent="0.35">
      <c r="A279" s="72">
        <f t="shared" si="126"/>
        <v>2019</v>
      </c>
      <c r="B279" s="72" t="str">
        <f t="shared" si="127"/>
        <v>Nov</v>
      </c>
      <c r="C279" s="73">
        <f t="shared" si="142"/>
        <v>18</v>
      </c>
      <c r="D279" s="74">
        <f t="shared" si="128"/>
        <v>13</v>
      </c>
      <c r="E279" s="75">
        <f t="shared" si="129"/>
        <v>7</v>
      </c>
      <c r="F279" s="79">
        <v>8</v>
      </c>
      <c r="G279" s="82"/>
      <c r="H279" s="68" t="str">
        <f t="shared" si="143"/>
        <v>Senbur7_20191118_13_00</v>
      </c>
      <c r="I279" s="69">
        <f t="shared" si="148"/>
        <v>1</v>
      </c>
      <c r="J279" s="76" t="str">
        <f t="shared" si="148"/>
        <v>Senecio</v>
      </c>
      <c r="K279" s="76" t="str">
        <f t="shared" si="148"/>
        <v>burtoni</v>
      </c>
      <c r="L279" s="77">
        <f t="shared" si="148"/>
        <v>7</v>
      </c>
      <c r="M279" s="77">
        <f t="shared" si="148"/>
        <v>7</v>
      </c>
      <c r="N279" s="71">
        <f t="shared" si="148"/>
        <v>0</v>
      </c>
      <c r="O279" s="44"/>
      <c r="P279" s="45">
        <f t="shared" si="130"/>
        <v>1</v>
      </c>
      <c r="Q279" s="46" t="str">
        <f t="shared" si="131"/>
        <v>13:07:08</v>
      </c>
      <c r="R279" s="47" t="str">
        <f t="shared" si="132"/>
        <v>07:08</v>
      </c>
      <c r="S279" s="48">
        <f t="shared" si="121"/>
        <v>6</v>
      </c>
      <c r="T279" s="47" t="str">
        <f t="shared" si="133"/>
        <v>13</v>
      </c>
      <c r="U279" s="49">
        <v>7</v>
      </c>
      <c r="V279" s="50">
        <v>14</v>
      </c>
      <c r="W279" s="51" t="str">
        <f t="shared" si="134"/>
        <v>07:14</v>
      </c>
      <c r="X279" s="52" t="s">
        <v>63</v>
      </c>
      <c r="Y279" s="124" t="s">
        <v>83</v>
      </c>
      <c r="Z279" s="124"/>
      <c r="AA279" s="47" t="s">
        <v>59</v>
      </c>
      <c r="AB279" s="47" t="str">
        <f t="shared" si="135"/>
        <v>NA</v>
      </c>
      <c r="AC279" s="53">
        <f t="shared" si="136"/>
        <v>0</v>
      </c>
      <c r="AD279" s="54">
        <f t="shared" si="137"/>
        <v>1</v>
      </c>
      <c r="AE279" s="54"/>
      <c r="AF279" s="54"/>
      <c r="AG279" s="55" t="str">
        <f t="shared" si="147"/>
        <v/>
      </c>
      <c r="AH279" s="56" t="str">
        <f t="shared" si="145"/>
        <v/>
      </c>
      <c r="AI279" s="55"/>
      <c r="AJ279" s="56" t="str">
        <f t="shared" si="138"/>
        <v/>
      </c>
      <c r="AK279" s="55"/>
      <c r="AL279" s="56" t="str">
        <f t="shared" si="139"/>
        <v/>
      </c>
      <c r="AM279" s="55">
        <v>1</v>
      </c>
      <c r="AN279" s="56">
        <f t="shared" si="146"/>
        <v>6</v>
      </c>
      <c r="AO279" s="55"/>
      <c r="AP279" s="56" t="str">
        <f t="shared" si="140"/>
        <v/>
      </c>
      <c r="AQ279" s="55"/>
      <c r="AR279" s="56" t="str">
        <f t="shared" si="141"/>
        <v/>
      </c>
      <c r="AS279" s="57"/>
      <c r="AT279" s="58"/>
      <c r="AU279" s="58"/>
      <c r="AV279" s="59"/>
      <c r="AW279" s="60">
        <v>1</v>
      </c>
      <c r="AX279" s="61">
        <f t="shared" si="123"/>
        <v>1</v>
      </c>
      <c r="AY279" s="60">
        <v>1</v>
      </c>
      <c r="AZ279" s="61">
        <f t="shared" si="125"/>
        <v>1</v>
      </c>
    </row>
    <row r="280" spans="1:52" s="3" customFormat="1" hidden="1" x14ac:dyDescent="0.35">
      <c r="A280" s="72">
        <f t="shared" si="126"/>
        <v>2019</v>
      </c>
      <c r="B280" s="72" t="str">
        <f t="shared" si="127"/>
        <v>Nov</v>
      </c>
      <c r="C280" s="73">
        <f t="shared" si="142"/>
        <v>18</v>
      </c>
      <c r="D280" s="74">
        <f t="shared" si="128"/>
        <v>13</v>
      </c>
      <c r="E280" s="75">
        <f t="shared" si="129"/>
        <v>8</v>
      </c>
      <c r="F280" s="79"/>
      <c r="G280" s="82"/>
      <c r="H280" s="68" t="str">
        <f t="shared" si="143"/>
        <v>Senbur7_20191118_13_00</v>
      </c>
      <c r="I280" s="69">
        <f t="shared" si="148"/>
        <v>1</v>
      </c>
      <c r="J280" s="76" t="str">
        <f t="shared" si="148"/>
        <v>Senecio</v>
      </c>
      <c r="K280" s="76" t="str">
        <f t="shared" si="148"/>
        <v>burtoni</v>
      </c>
      <c r="L280" s="77">
        <f t="shared" si="148"/>
        <v>7</v>
      </c>
      <c r="M280" s="77">
        <f t="shared" si="148"/>
        <v>7</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47"/>
        <v/>
      </c>
      <c r="AH280" s="56" t="str">
        <f t="shared" si="145"/>
        <v/>
      </c>
      <c r="AI280" s="55"/>
      <c r="AJ280" s="56" t="str">
        <f t="shared" si="138"/>
        <v/>
      </c>
      <c r="AK280" s="55"/>
      <c r="AL280" s="56" t="str">
        <f t="shared" si="139"/>
        <v/>
      </c>
      <c r="AM280" s="55"/>
      <c r="AN280" s="56" t="str">
        <f t="shared" si="146"/>
        <v/>
      </c>
      <c r="AO280" s="55"/>
      <c r="AP280" s="56" t="str">
        <f t="shared" si="140"/>
        <v/>
      </c>
      <c r="AQ280" s="55"/>
      <c r="AR280" s="56" t="str">
        <f t="shared" si="141"/>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2"/>
        <v>18</v>
      </c>
      <c r="D281" s="74">
        <f t="shared" si="128"/>
        <v>13</v>
      </c>
      <c r="E281" s="75">
        <f t="shared" si="129"/>
        <v>9</v>
      </c>
      <c r="F281" s="79">
        <v>7</v>
      </c>
      <c r="G281" s="82"/>
      <c r="H281" s="68" t="str">
        <f t="shared" si="143"/>
        <v>Senbur7_20191118_13_00</v>
      </c>
      <c r="I281" s="69">
        <f t="shared" si="148"/>
        <v>1</v>
      </c>
      <c r="J281" s="76" t="str">
        <f t="shared" si="148"/>
        <v>Senecio</v>
      </c>
      <c r="K281" s="76" t="str">
        <f t="shared" si="148"/>
        <v>burtoni</v>
      </c>
      <c r="L281" s="77">
        <f t="shared" si="148"/>
        <v>7</v>
      </c>
      <c r="M281" s="77">
        <f t="shared" si="148"/>
        <v>7</v>
      </c>
      <c r="N281" s="71">
        <f t="shared" si="148"/>
        <v>0</v>
      </c>
      <c r="O281" s="44"/>
      <c r="P281" s="45">
        <f t="shared" si="130"/>
        <v>1</v>
      </c>
      <c r="Q281" s="46" t="str">
        <f t="shared" si="131"/>
        <v>13:09:07</v>
      </c>
      <c r="R281" s="47" t="str">
        <f t="shared" si="132"/>
        <v>09:07</v>
      </c>
      <c r="S281" s="48">
        <f t="shared" si="121"/>
        <v>15</v>
      </c>
      <c r="T281" s="47" t="str">
        <f t="shared" si="133"/>
        <v>13</v>
      </c>
      <c r="U281" s="49">
        <v>9</v>
      </c>
      <c r="V281" s="50">
        <v>22</v>
      </c>
      <c r="W281" s="51" t="str">
        <f t="shared" si="134"/>
        <v>09:22</v>
      </c>
      <c r="X281" s="52" t="s">
        <v>63</v>
      </c>
      <c r="Y281" s="124" t="s">
        <v>82</v>
      </c>
      <c r="Z281" s="124"/>
      <c r="AA281" s="47" t="s">
        <v>59</v>
      </c>
      <c r="AB281" s="47" t="str">
        <f t="shared" si="135"/>
        <v>NA</v>
      </c>
      <c r="AC281" s="53">
        <f t="shared" si="136"/>
        <v>0</v>
      </c>
      <c r="AD281" s="54">
        <f t="shared" si="137"/>
        <v>1</v>
      </c>
      <c r="AE281" s="54"/>
      <c r="AF281" s="54"/>
      <c r="AG281" s="55">
        <v>1</v>
      </c>
      <c r="AH281" s="56">
        <v>5</v>
      </c>
      <c r="AI281" s="55"/>
      <c r="AJ281" s="56" t="str">
        <f t="shared" si="138"/>
        <v/>
      </c>
      <c r="AK281" s="55"/>
      <c r="AL281" s="56" t="str">
        <f t="shared" si="139"/>
        <v/>
      </c>
      <c r="AM281" s="55">
        <v>1</v>
      </c>
      <c r="AN281" s="56">
        <v>10</v>
      </c>
      <c r="AO281" s="55"/>
      <c r="AP281" s="56" t="str">
        <f t="shared" si="140"/>
        <v/>
      </c>
      <c r="AQ281" s="55"/>
      <c r="AR281" s="56" t="str">
        <f t="shared" si="141"/>
        <v/>
      </c>
      <c r="AS281" s="57"/>
      <c r="AT281" s="58"/>
      <c r="AU281" s="58"/>
      <c r="AV281" s="59"/>
      <c r="AW281" s="60">
        <v>1</v>
      </c>
      <c r="AX281" s="61">
        <f t="shared" si="123"/>
        <v>1</v>
      </c>
      <c r="AY281" s="60">
        <v>1</v>
      </c>
      <c r="AZ281" s="61">
        <f t="shared" si="125"/>
        <v>1</v>
      </c>
    </row>
    <row r="282" spans="1:52" s="3" customFormat="1" hidden="1" x14ac:dyDescent="0.35">
      <c r="A282" s="72">
        <f t="shared" si="126"/>
        <v>2019</v>
      </c>
      <c r="B282" s="72" t="str">
        <f t="shared" si="127"/>
        <v>Nov</v>
      </c>
      <c r="C282" s="73">
        <f t="shared" si="142"/>
        <v>18</v>
      </c>
      <c r="D282" s="74">
        <f t="shared" si="128"/>
        <v>13</v>
      </c>
      <c r="E282" s="75">
        <v>9</v>
      </c>
      <c r="F282" s="79">
        <v>39</v>
      </c>
      <c r="G282" s="82"/>
      <c r="H282" s="68" t="str">
        <f t="shared" si="143"/>
        <v>Senbur7_20191118_13_00</v>
      </c>
      <c r="I282" s="69">
        <f t="shared" si="148"/>
        <v>1</v>
      </c>
      <c r="J282" s="76" t="str">
        <f t="shared" si="148"/>
        <v>Senecio</v>
      </c>
      <c r="K282" s="76" t="str">
        <f t="shared" si="148"/>
        <v>burtoni</v>
      </c>
      <c r="L282" s="77">
        <f t="shared" si="148"/>
        <v>7</v>
      </c>
      <c r="M282" s="77">
        <f t="shared" si="148"/>
        <v>7</v>
      </c>
      <c r="N282" s="71">
        <f t="shared" si="148"/>
        <v>0</v>
      </c>
      <c r="O282" s="44"/>
      <c r="P282" s="45">
        <f t="shared" si="130"/>
        <v>1</v>
      </c>
      <c r="Q282" s="46" t="str">
        <f t="shared" si="131"/>
        <v>13:09:39</v>
      </c>
      <c r="R282" s="47" t="str">
        <f t="shared" si="132"/>
        <v>09:39</v>
      </c>
      <c r="S282" s="48">
        <f t="shared" si="121"/>
        <v>4</v>
      </c>
      <c r="T282" s="47" t="str">
        <f t="shared" si="133"/>
        <v>13</v>
      </c>
      <c r="U282" s="49">
        <v>9</v>
      </c>
      <c r="V282" s="50">
        <v>43</v>
      </c>
      <c r="W282" s="51" t="str">
        <f t="shared" si="134"/>
        <v>09:43</v>
      </c>
      <c r="X282" s="52" t="s">
        <v>63</v>
      </c>
      <c r="Y282" s="124" t="s">
        <v>83</v>
      </c>
      <c r="Z282" s="124"/>
      <c r="AA282" s="47" t="s">
        <v>59</v>
      </c>
      <c r="AB282" s="47" t="str">
        <f t="shared" si="135"/>
        <v>NA</v>
      </c>
      <c r="AC282" s="53">
        <f t="shared" si="136"/>
        <v>0</v>
      </c>
      <c r="AD282" s="54">
        <f t="shared" si="137"/>
        <v>1</v>
      </c>
      <c r="AE282" s="54"/>
      <c r="AF282" s="54"/>
      <c r="AG282" s="55">
        <v>1</v>
      </c>
      <c r="AH282" s="56">
        <f t="shared" si="145"/>
        <v>4</v>
      </c>
      <c r="AI282" s="55"/>
      <c r="AJ282" s="56" t="str">
        <f t="shared" si="138"/>
        <v/>
      </c>
      <c r="AK282" s="55"/>
      <c r="AL282" s="56" t="str">
        <f t="shared" si="139"/>
        <v/>
      </c>
      <c r="AM282" s="55"/>
      <c r="AN282" s="56" t="str">
        <f t="shared" si="146"/>
        <v/>
      </c>
      <c r="AO282" s="55"/>
      <c r="AP282" s="56" t="str">
        <f t="shared" si="140"/>
        <v/>
      </c>
      <c r="AQ282" s="55"/>
      <c r="AR282" s="56" t="str">
        <f t="shared" si="141"/>
        <v/>
      </c>
      <c r="AS282" s="57"/>
      <c r="AT282" s="58"/>
      <c r="AU282" s="58"/>
      <c r="AV282" s="59"/>
      <c r="AW282" s="60">
        <f t="shared" si="122"/>
        <v>0</v>
      </c>
      <c r="AX282" s="61" t="str">
        <f t="shared" si="123"/>
        <v/>
      </c>
      <c r="AY282" s="60">
        <f t="shared" si="124"/>
        <v>0</v>
      </c>
      <c r="AZ282" s="61" t="str">
        <f t="shared" si="125"/>
        <v/>
      </c>
    </row>
    <row r="283" spans="1:52" s="3" customFormat="1" hidden="1" x14ac:dyDescent="0.35">
      <c r="A283" s="72">
        <f t="shared" si="126"/>
        <v>2019</v>
      </c>
      <c r="B283" s="72" t="str">
        <f t="shared" si="127"/>
        <v>Nov</v>
      </c>
      <c r="C283" s="73">
        <f t="shared" si="142"/>
        <v>18</v>
      </c>
      <c r="D283" s="74">
        <f t="shared" si="128"/>
        <v>13</v>
      </c>
      <c r="E283" s="75">
        <f t="shared" si="129"/>
        <v>10</v>
      </c>
      <c r="F283" s="79">
        <v>12</v>
      </c>
      <c r="G283" s="82"/>
      <c r="H283" s="68" t="str">
        <f t="shared" si="143"/>
        <v>Senbur7_20191118_13_00</v>
      </c>
      <c r="I283" s="69">
        <f t="shared" si="148"/>
        <v>1</v>
      </c>
      <c r="J283" s="76" t="str">
        <f t="shared" si="148"/>
        <v>Senecio</v>
      </c>
      <c r="K283" s="76" t="str">
        <f t="shared" si="148"/>
        <v>burtoni</v>
      </c>
      <c r="L283" s="77">
        <f t="shared" si="148"/>
        <v>7</v>
      </c>
      <c r="M283" s="77">
        <f t="shared" si="148"/>
        <v>7</v>
      </c>
      <c r="N283" s="71">
        <f t="shared" si="148"/>
        <v>0</v>
      </c>
      <c r="O283" s="44"/>
      <c r="P283" s="45">
        <f t="shared" si="130"/>
        <v>1</v>
      </c>
      <c r="Q283" s="46" t="str">
        <f t="shared" si="131"/>
        <v>13:10:12</v>
      </c>
      <c r="R283" s="47" t="str">
        <f t="shared" si="132"/>
        <v>10:12</v>
      </c>
      <c r="S283" s="48">
        <f t="shared" si="121"/>
        <v>9</v>
      </c>
      <c r="T283" s="47" t="str">
        <f t="shared" si="133"/>
        <v>13</v>
      </c>
      <c r="U283" s="49">
        <v>10</v>
      </c>
      <c r="V283" s="50">
        <v>21</v>
      </c>
      <c r="W283" s="51" t="str">
        <f t="shared" si="134"/>
        <v>10:21</v>
      </c>
      <c r="X283" s="52" t="s">
        <v>63</v>
      </c>
      <c r="Y283" s="124" t="s">
        <v>83</v>
      </c>
      <c r="Z283" s="124"/>
      <c r="AA283" s="47" t="s">
        <v>59</v>
      </c>
      <c r="AB283" s="47" t="str">
        <f t="shared" si="135"/>
        <v>NA</v>
      </c>
      <c r="AC283" s="53">
        <f t="shared" si="136"/>
        <v>0</v>
      </c>
      <c r="AD283" s="54">
        <f t="shared" si="137"/>
        <v>1</v>
      </c>
      <c r="AE283" s="54"/>
      <c r="AF283" s="54"/>
      <c r="AG283" s="55">
        <v>1</v>
      </c>
      <c r="AH283" s="56">
        <f t="shared" si="145"/>
        <v>9</v>
      </c>
      <c r="AI283" s="55"/>
      <c r="AJ283" s="56" t="str">
        <f t="shared" si="138"/>
        <v/>
      </c>
      <c r="AK283" s="55"/>
      <c r="AL283" s="56" t="str">
        <f t="shared" si="139"/>
        <v/>
      </c>
      <c r="AM283" s="55"/>
      <c r="AN283" s="56" t="str">
        <f t="shared" si="146"/>
        <v/>
      </c>
      <c r="AO283" s="55"/>
      <c r="AP283" s="56" t="str">
        <f t="shared" si="140"/>
        <v/>
      </c>
      <c r="AQ283" s="55"/>
      <c r="AR283" s="56" t="str">
        <f t="shared" si="141"/>
        <v/>
      </c>
      <c r="AS283" s="57"/>
      <c r="AT283" s="58"/>
      <c r="AU283" s="58"/>
      <c r="AV283" s="59"/>
      <c r="AW283" s="60">
        <f t="shared" si="122"/>
        <v>0</v>
      </c>
      <c r="AX283" s="61" t="str">
        <f t="shared" si="123"/>
        <v/>
      </c>
      <c r="AY283" s="60">
        <f t="shared" si="124"/>
        <v>0</v>
      </c>
      <c r="AZ283" s="61" t="str">
        <f t="shared" si="125"/>
        <v/>
      </c>
    </row>
    <row r="284" spans="1:52" s="3" customFormat="1" hidden="1" x14ac:dyDescent="0.35">
      <c r="A284" s="72">
        <f t="shared" si="126"/>
        <v>2019</v>
      </c>
      <c r="B284" s="72" t="str">
        <f t="shared" si="127"/>
        <v>Nov</v>
      </c>
      <c r="C284" s="73">
        <f t="shared" si="142"/>
        <v>18</v>
      </c>
      <c r="D284" s="74">
        <f t="shared" si="128"/>
        <v>13</v>
      </c>
      <c r="E284" s="75">
        <f t="shared" si="129"/>
        <v>11</v>
      </c>
      <c r="F284" s="79">
        <v>6</v>
      </c>
      <c r="G284" s="82"/>
      <c r="H284" s="68" t="str">
        <f t="shared" si="143"/>
        <v>Senbur7_20191118_13_00</v>
      </c>
      <c r="I284" s="69">
        <f t="shared" si="148"/>
        <v>1</v>
      </c>
      <c r="J284" s="76" t="str">
        <f t="shared" si="148"/>
        <v>Senecio</v>
      </c>
      <c r="K284" s="76" t="str">
        <f t="shared" si="148"/>
        <v>burtoni</v>
      </c>
      <c r="L284" s="77">
        <f t="shared" si="148"/>
        <v>7</v>
      </c>
      <c r="M284" s="77">
        <f t="shared" si="148"/>
        <v>7</v>
      </c>
      <c r="N284" s="71">
        <f t="shared" si="148"/>
        <v>0</v>
      </c>
      <c r="O284" s="44"/>
      <c r="P284" s="45">
        <f t="shared" si="130"/>
        <v>1</v>
      </c>
      <c r="Q284" s="46" t="str">
        <f t="shared" si="131"/>
        <v>13:11:06</v>
      </c>
      <c r="R284" s="47" t="str">
        <f t="shared" si="132"/>
        <v>11:06</v>
      </c>
      <c r="S284" s="48">
        <f t="shared" si="121"/>
        <v>17</v>
      </c>
      <c r="T284" s="47" t="str">
        <f t="shared" si="133"/>
        <v>13</v>
      </c>
      <c r="U284" s="49">
        <v>11</v>
      </c>
      <c r="V284" s="50">
        <v>23</v>
      </c>
      <c r="W284" s="51" t="str">
        <f t="shared" si="134"/>
        <v>11:23</v>
      </c>
      <c r="X284" s="52" t="s">
        <v>63</v>
      </c>
      <c r="Y284" s="124" t="s">
        <v>83</v>
      </c>
      <c r="Z284" s="124"/>
      <c r="AA284" s="47" t="s">
        <v>68</v>
      </c>
      <c r="AB284" s="47" t="str">
        <f t="shared" si="135"/>
        <v>NA</v>
      </c>
      <c r="AC284" s="53">
        <f t="shared" si="136"/>
        <v>0</v>
      </c>
      <c r="AD284" s="54">
        <v>2</v>
      </c>
      <c r="AE284" s="54"/>
      <c r="AF284" s="54"/>
      <c r="AG284" s="55">
        <v>1</v>
      </c>
      <c r="AH284" s="56">
        <v>5</v>
      </c>
      <c r="AI284" s="55"/>
      <c r="AJ284" s="56" t="str">
        <f t="shared" si="138"/>
        <v/>
      </c>
      <c r="AK284" s="55"/>
      <c r="AL284" s="56" t="str">
        <f t="shared" si="139"/>
        <v/>
      </c>
      <c r="AM284" s="55">
        <v>1</v>
      </c>
      <c r="AN284" s="56">
        <v>12</v>
      </c>
      <c r="AO284" s="55"/>
      <c r="AP284" s="56" t="str">
        <f t="shared" si="140"/>
        <v/>
      </c>
      <c r="AQ284" s="55"/>
      <c r="AR284" s="56" t="str">
        <f t="shared" si="141"/>
        <v/>
      </c>
      <c r="AS284" s="57"/>
      <c r="AT284" s="58"/>
      <c r="AU284" s="58"/>
      <c r="AV284" s="59"/>
      <c r="AW284" s="60">
        <v>1</v>
      </c>
      <c r="AX284" s="61">
        <f t="shared" si="123"/>
        <v>2</v>
      </c>
      <c r="AY284" s="60">
        <v>1</v>
      </c>
      <c r="AZ284" s="61">
        <f t="shared" si="125"/>
        <v>2</v>
      </c>
    </row>
    <row r="285" spans="1:52" s="3" customFormat="1" hidden="1" x14ac:dyDescent="0.35">
      <c r="A285" s="72">
        <f t="shared" si="126"/>
        <v>2019</v>
      </c>
      <c r="B285" s="72" t="str">
        <f t="shared" si="127"/>
        <v>Nov</v>
      </c>
      <c r="C285" s="73">
        <f t="shared" si="142"/>
        <v>18</v>
      </c>
      <c r="D285" s="74">
        <f t="shared" si="128"/>
        <v>13</v>
      </c>
      <c r="E285" s="75">
        <f t="shared" si="129"/>
        <v>12</v>
      </c>
      <c r="F285" s="79"/>
      <c r="G285" s="82"/>
      <c r="H285" s="68" t="str">
        <f t="shared" si="143"/>
        <v>Senbur7_20191118_13_00</v>
      </c>
      <c r="I285" s="69">
        <f t="shared" si="148"/>
        <v>1</v>
      </c>
      <c r="J285" s="76" t="str">
        <f t="shared" si="148"/>
        <v>Senecio</v>
      </c>
      <c r="K285" s="76" t="str">
        <f t="shared" si="148"/>
        <v>burtoni</v>
      </c>
      <c r="L285" s="77">
        <f t="shared" si="148"/>
        <v>7</v>
      </c>
      <c r="M285" s="77">
        <f t="shared" si="148"/>
        <v>7</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47"/>
        <v/>
      </c>
      <c r="AH285" s="56" t="str">
        <f t="shared" si="145"/>
        <v/>
      </c>
      <c r="AI285" s="55"/>
      <c r="AJ285" s="56" t="str">
        <f t="shared" si="138"/>
        <v/>
      </c>
      <c r="AK285" s="55"/>
      <c r="AL285" s="56" t="str">
        <f t="shared" si="139"/>
        <v/>
      </c>
      <c r="AM285" s="55"/>
      <c r="AN285" s="56" t="str">
        <f t="shared" si="146"/>
        <v/>
      </c>
      <c r="AO285" s="55"/>
      <c r="AP285" s="56" t="str">
        <f t="shared" si="140"/>
        <v/>
      </c>
      <c r="AQ285" s="55"/>
      <c r="AR285" s="56" t="str">
        <f t="shared" si="141"/>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2"/>
        <v>18</v>
      </c>
      <c r="D286" s="74">
        <f t="shared" si="128"/>
        <v>13</v>
      </c>
      <c r="E286" s="75">
        <f t="shared" si="129"/>
        <v>13</v>
      </c>
      <c r="F286" s="79">
        <v>24</v>
      </c>
      <c r="G286" s="82"/>
      <c r="H286" s="68" t="str">
        <f t="shared" si="143"/>
        <v>Senbur7_20191118_13_00</v>
      </c>
      <c r="I286" s="69">
        <f t="shared" si="148"/>
        <v>1</v>
      </c>
      <c r="J286" s="76" t="str">
        <f t="shared" si="148"/>
        <v>Senecio</v>
      </c>
      <c r="K286" s="76" t="str">
        <f t="shared" si="148"/>
        <v>burtoni</v>
      </c>
      <c r="L286" s="77">
        <f t="shared" si="148"/>
        <v>7</v>
      </c>
      <c r="M286" s="77">
        <f t="shared" si="148"/>
        <v>7</v>
      </c>
      <c r="N286" s="71">
        <f t="shared" si="148"/>
        <v>0</v>
      </c>
      <c r="O286" s="44"/>
      <c r="P286" s="45">
        <f t="shared" si="130"/>
        <v>1</v>
      </c>
      <c r="Q286" s="46" t="str">
        <f t="shared" si="131"/>
        <v>13:13:24</v>
      </c>
      <c r="R286" s="47" t="str">
        <f t="shared" si="132"/>
        <v>13:24</v>
      </c>
      <c r="S286" s="48">
        <f t="shared" si="121"/>
        <v>70</v>
      </c>
      <c r="T286" s="47" t="str">
        <f t="shared" si="133"/>
        <v>13</v>
      </c>
      <c r="U286" s="49">
        <v>14</v>
      </c>
      <c r="V286" s="50">
        <v>34</v>
      </c>
      <c r="W286" s="51" t="str">
        <f t="shared" si="134"/>
        <v>14:34</v>
      </c>
      <c r="X286" s="52" t="s">
        <v>63</v>
      </c>
      <c r="Y286" s="124" t="s">
        <v>82</v>
      </c>
      <c r="Z286" s="124"/>
      <c r="AA286" s="47" t="s">
        <v>59</v>
      </c>
      <c r="AB286" s="47" t="str">
        <f t="shared" si="135"/>
        <v>NA</v>
      </c>
      <c r="AC286" s="53">
        <f t="shared" si="136"/>
        <v>0</v>
      </c>
      <c r="AD286" s="54">
        <f t="shared" si="137"/>
        <v>1</v>
      </c>
      <c r="AE286" s="54"/>
      <c r="AF286" s="54"/>
      <c r="AG286" s="55">
        <v>1</v>
      </c>
      <c r="AH286" s="56">
        <v>20</v>
      </c>
      <c r="AI286" s="55"/>
      <c r="AJ286" s="56" t="str">
        <f t="shared" si="138"/>
        <v/>
      </c>
      <c r="AK286" s="55"/>
      <c r="AL286" s="56" t="str">
        <f t="shared" si="139"/>
        <v/>
      </c>
      <c r="AM286" s="55">
        <v>1</v>
      </c>
      <c r="AN286" s="56">
        <v>50</v>
      </c>
      <c r="AO286" s="55"/>
      <c r="AP286" s="56" t="str">
        <f t="shared" si="140"/>
        <v/>
      </c>
      <c r="AQ286" s="55"/>
      <c r="AR286" s="56" t="str">
        <f t="shared" si="141"/>
        <v/>
      </c>
      <c r="AS286" s="57"/>
      <c r="AT286" s="58"/>
      <c r="AU286" s="58"/>
      <c r="AV286" s="59"/>
      <c r="AW286" s="60">
        <v>1</v>
      </c>
      <c r="AX286" s="61">
        <f t="shared" si="123"/>
        <v>1</v>
      </c>
      <c r="AY286" s="60">
        <v>1</v>
      </c>
      <c r="AZ286" s="61">
        <f t="shared" si="125"/>
        <v>1</v>
      </c>
    </row>
    <row r="287" spans="1:52" s="3" customFormat="1" hidden="1" x14ac:dyDescent="0.35">
      <c r="A287" s="72">
        <f t="shared" si="126"/>
        <v>2019</v>
      </c>
      <c r="B287" s="72" t="str">
        <f t="shared" si="127"/>
        <v>Nov</v>
      </c>
      <c r="C287" s="73">
        <f t="shared" si="142"/>
        <v>18</v>
      </c>
      <c r="D287" s="74">
        <f t="shared" si="128"/>
        <v>13</v>
      </c>
      <c r="E287" s="75">
        <f t="shared" si="129"/>
        <v>14</v>
      </c>
      <c r="F287" s="79">
        <v>18</v>
      </c>
      <c r="G287" s="82"/>
      <c r="H287" s="68" t="str">
        <f t="shared" si="143"/>
        <v>Senbur7_20191118_13_00</v>
      </c>
      <c r="I287" s="69">
        <f t="shared" si="148"/>
        <v>1</v>
      </c>
      <c r="J287" s="76" t="str">
        <f t="shared" si="148"/>
        <v>Senecio</v>
      </c>
      <c r="K287" s="76" t="str">
        <f t="shared" si="148"/>
        <v>burtoni</v>
      </c>
      <c r="L287" s="77">
        <f t="shared" si="148"/>
        <v>7</v>
      </c>
      <c r="M287" s="77">
        <f t="shared" si="148"/>
        <v>7</v>
      </c>
      <c r="N287" s="71">
        <f t="shared" si="148"/>
        <v>0</v>
      </c>
      <c r="O287" s="44"/>
      <c r="P287" s="45">
        <f t="shared" si="130"/>
        <v>1</v>
      </c>
      <c r="Q287" s="46" t="str">
        <f t="shared" si="131"/>
        <v>13:14:18</v>
      </c>
      <c r="R287" s="47" t="str">
        <f t="shared" si="132"/>
        <v>14:18</v>
      </c>
      <c r="S287" s="48">
        <f t="shared" si="121"/>
        <v>19</v>
      </c>
      <c r="T287" s="47" t="str">
        <f t="shared" si="133"/>
        <v>13</v>
      </c>
      <c r="U287" s="49">
        <v>14</v>
      </c>
      <c r="V287" s="50">
        <v>37</v>
      </c>
      <c r="W287" s="51" t="str">
        <f t="shared" si="134"/>
        <v>14:37</v>
      </c>
      <c r="X287" s="52" t="s">
        <v>63</v>
      </c>
      <c r="Y287" s="124" t="s">
        <v>83</v>
      </c>
      <c r="Z287" s="124"/>
      <c r="AA287" s="47" t="s">
        <v>59</v>
      </c>
      <c r="AB287" s="47" t="str">
        <f t="shared" si="135"/>
        <v>NA</v>
      </c>
      <c r="AC287" s="53">
        <f t="shared" si="136"/>
        <v>0</v>
      </c>
      <c r="AD287" s="54">
        <f t="shared" si="137"/>
        <v>1</v>
      </c>
      <c r="AE287" s="54"/>
      <c r="AF287" s="54"/>
      <c r="AG287" s="55">
        <v>1</v>
      </c>
      <c r="AH287" s="56">
        <v>9</v>
      </c>
      <c r="AI287" s="55"/>
      <c r="AJ287" s="56" t="str">
        <f t="shared" si="138"/>
        <v/>
      </c>
      <c r="AK287" s="55"/>
      <c r="AL287" s="56" t="str">
        <f t="shared" si="139"/>
        <v/>
      </c>
      <c r="AM287" s="55">
        <v>1</v>
      </c>
      <c r="AN287" s="56">
        <v>10</v>
      </c>
      <c r="AO287" s="55"/>
      <c r="AP287" s="56" t="str">
        <f t="shared" si="140"/>
        <v/>
      </c>
      <c r="AQ287" s="55"/>
      <c r="AR287" s="56" t="str">
        <f t="shared" si="141"/>
        <v/>
      </c>
      <c r="AS287" s="57"/>
      <c r="AT287" s="58"/>
      <c r="AU287" s="58"/>
      <c r="AV287" s="59"/>
      <c r="AW287" s="60">
        <v>1</v>
      </c>
      <c r="AX287" s="61">
        <f t="shared" si="123"/>
        <v>1</v>
      </c>
      <c r="AY287" s="60">
        <v>1</v>
      </c>
      <c r="AZ287" s="61">
        <f t="shared" si="125"/>
        <v>1</v>
      </c>
    </row>
    <row r="288" spans="1:52" s="3" customFormat="1" hidden="1" x14ac:dyDescent="0.35">
      <c r="A288" s="72">
        <f t="shared" si="126"/>
        <v>2019</v>
      </c>
      <c r="B288" s="72" t="str">
        <f t="shared" si="127"/>
        <v>Nov</v>
      </c>
      <c r="C288" s="73">
        <f t="shared" si="142"/>
        <v>18</v>
      </c>
      <c r="D288" s="74">
        <f t="shared" si="128"/>
        <v>13</v>
      </c>
      <c r="E288" s="75">
        <v>14</v>
      </c>
      <c r="F288" s="79">
        <v>34</v>
      </c>
      <c r="G288" s="82"/>
      <c r="H288" s="68" t="str">
        <f t="shared" si="143"/>
        <v>Senbur7_20191118_13_00</v>
      </c>
      <c r="I288" s="69">
        <f t="shared" si="148"/>
        <v>1</v>
      </c>
      <c r="J288" s="76" t="str">
        <f t="shared" si="148"/>
        <v>Senecio</v>
      </c>
      <c r="K288" s="76" t="str">
        <f t="shared" si="148"/>
        <v>burtoni</v>
      </c>
      <c r="L288" s="77">
        <v>0</v>
      </c>
      <c r="M288" s="77">
        <f t="shared" si="148"/>
        <v>7</v>
      </c>
      <c r="N288" s="71">
        <f t="shared" si="148"/>
        <v>0</v>
      </c>
      <c r="O288" s="44"/>
      <c r="P288" s="45">
        <f t="shared" si="130"/>
        <v>1</v>
      </c>
      <c r="Q288" s="46" t="str">
        <f t="shared" si="131"/>
        <v>13:14:34</v>
      </c>
      <c r="R288" s="47" t="str">
        <f t="shared" si="132"/>
        <v>14:34</v>
      </c>
      <c r="S288" s="48">
        <f t="shared" si="121"/>
        <v>11</v>
      </c>
      <c r="T288" s="47" t="str">
        <f t="shared" si="133"/>
        <v>13</v>
      </c>
      <c r="U288" s="49">
        <v>14</v>
      </c>
      <c r="V288" s="50">
        <v>45</v>
      </c>
      <c r="W288" s="51" t="str">
        <f t="shared" si="134"/>
        <v>14:45</v>
      </c>
      <c r="X288" s="52" t="s">
        <v>63</v>
      </c>
      <c r="Y288" s="124" t="s">
        <v>83</v>
      </c>
      <c r="Z288" s="124"/>
      <c r="AA288" s="47" t="s">
        <v>59</v>
      </c>
      <c r="AB288" s="47" t="str">
        <f t="shared" si="135"/>
        <v>NA</v>
      </c>
      <c r="AC288" s="53">
        <f t="shared" si="136"/>
        <v>0</v>
      </c>
      <c r="AD288" s="54">
        <f t="shared" si="137"/>
        <v>1</v>
      </c>
      <c r="AE288" s="54"/>
      <c r="AF288" s="54"/>
      <c r="AG288" s="55">
        <v>1</v>
      </c>
      <c r="AH288" s="56">
        <v>3</v>
      </c>
      <c r="AI288" s="55"/>
      <c r="AJ288" s="56" t="str">
        <f t="shared" si="138"/>
        <v/>
      </c>
      <c r="AK288" s="55"/>
      <c r="AL288" s="56" t="str">
        <f t="shared" si="139"/>
        <v/>
      </c>
      <c r="AM288" s="55">
        <v>1</v>
      </c>
      <c r="AN288" s="56">
        <v>8</v>
      </c>
      <c r="AO288" s="55"/>
      <c r="AP288" s="56" t="str">
        <f t="shared" si="140"/>
        <v/>
      </c>
      <c r="AQ288" s="55"/>
      <c r="AR288" s="56" t="str">
        <f t="shared" si="141"/>
        <v/>
      </c>
      <c r="AS288" s="57"/>
      <c r="AT288" s="58"/>
      <c r="AU288" s="58"/>
      <c r="AV288" s="59"/>
      <c r="AW288" s="60">
        <v>1</v>
      </c>
      <c r="AX288" s="61">
        <f t="shared" si="123"/>
        <v>1</v>
      </c>
      <c r="AY288" s="60">
        <v>1</v>
      </c>
      <c r="AZ288" s="61">
        <f t="shared" si="125"/>
        <v>1</v>
      </c>
    </row>
    <row r="289" spans="1:52" s="3" customFormat="1" hidden="1" x14ac:dyDescent="0.35">
      <c r="A289" s="72">
        <f t="shared" si="126"/>
        <v>2019</v>
      </c>
      <c r="B289" s="72" t="str">
        <f t="shared" si="127"/>
        <v>Nov</v>
      </c>
      <c r="C289" s="73">
        <f t="shared" si="142"/>
        <v>18</v>
      </c>
      <c r="D289" s="74">
        <f t="shared" si="128"/>
        <v>13</v>
      </c>
      <c r="E289" s="75">
        <f t="shared" si="129"/>
        <v>15</v>
      </c>
      <c r="F289" s="79">
        <v>6</v>
      </c>
      <c r="G289" s="82"/>
      <c r="H289" s="68" t="str">
        <f t="shared" si="143"/>
        <v>Senbur7_20191118_13_00</v>
      </c>
      <c r="I289" s="69">
        <f t="shared" si="148"/>
        <v>1</v>
      </c>
      <c r="J289" s="76" t="str">
        <f t="shared" si="148"/>
        <v>Senecio</v>
      </c>
      <c r="K289" s="76" t="str">
        <f t="shared" si="148"/>
        <v>burtoni</v>
      </c>
      <c r="L289" s="77">
        <f t="shared" si="148"/>
        <v>0</v>
      </c>
      <c r="M289" s="77">
        <f t="shared" si="148"/>
        <v>7</v>
      </c>
      <c r="N289" s="71">
        <f t="shared" si="148"/>
        <v>0</v>
      </c>
      <c r="O289" s="44"/>
      <c r="P289" s="45">
        <f t="shared" si="130"/>
        <v>1</v>
      </c>
      <c r="Q289" s="46" t="str">
        <f t="shared" si="131"/>
        <v>13:15:06</v>
      </c>
      <c r="R289" s="47" t="str">
        <f t="shared" si="132"/>
        <v>15:06</v>
      </c>
      <c r="S289" s="48">
        <f t="shared" si="121"/>
        <v>57</v>
      </c>
      <c r="T289" s="47" t="str">
        <f t="shared" si="133"/>
        <v>13</v>
      </c>
      <c r="U289" s="49">
        <v>16</v>
      </c>
      <c r="V289" s="50">
        <v>3</v>
      </c>
      <c r="W289" s="51" t="str">
        <f t="shared" si="134"/>
        <v>16:03</v>
      </c>
      <c r="X289" s="52" t="s">
        <v>69</v>
      </c>
      <c r="Y289" s="124" t="s">
        <v>82</v>
      </c>
      <c r="Z289" s="124"/>
      <c r="AA289" s="47" t="s">
        <v>59</v>
      </c>
      <c r="AB289" s="47" t="str">
        <f t="shared" si="135"/>
        <v>NA</v>
      </c>
      <c r="AC289" s="53">
        <f t="shared" si="136"/>
        <v>0</v>
      </c>
      <c r="AD289" s="54">
        <f t="shared" si="137"/>
        <v>1</v>
      </c>
      <c r="AE289" s="54"/>
      <c r="AF289" s="54"/>
      <c r="AG289" s="55">
        <v>1</v>
      </c>
      <c r="AH289" s="56">
        <v>10</v>
      </c>
      <c r="AI289" s="55"/>
      <c r="AJ289" s="56" t="str">
        <f t="shared" si="138"/>
        <v/>
      </c>
      <c r="AK289" s="55"/>
      <c r="AL289" s="56" t="str">
        <f t="shared" si="139"/>
        <v/>
      </c>
      <c r="AM289" s="55">
        <v>1</v>
      </c>
      <c r="AN289" s="56">
        <v>47</v>
      </c>
      <c r="AO289" s="55"/>
      <c r="AP289" s="56" t="str">
        <f t="shared" si="140"/>
        <v/>
      </c>
      <c r="AQ289" s="55"/>
      <c r="AR289" s="56" t="str">
        <f t="shared" si="141"/>
        <v/>
      </c>
      <c r="AS289" s="57"/>
      <c r="AT289" s="58"/>
      <c r="AU289" s="58"/>
      <c r="AV289" s="59"/>
      <c r="AW289" s="60">
        <v>1</v>
      </c>
      <c r="AX289" s="61">
        <f t="shared" si="123"/>
        <v>1</v>
      </c>
      <c r="AY289" s="60">
        <v>1</v>
      </c>
      <c r="AZ289" s="61">
        <f t="shared" si="125"/>
        <v>1</v>
      </c>
    </row>
    <row r="290" spans="1:52" s="3" customFormat="1" hidden="1" x14ac:dyDescent="0.35">
      <c r="A290" s="72">
        <f t="shared" si="126"/>
        <v>2019</v>
      </c>
      <c r="B290" s="72" t="str">
        <f t="shared" si="127"/>
        <v>Nov</v>
      </c>
      <c r="C290" s="73">
        <f t="shared" si="142"/>
        <v>18</v>
      </c>
      <c r="D290" s="74">
        <f t="shared" si="128"/>
        <v>13</v>
      </c>
      <c r="E290" s="75">
        <f t="shared" si="129"/>
        <v>16</v>
      </c>
      <c r="F290" s="79">
        <v>3</v>
      </c>
      <c r="G290" s="82"/>
      <c r="H290" s="68" t="str">
        <f t="shared" si="143"/>
        <v>Senbur7_20191118_13_00</v>
      </c>
      <c r="I290" s="69">
        <f t="shared" si="148"/>
        <v>1</v>
      </c>
      <c r="J290" s="76" t="str">
        <f t="shared" si="148"/>
        <v>Senecio</v>
      </c>
      <c r="K290" s="76" t="str">
        <f t="shared" si="148"/>
        <v>burtoni</v>
      </c>
      <c r="L290" s="77">
        <f t="shared" si="148"/>
        <v>0</v>
      </c>
      <c r="M290" s="77">
        <f t="shared" si="148"/>
        <v>7</v>
      </c>
      <c r="N290" s="71">
        <f t="shared" si="148"/>
        <v>0</v>
      </c>
      <c r="O290" s="44"/>
      <c r="P290" s="45">
        <f t="shared" si="130"/>
        <v>1</v>
      </c>
      <c r="Q290" s="46" t="str">
        <f t="shared" si="131"/>
        <v>13:16:03</v>
      </c>
      <c r="R290" s="47" t="str">
        <f t="shared" si="132"/>
        <v>16:03</v>
      </c>
      <c r="S290" s="48">
        <f t="shared" si="121"/>
        <v>1</v>
      </c>
      <c r="T290" s="47" t="str">
        <f t="shared" si="133"/>
        <v>13</v>
      </c>
      <c r="U290" s="49">
        <v>16</v>
      </c>
      <c r="V290" s="50">
        <v>4</v>
      </c>
      <c r="W290" s="51" t="str">
        <f t="shared" si="134"/>
        <v>16:04</v>
      </c>
      <c r="X290" s="52" t="s">
        <v>70</v>
      </c>
      <c r="Y290" s="124" t="s">
        <v>90</v>
      </c>
      <c r="Z290" s="124"/>
      <c r="AA290" s="47" t="s">
        <v>59</v>
      </c>
      <c r="AB290" s="47" t="str">
        <f t="shared" si="135"/>
        <v>NA</v>
      </c>
      <c r="AC290" s="53">
        <f t="shared" si="136"/>
        <v>0</v>
      </c>
      <c r="AD290" s="54">
        <f t="shared" si="137"/>
        <v>1</v>
      </c>
      <c r="AE290" s="54"/>
      <c r="AF290" s="54"/>
      <c r="AG290" s="55">
        <v>1</v>
      </c>
      <c r="AH290" s="56">
        <f t="shared" si="145"/>
        <v>1</v>
      </c>
      <c r="AI290" s="55"/>
      <c r="AJ290" s="56" t="str">
        <f t="shared" si="138"/>
        <v/>
      </c>
      <c r="AK290" s="55"/>
      <c r="AL290" s="56" t="str">
        <f t="shared" si="139"/>
        <v/>
      </c>
      <c r="AM290" s="55"/>
      <c r="AN290" s="56" t="str">
        <f t="shared" si="146"/>
        <v/>
      </c>
      <c r="AO290" s="55"/>
      <c r="AP290" s="56" t="str">
        <f t="shared" si="140"/>
        <v/>
      </c>
      <c r="AQ290" s="55"/>
      <c r="AR290" s="56" t="str">
        <f t="shared" si="141"/>
        <v/>
      </c>
      <c r="AS290" s="57"/>
      <c r="AT290" s="58"/>
      <c r="AU290" s="58"/>
      <c r="AV290" s="59"/>
      <c r="AW290" s="60">
        <f t="shared" si="122"/>
        <v>0</v>
      </c>
      <c r="AX290" s="61" t="str">
        <f t="shared" si="123"/>
        <v/>
      </c>
      <c r="AY290" s="60">
        <f t="shared" si="124"/>
        <v>0</v>
      </c>
      <c r="AZ290" s="61" t="str">
        <f t="shared" si="125"/>
        <v/>
      </c>
    </row>
    <row r="291" spans="1:52" s="3" customFormat="1" hidden="1" x14ac:dyDescent="0.35">
      <c r="A291" s="72">
        <f t="shared" si="126"/>
        <v>2019</v>
      </c>
      <c r="B291" s="72" t="str">
        <f t="shared" si="127"/>
        <v>Nov</v>
      </c>
      <c r="C291" s="73">
        <f t="shared" si="142"/>
        <v>18</v>
      </c>
      <c r="D291" s="74">
        <f t="shared" si="128"/>
        <v>13</v>
      </c>
      <c r="E291" s="75">
        <v>16</v>
      </c>
      <c r="F291" s="79">
        <v>4</v>
      </c>
      <c r="G291" s="82"/>
      <c r="H291" s="68" t="str">
        <f t="shared" si="143"/>
        <v>Senbur7_20191118_13_00</v>
      </c>
      <c r="I291" s="69">
        <f t="shared" si="148"/>
        <v>1</v>
      </c>
      <c r="J291" s="76" t="str">
        <f t="shared" si="148"/>
        <v>Senecio</v>
      </c>
      <c r="K291" s="76" t="str">
        <f t="shared" si="148"/>
        <v>burtoni</v>
      </c>
      <c r="L291" s="77">
        <f t="shared" si="148"/>
        <v>0</v>
      </c>
      <c r="M291" s="77">
        <f t="shared" si="148"/>
        <v>7</v>
      </c>
      <c r="N291" s="71">
        <f t="shared" si="148"/>
        <v>0</v>
      </c>
      <c r="O291" s="44"/>
      <c r="P291" s="45">
        <f t="shared" si="130"/>
        <v>1</v>
      </c>
      <c r="Q291" s="46" t="str">
        <f t="shared" si="131"/>
        <v>13:16:04</v>
      </c>
      <c r="R291" s="47" t="str">
        <f t="shared" si="132"/>
        <v>16:04</v>
      </c>
      <c r="S291" s="48">
        <f t="shared" si="121"/>
        <v>50</v>
      </c>
      <c r="T291" s="47" t="str">
        <f t="shared" si="133"/>
        <v>13</v>
      </c>
      <c r="U291" s="49">
        <v>16</v>
      </c>
      <c r="V291" s="50">
        <v>54</v>
      </c>
      <c r="W291" s="51" t="str">
        <f t="shared" si="134"/>
        <v>16:54</v>
      </c>
      <c r="X291" s="52" t="s">
        <v>63</v>
      </c>
      <c r="Y291" s="124" t="s">
        <v>82</v>
      </c>
      <c r="Z291" s="124"/>
      <c r="AA291" s="47" t="s">
        <v>68</v>
      </c>
      <c r="AB291" s="47" t="str">
        <f t="shared" si="135"/>
        <v>NA</v>
      </c>
      <c r="AC291" s="53">
        <f t="shared" si="136"/>
        <v>0</v>
      </c>
      <c r="AD291" s="54">
        <f t="shared" si="137"/>
        <v>1</v>
      </c>
      <c r="AE291" s="54"/>
      <c r="AF291" s="54"/>
      <c r="AG291" s="55">
        <v>1</v>
      </c>
      <c r="AH291" s="56">
        <v>5</v>
      </c>
      <c r="AI291" s="55"/>
      <c r="AJ291" s="56" t="str">
        <f t="shared" si="138"/>
        <v/>
      </c>
      <c r="AK291" s="55"/>
      <c r="AL291" s="56" t="str">
        <f t="shared" si="139"/>
        <v/>
      </c>
      <c r="AM291" s="55">
        <v>1</v>
      </c>
      <c r="AN291" s="56">
        <v>45</v>
      </c>
      <c r="AO291" s="55"/>
      <c r="AP291" s="56" t="str">
        <f t="shared" si="140"/>
        <v/>
      </c>
      <c r="AQ291" s="55"/>
      <c r="AR291" s="56" t="str">
        <f t="shared" si="141"/>
        <v/>
      </c>
      <c r="AS291" s="57"/>
      <c r="AT291" s="58"/>
      <c r="AU291" s="58"/>
      <c r="AV291" s="59"/>
      <c r="AW291" s="60">
        <v>1</v>
      </c>
      <c r="AX291" s="61">
        <f t="shared" si="123"/>
        <v>1</v>
      </c>
      <c r="AY291" s="60">
        <v>1</v>
      </c>
      <c r="AZ291" s="61">
        <f t="shared" si="125"/>
        <v>1</v>
      </c>
    </row>
    <row r="292" spans="1:52" s="3" customFormat="1" hidden="1" x14ac:dyDescent="0.35">
      <c r="A292" s="72">
        <f t="shared" si="126"/>
        <v>2019</v>
      </c>
      <c r="B292" s="72" t="str">
        <f t="shared" si="127"/>
        <v>Nov</v>
      </c>
      <c r="C292" s="73">
        <f t="shared" si="142"/>
        <v>18</v>
      </c>
      <c r="D292" s="74">
        <f t="shared" si="128"/>
        <v>13</v>
      </c>
      <c r="E292" s="75">
        <f t="shared" si="129"/>
        <v>17</v>
      </c>
      <c r="F292" s="79">
        <v>26</v>
      </c>
      <c r="G292" s="82"/>
      <c r="H292" s="68" t="str">
        <f t="shared" si="143"/>
        <v>Senbur7_20191118_13_00</v>
      </c>
      <c r="I292" s="69">
        <f t="shared" si="148"/>
        <v>1</v>
      </c>
      <c r="J292" s="76" t="str">
        <f t="shared" si="148"/>
        <v>Senecio</v>
      </c>
      <c r="K292" s="76" t="str">
        <f t="shared" si="148"/>
        <v>burtoni</v>
      </c>
      <c r="L292" s="77">
        <f t="shared" si="148"/>
        <v>0</v>
      </c>
      <c r="M292" s="77">
        <f t="shared" si="148"/>
        <v>7</v>
      </c>
      <c r="N292" s="71">
        <f t="shared" si="148"/>
        <v>0</v>
      </c>
      <c r="O292" s="44"/>
      <c r="P292" s="45">
        <f t="shared" si="130"/>
        <v>1</v>
      </c>
      <c r="Q292" s="46" t="str">
        <f t="shared" si="131"/>
        <v>13:17:26</v>
      </c>
      <c r="R292" s="47" t="str">
        <f t="shared" si="132"/>
        <v>17:26</v>
      </c>
      <c r="S292" s="48">
        <f t="shared" si="121"/>
        <v>65</v>
      </c>
      <c r="T292" s="47" t="str">
        <f t="shared" si="133"/>
        <v>13</v>
      </c>
      <c r="U292" s="49">
        <v>18</v>
      </c>
      <c r="V292" s="50">
        <v>31</v>
      </c>
      <c r="W292" s="51" t="str">
        <f t="shared" si="134"/>
        <v>18:31</v>
      </c>
      <c r="X292" s="52" t="s">
        <v>63</v>
      </c>
      <c r="Y292" s="124" t="s">
        <v>82</v>
      </c>
      <c r="Z292" s="124"/>
      <c r="AA292" s="47" t="s">
        <v>59</v>
      </c>
      <c r="AB292" s="47" t="str">
        <f t="shared" si="135"/>
        <v>NA</v>
      </c>
      <c r="AC292" s="53">
        <f t="shared" si="136"/>
        <v>0</v>
      </c>
      <c r="AD292" s="54">
        <f t="shared" si="137"/>
        <v>1</v>
      </c>
      <c r="AE292" s="54"/>
      <c r="AF292" s="54"/>
      <c r="AG292" s="55">
        <v>1</v>
      </c>
      <c r="AH292" s="56">
        <v>5</v>
      </c>
      <c r="AI292" s="55"/>
      <c r="AJ292" s="56" t="str">
        <f t="shared" si="138"/>
        <v/>
      </c>
      <c r="AK292" s="55"/>
      <c r="AL292" s="56" t="str">
        <f t="shared" si="139"/>
        <v/>
      </c>
      <c r="AM292" s="55">
        <v>1</v>
      </c>
      <c r="AN292" s="56">
        <v>60</v>
      </c>
      <c r="AO292" s="55"/>
      <c r="AP292" s="56" t="str">
        <f t="shared" si="140"/>
        <v/>
      </c>
      <c r="AQ292" s="55"/>
      <c r="AR292" s="56" t="str">
        <f t="shared" si="141"/>
        <v/>
      </c>
      <c r="AS292" s="57"/>
      <c r="AT292" s="58"/>
      <c r="AU292" s="58"/>
      <c r="AV292" s="59"/>
      <c r="AW292" s="60">
        <v>1</v>
      </c>
      <c r="AX292" s="61">
        <f t="shared" si="123"/>
        <v>1</v>
      </c>
      <c r="AY292" s="60">
        <v>1</v>
      </c>
      <c r="AZ292" s="61">
        <f t="shared" si="125"/>
        <v>1</v>
      </c>
    </row>
    <row r="293" spans="1:52" s="3" customFormat="1" hidden="1" x14ac:dyDescent="0.35">
      <c r="A293" s="72">
        <f t="shared" si="126"/>
        <v>2019</v>
      </c>
      <c r="B293" s="72" t="str">
        <f t="shared" si="127"/>
        <v>Nov</v>
      </c>
      <c r="C293" s="73">
        <f t="shared" si="142"/>
        <v>18</v>
      </c>
      <c r="D293" s="74">
        <f t="shared" si="128"/>
        <v>13</v>
      </c>
      <c r="E293" s="75">
        <v>17</v>
      </c>
      <c r="F293" s="79">
        <v>58</v>
      </c>
      <c r="G293" s="82"/>
      <c r="H293" s="68" t="str">
        <f t="shared" si="143"/>
        <v>Senbur7_20191118_13_00</v>
      </c>
      <c r="I293" s="69">
        <f t="shared" ref="I293:N308" si="149">I292</f>
        <v>1</v>
      </c>
      <c r="J293" s="76" t="str">
        <f t="shared" si="149"/>
        <v>Senecio</v>
      </c>
      <c r="K293" s="76" t="str">
        <f t="shared" si="149"/>
        <v>burtoni</v>
      </c>
      <c r="L293" s="77">
        <f t="shared" si="149"/>
        <v>0</v>
      </c>
      <c r="M293" s="77">
        <f t="shared" si="149"/>
        <v>7</v>
      </c>
      <c r="N293" s="71">
        <f t="shared" si="149"/>
        <v>0</v>
      </c>
      <c r="O293" s="44"/>
      <c r="P293" s="45">
        <f t="shared" si="130"/>
        <v>1</v>
      </c>
      <c r="Q293" s="46" t="str">
        <f t="shared" si="131"/>
        <v>13:17:58</v>
      </c>
      <c r="R293" s="47" t="str">
        <f t="shared" si="132"/>
        <v>17:58</v>
      </c>
      <c r="S293" s="48">
        <f t="shared" si="121"/>
        <v>184</v>
      </c>
      <c r="T293" s="47" t="str">
        <f t="shared" si="133"/>
        <v>13</v>
      </c>
      <c r="U293" s="49">
        <v>21</v>
      </c>
      <c r="V293" s="50">
        <v>2</v>
      </c>
      <c r="W293" s="51" t="str">
        <f t="shared" si="134"/>
        <v>21:02</v>
      </c>
      <c r="X293" s="52" t="s">
        <v>63</v>
      </c>
      <c r="Y293" s="124" t="s">
        <v>82</v>
      </c>
      <c r="Z293" s="124"/>
      <c r="AA293" s="47" t="s">
        <v>59</v>
      </c>
      <c r="AB293" s="47" t="str">
        <f t="shared" si="135"/>
        <v>NA</v>
      </c>
      <c r="AC293" s="53">
        <f t="shared" si="136"/>
        <v>0</v>
      </c>
      <c r="AD293" s="54">
        <f t="shared" si="137"/>
        <v>1</v>
      </c>
      <c r="AE293" s="54"/>
      <c r="AF293" s="54"/>
      <c r="AG293" s="55">
        <v>1</v>
      </c>
      <c r="AH293" s="56">
        <v>24</v>
      </c>
      <c r="AI293" s="55"/>
      <c r="AJ293" s="56" t="str">
        <f t="shared" si="138"/>
        <v/>
      </c>
      <c r="AK293" s="55"/>
      <c r="AL293" s="56" t="str">
        <f t="shared" si="139"/>
        <v/>
      </c>
      <c r="AM293" s="55">
        <v>1</v>
      </c>
      <c r="AN293" s="56">
        <v>160</v>
      </c>
      <c r="AO293" s="55"/>
      <c r="AP293" s="56" t="str">
        <f t="shared" si="140"/>
        <v/>
      </c>
      <c r="AQ293" s="55"/>
      <c r="AR293" s="56" t="str">
        <f t="shared" si="141"/>
        <v/>
      </c>
      <c r="AS293" s="57"/>
      <c r="AT293" s="58"/>
      <c r="AU293" s="58"/>
      <c r="AV293" s="59"/>
      <c r="AW293" s="60">
        <v>1</v>
      </c>
      <c r="AX293" s="61">
        <f t="shared" si="123"/>
        <v>1</v>
      </c>
      <c r="AY293" s="60">
        <v>1</v>
      </c>
      <c r="AZ293" s="61">
        <f t="shared" si="125"/>
        <v>1</v>
      </c>
    </row>
    <row r="294" spans="1:52" s="3" customFormat="1" hidden="1" x14ac:dyDescent="0.35">
      <c r="A294" s="72">
        <f t="shared" si="126"/>
        <v>2019</v>
      </c>
      <c r="B294" s="72" t="str">
        <f t="shared" si="127"/>
        <v>Nov</v>
      </c>
      <c r="C294" s="73">
        <f t="shared" si="142"/>
        <v>18</v>
      </c>
      <c r="D294" s="74">
        <f t="shared" si="128"/>
        <v>13</v>
      </c>
      <c r="E294" s="75">
        <f t="shared" si="129"/>
        <v>18</v>
      </c>
      <c r="F294" s="79">
        <v>33</v>
      </c>
      <c r="G294" s="82"/>
      <c r="H294" s="68" t="str">
        <f t="shared" si="143"/>
        <v>Senbur7_20191118_13_00</v>
      </c>
      <c r="I294" s="69">
        <f t="shared" si="149"/>
        <v>1</v>
      </c>
      <c r="J294" s="76" t="str">
        <f t="shared" si="149"/>
        <v>Senecio</v>
      </c>
      <c r="K294" s="76" t="str">
        <f t="shared" si="149"/>
        <v>burtoni</v>
      </c>
      <c r="L294" s="77">
        <f t="shared" si="149"/>
        <v>0</v>
      </c>
      <c r="M294" s="77">
        <f t="shared" si="149"/>
        <v>7</v>
      </c>
      <c r="N294" s="71">
        <f t="shared" si="149"/>
        <v>0</v>
      </c>
      <c r="O294" s="44"/>
      <c r="P294" s="45">
        <f t="shared" si="130"/>
        <v>1</v>
      </c>
      <c r="Q294" s="46" t="str">
        <f t="shared" si="131"/>
        <v>13:18:33</v>
      </c>
      <c r="R294" s="47" t="str">
        <f t="shared" si="132"/>
        <v>18:33</v>
      </c>
      <c r="S294" s="48">
        <f t="shared" si="121"/>
        <v>14</v>
      </c>
      <c r="T294" s="47" t="str">
        <f t="shared" si="133"/>
        <v>13</v>
      </c>
      <c r="U294" s="49">
        <v>18</v>
      </c>
      <c r="V294" s="50">
        <v>47</v>
      </c>
      <c r="W294" s="51" t="str">
        <f t="shared" si="134"/>
        <v>18:47</v>
      </c>
      <c r="X294" s="52" t="s">
        <v>63</v>
      </c>
      <c r="Y294" s="124" t="s">
        <v>82</v>
      </c>
      <c r="Z294" s="124"/>
      <c r="AA294" s="47" t="s">
        <v>59</v>
      </c>
      <c r="AB294" s="47" t="str">
        <f t="shared" si="135"/>
        <v>NA</v>
      </c>
      <c r="AC294" s="53">
        <f t="shared" si="136"/>
        <v>0</v>
      </c>
      <c r="AD294" s="54">
        <f t="shared" si="137"/>
        <v>1</v>
      </c>
      <c r="AE294" s="54"/>
      <c r="AF294" s="54"/>
      <c r="AG294" s="55">
        <v>1</v>
      </c>
      <c r="AH294" s="56">
        <f t="shared" si="145"/>
        <v>14</v>
      </c>
      <c r="AI294" s="55"/>
      <c r="AJ294" s="56" t="str">
        <f t="shared" si="138"/>
        <v/>
      </c>
      <c r="AK294" s="55"/>
      <c r="AL294" s="56" t="str">
        <f t="shared" si="139"/>
        <v/>
      </c>
      <c r="AM294" s="55"/>
      <c r="AN294" s="56" t="str">
        <f t="shared" si="146"/>
        <v/>
      </c>
      <c r="AO294" s="55"/>
      <c r="AP294" s="56" t="str">
        <f t="shared" si="140"/>
        <v/>
      </c>
      <c r="AQ294" s="55"/>
      <c r="AR294" s="56" t="str">
        <f t="shared" si="141"/>
        <v/>
      </c>
      <c r="AS294" s="57"/>
      <c r="AT294" s="58"/>
      <c r="AU294" s="58"/>
      <c r="AV294" s="59"/>
      <c r="AW294" s="60">
        <f t="shared" si="122"/>
        <v>0</v>
      </c>
      <c r="AX294" s="61" t="str">
        <f t="shared" si="123"/>
        <v/>
      </c>
      <c r="AY294" s="60">
        <f t="shared" si="124"/>
        <v>0</v>
      </c>
      <c r="AZ294" s="61" t="str">
        <f t="shared" si="125"/>
        <v/>
      </c>
    </row>
    <row r="295" spans="1:52" s="3" customFormat="1" hidden="1" x14ac:dyDescent="0.35">
      <c r="A295" s="72">
        <f t="shared" si="126"/>
        <v>2019</v>
      </c>
      <c r="B295" s="72" t="str">
        <f t="shared" si="127"/>
        <v>Nov</v>
      </c>
      <c r="C295" s="73">
        <f t="shared" si="142"/>
        <v>18</v>
      </c>
      <c r="D295" s="74">
        <f t="shared" si="128"/>
        <v>13</v>
      </c>
      <c r="E295" s="75">
        <f t="shared" si="129"/>
        <v>19</v>
      </c>
      <c r="F295" s="79"/>
      <c r="G295" s="82"/>
      <c r="H295" s="68" t="str">
        <f t="shared" si="143"/>
        <v>Senbur7_20191118_13_00</v>
      </c>
      <c r="I295" s="69">
        <f t="shared" si="149"/>
        <v>1</v>
      </c>
      <c r="J295" s="76" t="str">
        <f t="shared" si="149"/>
        <v>Senecio</v>
      </c>
      <c r="K295" s="76" t="str">
        <f t="shared" si="149"/>
        <v>burtoni</v>
      </c>
      <c r="L295" s="77">
        <f t="shared" si="149"/>
        <v>0</v>
      </c>
      <c r="M295" s="77">
        <f t="shared" si="149"/>
        <v>7</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47"/>
        <v/>
      </c>
      <c r="AH295" s="56" t="str">
        <f t="shared" si="145"/>
        <v/>
      </c>
      <c r="AI295" s="55"/>
      <c r="AJ295" s="56" t="str">
        <f t="shared" si="138"/>
        <v/>
      </c>
      <c r="AK295" s="55"/>
      <c r="AL295" s="56" t="str">
        <f t="shared" si="139"/>
        <v/>
      </c>
      <c r="AM295" s="55"/>
      <c r="AN295" s="56" t="str">
        <f t="shared" si="146"/>
        <v/>
      </c>
      <c r="AO295" s="55"/>
      <c r="AP295" s="56" t="str">
        <f t="shared" si="140"/>
        <v/>
      </c>
      <c r="AQ295" s="55"/>
      <c r="AR295" s="56" t="str">
        <f t="shared" si="141"/>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2"/>
        <v>18</v>
      </c>
      <c r="D296" s="74">
        <f t="shared" si="128"/>
        <v>13</v>
      </c>
      <c r="E296" s="75">
        <f t="shared" si="129"/>
        <v>20</v>
      </c>
      <c r="F296" s="79">
        <v>30</v>
      </c>
      <c r="G296" s="82"/>
      <c r="H296" s="68" t="str">
        <f t="shared" si="143"/>
        <v>Senbur7_20191118_13_00</v>
      </c>
      <c r="I296" s="69">
        <f t="shared" si="149"/>
        <v>1</v>
      </c>
      <c r="J296" s="76" t="str">
        <f t="shared" si="149"/>
        <v>Senecio</v>
      </c>
      <c r="K296" s="76" t="str">
        <f t="shared" si="149"/>
        <v>burtoni</v>
      </c>
      <c r="L296" s="77">
        <f t="shared" si="149"/>
        <v>0</v>
      </c>
      <c r="M296" s="77">
        <f t="shared" si="149"/>
        <v>7</v>
      </c>
      <c r="N296" s="71">
        <f t="shared" si="149"/>
        <v>0</v>
      </c>
      <c r="O296" s="44"/>
      <c r="P296" s="45">
        <f t="shared" si="130"/>
        <v>1</v>
      </c>
      <c r="Q296" s="46" t="str">
        <f t="shared" si="131"/>
        <v>13:20:30</v>
      </c>
      <c r="R296" s="47" t="str">
        <f t="shared" si="132"/>
        <v>20:30</v>
      </c>
      <c r="S296" s="48">
        <f t="shared" si="121"/>
        <v>37</v>
      </c>
      <c r="T296" s="47" t="str">
        <f t="shared" si="133"/>
        <v>13</v>
      </c>
      <c r="U296" s="49">
        <v>21</v>
      </c>
      <c r="V296" s="50">
        <v>7</v>
      </c>
      <c r="W296" s="51" t="str">
        <f t="shared" si="134"/>
        <v>21:07</v>
      </c>
      <c r="X296" s="52" t="s">
        <v>63</v>
      </c>
      <c r="Y296" s="124" t="s">
        <v>83</v>
      </c>
      <c r="Z296" s="124"/>
      <c r="AA296" s="47" t="s">
        <v>59</v>
      </c>
      <c r="AB296" s="47" t="str">
        <f t="shared" si="135"/>
        <v>NA</v>
      </c>
      <c r="AC296" s="53">
        <f t="shared" si="136"/>
        <v>0</v>
      </c>
      <c r="AD296" s="54">
        <f t="shared" si="137"/>
        <v>1</v>
      </c>
      <c r="AE296" s="54"/>
      <c r="AF296" s="54"/>
      <c r="AG296" s="55">
        <v>1</v>
      </c>
      <c r="AH296" s="56">
        <v>20</v>
      </c>
      <c r="AI296" s="55"/>
      <c r="AJ296" s="56" t="str">
        <f t="shared" si="138"/>
        <v/>
      </c>
      <c r="AK296" s="55"/>
      <c r="AL296" s="56" t="str">
        <f t="shared" si="139"/>
        <v/>
      </c>
      <c r="AM296" s="55">
        <v>1</v>
      </c>
      <c r="AN296" s="56">
        <v>17</v>
      </c>
      <c r="AO296" s="55"/>
      <c r="AP296" s="56" t="str">
        <f t="shared" si="140"/>
        <v/>
      </c>
      <c r="AQ296" s="55"/>
      <c r="AR296" s="56" t="str">
        <f t="shared" si="141"/>
        <v/>
      </c>
      <c r="AS296" s="57"/>
      <c r="AT296" s="58"/>
      <c r="AU296" s="58"/>
      <c r="AV296" s="59"/>
      <c r="AW296" s="60">
        <v>1</v>
      </c>
      <c r="AX296" s="61">
        <f t="shared" si="123"/>
        <v>1</v>
      </c>
      <c r="AY296" s="60">
        <v>1</v>
      </c>
      <c r="AZ296" s="61">
        <f t="shared" si="125"/>
        <v>1</v>
      </c>
    </row>
    <row r="297" spans="1:52" s="3" customFormat="1" hidden="1" x14ac:dyDescent="0.35">
      <c r="A297" s="72">
        <f t="shared" si="126"/>
        <v>2019</v>
      </c>
      <c r="B297" s="72" t="str">
        <f t="shared" si="127"/>
        <v>Nov</v>
      </c>
      <c r="C297" s="73">
        <f t="shared" si="142"/>
        <v>18</v>
      </c>
      <c r="D297" s="74">
        <f t="shared" si="128"/>
        <v>13</v>
      </c>
      <c r="E297" s="75">
        <f t="shared" si="129"/>
        <v>21</v>
      </c>
      <c r="F297" s="79">
        <v>3</v>
      </c>
      <c r="G297" s="82"/>
      <c r="H297" s="68" t="str">
        <f t="shared" si="143"/>
        <v>Senbur7_20191118_13_00</v>
      </c>
      <c r="I297" s="69">
        <f t="shared" si="149"/>
        <v>1</v>
      </c>
      <c r="J297" s="76" t="str">
        <f t="shared" si="149"/>
        <v>Senecio</v>
      </c>
      <c r="K297" s="76" t="str">
        <f t="shared" si="149"/>
        <v>burtoni</v>
      </c>
      <c r="L297" s="77">
        <f t="shared" si="149"/>
        <v>0</v>
      </c>
      <c r="M297" s="77">
        <f t="shared" si="149"/>
        <v>7</v>
      </c>
      <c r="N297" s="71">
        <f t="shared" si="149"/>
        <v>0</v>
      </c>
      <c r="O297" s="44"/>
      <c r="P297" s="45">
        <f t="shared" si="130"/>
        <v>1</v>
      </c>
      <c r="Q297" s="46" t="str">
        <f t="shared" si="131"/>
        <v>13:21:03</v>
      </c>
      <c r="R297" s="47" t="str">
        <f t="shared" si="132"/>
        <v>21:03</v>
      </c>
      <c r="S297" s="48">
        <f t="shared" si="121"/>
        <v>23</v>
      </c>
      <c r="T297" s="47" t="str">
        <f t="shared" si="133"/>
        <v>13</v>
      </c>
      <c r="U297" s="49">
        <v>21</v>
      </c>
      <c r="V297" s="50">
        <v>26</v>
      </c>
      <c r="W297" s="51" t="str">
        <f t="shared" si="134"/>
        <v>21:26</v>
      </c>
      <c r="X297" s="52" t="s">
        <v>63</v>
      </c>
      <c r="Y297" s="124" t="s">
        <v>83</v>
      </c>
      <c r="Z297" s="124"/>
      <c r="AA297" s="47" t="s">
        <v>59</v>
      </c>
      <c r="AB297" s="47" t="str">
        <f t="shared" si="135"/>
        <v>NA</v>
      </c>
      <c r="AC297" s="53">
        <f t="shared" si="136"/>
        <v>0</v>
      </c>
      <c r="AD297" s="54">
        <f t="shared" si="137"/>
        <v>1</v>
      </c>
      <c r="AE297" s="54"/>
      <c r="AF297" s="54"/>
      <c r="AG297" s="55">
        <v>1</v>
      </c>
      <c r="AH297" s="56">
        <v>14</v>
      </c>
      <c r="AI297" s="55"/>
      <c r="AJ297" s="56" t="str">
        <f t="shared" si="138"/>
        <v/>
      </c>
      <c r="AK297" s="55"/>
      <c r="AL297" s="56" t="str">
        <f t="shared" si="139"/>
        <v/>
      </c>
      <c r="AM297" s="55">
        <v>1</v>
      </c>
      <c r="AN297" s="56">
        <v>9</v>
      </c>
      <c r="AO297" s="55"/>
      <c r="AP297" s="56" t="str">
        <f t="shared" si="140"/>
        <v/>
      </c>
      <c r="AQ297" s="55"/>
      <c r="AR297" s="56" t="str">
        <f t="shared" si="141"/>
        <v/>
      </c>
      <c r="AS297" s="57"/>
      <c r="AT297" s="58"/>
      <c r="AU297" s="58"/>
      <c r="AV297" s="59"/>
      <c r="AW297" s="60">
        <v>1</v>
      </c>
      <c r="AX297" s="61">
        <f t="shared" si="123"/>
        <v>1</v>
      </c>
      <c r="AY297" s="60">
        <v>1</v>
      </c>
      <c r="AZ297" s="61">
        <f t="shared" si="125"/>
        <v>1</v>
      </c>
    </row>
    <row r="298" spans="1:52" s="3" customFormat="1" hidden="1" x14ac:dyDescent="0.35">
      <c r="A298" s="72">
        <f t="shared" si="126"/>
        <v>2019</v>
      </c>
      <c r="B298" s="72" t="str">
        <f t="shared" si="127"/>
        <v>Nov</v>
      </c>
      <c r="C298" s="73">
        <f t="shared" si="142"/>
        <v>18</v>
      </c>
      <c r="D298" s="74">
        <f t="shared" si="128"/>
        <v>13</v>
      </c>
      <c r="E298" s="75">
        <v>21</v>
      </c>
      <c r="F298" s="79">
        <v>6</v>
      </c>
      <c r="G298" s="82"/>
      <c r="H298" s="68" t="str">
        <f t="shared" si="143"/>
        <v>Senbur7_20191118_13_00</v>
      </c>
      <c r="I298" s="69">
        <f t="shared" si="149"/>
        <v>1</v>
      </c>
      <c r="J298" s="76" t="str">
        <f t="shared" si="149"/>
        <v>Senecio</v>
      </c>
      <c r="K298" s="76" t="str">
        <f t="shared" si="149"/>
        <v>burtoni</v>
      </c>
      <c r="L298" s="77">
        <f t="shared" si="149"/>
        <v>0</v>
      </c>
      <c r="M298" s="77">
        <f t="shared" si="149"/>
        <v>7</v>
      </c>
      <c r="N298" s="71">
        <f t="shared" si="149"/>
        <v>0</v>
      </c>
      <c r="O298" s="44"/>
      <c r="P298" s="45">
        <f t="shared" si="130"/>
        <v>1</v>
      </c>
      <c r="Q298" s="46" t="str">
        <f t="shared" si="131"/>
        <v>13:21:06</v>
      </c>
      <c r="R298" s="47" t="str">
        <f t="shared" si="132"/>
        <v>21:06</v>
      </c>
      <c r="S298" s="48">
        <f t="shared" si="121"/>
        <v>1</v>
      </c>
      <c r="T298" s="47" t="str">
        <f t="shared" si="133"/>
        <v>13</v>
      </c>
      <c r="U298" s="49">
        <v>21</v>
      </c>
      <c r="V298" s="50">
        <v>7</v>
      </c>
      <c r="W298" s="51" t="str">
        <f t="shared" si="134"/>
        <v>21:07</v>
      </c>
      <c r="X298" s="52" t="s">
        <v>63</v>
      </c>
      <c r="Y298" s="124" t="s">
        <v>82</v>
      </c>
      <c r="Z298" s="124"/>
      <c r="AA298" s="47" t="s">
        <v>59</v>
      </c>
      <c r="AB298" s="47" t="str">
        <f t="shared" si="135"/>
        <v>NA</v>
      </c>
      <c r="AC298" s="53">
        <f t="shared" si="136"/>
        <v>0</v>
      </c>
      <c r="AD298" s="54">
        <f t="shared" si="137"/>
        <v>1</v>
      </c>
      <c r="AE298" s="54"/>
      <c r="AF298" s="54"/>
      <c r="AG298" s="55">
        <v>1</v>
      </c>
      <c r="AH298" s="56">
        <f t="shared" si="145"/>
        <v>1</v>
      </c>
      <c r="AI298" s="55"/>
      <c r="AJ298" s="56" t="str">
        <f t="shared" si="138"/>
        <v/>
      </c>
      <c r="AK298" s="55"/>
      <c r="AL298" s="56" t="str">
        <f t="shared" si="139"/>
        <v/>
      </c>
      <c r="AM298" s="55"/>
      <c r="AN298" s="56" t="str">
        <f t="shared" si="146"/>
        <v/>
      </c>
      <c r="AO298" s="55"/>
      <c r="AP298" s="56" t="str">
        <f t="shared" si="140"/>
        <v/>
      </c>
      <c r="AQ298" s="55"/>
      <c r="AR298" s="56" t="str">
        <f t="shared" si="141"/>
        <v/>
      </c>
      <c r="AS298" s="57"/>
      <c r="AT298" s="58"/>
      <c r="AU298" s="58"/>
      <c r="AV298" s="59"/>
      <c r="AW298" s="60">
        <f t="shared" si="122"/>
        <v>0</v>
      </c>
      <c r="AX298" s="61" t="str">
        <f t="shared" si="123"/>
        <v/>
      </c>
      <c r="AY298" s="60">
        <f t="shared" si="124"/>
        <v>0</v>
      </c>
      <c r="AZ298" s="61" t="str">
        <f t="shared" si="125"/>
        <v/>
      </c>
    </row>
    <row r="299" spans="1:52" s="3" customFormat="1" hidden="1" x14ac:dyDescent="0.35">
      <c r="A299" s="72">
        <f t="shared" si="126"/>
        <v>2019</v>
      </c>
      <c r="B299" s="72" t="str">
        <f t="shared" si="127"/>
        <v>Nov</v>
      </c>
      <c r="C299" s="73">
        <f t="shared" si="142"/>
        <v>18</v>
      </c>
      <c r="D299" s="74">
        <f t="shared" si="128"/>
        <v>13</v>
      </c>
      <c r="E299" s="75">
        <v>21</v>
      </c>
      <c r="F299" s="79">
        <v>28</v>
      </c>
      <c r="G299" s="82"/>
      <c r="H299" s="68" t="str">
        <f t="shared" si="143"/>
        <v>Senbur7_20191118_13_00</v>
      </c>
      <c r="I299" s="69">
        <f t="shared" si="149"/>
        <v>1</v>
      </c>
      <c r="J299" s="76" t="str">
        <f t="shared" si="149"/>
        <v>Senecio</v>
      </c>
      <c r="K299" s="76" t="str">
        <f t="shared" si="149"/>
        <v>burtoni</v>
      </c>
      <c r="L299" s="77">
        <f t="shared" si="149"/>
        <v>0</v>
      </c>
      <c r="M299" s="77">
        <f t="shared" si="149"/>
        <v>7</v>
      </c>
      <c r="N299" s="71">
        <f t="shared" si="149"/>
        <v>0</v>
      </c>
      <c r="O299" s="44"/>
      <c r="P299" s="45">
        <f t="shared" si="130"/>
        <v>1</v>
      </c>
      <c r="Q299" s="46" t="str">
        <f t="shared" si="131"/>
        <v>13:21:28</v>
      </c>
      <c r="R299" s="47" t="str">
        <f t="shared" si="132"/>
        <v>21:28</v>
      </c>
      <c r="S299" s="48">
        <f t="shared" si="121"/>
        <v>15</v>
      </c>
      <c r="T299" s="47" t="str">
        <f t="shared" si="133"/>
        <v>13</v>
      </c>
      <c r="U299" s="49">
        <v>21</v>
      </c>
      <c r="V299" s="50">
        <v>43</v>
      </c>
      <c r="W299" s="51" t="str">
        <f t="shared" si="134"/>
        <v>21:43</v>
      </c>
      <c r="X299" s="52" t="s">
        <v>63</v>
      </c>
      <c r="Y299" s="124" t="s">
        <v>83</v>
      </c>
      <c r="Z299" s="124"/>
      <c r="AA299" s="47" t="s">
        <v>59</v>
      </c>
      <c r="AB299" s="47" t="str">
        <f t="shared" si="135"/>
        <v>NA</v>
      </c>
      <c r="AC299" s="53">
        <f t="shared" si="136"/>
        <v>0</v>
      </c>
      <c r="AD299" s="54">
        <v>2</v>
      </c>
      <c r="AE299" s="54"/>
      <c r="AF299" s="54"/>
      <c r="AG299" s="55">
        <v>1</v>
      </c>
      <c r="AH299" s="56">
        <v>7</v>
      </c>
      <c r="AI299" s="55"/>
      <c r="AJ299" s="56" t="str">
        <f t="shared" si="138"/>
        <v/>
      </c>
      <c r="AK299" s="55"/>
      <c r="AL299" s="56" t="str">
        <f t="shared" si="139"/>
        <v/>
      </c>
      <c r="AM299" s="55">
        <v>1</v>
      </c>
      <c r="AN299" s="56">
        <v>8</v>
      </c>
      <c r="AO299" s="55"/>
      <c r="AP299" s="56" t="str">
        <f t="shared" si="140"/>
        <v/>
      </c>
      <c r="AQ299" s="55"/>
      <c r="AR299" s="56" t="str">
        <f t="shared" si="141"/>
        <v/>
      </c>
      <c r="AS299" s="57"/>
      <c r="AT299" s="58"/>
      <c r="AU299" s="58"/>
      <c r="AV299" s="59"/>
      <c r="AW299" s="60">
        <v>1</v>
      </c>
      <c r="AX299" s="61">
        <f t="shared" si="123"/>
        <v>2</v>
      </c>
      <c r="AY299" s="60">
        <f t="shared" si="124"/>
        <v>0</v>
      </c>
      <c r="AZ299" s="61" t="str">
        <f t="shared" si="125"/>
        <v/>
      </c>
    </row>
    <row r="300" spans="1:52" s="3" customFormat="1" hidden="1" x14ac:dyDescent="0.35">
      <c r="A300" s="72">
        <f t="shared" si="126"/>
        <v>2019</v>
      </c>
      <c r="B300" s="72" t="str">
        <f t="shared" si="127"/>
        <v>Nov</v>
      </c>
      <c r="C300" s="73">
        <f t="shared" si="142"/>
        <v>18</v>
      </c>
      <c r="D300" s="74">
        <f t="shared" si="128"/>
        <v>13</v>
      </c>
      <c r="E300" s="75">
        <f t="shared" si="129"/>
        <v>22</v>
      </c>
      <c r="F300" s="79">
        <v>58</v>
      </c>
      <c r="G300" s="82"/>
      <c r="H300" s="68" t="str">
        <f t="shared" si="143"/>
        <v>Senbur7_20191118_13_00</v>
      </c>
      <c r="I300" s="69">
        <f t="shared" si="149"/>
        <v>1</v>
      </c>
      <c r="J300" s="76" t="str">
        <f t="shared" si="149"/>
        <v>Senecio</v>
      </c>
      <c r="K300" s="76" t="str">
        <f t="shared" si="149"/>
        <v>burtoni</v>
      </c>
      <c r="L300" s="77">
        <f t="shared" si="149"/>
        <v>0</v>
      </c>
      <c r="M300" s="77">
        <f t="shared" si="149"/>
        <v>7</v>
      </c>
      <c r="N300" s="71">
        <f t="shared" si="149"/>
        <v>0</v>
      </c>
      <c r="O300" s="44"/>
      <c r="P300" s="45">
        <f t="shared" si="130"/>
        <v>1</v>
      </c>
      <c r="Q300" s="46" t="str">
        <f t="shared" si="131"/>
        <v>13:22:58</v>
      </c>
      <c r="R300" s="47" t="str">
        <f t="shared" si="132"/>
        <v>22:58</v>
      </c>
      <c r="S300" s="48">
        <f t="shared" si="121"/>
        <v>55</v>
      </c>
      <c r="T300" s="47" t="str">
        <f t="shared" si="133"/>
        <v>13</v>
      </c>
      <c r="U300" s="49">
        <v>23</v>
      </c>
      <c r="V300" s="50">
        <v>53</v>
      </c>
      <c r="W300" s="51" t="str">
        <f t="shared" si="134"/>
        <v>23:53</v>
      </c>
      <c r="X300" s="52" t="s">
        <v>63</v>
      </c>
      <c r="Y300" s="124" t="s">
        <v>83</v>
      </c>
      <c r="Z300" s="124"/>
      <c r="AA300" s="47" t="s">
        <v>59</v>
      </c>
      <c r="AB300" s="47" t="str">
        <f t="shared" si="135"/>
        <v>NA</v>
      </c>
      <c r="AC300" s="53">
        <f t="shared" si="136"/>
        <v>0</v>
      </c>
      <c r="AD300" s="54">
        <f t="shared" si="137"/>
        <v>1</v>
      </c>
      <c r="AE300" s="54"/>
      <c r="AF300" s="54"/>
      <c r="AG300" s="55">
        <v>1</v>
      </c>
      <c r="AH300" s="56">
        <v>30</v>
      </c>
      <c r="AI300" s="55"/>
      <c r="AJ300" s="56" t="str">
        <f t="shared" si="138"/>
        <v/>
      </c>
      <c r="AK300" s="55"/>
      <c r="AL300" s="56" t="str">
        <f t="shared" si="139"/>
        <v/>
      </c>
      <c r="AM300" s="55">
        <v>1</v>
      </c>
      <c r="AN300" s="56">
        <v>25</v>
      </c>
      <c r="AO300" s="55"/>
      <c r="AP300" s="56" t="str">
        <f t="shared" si="140"/>
        <v/>
      </c>
      <c r="AQ300" s="55"/>
      <c r="AR300" s="56" t="str">
        <f t="shared" si="141"/>
        <v/>
      </c>
      <c r="AS300" s="57"/>
      <c r="AT300" s="58"/>
      <c r="AU300" s="58"/>
      <c r="AV300" s="59"/>
      <c r="AW300" s="60">
        <v>1</v>
      </c>
      <c r="AX300" s="61">
        <f t="shared" si="123"/>
        <v>1</v>
      </c>
      <c r="AY300" s="60"/>
      <c r="AZ300" s="61" t="str">
        <f t="shared" si="125"/>
        <v/>
      </c>
    </row>
    <row r="301" spans="1:52" s="3" customFormat="1" hidden="1" x14ac:dyDescent="0.35">
      <c r="A301" s="72">
        <f t="shared" si="126"/>
        <v>2019</v>
      </c>
      <c r="B301" s="72" t="str">
        <f t="shared" si="127"/>
        <v>Nov</v>
      </c>
      <c r="C301" s="73">
        <f t="shared" si="142"/>
        <v>18</v>
      </c>
      <c r="D301" s="74">
        <f t="shared" si="128"/>
        <v>13</v>
      </c>
      <c r="E301" s="75">
        <f t="shared" si="129"/>
        <v>23</v>
      </c>
      <c r="F301" s="79"/>
      <c r="G301" s="82"/>
      <c r="H301" s="68" t="str">
        <f t="shared" si="143"/>
        <v>Senbur7_20191118_13_00</v>
      </c>
      <c r="I301" s="69">
        <f t="shared" si="149"/>
        <v>1</v>
      </c>
      <c r="J301" s="76" t="str">
        <f t="shared" si="149"/>
        <v>Senecio</v>
      </c>
      <c r="K301" s="76" t="str">
        <f t="shared" si="149"/>
        <v>burtoni</v>
      </c>
      <c r="L301" s="77">
        <f t="shared" si="149"/>
        <v>0</v>
      </c>
      <c r="M301" s="77">
        <f t="shared" si="149"/>
        <v>7</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47"/>
        <v/>
      </c>
      <c r="AH301" s="56" t="str">
        <f t="shared" si="145"/>
        <v/>
      </c>
      <c r="AI301" s="55"/>
      <c r="AJ301" s="56" t="str">
        <f t="shared" si="138"/>
        <v/>
      </c>
      <c r="AK301" s="55"/>
      <c r="AL301" s="56" t="str">
        <f t="shared" si="139"/>
        <v/>
      </c>
      <c r="AM301" s="55"/>
      <c r="AN301" s="56" t="str">
        <f t="shared" si="146"/>
        <v/>
      </c>
      <c r="AO301" s="55"/>
      <c r="AP301" s="56" t="str">
        <f t="shared" si="140"/>
        <v/>
      </c>
      <c r="AQ301" s="55"/>
      <c r="AR301" s="56" t="str">
        <f t="shared" si="141"/>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2"/>
        <v>18</v>
      </c>
      <c r="D302" s="74">
        <f t="shared" si="128"/>
        <v>13</v>
      </c>
      <c r="E302" s="75">
        <f t="shared" si="129"/>
        <v>24</v>
      </c>
      <c r="F302" s="79">
        <v>18</v>
      </c>
      <c r="G302" s="82"/>
      <c r="H302" s="68" t="str">
        <f t="shared" si="143"/>
        <v>Senbur7_20191118_13_00</v>
      </c>
      <c r="I302" s="69">
        <f t="shared" si="149"/>
        <v>1</v>
      </c>
      <c r="J302" s="76" t="str">
        <f t="shared" si="149"/>
        <v>Senecio</v>
      </c>
      <c r="K302" s="76" t="str">
        <f t="shared" si="149"/>
        <v>burtoni</v>
      </c>
      <c r="L302" s="77">
        <f t="shared" si="149"/>
        <v>0</v>
      </c>
      <c r="M302" s="77">
        <f t="shared" si="149"/>
        <v>7</v>
      </c>
      <c r="N302" s="71">
        <f t="shared" si="149"/>
        <v>0</v>
      </c>
      <c r="O302" s="44"/>
      <c r="P302" s="45">
        <f t="shared" si="130"/>
        <v>1</v>
      </c>
      <c r="Q302" s="46" t="str">
        <f t="shared" si="131"/>
        <v>13:24:18</v>
      </c>
      <c r="R302" s="47" t="str">
        <f t="shared" si="132"/>
        <v>24:18</v>
      </c>
      <c r="S302" s="48">
        <f t="shared" si="121"/>
        <v>7</v>
      </c>
      <c r="T302" s="47" t="str">
        <f t="shared" si="133"/>
        <v>13</v>
      </c>
      <c r="U302" s="49">
        <v>24</v>
      </c>
      <c r="V302" s="50">
        <v>25</v>
      </c>
      <c r="W302" s="51" t="str">
        <f t="shared" si="134"/>
        <v>24:25</v>
      </c>
      <c r="X302" s="52" t="s">
        <v>63</v>
      </c>
      <c r="Y302" s="124" t="s">
        <v>83</v>
      </c>
      <c r="Z302" s="124"/>
      <c r="AA302" s="47" t="s">
        <v>59</v>
      </c>
      <c r="AB302" s="47" t="str">
        <f t="shared" si="135"/>
        <v>NA</v>
      </c>
      <c r="AC302" s="53">
        <f t="shared" si="136"/>
        <v>0</v>
      </c>
      <c r="AD302" s="54">
        <f t="shared" si="137"/>
        <v>1</v>
      </c>
      <c r="AE302" s="54"/>
      <c r="AF302" s="54"/>
      <c r="AG302" s="55">
        <v>1</v>
      </c>
      <c r="AH302" s="56">
        <v>1</v>
      </c>
      <c r="AI302" s="55"/>
      <c r="AJ302" s="56" t="str">
        <f t="shared" si="138"/>
        <v/>
      </c>
      <c r="AK302" s="55"/>
      <c r="AL302" s="56" t="str">
        <f t="shared" si="139"/>
        <v/>
      </c>
      <c r="AM302" s="55">
        <v>1</v>
      </c>
      <c r="AN302" s="56">
        <v>6</v>
      </c>
      <c r="AO302" s="55"/>
      <c r="AP302" s="56" t="str">
        <f t="shared" si="140"/>
        <v/>
      </c>
      <c r="AQ302" s="55"/>
      <c r="AR302" s="56" t="str">
        <f t="shared" si="141"/>
        <v/>
      </c>
      <c r="AS302" s="57"/>
      <c r="AT302" s="58"/>
      <c r="AU302" s="58"/>
      <c r="AV302" s="59"/>
      <c r="AW302" s="60">
        <v>1</v>
      </c>
      <c r="AX302" s="61">
        <f t="shared" si="123"/>
        <v>1</v>
      </c>
      <c r="AY302" s="60">
        <v>1</v>
      </c>
      <c r="AZ302" s="61">
        <f t="shared" si="125"/>
        <v>1</v>
      </c>
    </row>
    <row r="303" spans="1:52" s="3" customFormat="1" hidden="1" x14ac:dyDescent="0.35">
      <c r="A303" s="72">
        <f t="shared" si="126"/>
        <v>2019</v>
      </c>
      <c r="B303" s="72" t="str">
        <f t="shared" si="127"/>
        <v>Nov</v>
      </c>
      <c r="C303" s="73">
        <f t="shared" si="142"/>
        <v>18</v>
      </c>
      <c r="D303" s="74">
        <f t="shared" si="128"/>
        <v>13</v>
      </c>
      <c r="E303" s="75">
        <v>24</v>
      </c>
      <c r="F303" s="79">
        <v>20</v>
      </c>
      <c r="G303" s="82"/>
      <c r="H303" s="68" t="str">
        <f t="shared" si="143"/>
        <v>Senbur7_20191118_13_00</v>
      </c>
      <c r="I303" s="69">
        <f t="shared" si="149"/>
        <v>1</v>
      </c>
      <c r="J303" s="76" t="str">
        <f t="shared" si="149"/>
        <v>Senecio</v>
      </c>
      <c r="K303" s="76" t="str">
        <f t="shared" si="149"/>
        <v>burtoni</v>
      </c>
      <c r="L303" s="77">
        <f t="shared" si="149"/>
        <v>0</v>
      </c>
      <c r="M303" s="77">
        <f t="shared" si="149"/>
        <v>7</v>
      </c>
      <c r="N303" s="71">
        <f t="shared" si="149"/>
        <v>0</v>
      </c>
      <c r="O303" s="44"/>
      <c r="P303" s="45">
        <f t="shared" si="130"/>
        <v>1</v>
      </c>
      <c r="Q303" s="46" t="str">
        <f t="shared" si="131"/>
        <v>13:24:20</v>
      </c>
      <c r="R303" s="47" t="str">
        <f t="shared" si="132"/>
        <v>24:20</v>
      </c>
      <c r="S303" s="48">
        <f t="shared" si="121"/>
        <v>21</v>
      </c>
      <c r="T303" s="47" t="str">
        <f t="shared" si="133"/>
        <v>13</v>
      </c>
      <c r="U303" s="49">
        <v>24</v>
      </c>
      <c r="V303" s="50">
        <v>41</v>
      </c>
      <c r="W303" s="51" t="str">
        <f t="shared" si="134"/>
        <v>24:41</v>
      </c>
      <c r="X303" s="84" t="s">
        <v>63</v>
      </c>
      <c r="Y303" s="124" t="s">
        <v>83</v>
      </c>
      <c r="Z303" s="125"/>
      <c r="AA303" s="47" t="s">
        <v>59</v>
      </c>
      <c r="AB303" s="47" t="str">
        <f t="shared" si="135"/>
        <v>NA</v>
      </c>
      <c r="AC303" s="53">
        <f t="shared" si="136"/>
        <v>0</v>
      </c>
      <c r="AD303" s="54">
        <v>3</v>
      </c>
      <c r="AE303" s="54"/>
      <c r="AF303" s="54"/>
      <c r="AG303" s="55">
        <v>1</v>
      </c>
      <c r="AH303" s="56">
        <v>14</v>
      </c>
      <c r="AI303" s="55"/>
      <c r="AJ303" s="56" t="str">
        <f t="shared" si="138"/>
        <v/>
      </c>
      <c r="AK303" s="55"/>
      <c r="AL303" s="56" t="str">
        <f t="shared" si="139"/>
        <v/>
      </c>
      <c r="AM303" s="55">
        <v>1</v>
      </c>
      <c r="AN303" s="56">
        <v>7</v>
      </c>
      <c r="AO303" s="55"/>
      <c r="AP303" s="56" t="str">
        <f t="shared" si="140"/>
        <v/>
      </c>
      <c r="AQ303" s="55"/>
      <c r="AR303" s="56" t="str">
        <f t="shared" si="141"/>
        <v/>
      </c>
      <c r="AS303" s="57"/>
      <c r="AT303" s="58"/>
      <c r="AU303" s="58"/>
      <c r="AV303" s="59"/>
      <c r="AW303" s="60">
        <v>1</v>
      </c>
      <c r="AX303" s="61">
        <f t="shared" si="123"/>
        <v>3</v>
      </c>
      <c r="AY303" s="60">
        <f t="shared" si="124"/>
        <v>0</v>
      </c>
      <c r="AZ303" s="61" t="str">
        <f t="shared" si="125"/>
        <v/>
      </c>
    </row>
    <row r="304" spans="1:52" s="3" customFormat="1" hidden="1" x14ac:dyDescent="0.35">
      <c r="A304" s="72">
        <f t="shared" si="126"/>
        <v>2019</v>
      </c>
      <c r="B304" s="72" t="str">
        <f t="shared" si="127"/>
        <v>Nov</v>
      </c>
      <c r="C304" s="73">
        <f t="shared" si="142"/>
        <v>18</v>
      </c>
      <c r="D304" s="74">
        <f t="shared" si="128"/>
        <v>13</v>
      </c>
      <c r="E304" s="75">
        <f t="shared" si="129"/>
        <v>25</v>
      </c>
      <c r="F304" s="79">
        <v>39</v>
      </c>
      <c r="G304" s="82"/>
      <c r="H304" s="68" t="str">
        <f t="shared" si="143"/>
        <v>Senbur7_20191118_13_00</v>
      </c>
      <c r="I304" s="69">
        <f t="shared" si="149"/>
        <v>1</v>
      </c>
      <c r="J304" s="76" t="str">
        <f t="shared" si="149"/>
        <v>Senecio</v>
      </c>
      <c r="K304" s="76" t="str">
        <f t="shared" si="149"/>
        <v>burtoni</v>
      </c>
      <c r="L304" s="77">
        <f t="shared" si="149"/>
        <v>0</v>
      </c>
      <c r="M304" s="77">
        <f t="shared" si="149"/>
        <v>7</v>
      </c>
      <c r="N304" s="71">
        <f t="shared" si="149"/>
        <v>0</v>
      </c>
      <c r="O304" s="44"/>
      <c r="P304" s="45">
        <f t="shared" si="130"/>
        <v>1</v>
      </c>
      <c r="Q304" s="46" t="str">
        <f t="shared" si="131"/>
        <v>13:25:39</v>
      </c>
      <c r="R304" s="47" t="str">
        <f t="shared" si="132"/>
        <v>25:39</v>
      </c>
      <c r="S304" s="48">
        <f t="shared" si="121"/>
        <v>11</v>
      </c>
      <c r="T304" s="47" t="str">
        <f t="shared" si="133"/>
        <v>13</v>
      </c>
      <c r="U304" s="49">
        <v>25</v>
      </c>
      <c r="V304" s="50">
        <v>50</v>
      </c>
      <c r="W304" s="51" t="str">
        <f t="shared" si="134"/>
        <v>25:50</v>
      </c>
      <c r="X304" s="52" t="s">
        <v>63</v>
      </c>
      <c r="Y304" s="124" t="s">
        <v>82</v>
      </c>
      <c r="Z304" s="124"/>
      <c r="AA304" s="47" t="s">
        <v>59</v>
      </c>
      <c r="AB304" s="47" t="str">
        <f t="shared" si="135"/>
        <v>NA</v>
      </c>
      <c r="AC304" s="53">
        <f t="shared" si="136"/>
        <v>0</v>
      </c>
      <c r="AD304" s="54">
        <f t="shared" si="137"/>
        <v>1</v>
      </c>
      <c r="AE304" s="54"/>
      <c r="AF304" s="54"/>
      <c r="AG304" s="55">
        <v>1</v>
      </c>
      <c r="AH304" s="56">
        <v>2</v>
      </c>
      <c r="AI304" s="55"/>
      <c r="AJ304" s="56" t="str">
        <f t="shared" si="138"/>
        <v/>
      </c>
      <c r="AK304" s="55"/>
      <c r="AL304" s="56" t="str">
        <f t="shared" si="139"/>
        <v/>
      </c>
      <c r="AM304" s="55">
        <v>1</v>
      </c>
      <c r="AN304" s="56">
        <v>9</v>
      </c>
      <c r="AO304" s="55"/>
      <c r="AP304" s="56" t="str">
        <f t="shared" si="140"/>
        <v/>
      </c>
      <c r="AQ304" s="55"/>
      <c r="AR304" s="56" t="str">
        <f t="shared" si="141"/>
        <v/>
      </c>
      <c r="AS304" s="57"/>
      <c r="AT304" s="58"/>
      <c r="AU304" s="58"/>
      <c r="AV304" s="59"/>
      <c r="AW304" s="60">
        <v>1</v>
      </c>
      <c r="AX304" s="61">
        <f t="shared" si="123"/>
        <v>1</v>
      </c>
      <c r="AY304" s="60">
        <v>1</v>
      </c>
      <c r="AZ304" s="61">
        <f t="shared" si="125"/>
        <v>1</v>
      </c>
    </row>
    <row r="305" spans="1:52" s="3" customFormat="1" hidden="1" x14ac:dyDescent="0.35">
      <c r="A305" s="72">
        <f t="shared" si="126"/>
        <v>2019</v>
      </c>
      <c r="B305" s="72" t="str">
        <f t="shared" si="127"/>
        <v>Nov</v>
      </c>
      <c r="C305" s="73">
        <f t="shared" si="142"/>
        <v>18</v>
      </c>
      <c r="D305" s="74">
        <f t="shared" si="128"/>
        <v>13</v>
      </c>
      <c r="E305" s="75">
        <f t="shared" si="129"/>
        <v>26</v>
      </c>
      <c r="F305" s="79"/>
      <c r="G305" s="82"/>
      <c r="H305" s="68" t="str">
        <f t="shared" si="143"/>
        <v>Senbur7_20191118_13_00</v>
      </c>
      <c r="I305" s="69">
        <f t="shared" si="149"/>
        <v>1</v>
      </c>
      <c r="J305" s="76" t="str">
        <f t="shared" si="149"/>
        <v>Senecio</v>
      </c>
      <c r="K305" s="76" t="str">
        <f t="shared" si="149"/>
        <v>burtoni</v>
      </c>
      <c r="L305" s="77">
        <f t="shared" si="149"/>
        <v>0</v>
      </c>
      <c r="M305" s="77">
        <f t="shared" si="149"/>
        <v>7</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47"/>
        <v/>
      </c>
      <c r="AH305" s="56" t="str">
        <f t="shared" si="145"/>
        <v/>
      </c>
      <c r="AI305" s="55"/>
      <c r="AJ305" s="56" t="str">
        <f t="shared" si="138"/>
        <v/>
      </c>
      <c r="AK305" s="55"/>
      <c r="AL305" s="56" t="str">
        <f t="shared" si="139"/>
        <v/>
      </c>
      <c r="AM305" s="55"/>
      <c r="AN305" s="56" t="str">
        <f t="shared" si="146"/>
        <v/>
      </c>
      <c r="AO305" s="55"/>
      <c r="AP305" s="56" t="str">
        <f t="shared" si="140"/>
        <v/>
      </c>
      <c r="AQ305" s="55"/>
      <c r="AR305" s="56" t="str">
        <f t="shared" si="141"/>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2"/>
        <v>18</v>
      </c>
      <c r="D306" s="74">
        <f t="shared" si="128"/>
        <v>13</v>
      </c>
      <c r="E306" s="75">
        <f t="shared" si="129"/>
        <v>27</v>
      </c>
      <c r="F306" s="79">
        <v>20</v>
      </c>
      <c r="G306" s="82"/>
      <c r="H306" s="68" t="str">
        <f t="shared" si="143"/>
        <v>Senbur7_20191118_13_00</v>
      </c>
      <c r="I306" s="69">
        <f t="shared" si="149"/>
        <v>1</v>
      </c>
      <c r="J306" s="76" t="str">
        <f t="shared" si="149"/>
        <v>Senecio</v>
      </c>
      <c r="K306" s="76" t="str">
        <f t="shared" si="149"/>
        <v>burtoni</v>
      </c>
      <c r="L306" s="77">
        <f t="shared" si="149"/>
        <v>0</v>
      </c>
      <c r="M306" s="77">
        <f t="shared" si="149"/>
        <v>7</v>
      </c>
      <c r="N306" s="71">
        <f t="shared" si="149"/>
        <v>0</v>
      </c>
      <c r="O306" s="44"/>
      <c r="P306" s="45">
        <f t="shared" si="130"/>
        <v>1</v>
      </c>
      <c r="Q306" s="46" t="str">
        <f t="shared" si="131"/>
        <v>13:27:20</v>
      </c>
      <c r="R306" s="47" t="str">
        <f t="shared" si="132"/>
        <v>27:20</v>
      </c>
      <c r="S306" s="48">
        <f t="shared" si="121"/>
        <v>3</v>
      </c>
      <c r="T306" s="47" t="str">
        <f t="shared" si="133"/>
        <v>13</v>
      </c>
      <c r="U306" s="49">
        <v>27</v>
      </c>
      <c r="V306" s="50">
        <v>23</v>
      </c>
      <c r="W306" s="51" t="str">
        <f t="shared" si="134"/>
        <v>27:23</v>
      </c>
      <c r="X306" s="52" t="s">
        <v>63</v>
      </c>
      <c r="Y306" s="124" t="s">
        <v>91</v>
      </c>
      <c r="Z306" s="124"/>
      <c r="AA306" s="47" t="s">
        <v>59</v>
      </c>
      <c r="AB306" s="47" t="str">
        <f t="shared" si="135"/>
        <v>NA</v>
      </c>
      <c r="AC306" s="53">
        <f t="shared" si="136"/>
        <v>0</v>
      </c>
      <c r="AD306" s="54">
        <f t="shared" si="137"/>
        <v>1</v>
      </c>
      <c r="AE306" s="54"/>
      <c r="AF306" s="54"/>
      <c r="AG306" s="55">
        <v>1</v>
      </c>
      <c r="AH306" s="56">
        <f t="shared" si="145"/>
        <v>3</v>
      </c>
      <c r="AI306" s="55"/>
      <c r="AJ306" s="56" t="str">
        <f t="shared" si="138"/>
        <v/>
      </c>
      <c r="AK306" s="55"/>
      <c r="AL306" s="56" t="str">
        <f t="shared" si="139"/>
        <v/>
      </c>
      <c r="AM306" s="55"/>
      <c r="AN306" s="56" t="str">
        <f t="shared" si="146"/>
        <v/>
      </c>
      <c r="AO306" s="55"/>
      <c r="AP306" s="56" t="str">
        <f t="shared" si="140"/>
        <v/>
      </c>
      <c r="AQ306" s="55"/>
      <c r="AR306" s="56" t="str">
        <f t="shared" si="141"/>
        <v/>
      </c>
      <c r="AS306" s="57"/>
      <c r="AT306" s="58"/>
      <c r="AU306" s="58"/>
      <c r="AV306" s="59"/>
      <c r="AW306" s="60">
        <v>1</v>
      </c>
      <c r="AX306" s="61">
        <f t="shared" si="123"/>
        <v>1</v>
      </c>
      <c r="AY306" s="60">
        <f t="shared" si="124"/>
        <v>0</v>
      </c>
      <c r="AZ306" s="61" t="str">
        <f t="shared" si="125"/>
        <v/>
      </c>
    </row>
    <row r="307" spans="1:52" s="3" customFormat="1" hidden="1" x14ac:dyDescent="0.35">
      <c r="A307" s="72">
        <f t="shared" si="126"/>
        <v>2019</v>
      </c>
      <c r="B307" s="72" t="str">
        <f t="shared" si="127"/>
        <v>Nov</v>
      </c>
      <c r="C307" s="73">
        <f t="shared" si="142"/>
        <v>18</v>
      </c>
      <c r="D307" s="74">
        <f t="shared" si="128"/>
        <v>13</v>
      </c>
      <c r="E307" s="75">
        <v>27</v>
      </c>
      <c r="F307" s="79">
        <v>33</v>
      </c>
      <c r="G307" s="82"/>
      <c r="H307" s="68" t="str">
        <f t="shared" si="143"/>
        <v>Senbur7_20191118_13_00</v>
      </c>
      <c r="I307" s="69">
        <f t="shared" si="149"/>
        <v>1</v>
      </c>
      <c r="J307" s="76" t="str">
        <f t="shared" si="149"/>
        <v>Senecio</v>
      </c>
      <c r="K307" s="76" t="str">
        <f t="shared" si="149"/>
        <v>burtoni</v>
      </c>
      <c r="L307" s="77">
        <f t="shared" si="149"/>
        <v>0</v>
      </c>
      <c r="M307" s="77">
        <f t="shared" si="149"/>
        <v>7</v>
      </c>
      <c r="N307" s="71">
        <f t="shared" si="149"/>
        <v>0</v>
      </c>
      <c r="O307" s="44"/>
      <c r="P307" s="45">
        <f t="shared" si="130"/>
        <v>1</v>
      </c>
      <c r="Q307" s="46" t="str">
        <f t="shared" si="131"/>
        <v>13:27:33</v>
      </c>
      <c r="R307" s="47" t="str">
        <f t="shared" si="132"/>
        <v>27:33</v>
      </c>
      <c r="S307" s="48">
        <f t="shared" si="121"/>
        <v>5</v>
      </c>
      <c r="T307" s="47" t="str">
        <f t="shared" si="133"/>
        <v>13</v>
      </c>
      <c r="U307" s="49">
        <v>27</v>
      </c>
      <c r="V307" s="50">
        <v>38</v>
      </c>
      <c r="W307" s="51" t="str">
        <f t="shared" si="134"/>
        <v>27:38</v>
      </c>
      <c r="X307" s="52" t="s">
        <v>63</v>
      </c>
      <c r="Y307" s="124" t="s">
        <v>83</v>
      </c>
      <c r="Z307" s="124"/>
      <c r="AA307" s="47" t="s">
        <v>59</v>
      </c>
      <c r="AB307" s="47" t="str">
        <f t="shared" si="135"/>
        <v>NA</v>
      </c>
      <c r="AC307" s="53">
        <f t="shared" si="136"/>
        <v>0</v>
      </c>
      <c r="AD307" s="54">
        <f t="shared" si="137"/>
        <v>1</v>
      </c>
      <c r="AE307" s="54"/>
      <c r="AF307" s="54"/>
      <c r="AG307" s="55" t="str">
        <f t="shared" si="147"/>
        <v/>
      </c>
      <c r="AH307" s="56" t="str">
        <f t="shared" si="145"/>
        <v/>
      </c>
      <c r="AI307" s="55"/>
      <c r="AJ307" s="56" t="str">
        <f t="shared" si="138"/>
        <v/>
      </c>
      <c r="AK307" s="55"/>
      <c r="AL307" s="56" t="str">
        <f t="shared" si="139"/>
        <v/>
      </c>
      <c r="AM307" s="55">
        <v>1</v>
      </c>
      <c r="AN307" s="56">
        <f t="shared" si="146"/>
        <v>5</v>
      </c>
      <c r="AO307" s="55"/>
      <c r="AP307" s="56" t="str">
        <f t="shared" si="140"/>
        <v/>
      </c>
      <c r="AQ307" s="55"/>
      <c r="AR307" s="56" t="str">
        <f t="shared" si="141"/>
        <v/>
      </c>
      <c r="AS307" s="57"/>
      <c r="AT307" s="58"/>
      <c r="AU307" s="58"/>
      <c r="AV307" s="59"/>
      <c r="AW307" s="60">
        <v>1</v>
      </c>
      <c r="AX307" s="61">
        <f t="shared" si="123"/>
        <v>1</v>
      </c>
      <c r="AY307" s="60">
        <v>1</v>
      </c>
      <c r="AZ307" s="61">
        <f t="shared" si="125"/>
        <v>1</v>
      </c>
    </row>
    <row r="308" spans="1:52" s="3" customFormat="1" hidden="1" x14ac:dyDescent="0.35">
      <c r="A308" s="72">
        <f t="shared" si="126"/>
        <v>2019</v>
      </c>
      <c r="B308" s="72" t="str">
        <f t="shared" si="127"/>
        <v>Nov</v>
      </c>
      <c r="C308" s="73">
        <f t="shared" si="142"/>
        <v>18</v>
      </c>
      <c r="D308" s="74">
        <f t="shared" si="128"/>
        <v>13</v>
      </c>
      <c r="E308" s="75">
        <v>27</v>
      </c>
      <c r="F308" s="79">
        <v>36</v>
      </c>
      <c r="G308" s="82"/>
      <c r="H308" s="68" t="str">
        <f t="shared" si="143"/>
        <v>Senbur7_20191118_13_00</v>
      </c>
      <c r="I308" s="69">
        <f t="shared" si="149"/>
        <v>1</v>
      </c>
      <c r="J308" s="76" t="str">
        <f t="shared" si="149"/>
        <v>Senecio</v>
      </c>
      <c r="K308" s="76" t="str">
        <f t="shared" si="149"/>
        <v>burtoni</v>
      </c>
      <c r="L308" s="77">
        <f t="shared" si="149"/>
        <v>0</v>
      </c>
      <c r="M308" s="77">
        <f t="shared" si="149"/>
        <v>7</v>
      </c>
      <c r="N308" s="71">
        <f t="shared" si="149"/>
        <v>0</v>
      </c>
      <c r="O308" s="44"/>
      <c r="P308" s="45">
        <f t="shared" si="130"/>
        <v>1</v>
      </c>
      <c r="Q308" s="46" t="str">
        <f t="shared" si="131"/>
        <v>13:27:36</v>
      </c>
      <c r="R308" s="47" t="str">
        <f t="shared" si="132"/>
        <v>27:36</v>
      </c>
      <c r="S308" s="48">
        <f t="shared" si="121"/>
        <v>7</v>
      </c>
      <c r="T308" s="47" t="str">
        <f t="shared" si="133"/>
        <v>13</v>
      </c>
      <c r="U308" s="49">
        <v>27</v>
      </c>
      <c r="V308" s="50">
        <v>43</v>
      </c>
      <c r="W308" s="51" t="str">
        <f t="shared" si="134"/>
        <v>27:43</v>
      </c>
      <c r="X308" s="52" t="s">
        <v>63</v>
      </c>
      <c r="Y308" s="124" t="s">
        <v>83</v>
      </c>
      <c r="Z308" s="124"/>
      <c r="AA308" s="47" t="s">
        <v>59</v>
      </c>
      <c r="AB308" s="47" t="str">
        <f t="shared" si="135"/>
        <v>NA</v>
      </c>
      <c r="AC308" s="53">
        <f t="shared" si="136"/>
        <v>0</v>
      </c>
      <c r="AD308" s="54">
        <f t="shared" si="137"/>
        <v>1</v>
      </c>
      <c r="AE308" s="54"/>
      <c r="AF308" s="54"/>
      <c r="AG308" s="55">
        <v>1</v>
      </c>
      <c r="AH308" s="56">
        <v>4</v>
      </c>
      <c r="AI308" s="55"/>
      <c r="AJ308" s="56" t="str">
        <f t="shared" si="138"/>
        <v/>
      </c>
      <c r="AK308" s="55"/>
      <c r="AL308" s="56" t="str">
        <f t="shared" si="139"/>
        <v/>
      </c>
      <c r="AM308" s="55">
        <v>1</v>
      </c>
      <c r="AN308" s="56">
        <v>3</v>
      </c>
      <c r="AO308" s="55"/>
      <c r="AP308" s="56" t="str">
        <f t="shared" si="140"/>
        <v/>
      </c>
      <c r="AQ308" s="55"/>
      <c r="AR308" s="56" t="str">
        <f t="shared" si="141"/>
        <v/>
      </c>
      <c r="AS308" s="57"/>
      <c r="AT308" s="58"/>
      <c r="AU308" s="58"/>
      <c r="AV308" s="59"/>
      <c r="AW308" s="60">
        <v>1</v>
      </c>
      <c r="AX308" s="61">
        <f t="shared" si="123"/>
        <v>1</v>
      </c>
      <c r="AY308" s="60">
        <f t="shared" si="124"/>
        <v>0</v>
      </c>
      <c r="AZ308" s="61" t="str">
        <f t="shared" si="125"/>
        <v/>
      </c>
    </row>
    <row r="309" spans="1:52" s="3" customFormat="1" hidden="1" x14ac:dyDescent="0.35">
      <c r="A309" s="72">
        <f t="shared" si="126"/>
        <v>2019</v>
      </c>
      <c r="B309" s="72" t="str">
        <f t="shared" si="127"/>
        <v>Nov</v>
      </c>
      <c r="C309" s="73">
        <f t="shared" si="142"/>
        <v>18</v>
      </c>
      <c r="D309" s="74">
        <f t="shared" si="128"/>
        <v>13</v>
      </c>
      <c r="E309" s="75">
        <v>27</v>
      </c>
      <c r="F309" s="79">
        <v>47</v>
      </c>
      <c r="G309" s="82"/>
      <c r="H309" s="68" t="str">
        <f t="shared" si="143"/>
        <v>Senbur7_20191118_13_00</v>
      </c>
      <c r="I309" s="69">
        <f t="shared" ref="I309:N324" si="150">I308</f>
        <v>1</v>
      </c>
      <c r="J309" s="76" t="str">
        <f t="shared" si="150"/>
        <v>Senecio</v>
      </c>
      <c r="K309" s="76" t="str">
        <f t="shared" si="150"/>
        <v>burtoni</v>
      </c>
      <c r="L309" s="77">
        <f t="shared" si="150"/>
        <v>0</v>
      </c>
      <c r="M309" s="77">
        <f t="shared" si="150"/>
        <v>7</v>
      </c>
      <c r="N309" s="71">
        <f t="shared" si="150"/>
        <v>0</v>
      </c>
      <c r="O309" s="44"/>
      <c r="P309" s="45">
        <f t="shared" si="130"/>
        <v>1</v>
      </c>
      <c r="Q309" s="46" t="str">
        <f t="shared" si="131"/>
        <v>13:27:47</v>
      </c>
      <c r="R309" s="47" t="str">
        <f t="shared" si="132"/>
        <v>27:47</v>
      </c>
      <c r="S309" s="48">
        <f t="shared" si="121"/>
        <v>20</v>
      </c>
      <c r="T309" s="47" t="str">
        <f t="shared" si="133"/>
        <v>13</v>
      </c>
      <c r="U309" s="49">
        <v>28</v>
      </c>
      <c r="V309" s="50">
        <v>7</v>
      </c>
      <c r="W309" s="51" t="str">
        <f t="shared" si="134"/>
        <v>28:07</v>
      </c>
      <c r="X309" s="52" t="s">
        <v>63</v>
      </c>
      <c r="Y309" s="124" t="s">
        <v>83</v>
      </c>
      <c r="Z309" s="124"/>
      <c r="AA309" s="47" t="s">
        <v>59</v>
      </c>
      <c r="AB309" s="47" t="str">
        <f t="shared" si="135"/>
        <v>NA</v>
      </c>
      <c r="AC309" s="53">
        <f t="shared" si="136"/>
        <v>0</v>
      </c>
      <c r="AD309" s="54">
        <v>4</v>
      </c>
      <c r="AE309" s="54"/>
      <c r="AF309" s="54"/>
      <c r="AG309" s="55">
        <v>1</v>
      </c>
      <c r="AH309" s="56">
        <v>16</v>
      </c>
      <c r="AI309" s="55"/>
      <c r="AJ309" s="56" t="str">
        <f t="shared" si="138"/>
        <v/>
      </c>
      <c r="AK309" s="55"/>
      <c r="AL309" s="56" t="str">
        <f t="shared" si="139"/>
        <v/>
      </c>
      <c r="AM309" s="55">
        <v>1</v>
      </c>
      <c r="AN309" s="56">
        <v>4</v>
      </c>
      <c r="AO309" s="55"/>
      <c r="AP309" s="56" t="str">
        <f t="shared" si="140"/>
        <v/>
      </c>
      <c r="AQ309" s="55"/>
      <c r="AR309" s="56" t="str">
        <f t="shared" si="141"/>
        <v/>
      </c>
      <c r="AS309" s="57"/>
      <c r="AT309" s="58"/>
      <c r="AU309" s="58"/>
      <c r="AV309" s="59"/>
      <c r="AW309" s="60">
        <v>1</v>
      </c>
      <c r="AX309" s="61">
        <v>1</v>
      </c>
      <c r="AY309" s="60">
        <v>1</v>
      </c>
      <c r="AZ309" s="61">
        <v>1</v>
      </c>
    </row>
    <row r="310" spans="1:52" s="3" customFormat="1" hidden="1" x14ac:dyDescent="0.35">
      <c r="A310" s="72">
        <f t="shared" si="126"/>
        <v>2019</v>
      </c>
      <c r="B310" s="72" t="str">
        <f t="shared" si="127"/>
        <v>Nov</v>
      </c>
      <c r="C310" s="73">
        <f t="shared" si="142"/>
        <v>18</v>
      </c>
      <c r="D310" s="74">
        <f t="shared" si="128"/>
        <v>13</v>
      </c>
      <c r="E310" s="75">
        <f t="shared" si="129"/>
        <v>28</v>
      </c>
      <c r="F310" s="79">
        <v>37</v>
      </c>
      <c r="G310" s="82"/>
      <c r="H310" s="68" t="str">
        <f t="shared" si="143"/>
        <v>Senbur7_20191118_13_00</v>
      </c>
      <c r="I310" s="69">
        <f t="shared" si="150"/>
        <v>1</v>
      </c>
      <c r="J310" s="76" t="str">
        <f t="shared" si="150"/>
        <v>Senecio</v>
      </c>
      <c r="K310" s="76" t="str">
        <f t="shared" si="150"/>
        <v>burtoni</v>
      </c>
      <c r="L310" s="77">
        <f t="shared" si="150"/>
        <v>0</v>
      </c>
      <c r="M310" s="77">
        <f t="shared" si="150"/>
        <v>7</v>
      </c>
      <c r="N310" s="71">
        <f t="shared" si="150"/>
        <v>0</v>
      </c>
      <c r="O310" s="44"/>
      <c r="P310" s="45">
        <f t="shared" si="130"/>
        <v>1</v>
      </c>
      <c r="Q310" s="46" t="str">
        <f t="shared" si="131"/>
        <v>13:28:37</v>
      </c>
      <c r="R310" s="47" t="str">
        <f t="shared" si="132"/>
        <v>28:37</v>
      </c>
      <c r="S310" s="48">
        <f t="shared" si="121"/>
        <v>10</v>
      </c>
      <c r="T310" s="47" t="str">
        <f t="shared" si="133"/>
        <v>13</v>
      </c>
      <c r="U310" s="49">
        <v>28</v>
      </c>
      <c r="V310" s="50">
        <v>47</v>
      </c>
      <c r="W310" s="51" t="str">
        <f t="shared" si="134"/>
        <v>28:47</v>
      </c>
      <c r="X310" s="52" t="s">
        <v>63</v>
      </c>
      <c r="Y310" s="124" t="s">
        <v>82</v>
      </c>
      <c r="Z310" s="124"/>
      <c r="AA310" s="47" t="s">
        <v>59</v>
      </c>
      <c r="AB310" s="47" t="str">
        <f t="shared" si="135"/>
        <v>NA</v>
      </c>
      <c r="AC310" s="53">
        <f t="shared" si="136"/>
        <v>0</v>
      </c>
      <c r="AD310" s="54">
        <f t="shared" si="137"/>
        <v>1</v>
      </c>
      <c r="AE310" s="54"/>
      <c r="AF310" s="54"/>
      <c r="AG310" s="55">
        <v>1</v>
      </c>
      <c r="AH310" s="56">
        <v>7</v>
      </c>
      <c r="AI310" s="55"/>
      <c r="AJ310" s="56" t="str">
        <f t="shared" si="138"/>
        <v/>
      </c>
      <c r="AK310" s="55"/>
      <c r="AL310" s="56" t="str">
        <f t="shared" si="139"/>
        <v/>
      </c>
      <c r="AM310" s="55">
        <v>1</v>
      </c>
      <c r="AN310" s="56">
        <v>3</v>
      </c>
      <c r="AO310" s="55"/>
      <c r="AP310" s="56" t="str">
        <f t="shared" si="140"/>
        <v/>
      </c>
      <c r="AQ310" s="55"/>
      <c r="AR310" s="56" t="str">
        <f t="shared" si="141"/>
        <v/>
      </c>
      <c r="AS310" s="57"/>
      <c r="AT310" s="58"/>
      <c r="AU310" s="58"/>
      <c r="AV310" s="59"/>
      <c r="AW310" s="60">
        <v>1</v>
      </c>
      <c r="AX310" s="61">
        <f t="shared" si="123"/>
        <v>1</v>
      </c>
      <c r="AY310" s="60">
        <v>1</v>
      </c>
      <c r="AZ310" s="61">
        <f t="shared" si="125"/>
        <v>1</v>
      </c>
    </row>
    <row r="311" spans="1:52" s="3" customFormat="1" hidden="1" x14ac:dyDescent="0.35">
      <c r="A311" s="72">
        <f t="shared" si="126"/>
        <v>2019</v>
      </c>
      <c r="B311" s="72" t="str">
        <f t="shared" si="127"/>
        <v>Nov</v>
      </c>
      <c r="C311" s="73">
        <f t="shared" si="142"/>
        <v>18</v>
      </c>
      <c r="D311" s="74">
        <f t="shared" si="128"/>
        <v>13</v>
      </c>
      <c r="E311" s="75">
        <f t="shared" si="129"/>
        <v>29</v>
      </c>
      <c r="F311" s="79"/>
      <c r="G311" s="82"/>
      <c r="H311" s="68" t="str">
        <f t="shared" si="143"/>
        <v>Senbur7_20191118_13_00</v>
      </c>
      <c r="I311" s="69">
        <f t="shared" si="150"/>
        <v>1</v>
      </c>
      <c r="J311" s="76" t="str">
        <f t="shared" si="150"/>
        <v>Senecio</v>
      </c>
      <c r="K311" s="76" t="str">
        <f t="shared" si="150"/>
        <v>burtoni</v>
      </c>
      <c r="L311" s="77">
        <f t="shared" si="150"/>
        <v>0</v>
      </c>
      <c r="M311" s="77">
        <f t="shared" si="150"/>
        <v>7</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47"/>
        <v/>
      </c>
      <c r="AH311" s="56" t="str">
        <f t="shared" si="145"/>
        <v/>
      </c>
      <c r="AI311" s="55"/>
      <c r="AJ311" s="56" t="str">
        <f t="shared" si="138"/>
        <v/>
      </c>
      <c r="AK311" s="55"/>
      <c r="AL311" s="56" t="str">
        <f t="shared" si="139"/>
        <v/>
      </c>
      <c r="AM311" s="55"/>
      <c r="AN311" s="56" t="str">
        <f t="shared" si="146"/>
        <v/>
      </c>
      <c r="AO311" s="55"/>
      <c r="AP311" s="56" t="str">
        <f t="shared" si="140"/>
        <v/>
      </c>
      <c r="AQ311" s="55"/>
      <c r="AR311" s="56" t="str">
        <f t="shared" si="141"/>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2"/>
        <v>18</v>
      </c>
      <c r="D312" s="74">
        <f t="shared" si="128"/>
        <v>13</v>
      </c>
      <c r="E312" s="75">
        <f t="shared" si="129"/>
        <v>30</v>
      </c>
      <c r="F312" s="79">
        <v>58</v>
      </c>
      <c r="G312" s="82"/>
      <c r="H312" s="68" t="str">
        <f t="shared" si="143"/>
        <v>Senbur7_20191118_13_00</v>
      </c>
      <c r="I312" s="69">
        <f t="shared" si="150"/>
        <v>1</v>
      </c>
      <c r="J312" s="76" t="str">
        <f t="shared" si="150"/>
        <v>Senecio</v>
      </c>
      <c r="K312" s="76" t="str">
        <f t="shared" si="150"/>
        <v>burtoni</v>
      </c>
      <c r="L312" s="77">
        <f t="shared" si="150"/>
        <v>0</v>
      </c>
      <c r="M312" s="77">
        <f t="shared" si="150"/>
        <v>7</v>
      </c>
      <c r="N312" s="71">
        <f t="shared" si="150"/>
        <v>0</v>
      </c>
      <c r="O312" s="44"/>
      <c r="P312" s="45">
        <f t="shared" si="130"/>
        <v>1</v>
      </c>
      <c r="Q312" s="46" t="str">
        <f t="shared" si="131"/>
        <v>13:30:58</v>
      </c>
      <c r="R312" s="47" t="str">
        <f t="shared" si="132"/>
        <v>30:58</v>
      </c>
      <c r="S312" s="48">
        <f t="shared" si="121"/>
        <v>16</v>
      </c>
      <c r="T312" s="47" t="str">
        <f t="shared" si="133"/>
        <v>13</v>
      </c>
      <c r="U312" s="49">
        <v>31</v>
      </c>
      <c r="V312" s="50">
        <v>14</v>
      </c>
      <c r="W312" s="51" t="str">
        <f t="shared" si="134"/>
        <v>31:14</v>
      </c>
      <c r="X312" s="52" t="s">
        <v>63</v>
      </c>
      <c r="Y312" s="124" t="s">
        <v>83</v>
      </c>
      <c r="Z312" s="124"/>
      <c r="AA312" s="47" t="s">
        <v>59</v>
      </c>
      <c r="AB312" s="47" t="str">
        <f t="shared" si="135"/>
        <v>NA</v>
      </c>
      <c r="AC312" s="53">
        <f t="shared" si="136"/>
        <v>0</v>
      </c>
      <c r="AD312" s="54">
        <v>2</v>
      </c>
      <c r="AE312" s="54"/>
      <c r="AF312" s="54"/>
      <c r="AG312" s="55">
        <v>1</v>
      </c>
      <c r="AH312" s="56">
        <v>6</v>
      </c>
      <c r="AI312" s="55"/>
      <c r="AJ312" s="56" t="str">
        <f t="shared" si="138"/>
        <v/>
      </c>
      <c r="AK312" s="55"/>
      <c r="AL312" s="56" t="str">
        <f t="shared" si="139"/>
        <v/>
      </c>
      <c r="AM312" s="55">
        <v>1</v>
      </c>
      <c r="AN312" s="56">
        <v>10</v>
      </c>
      <c r="AO312" s="55"/>
      <c r="AP312" s="56" t="str">
        <f t="shared" si="140"/>
        <v/>
      </c>
      <c r="AQ312" s="55"/>
      <c r="AR312" s="56" t="str">
        <f t="shared" si="141"/>
        <v/>
      </c>
      <c r="AS312" s="57"/>
      <c r="AT312" s="58"/>
      <c r="AU312" s="58"/>
      <c r="AV312" s="59"/>
      <c r="AW312" s="60">
        <v>1</v>
      </c>
      <c r="AX312" s="61">
        <f t="shared" si="123"/>
        <v>2</v>
      </c>
      <c r="AY312" s="60">
        <v>1</v>
      </c>
      <c r="AZ312" s="61">
        <f t="shared" si="125"/>
        <v>2</v>
      </c>
    </row>
    <row r="313" spans="1:52" s="3" customFormat="1" hidden="1" x14ac:dyDescent="0.35">
      <c r="A313" s="72">
        <f t="shared" si="126"/>
        <v>2019</v>
      </c>
      <c r="B313" s="72" t="str">
        <f t="shared" si="127"/>
        <v>Nov</v>
      </c>
      <c r="C313" s="73">
        <f t="shared" si="142"/>
        <v>18</v>
      </c>
      <c r="D313" s="74">
        <f t="shared" si="128"/>
        <v>13</v>
      </c>
      <c r="E313" s="75">
        <f t="shared" si="129"/>
        <v>31</v>
      </c>
      <c r="F313" s="79">
        <v>7</v>
      </c>
      <c r="G313" s="82"/>
      <c r="H313" s="68" t="str">
        <f t="shared" si="143"/>
        <v>Senbur7_20191118_13_00</v>
      </c>
      <c r="I313" s="69">
        <f t="shared" si="150"/>
        <v>1</v>
      </c>
      <c r="J313" s="76" t="str">
        <f t="shared" si="150"/>
        <v>Senecio</v>
      </c>
      <c r="K313" s="76" t="str">
        <f t="shared" si="150"/>
        <v>burtoni</v>
      </c>
      <c r="L313" s="77">
        <f t="shared" si="150"/>
        <v>0</v>
      </c>
      <c r="M313" s="77">
        <f t="shared" si="150"/>
        <v>7</v>
      </c>
      <c r="N313" s="71">
        <f t="shared" si="150"/>
        <v>0</v>
      </c>
      <c r="O313" s="44"/>
      <c r="P313" s="45">
        <f t="shared" si="130"/>
        <v>1</v>
      </c>
      <c r="Q313" s="46" t="str">
        <f t="shared" si="131"/>
        <v>13:31:07</v>
      </c>
      <c r="R313" s="47" t="str">
        <f t="shared" si="132"/>
        <v>31:07</v>
      </c>
      <c r="S313" s="48">
        <f t="shared" si="121"/>
        <v>15</v>
      </c>
      <c r="T313" s="47" t="str">
        <f t="shared" si="133"/>
        <v>13</v>
      </c>
      <c r="U313" s="49">
        <v>31</v>
      </c>
      <c r="V313" s="50">
        <v>22</v>
      </c>
      <c r="W313" s="51" t="str">
        <f t="shared" si="134"/>
        <v>31:22</v>
      </c>
      <c r="X313" s="52" t="s">
        <v>63</v>
      </c>
      <c r="Y313" s="124" t="s">
        <v>83</v>
      </c>
      <c r="Z313" s="124"/>
      <c r="AA313" s="47" t="s">
        <v>59</v>
      </c>
      <c r="AB313" s="47" t="str">
        <f t="shared" si="135"/>
        <v>NA</v>
      </c>
      <c r="AC313" s="53">
        <f t="shared" si="136"/>
        <v>0</v>
      </c>
      <c r="AD313" s="54">
        <f t="shared" si="137"/>
        <v>1</v>
      </c>
      <c r="AE313" s="54"/>
      <c r="AF313" s="54"/>
      <c r="AG313" s="55">
        <v>1</v>
      </c>
      <c r="AH313" s="56">
        <v>3</v>
      </c>
      <c r="AI313" s="55"/>
      <c r="AJ313" s="56" t="str">
        <f t="shared" si="138"/>
        <v/>
      </c>
      <c r="AK313" s="55"/>
      <c r="AL313" s="56" t="str">
        <f t="shared" si="139"/>
        <v/>
      </c>
      <c r="AM313" s="55">
        <v>1</v>
      </c>
      <c r="AN313" s="56">
        <v>12</v>
      </c>
      <c r="AO313" s="55"/>
      <c r="AP313" s="56" t="str">
        <f t="shared" si="140"/>
        <v/>
      </c>
      <c r="AQ313" s="55"/>
      <c r="AR313" s="56" t="str">
        <f t="shared" si="141"/>
        <v/>
      </c>
      <c r="AS313" s="57"/>
      <c r="AT313" s="58"/>
      <c r="AU313" s="58"/>
      <c r="AV313" s="59"/>
      <c r="AW313" s="60">
        <v>1</v>
      </c>
      <c r="AX313" s="61">
        <f t="shared" si="123"/>
        <v>1</v>
      </c>
      <c r="AY313" s="60">
        <v>1</v>
      </c>
      <c r="AZ313" s="61">
        <f t="shared" si="125"/>
        <v>1</v>
      </c>
    </row>
    <row r="314" spans="1:52" s="3" customFormat="1" x14ac:dyDescent="0.35">
      <c r="A314" s="72">
        <f t="shared" si="126"/>
        <v>2019</v>
      </c>
      <c r="B314" s="72" t="str">
        <f t="shared" si="127"/>
        <v>Nov</v>
      </c>
      <c r="C314" s="73">
        <f t="shared" si="142"/>
        <v>18</v>
      </c>
      <c r="D314" s="74">
        <f t="shared" si="128"/>
        <v>13</v>
      </c>
      <c r="E314" s="75">
        <f t="shared" si="129"/>
        <v>32</v>
      </c>
      <c r="F314" s="79">
        <v>12</v>
      </c>
      <c r="G314" s="82"/>
      <c r="H314" s="68" t="str">
        <f t="shared" si="143"/>
        <v>Senbur7_20191118_13_00</v>
      </c>
      <c r="I314" s="69">
        <f t="shared" si="150"/>
        <v>1</v>
      </c>
      <c r="J314" s="76" t="str">
        <f t="shared" si="150"/>
        <v>Senecio</v>
      </c>
      <c r="K314" s="76" t="str">
        <f t="shared" si="150"/>
        <v>burtoni</v>
      </c>
      <c r="L314" s="77">
        <f t="shared" si="150"/>
        <v>0</v>
      </c>
      <c r="M314" s="77">
        <f t="shared" si="150"/>
        <v>7</v>
      </c>
      <c r="N314" s="71">
        <f t="shared" si="150"/>
        <v>0</v>
      </c>
      <c r="O314" s="44"/>
      <c r="P314" s="45">
        <f t="shared" si="130"/>
        <v>1</v>
      </c>
      <c r="Q314" s="46" t="str">
        <f t="shared" si="131"/>
        <v>13:32:12</v>
      </c>
      <c r="R314" s="47" t="str">
        <f t="shared" si="132"/>
        <v>32:12</v>
      </c>
      <c r="S314" s="48">
        <f t="shared" si="121"/>
        <v>18</v>
      </c>
      <c r="T314" s="47" t="str">
        <f t="shared" si="133"/>
        <v>13</v>
      </c>
      <c r="U314" s="49">
        <v>32</v>
      </c>
      <c r="V314" s="50">
        <v>30</v>
      </c>
      <c r="W314" s="51" t="str">
        <f t="shared" si="134"/>
        <v>32:30</v>
      </c>
      <c r="X314" s="52" t="s">
        <v>62</v>
      </c>
      <c r="Y314" s="124" t="s">
        <v>84</v>
      </c>
      <c r="Z314" s="124"/>
      <c r="AA314" s="47" t="s">
        <v>77</v>
      </c>
      <c r="AB314" s="47" t="str">
        <f t="shared" si="135"/>
        <v>NA</v>
      </c>
      <c r="AC314" s="53">
        <f t="shared" si="136"/>
        <v>0</v>
      </c>
      <c r="AD314" s="54">
        <f t="shared" si="137"/>
        <v>1</v>
      </c>
      <c r="AE314" s="54"/>
      <c r="AF314" s="54"/>
      <c r="AG314" s="55" t="str">
        <f t="shared" si="147"/>
        <v/>
      </c>
      <c r="AH314" s="56" t="str">
        <f t="shared" si="145"/>
        <v/>
      </c>
      <c r="AI314" s="55"/>
      <c r="AJ314" s="56" t="str">
        <f t="shared" si="138"/>
        <v/>
      </c>
      <c r="AK314" s="55">
        <v>1</v>
      </c>
      <c r="AL314" s="56">
        <v>10</v>
      </c>
      <c r="AM314" s="55">
        <v>1</v>
      </c>
      <c r="AN314" s="56">
        <v>8</v>
      </c>
      <c r="AO314" s="55"/>
      <c r="AP314" s="56" t="str">
        <f t="shared" si="140"/>
        <v/>
      </c>
      <c r="AQ314" s="55"/>
      <c r="AR314" s="56" t="str">
        <f t="shared" si="141"/>
        <v/>
      </c>
      <c r="AS314" s="57"/>
      <c r="AT314" s="58"/>
      <c r="AU314" s="58"/>
      <c r="AV314" s="59"/>
      <c r="AW314" s="60">
        <v>1</v>
      </c>
      <c r="AX314" s="61">
        <f t="shared" si="123"/>
        <v>1</v>
      </c>
      <c r="AY314" s="60">
        <v>1</v>
      </c>
      <c r="AZ314" s="61">
        <f t="shared" si="125"/>
        <v>1</v>
      </c>
    </row>
    <row r="315" spans="1:52" s="3" customFormat="1" hidden="1" x14ac:dyDescent="0.35">
      <c r="A315" s="72">
        <f t="shared" si="126"/>
        <v>2019</v>
      </c>
      <c r="B315" s="72" t="str">
        <f t="shared" si="127"/>
        <v>Nov</v>
      </c>
      <c r="C315" s="73">
        <f t="shared" si="142"/>
        <v>18</v>
      </c>
      <c r="D315" s="74">
        <f t="shared" si="128"/>
        <v>13</v>
      </c>
      <c r="E315" s="75">
        <v>32</v>
      </c>
      <c r="F315" s="79">
        <v>50</v>
      </c>
      <c r="G315" s="82"/>
      <c r="H315" s="68" t="str">
        <f t="shared" si="143"/>
        <v>Senbur7_20191118_13_00</v>
      </c>
      <c r="I315" s="69">
        <f t="shared" si="150"/>
        <v>1</v>
      </c>
      <c r="J315" s="76" t="str">
        <f t="shared" si="150"/>
        <v>Senecio</v>
      </c>
      <c r="K315" s="76" t="str">
        <f t="shared" si="150"/>
        <v>burtoni</v>
      </c>
      <c r="L315" s="77">
        <f t="shared" si="150"/>
        <v>0</v>
      </c>
      <c r="M315" s="77">
        <f t="shared" si="150"/>
        <v>7</v>
      </c>
      <c r="N315" s="71">
        <f t="shared" si="150"/>
        <v>0</v>
      </c>
      <c r="O315" s="44"/>
      <c r="P315" s="45">
        <f t="shared" si="130"/>
        <v>1</v>
      </c>
      <c r="Q315" s="46" t="str">
        <f t="shared" si="131"/>
        <v>13:32:50</v>
      </c>
      <c r="R315" s="47" t="str">
        <f t="shared" si="132"/>
        <v>32:50</v>
      </c>
      <c r="S315" s="48">
        <f t="shared" si="121"/>
        <v>18</v>
      </c>
      <c r="T315" s="47" t="str">
        <f t="shared" si="133"/>
        <v>13</v>
      </c>
      <c r="U315" s="49">
        <v>33</v>
      </c>
      <c r="V315" s="50">
        <v>8</v>
      </c>
      <c r="W315" s="51" t="str">
        <f t="shared" si="134"/>
        <v>33:08</v>
      </c>
      <c r="X315" s="52" t="s">
        <v>63</v>
      </c>
      <c r="Y315" s="124" t="s">
        <v>82</v>
      </c>
      <c r="Z315" s="124"/>
      <c r="AA315" s="47" t="s">
        <v>59</v>
      </c>
      <c r="AB315" s="47" t="str">
        <f t="shared" si="135"/>
        <v>NA</v>
      </c>
      <c r="AC315" s="53">
        <f t="shared" si="136"/>
        <v>0</v>
      </c>
      <c r="AD315" s="54">
        <v>2</v>
      </c>
      <c r="AE315" s="54"/>
      <c r="AF315" s="54"/>
      <c r="AG315" s="55">
        <v>1</v>
      </c>
      <c r="AH315" s="56">
        <v>6</v>
      </c>
      <c r="AI315" s="55"/>
      <c r="AJ315" s="56" t="str">
        <f t="shared" si="138"/>
        <v/>
      </c>
      <c r="AK315" s="55"/>
      <c r="AL315" s="56" t="str">
        <f t="shared" si="139"/>
        <v/>
      </c>
      <c r="AM315" s="55">
        <v>1</v>
      </c>
      <c r="AN315" s="56">
        <v>12</v>
      </c>
      <c r="AO315" s="55"/>
      <c r="AP315" s="56" t="str">
        <f t="shared" si="140"/>
        <v/>
      </c>
      <c r="AQ315" s="55"/>
      <c r="AR315" s="56" t="str">
        <f t="shared" si="141"/>
        <v/>
      </c>
      <c r="AS315" s="57"/>
      <c r="AT315" s="58"/>
      <c r="AU315" s="58"/>
      <c r="AV315" s="59"/>
      <c r="AW315" s="60">
        <v>1</v>
      </c>
      <c r="AX315" s="61">
        <f t="shared" si="123"/>
        <v>2</v>
      </c>
      <c r="AY315" s="60">
        <f t="shared" si="124"/>
        <v>0</v>
      </c>
      <c r="AZ315" s="61" t="str">
        <f t="shared" si="125"/>
        <v/>
      </c>
    </row>
    <row r="316" spans="1:52" s="3" customFormat="1" hidden="1" x14ac:dyDescent="0.35">
      <c r="A316" s="72">
        <f t="shared" si="126"/>
        <v>2019</v>
      </c>
      <c r="B316" s="72" t="str">
        <f t="shared" si="127"/>
        <v>Nov</v>
      </c>
      <c r="C316" s="73">
        <f t="shared" si="142"/>
        <v>18</v>
      </c>
      <c r="D316" s="74">
        <f t="shared" si="128"/>
        <v>13</v>
      </c>
      <c r="E316" s="75">
        <f t="shared" si="129"/>
        <v>33</v>
      </c>
      <c r="F316" s="79">
        <v>20</v>
      </c>
      <c r="G316" s="82"/>
      <c r="H316" s="68" t="str">
        <f t="shared" si="143"/>
        <v>Senbur7_20191118_13_00</v>
      </c>
      <c r="I316" s="69">
        <f t="shared" si="150"/>
        <v>1</v>
      </c>
      <c r="J316" s="76" t="str">
        <f t="shared" si="150"/>
        <v>Senecio</v>
      </c>
      <c r="K316" s="76" t="str">
        <f t="shared" si="150"/>
        <v>burtoni</v>
      </c>
      <c r="L316" s="77">
        <f t="shared" si="150"/>
        <v>0</v>
      </c>
      <c r="M316" s="77">
        <f t="shared" si="150"/>
        <v>7</v>
      </c>
      <c r="N316" s="71">
        <f t="shared" si="150"/>
        <v>0</v>
      </c>
      <c r="O316" s="44"/>
      <c r="P316" s="45">
        <f t="shared" si="130"/>
        <v>1</v>
      </c>
      <c r="Q316" s="46" t="str">
        <f t="shared" si="131"/>
        <v>13:33:20</v>
      </c>
      <c r="R316" s="47" t="str">
        <f t="shared" si="132"/>
        <v>33:20</v>
      </c>
      <c r="S316" s="48">
        <f t="shared" si="121"/>
        <v>12</v>
      </c>
      <c r="T316" s="47" t="str">
        <f t="shared" si="133"/>
        <v>13</v>
      </c>
      <c r="U316" s="49">
        <v>33</v>
      </c>
      <c r="V316" s="50">
        <v>32</v>
      </c>
      <c r="W316" s="51" t="str">
        <f t="shared" si="134"/>
        <v>33:32</v>
      </c>
      <c r="X316" s="52" t="s">
        <v>63</v>
      </c>
      <c r="Y316" s="124" t="s">
        <v>82</v>
      </c>
      <c r="Z316" s="124"/>
      <c r="AA316" s="47" t="s">
        <v>59</v>
      </c>
      <c r="AB316" s="47" t="str">
        <f t="shared" si="135"/>
        <v>NA</v>
      </c>
      <c r="AC316" s="53">
        <f t="shared" si="136"/>
        <v>0</v>
      </c>
      <c r="AD316" s="54">
        <v>2</v>
      </c>
      <c r="AE316" s="54"/>
      <c r="AF316" s="54"/>
      <c r="AG316" s="55">
        <v>1</v>
      </c>
      <c r="AH316" s="56">
        <v>4</v>
      </c>
      <c r="AI316" s="55"/>
      <c r="AJ316" s="56" t="str">
        <f t="shared" si="138"/>
        <v/>
      </c>
      <c r="AK316" s="55"/>
      <c r="AL316" s="56" t="str">
        <f t="shared" si="139"/>
        <v/>
      </c>
      <c r="AM316" s="55">
        <v>1</v>
      </c>
      <c r="AN316" s="56">
        <v>8</v>
      </c>
      <c r="AO316" s="55"/>
      <c r="AP316" s="56" t="str">
        <f t="shared" si="140"/>
        <v/>
      </c>
      <c r="AQ316" s="55"/>
      <c r="AR316" s="56" t="str">
        <f t="shared" si="141"/>
        <v/>
      </c>
      <c r="AS316" s="57"/>
      <c r="AT316" s="58"/>
      <c r="AU316" s="58"/>
      <c r="AV316" s="59"/>
      <c r="AW316" s="60">
        <v>1</v>
      </c>
      <c r="AX316" s="61">
        <f t="shared" si="123"/>
        <v>2</v>
      </c>
      <c r="AY316" s="60">
        <v>1</v>
      </c>
      <c r="AZ316" s="61">
        <v>1</v>
      </c>
    </row>
    <row r="317" spans="1:52" s="3" customFormat="1" hidden="1" x14ac:dyDescent="0.35">
      <c r="A317" s="72">
        <f t="shared" si="126"/>
        <v>2019</v>
      </c>
      <c r="B317" s="72" t="str">
        <f t="shared" si="127"/>
        <v>Nov</v>
      </c>
      <c r="C317" s="73">
        <f t="shared" si="142"/>
        <v>18</v>
      </c>
      <c r="D317" s="74">
        <f t="shared" si="128"/>
        <v>13</v>
      </c>
      <c r="E317" s="75">
        <v>33</v>
      </c>
      <c r="F317" s="79">
        <v>24</v>
      </c>
      <c r="G317" s="82"/>
      <c r="H317" s="68" t="str">
        <f t="shared" si="143"/>
        <v>Senbur7_20191118_13_00</v>
      </c>
      <c r="I317" s="69">
        <f t="shared" si="150"/>
        <v>1</v>
      </c>
      <c r="J317" s="76" t="str">
        <f t="shared" si="150"/>
        <v>Senecio</v>
      </c>
      <c r="K317" s="76" t="str">
        <f t="shared" si="150"/>
        <v>burtoni</v>
      </c>
      <c r="L317" s="77">
        <f t="shared" si="150"/>
        <v>0</v>
      </c>
      <c r="M317" s="77">
        <f t="shared" si="150"/>
        <v>7</v>
      </c>
      <c r="N317" s="71">
        <f t="shared" si="150"/>
        <v>0</v>
      </c>
      <c r="O317" s="44"/>
      <c r="P317" s="45">
        <f t="shared" si="130"/>
        <v>1</v>
      </c>
      <c r="Q317" s="46" t="str">
        <f t="shared" si="131"/>
        <v>13:33:24</v>
      </c>
      <c r="R317" s="47" t="str">
        <f t="shared" si="132"/>
        <v>33:24</v>
      </c>
      <c r="S317" s="48">
        <f t="shared" si="121"/>
        <v>15</v>
      </c>
      <c r="T317" s="47" t="str">
        <f t="shared" si="133"/>
        <v>13</v>
      </c>
      <c r="U317" s="49">
        <v>33</v>
      </c>
      <c r="V317" s="50">
        <v>39</v>
      </c>
      <c r="W317" s="51" t="str">
        <f t="shared" si="134"/>
        <v>33:39</v>
      </c>
      <c r="X317" s="52" t="s">
        <v>63</v>
      </c>
      <c r="Y317" s="124" t="s">
        <v>82</v>
      </c>
      <c r="Z317" s="124"/>
      <c r="AA317" s="47" t="s">
        <v>59</v>
      </c>
      <c r="AB317" s="47" t="str">
        <f t="shared" si="135"/>
        <v>NA</v>
      </c>
      <c r="AC317" s="53">
        <f t="shared" si="136"/>
        <v>0</v>
      </c>
      <c r="AD317" s="54">
        <f t="shared" si="137"/>
        <v>1</v>
      </c>
      <c r="AE317" s="54"/>
      <c r="AF317" s="54"/>
      <c r="AG317" s="55" t="str">
        <f t="shared" si="147"/>
        <v/>
      </c>
      <c r="AH317" s="56" t="str">
        <f t="shared" si="145"/>
        <v/>
      </c>
      <c r="AI317" s="55"/>
      <c r="AJ317" s="56" t="str">
        <f t="shared" si="138"/>
        <v/>
      </c>
      <c r="AK317" s="55"/>
      <c r="AL317" s="56" t="str">
        <f t="shared" si="139"/>
        <v/>
      </c>
      <c r="AM317" s="55">
        <v>1</v>
      </c>
      <c r="AN317" s="56">
        <f t="shared" si="146"/>
        <v>15</v>
      </c>
      <c r="AO317" s="55"/>
      <c r="AP317" s="56" t="str">
        <f t="shared" si="140"/>
        <v/>
      </c>
      <c r="AQ317" s="55"/>
      <c r="AR317" s="56" t="str">
        <f t="shared" si="141"/>
        <v/>
      </c>
      <c r="AS317" s="57"/>
      <c r="AT317" s="58"/>
      <c r="AU317" s="58"/>
      <c r="AV317" s="59"/>
      <c r="AW317" s="60">
        <v>1</v>
      </c>
      <c r="AX317" s="61">
        <f t="shared" si="123"/>
        <v>1</v>
      </c>
      <c r="AY317" s="60">
        <v>1</v>
      </c>
      <c r="AZ317" s="61">
        <f t="shared" si="125"/>
        <v>1</v>
      </c>
    </row>
    <row r="318" spans="1:52" s="3" customFormat="1" hidden="1" x14ac:dyDescent="0.35">
      <c r="A318" s="72">
        <f t="shared" si="126"/>
        <v>2019</v>
      </c>
      <c r="B318" s="72" t="str">
        <f t="shared" si="127"/>
        <v>Nov</v>
      </c>
      <c r="C318" s="73">
        <f t="shared" si="142"/>
        <v>18</v>
      </c>
      <c r="D318" s="74">
        <f t="shared" si="128"/>
        <v>13</v>
      </c>
      <c r="E318" s="75">
        <v>33</v>
      </c>
      <c r="F318" s="79">
        <v>39</v>
      </c>
      <c r="G318" s="82"/>
      <c r="H318" s="68" t="str">
        <f t="shared" si="143"/>
        <v>Senbur7_20191118_13_00</v>
      </c>
      <c r="I318" s="69">
        <f t="shared" si="150"/>
        <v>1</v>
      </c>
      <c r="J318" s="76" t="str">
        <f t="shared" si="150"/>
        <v>Senecio</v>
      </c>
      <c r="K318" s="76" t="str">
        <f t="shared" si="150"/>
        <v>burtoni</v>
      </c>
      <c r="L318" s="77">
        <f t="shared" si="150"/>
        <v>0</v>
      </c>
      <c r="M318" s="77">
        <f t="shared" si="150"/>
        <v>7</v>
      </c>
      <c r="N318" s="71">
        <f t="shared" si="150"/>
        <v>0</v>
      </c>
      <c r="O318" s="44"/>
      <c r="P318" s="45">
        <f t="shared" si="130"/>
        <v>1</v>
      </c>
      <c r="Q318" s="46" t="str">
        <f t="shared" si="131"/>
        <v>13:33:39</v>
      </c>
      <c r="R318" s="47" t="str">
        <f t="shared" si="132"/>
        <v>33:39</v>
      </c>
      <c r="S318" s="48">
        <f t="shared" si="121"/>
        <v>11</v>
      </c>
      <c r="T318" s="47" t="str">
        <f t="shared" si="133"/>
        <v>13</v>
      </c>
      <c r="U318" s="49">
        <v>33</v>
      </c>
      <c r="V318" s="50">
        <v>50</v>
      </c>
      <c r="W318" s="51" t="str">
        <f t="shared" si="134"/>
        <v>33:50</v>
      </c>
      <c r="X318" s="52" t="s">
        <v>63</v>
      </c>
      <c r="Y318" s="124" t="s">
        <v>83</v>
      </c>
      <c r="Z318" s="124"/>
      <c r="AA318" s="47" t="s">
        <v>59</v>
      </c>
      <c r="AB318" s="47" t="str">
        <f t="shared" si="135"/>
        <v>NA</v>
      </c>
      <c r="AC318" s="53">
        <f t="shared" si="136"/>
        <v>0</v>
      </c>
      <c r="AD318" s="54">
        <f t="shared" si="137"/>
        <v>1</v>
      </c>
      <c r="AE318" s="54"/>
      <c r="AF318" s="54"/>
      <c r="AG318" s="55">
        <v>1</v>
      </c>
      <c r="AH318" s="56">
        <v>3</v>
      </c>
      <c r="AI318" s="55"/>
      <c r="AJ318" s="56" t="str">
        <f t="shared" si="138"/>
        <v/>
      </c>
      <c r="AK318" s="55"/>
      <c r="AL318" s="56" t="str">
        <f t="shared" si="139"/>
        <v/>
      </c>
      <c r="AM318" s="55">
        <v>1</v>
      </c>
      <c r="AN318" s="56">
        <v>8</v>
      </c>
      <c r="AO318" s="55"/>
      <c r="AP318" s="56" t="str">
        <f t="shared" si="140"/>
        <v/>
      </c>
      <c r="AQ318" s="55"/>
      <c r="AR318" s="56" t="str">
        <f t="shared" si="141"/>
        <v/>
      </c>
      <c r="AS318" s="57"/>
      <c r="AT318" s="58"/>
      <c r="AU318" s="58"/>
      <c r="AV318" s="59"/>
      <c r="AW318" s="60">
        <v>1</v>
      </c>
      <c r="AX318" s="61">
        <f t="shared" si="123"/>
        <v>1</v>
      </c>
      <c r="AY318" s="60">
        <v>1</v>
      </c>
      <c r="AZ318" s="61">
        <f t="shared" si="125"/>
        <v>1</v>
      </c>
    </row>
    <row r="319" spans="1:52" s="3" customFormat="1" hidden="1" x14ac:dyDescent="0.35">
      <c r="A319" s="72">
        <f t="shared" si="126"/>
        <v>2019</v>
      </c>
      <c r="B319" s="72" t="str">
        <f t="shared" si="127"/>
        <v>Nov</v>
      </c>
      <c r="C319" s="73">
        <f t="shared" si="142"/>
        <v>18</v>
      </c>
      <c r="D319" s="74">
        <f t="shared" si="128"/>
        <v>13</v>
      </c>
      <c r="E319" s="75">
        <v>33</v>
      </c>
      <c r="F319" s="79">
        <v>48</v>
      </c>
      <c r="G319" s="82"/>
      <c r="H319" s="68" t="str">
        <f t="shared" si="143"/>
        <v>Senbur7_20191118_13_00</v>
      </c>
      <c r="I319" s="69">
        <f t="shared" si="150"/>
        <v>1</v>
      </c>
      <c r="J319" s="76" t="str">
        <f t="shared" si="150"/>
        <v>Senecio</v>
      </c>
      <c r="K319" s="76" t="str">
        <f t="shared" si="150"/>
        <v>burtoni</v>
      </c>
      <c r="L319" s="77">
        <f t="shared" si="150"/>
        <v>0</v>
      </c>
      <c r="M319" s="77">
        <f t="shared" si="150"/>
        <v>7</v>
      </c>
      <c r="N319" s="71">
        <f t="shared" si="150"/>
        <v>0</v>
      </c>
      <c r="O319" s="44"/>
      <c r="P319" s="45">
        <f t="shared" si="130"/>
        <v>1</v>
      </c>
      <c r="Q319" s="46" t="str">
        <f t="shared" si="131"/>
        <v>13:33:48</v>
      </c>
      <c r="R319" s="47" t="str">
        <f t="shared" si="132"/>
        <v>33:48</v>
      </c>
      <c r="S319" s="48">
        <f t="shared" si="121"/>
        <v>46</v>
      </c>
      <c r="T319" s="47" t="str">
        <f t="shared" si="133"/>
        <v>13</v>
      </c>
      <c r="U319" s="49">
        <v>34</v>
      </c>
      <c r="V319" s="50">
        <v>34</v>
      </c>
      <c r="W319" s="51" t="str">
        <f t="shared" si="134"/>
        <v>34:34</v>
      </c>
      <c r="X319" s="52" t="s">
        <v>63</v>
      </c>
      <c r="Y319" s="124" t="s">
        <v>82</v>
      </c>
      <c r="Z319" s="124"/>
      <c r="AA319" s="47" t="s">
        <v>59</v>
      </c>
      <c r="AB319" s="47" t="str">
        <f t="shared" si="135"/>
        <v>NA</v>
      </c>
      <c r="AC319" s="53">
        <f t="shared" si="136"/>
        <v>0</v>
      </c>
      <c r="AD319" s="54">
        <v>2</v>
      </c>
      <c r="AE319" s="54"/>
      <c r="AF319" s="54"/>
      <c r="AG319" s="55">
        <v>1</v>
      </c>
      <c r="AH319" s="56">
        <v>16</v>
      </c>
      <c r="AI319" s="55"/>
      <c r="AJ319" s="56" t="str">
        <f t="shared" si="138"/>
        <v/>
      </c>
      <c r="AK319" s="55"/>
      <c r="AL319" s="56" t="str">
        <f t="shared" si="139"/>
        <v/>
      </c>
      <c r="AM319" s="55">
        <v>1</v>
      </c>
      <c r="AN319" s="56">
        <v>30</v>
      </c>
      <c r="AO319" s="55"/>
      <c r="AP319" s="56" t="str">
        <f t="shared" si="140"/>
        <v/>
      </c>
      <c r="AQ319" s="55"/>
      <c r="AR319" s="56" t="str">
        <f t="shared" si="141"/>
        <v/>
      </c>
      <c r="AS319" s="57"/>
      <c r="AT319" s="58"/>
      <c r="AU319" s="58"/>
      <c r="AV319" s="59"/>
      <c r="AW319" s="60">
        <v>1</v>
      </c>
      <c r="AX319" s="61">
        <f t="shared" si="123"/>
        <v>2</v>
      </c>
      <c r="AY319" s="60">
        <f t="shared" si="124"/>
        <v>0</v>
      </c>
      <c r="AZ319" s="61" t="str">
        <f t="shared" si="125"/>
        <v/>
      </c>
    </row>
    <row r="320" spans="1:52" s="3" customFormat="1" hidden="1" x14ac:dyDescent="0.35">
      <c r="A320" s="72">
        <f t="shared" si="126"/>
        <v>2019</v>
      </c>
      <c r="B320" s="72" t="str">
        <f t="shared" si="127"/>
        <v>Nov</v>
      </c>
      <c r="C320" s="73">
        <f t="shared" si="142"/>
        <v>18</v>
      </c>
      <c r="D320" s="74">
        <f t="shared" si="128"/>
        <v>13</v>
      </c>
      <c r="E320" s="75">
        <v>33</v>
      </c>
      <c r="F320" s="79">
        <v>52</v>
      </c>
      <c r="G320" s="82"/>
      <c r="H320" s="68" t="str">
        <f t="shared" si="143"/>
        <v>Senbur7_20191118_13_00</v>
      </c>
      <c r="I320" s="69">
        <f t="shared" si="150"/>
        <v>1</v>
      </c>
      <c r="J320" s="76" t="str">
        <f t="shared" si="150"/>
        <v>Senecio</v>
      </c>
      <c r="K320" s="76" t="str">
        <f t="shared" si="150"/>
        <v>burtoni</v>
      </c>
      <c r="L320" s="77">
        <f t="shared" si="150"/>
        <v>0</v>
      </c>
      <c r="M320" s="77">
        <f t="shared" si="150"/>
        <v>7</v>
      </c>
      <c r="N320" s="71">
        <f t="shared" si="150"/>
        <v>0</v>
      </c>
      <c r="O320" s="44"/>
      <c r="P320" s="45">
        <f t="shared" si="130"/>
        <v>1</v>
      </c>
      <c r="Q320" s="46" t="str">
        <f t="shared" si="131"/>
        <v>13:33:52</v>
      </c>
      <c r="R320" s="47" t="str">
        <f t="shared" si="132"/>
        <v>33:52</v>
      </c>
      <c r="S320" s="48">
        <f t="shared" si="121"/>
        <v>8</v>
      </c>
      <c r="T320" s="47" t="str">
        <f t="shared" si="133"/>
        <v>13</v>
      </c>
      <c r="U320" s="49">
        <v>34</v>
      </c>
      <c r="V320" s="50">
        <v>0</v>
      </c>
      <c r="W320" s="51" t="str">
        <f t="shared" si="134"/>
        <v>34:00</v>
      </c>
      <c r="X320" s="52" t="s">
        <v>63</v>
      </c>
      <c r="Y320" s="124" t="s">
        <v>82</v>
      </c>
      <c r="Z320" s="124"/>
      <c r="AA320" s="47" t="s">
        <v>59</v>
      </c>
      <c r="AB320" s="47" t="str">
        <f t="shared" si="135"/>
        <v>NA</v>
      </c>
      <c r="AC320" s="53">
        <f t="shared" si="136"/>
        <v>0</v>
      </c>
      <c r="AD320" s="54">
        <f t="shared" si="137"/>
        <v>1</v>
      </c>
      <c r="AE320" s="54"/>
      <c r="AF320" s="54"/>
      <c r="AG320" s="55" t="str">
        <f t="shared" si="147"/>
        <v/>
      </c>
      <c r="AH320" s="56" t="str">
        <f t="shared" si="145"/>
        <v/>
      </c>
      <c r="AI320" s="55"/>
      <c r="AJ320" s="56" t="str">
        <f t="shared" si="138"/>
        <v/>
      </c>
      <c r="AK320" s="55"/>
      <c r="AL320" s="56" t="str">
        <f t="shared" si="139"/>
        <v/>
      </c>
      <c r="AM320" s="55">
        <v>1</v>
      </c>
      <c r="AN320" s="56">
        <f t="shared" si="146"/>
        <v>8</v>
      </c>
      <c r="AO320" s="55"/>
      <c r="AP320" s="56" t="str">
        <f t="shared" si="140"/>
        <v/>
      </c>
      <c r="AQ320" s="55"/>
      <c r="AR320" s="56" t="str">
        <f t="shared" si="141"/>
        <v/>
      </c>
      <c r="AS320" s="57"/>
      <c r="AT320" s="58"/>
      <c r="AU320" s="58"/>
      <c r="AV320" s="59"/>
      <c r="AW320" s="60">
        <v>1</v>
      </c>
      <c r="AX320" s="61">
        <f t="shared" si="123"/>
        <v>1</v>
      </c>
      <c r="AY320" s="60">
        <v>1</v>
      </c>
      <c r="AZ320" s="61">
        <f t="shared" si="125"/>
        <v>1</v>
      </c>
    </row>
    <row r="321" spans="1:52" s="3" customFormat="1" hidden="1" x14ac:dyDescent="0.35">
      <c r="A321" s="72">
        <f t="shared" si="126"/>
        <v>2019</v>
      </c>
      <c r="B321" s="72" t="str">
        <f t="shared" si="127"/>
        <v>Nov</v>
      </c>
      <c r="C321" s="73">
        <f t="shared" si="142"/>
        <v>18</v>
      </c>
      <c r="D321" s="74">
        <f t="shared" si="128"/>
        <v>13</v>
      </c>
      <c r="E321" s="75">
        <f t="shared" si="129"/>
        <v>34</v>
      </c>
      <c r="F321" s="79">
        <v>15</v>
      </c>
      <c r="G321" s="82"/>
      <c r="H321" s="68" t="str">
        <f t="shared" si="143"/>
        <v>Senbur7_20191118_13_00</v>
      </c>
      <c r="I321" s="69">
        <f t="shared" si="150"/>
        <v>1</v>
      </c>
      <c r="J321" s="76" t="str">
        <f t="shared" si="150"/>
        <v>Senecio</v>
      </c>
      <c r="K321" s="76" t="str">
        <f t="shared" si="150"/>
        <v>burtoni</v>
      </c>
      <c r="L321" s="77">
        <f t="shared" si="150"/>
        <v>0</v>
      </c>
      <c r="M321" s="77">
        <f t="shared" si="150"/>
        <v>7</v>
      </c>
      <c r="N321" s="71">
        <f t="shared" si="150"/>
        <v>0</v>
      </c>
      <c r="O321" s="44"/>
      <c r="P321" s="45">
        <f t="shared" si="130"/>
        <v>1</v>
      </c>
      <c r="Q321" s="46" t="str">
        <f t="shared" si="131"/>
        <v>13:34:15</v>
      </c>
      <c r="R321" s="47" t="str">
        <f t="shared" si="132"/>
        <v>34:15</v>
      </c>
      <c r="S321" s="48">
        <f t="shared" si="121"/>
        <v>13</v>
      </c>
      <c r="T321" s="47" t="str">
        <f t="shared" si="133"/>
        <v>13</v>
      </c>
      <c r="U321" s="49">
        <v>34</v>
      </c>
      <c r="V321" s="50">
        <v>28</v>
      </c>
      <c r="W321" s="51" t="str">
        <f t="shared" si="134"/>
        <v>34:28</v>
      </c>
      <c r="X321" s="52" t="s">
        <v>63</v>
      </c>
      <c r="Y321" s="124" t="s">
        <v>83</v>
      </c>
      <c r="Z321" s="124"/>
      <c r="AA321" s="47" t="s">
        <v>59</v>
      </c>
      <c r="AB321" s="47" t="str">
        <f t="shared" si="135"/>
        <v>NA</v>
      </c>
      <c r="AC321" s="53">
        <f t="shared" si="136"/>
        <v>0</v>
      </c>
      <c r="AD321" s="54">
        <f t="shared" si="137"/>
        <v>1</v>
      </c>
      <c r="AE321" s="54"/>
      <c r="AF321" s="54"/>
      <c r="AG321" s="55" t="str">
        <f t="shared" si="147"/>
        <v/>
      </c>
      <c r="AH321" s="56" t="str">
        <f t="shared" si="145"/>
        <v/>
      </c>
      <c r="AI321" s="55"/>
      <c r="AJ321" s="56" t="str">
        <f t="shared" si="138"/>
        <v/>
      </c>
      <c r="AK321" s="55"/>
      <c r="AL321" s="56" t="str">
        <f t="shared" si="139"/>
        <v/>
      </c>
      <c r="AM321" s="55">
        <v>1</v>
      </c>
      <c r="AN321" s="56">
        <f t="shared" si="146"/>
        <v>13</v>
      </c>
      <c r="AO321" s="55"/>
      <c r="AP321" s="56" t="str">
        <f t="shared" si="140"/>
        <v/>
      </c>
      <c r="AQ321" s="55"/>
      <c r="AR321" s="56" t="str">
        <f t="shared" si="141"/>
        <v/>
      </c>
      <c r="AS321" s="57"/>
      <c r="AT321" s="58"/>
      <c r="AU321" s="58"/>
      <c r="AV321" s="59"/>
      <c r="AW321" s="60">
        <v>1</v>
      </c>
      <c r="AX321" s="61">
        <f t="shared" si="123"/>
        <v>1</v>
      </c>
      <c r="AY321" s="60">
        <v>1</v>
      </c>
      <c r="AZ321" s="61">
        <f t="shared" si="125"/>
        <v>1</v>
      </c>
    </row>
    <row r="322" spans="1:52" s="3" customFormat="1" hidden="1" x14ac:dyDescent="0.35">
      <c r="A322" s="72">
        <f t="shared" si="126"/>
        <v>2019</v>
      </c>
      <c r="B322" s="72" t="str">
        <f t="shared" si="127"/>
        <v>Nov</v>
      </c>
      <c r="C322" s="73">
        <f t="shared" si="142"/>
        <v>18</v>
      </c>
      <c r="D322" s="74">
        <f t="shared" si="128"/>
        <v>13</v>
      </c>
      <c r="E322" s="75">
        <f t="shared" si="129"/>
        <v>35</v>
      </c>
      <c r="F322" s="79">
        <v>35</v>
      </c>
      <c r="G322" s="82"/>
      <c r="H322" s="68" t="str">
        <f t="shared" si="143"/>
        <v>Senbur7_20191118_13_00</v>
      </c>
      <c r="I322" s="69">
        <f t="shared" si="150"/>
        <v>1</v>
      </c>
      <c r="J322" s="76" t="str">
        <f t="shared" si="150"/>
        <v>Senecio</v>
      </c>
      <c r="K322" s="76" t="str">
        <f t="shared" si="150"/>
        <v>burtoni</v>
      </c>
      <c r="L322" s="77">
        <f t="shared" si="150"/>
        <v>0</v>
      </c>
      <c r="M322" s="77">
        <f t="shared" si="150"/>
        <v>7</v>
      </c>
      <c r="N322" s="71">
        <f t="shared" si="150"/>
        <v>0</v>
      </c>
      <c r="O322" s="44"/>
      <c r="P322" s="45">
        <f t="shared" si="130"/>
        <v>1</v>
      </c>
      <c r="Q322" s="46" t="str">
        <f t="shared" si="131"/>
        <v>13:35:35</v>
      </c>
      <c r="R322" s="47" t="str">
        <f t="shared" si="132"/>
        <v>35:35</v>
      </c>
      <c r="S322" s="48">
        <f t="shared" si="121"/>
        <v>5</v>
      </c>
      <c r="T322" s="47" t="str">
        <f t="shared" si="133"/>
        <v>13</v>
      </c>
      <c r="U322" s="49">
        <v>35</v>
      </c>
      <c r="V322" s="50">
        <v>40</v>
      </c>
      <c r="W322" s="51" t="str">
        <f t="shared" si="134"/>
        <v>35:40</v>
      </c>
      <c r="X322" s="52" t="s">
        <v>63</v>
      </c>
      <c r="Y322" s="124" t="s">
        <v>83</v>
      </c>
      <c r="Z322" s="124"/>
      <c r="AA322" s="47" t="s">
        <v>59</v>
      </c>
      <c r="AB322" s="47" t="str">
        <f t="shared" si="135"/>
        <v>NA</v>
      </c>
      <c r="AC322" s="53">
        <f t="shared" si="136"/>
        <v>0</v>
      </c>
      <c r="AD322" s="54">
        <f t="shared" si="137"/>
        <v>1</v>
      </c>
      <c r="AE322" s="54"/>
      <c r="AF322" s="54"/>
      <c r="AG322" s="55" t="str">
        <f t="shared" si="147"/>
        <v/>
      </c>
      <c r="AH322" s="56" t="str">
        <f t="shared" si="145"/>
        <v/>
      </c>
      <c r="AI322" s="55"/>
      <c r="AJ322" s="56" t="str">
        <f t="shared" si="138"/>
        <v/>
      </c>
      <c r="AK322" s="55"/>
      <c r="AL322" s="56" t="str">
        <f t="shared" si="139"/>
        <v/>
      </c>
      <c r="AM322" s="55">
        <v>1</v>
      </c>
      <c r="AN322" s="56">
        <f t="shared" si="146"/>
        <v>5</v>
      </c>
      <c r="AO322" s="55"/>
      <c r="AP322" s="56" t="str">
        <f t="shared" si="140"/>
        <v/>
      </c>
      <c r="AQ322" s="55"/>
      <c r="AR322" s="56" t="str">
        <f t="shared" si="141"/>
        <v/>
      </c>
      <c r="AS322" s="57"/>
      <c r="AT322" s="58"/>
      <c r="AU322" s="58"/>
      <c r="AV322" s="59"/>
      <c r="AW322" s="60">
        <v>1</v>
      </c>
      <c r="AX322" s="61">
        <f t="shared" si="123"/>
        <v>1</v>
      </c>
      <c r="AY322" s="60">
        <v>1</v>
      </c>
      <c r="AZ322" s="61">
        <f t="shared" si="125"/>
        <v>1</v>
      </c>
    </row>
    <row r="323" spans="1:52" s="3" customFormat="1" hidden="1" x14ac:dyDescent="0.35">
      <c r="A323" s="72">
        <f t="shared" si="126"/>
        <v>2019</v>
      </c>
      <c r="B323" s="72" t="str">
        <f t="shared" si="127"/>
        <v>Nov</v>
      </c>
      <c r="C323" s="73">
        <f t="shared" si="142"/>
        <v>18</v>
      </c>
      <c r="D323" s="74">
        <f t="shared" si="128"/>
        <v>13</v>
      </c>
      <c r="E323" s="75">
        <v>35</v>
      </c>
      <c r="F323" s="79">
        <v>58</v>
      </c>
      <c r="G323" s="82"/>
      <c r="H323" s="68" t="str">
        <f t="shared" si="143"/>
        <v>Senbur7_20191118_13_00</v>
      </c>
      <c r="I323" s="69">
        <f t="shared" si="150"/>
        <v>1</v>
      </c>
      <c r="J323" s="76" t="str">
        <f t="shared" si="150"/>
        <v>Senecio</v>
      </c>
      <c r="K323" s="76" t="str">
        <f t="shared" si="150"/>
        <v>burtoni</v>
      </c>
      <c r="L323" s="77">
        <f t="shared" si="150"/>
        <v>0</v>
      </c>
      <c r="M323" s="77">
        <f t="shared" si="150"/>
        <v>7</v>
      </c>
      <c r="N323" s="71">
        <f t="shared" si="150"/>
        <v>0</v>
      </c>
      <c r="O323" s="44"/>
      <c r="P323" s="45">
        <f t="shared" si="130"/>
        <v>1</v>
      </c>
      <c r="Q323" s="46" t="str">
        <f t="shared" si="131"/>
        <v>13:35:58</v>
      </c>
      <c r="R323" s="47" t="str">
        <f t="shared" si="132"/>
        <v>35:58</v>
      </c>
      <c r="S323" s="48">
        <f t="shared" ref="S323:S386" si="151">IF(T323&lt;D323, (T323*3600+U323*60+V323)+((23*3600+59*60+60)-(D323*3600+E323*60+LEFT(F323,2))), (T323*3600+U323*60+V323)-(D323*3600+E323*60+LEFT(F323,2)))</f>
        <v>23</v>
      </c>
      <c r="T323" s="47" t="str">
        <f t="shared" si="133"/>
        <v>13</v>
      </c>
      <c r="U323" s="49">
        <v>36</v>
      </c>
      <c r="V323" s="50">
        <v>21</v>
      </c>
      <c r="W323" s="51" t="str">
        <f t="shared" si="134"/>
        <v>36:21</v>
      </c>
      <c r="X323" s="52" t="s">
        <v>63</v>
      </c>
      <c r="Y323" s="124" t="s">
        <v>83</v>
      </c>
      <c r="Z323" s="124"/>
      <c r="AA323" s="47" t="s">
        <v>59</v>
      </c>
      <c r="AB323" s="47" t="str">
        <f t="shared" si="135"/>
        <v>NA</v>
      </c>
      <c r="AC323" s="53">
        <f t="shared" si="136"/>
        <v>0</v>
      </c>
      <c r="AD323" s="54">
        <f t="shared" si="137"/>
        <v>1</v>
      </c>
      <c r="AE323" s="54"/>
      <c r="AF323" s="54"/>
      <c r="AG323" s="55">
        <v>1</v>
      </c>
      <c r="AH323" s="56">
        <v>8</v>
      </c>
      <c r="AI323" s="55"/>
      <c r="AJ323" s="56" t="str">
        <f t="shared" si="138"/>
        <v/>
      </c>
      <c r="AK323" s="55"/>
      <c r="AL323" s="56" t="str">
        <f t="shared" si="139"/>
        <v/>
      </c>
      <c r="AM323" s="55">
        <v>1</v>
      </c>
      <c r="AN323" s="56">
        <v>15</v>
      </c>
      <c r="AO323" s="55"/>
      <c r="AP323" s="56" t="str">
        <f t="shared" si="140"/>
        <v/>
      </c>
      <c r="AQ323" s="55"/>
      <c r="AR323" s="56" t="str">
        <f t="shared" si="141"/>
        <v/>
      </c>
      <c r="AS323" s="57"/>
      <c r="AT323" s="58"/>
      <c r="AU323" s="58"/>
      <c r="AV323" s="59"/>
      <c r="AW323" s="60">
        <v>1</v>
      </c>
      <c r="AX323" s="61">
        <f t="shared" ref="AX323:AX386" si="152">IF(AW323=1,AD323,"")</f>
        <v>1</v>
      </c>
      <c r="AY323" s="60">
        <f t="shared" ref="AY323:AY386" si="153">IF(P323=1,0,"")</f>
        <v>0</v>
      </c>
      <c r="AZ323" s="61" t="str">
        <f t="shared" ref="AZ323:AZ386" si="154">IF(AY323=1,AD323,"")</f>
        <v/>
      </c>
    </row>
    <row r="324" spans="1:52" s="3" customFormat="1" hidden="1" x14ac:dyDescent="0.35">
      <c r="A324" s="72">
        <f t="shared" ref="A324:A387" si="155">A323</f>
        <v>2019</v>
      </c>
      <c r="B324" s="72" t="str">
        <f t="shared" ref="B324:B387" si="156">IF(C323-C324&gt;0, TEXT(DATE(2016,(MONTH(DATEVALUE(B323&amp;"1"))+1),1),"mmm"), B323)</f>
        <v>Nov</v>
      </c>
      <c r="C324" s="73">
        <f t="shared" si="142"/>
        <v>18</v>
      </c>
      <c r="D324" s="74">
        <f t="shared" ref="D324:D387" si="157">IF(IF(E323=59,D323+1,D323)=24,0,IF(E323=59,D323+1,D323))</f>
        <v>13</v>
      </c>
      <c r="E324" s="75">
        <f t="shared" ref="E324:E387" si="158">IF(E323&lt;59,E323+1,0)</f>
        <v>36</v>
      </c>
      <c r="F324" s="79">
        <v>24</v>
      </c>
      <c r="G324" s="82"/>
      <c r="H324" s="68" t="str">
        <f t="shared" si="143"/>
        <v>Senbur7_20191118_13_00</v>
      </c>
      <c r="I324" s="69">
        <f t="shared" si="150"/>
        <v>1</v>
      </c>
      <c r="J324" s="76" t="str">
        <f t="shared" si="150"/>
        <v>Senecio</v>
      </c>
      <c r="K324" s="76" t="str">
        <f t="shared" si="150"/>
        <v>burtoni</v>
      </c>
      <c r="L324" s="77">
        <f t="shared" si="150"/>
        <v>0</v>
      </c>
      <c r="M324" s="77">
        <f t="shared" si="150"/>
        <v>7</v>
      </c>
      <c r="N324" s="71">
        <f t="shared" si="150"/>
        <v>0</v>
      </c>
      <c r="O324" s="44"/>
      <c r="P324" s="45">
        <f t="shared" ref="P324:P387" si="159">IF(F324="","",1)</f>
        <v>1</v>
      </c>
      <c r="Q324" s="46" t="str">
        <f t="shared" ref="Q324:Q387" si="160">TEXT(IF(P324=1,CONCATENATE($D324,":",$E324,":",(LEFT($F324,2))),""),"hh:mm:ss")</f>
        <v>13:36:24</v>
      </c>
      <c r="R324" s="47" t="str">
        <f t="shared" ref="R324:R387" si="161">TEXT(Q324-TIME(0,RIGHT($H324,2),$G$9)+(Q324&gt;TIME(0,RIGHT($H324,2),$G$9)),"mm:ss")</f>
        <v>36:24</v>
      </c>
      <c r="S324" s="48">
        <f t="shared" si="151"/>
        <v>3</v>
      </c>
      <c r="T324" s="47" t="str">
        <f t="shared" ref="T324:T387" si="162">TEXT(IF(P324=1,D324,""),"00")</f>
        <v>13</v>
      </c>
      <c r="U324" s="49">
        <v>36</v>
      </c>
      <c r="V324" s="50">
        <v>27</v>
      </c>
      <c r="W324" s="51" t="str">
        <f t="shared" ref="W324:W387" si="163">IF(O324=0,TEXT(TIME(T324,U324,V324)-TIME(D324,E324,RIGHT(F324,2))+TIME(0,LEFT(R324,2),RIGHT(R324,2)),"mm:ss"),TEXT(TIME(T324,U324,V324)-TIME(D324,E324,RIGHT(F324,2))+TIME(0,LEFT(R324,2),RIGHT(R324,2))-TIME(0,($G$10*O324),0),"mm:ss"))</f>
        <v>36:27</v>
      </c>
      <c r="X324" s="52" t="s">
        <v>63</v>
      </c>
      <c r="Y324" s="124" t="s">
        <v>83</v>
      </c>
      <c r="Z324" s="124"/>
      <c r="AA324" s="47" t="s">
        <v>59</v>
      </c>
      <c r="AB324" s="47" t="str">
        <f t="shared" ref="AB324:AB387" si="164">IF(AA324&lt;&gt;0,"NA","")</f>
        <v>NA</v>
      </c>
      <c r="AC324" s="53">
        <f t="shared" ref="AC324:AC387" si="165">IF(SUM(AH324,AJ324,AL324,AN324,AP324,AR324)=S324,,"")</f>
        <v>0</v>
      </c>
      <c r="AD324" s="54">
        <f t="shared" ref="AD324:AD387" si="166">IF(P324=1,1,"")</f>
        <v>1</v>
      </c>
      <c r="AE324" s="54"/>
      <c r="AF324" s="54"/>
      <c r="AG324" s="55">
        <v>1</v>
      </c>
      <c r="AH324" s="56">
        <f t="shared" ref="AH324:AH387" si="167">IF(AG324=1,$S324,"")</f>
        <v>3</v>
      </c>
      <c r="AI324" s="55"/>
      <c r="AJ324" s="56" t="str">
        <f t="shared" ref="AJ324:AJ387" si="168">IF(AI324=1,$S324,"")</f>
        <v/>
      </c>
      <c r="AK324" s="55"/>
      <c r="AL324" s="56" t="str">
        <f t="shared" ref="AL324:AL387" si="169">IF(AK324=1,$S324,"")</f>
        <v/>
      </c>
      <c r="AM324" s="55"/>
      <c r="AN324" s="56" t="str">
        <f t="shared" ref="AN324:AN387" si="170">IF(AM324=1,$S324,"")</f>
        <v/>
      </c>
      <c r="AO324" s="55"/>
      <c r="AP324" s="56" t="str">
        <f t="shared" ref="AP324:AP387" si="171">IF(AO324=1,$S324,"")</f>
        <v/>
      </c>
      <c r="AQ324" s="55"/>
      <c r="AR324" s="56" t="str">
        <f t="shared" ref="AR324:AR387" si="172">IF(AQ324=1,$S324,"")</f>
        <v/>
      </c>
      <c r="AS324" s="57"/>
      <c r="AT324" s="58"/>
      <c r="AU324" s="58"/>
      <c r="AV324" s="59"/>
      <c r="AW324" s="60">
        <f t="shared" ref="AW324:AW386" si="173">IF(P324=1,0,"")</f>
        <v>0</v>
      </c>
      <c r="AX324" s="61" t="str">
        <f t="shared" si="152"/>
        <v/>
      </c>
      <c r="AY324" s="60">
        <f t="shared" si="153"/>
        <v>0</v>
      </c>
      <c r="AZ324" s="61" t="str">
        <f t="shared" si="154"/>
        <v/>
      </c>
    </row>
    <row r="325" spans="1:52" s="3" customFormat="1" hidden="1" x14ac:dyDescent="0.35">
      <c r="A325" s="72">
        <f t="shared" si="155"/>
        <v>2019</v>
      </c>
      <c r="B325" s="72" t="str">
        <f t="shared" si="156"/>
        <v>Nov</v>
      </c>
      <c r="C325" s="73">
        <f t="shared" ref="C325:C388" si="174">IF(AND(D325=0, E325=0), IF(TEXT(C324,"dd")=TEXT(EOMONTH(DATE(A324,MONTH(DATEVALUE(B324&amp;"1")),C324),0), "dd"), 1, C324+1), C324)</f>
        <v>18</v>
      </c>
      <c r="D325" s="74">
        <f t="shared" si="157"/>
        <v>13</v>
      </c>
      <c r="E325" s="75">
        <v>36</v>
      </c>
      <c r="F325" s="79">
        <v>29</v>
      </c>
      <c r="G325" s="82"/>
      <c r="H325" s="68" t="str">
        <f t="shared" ref="H325:H388" si="175">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Senbur7_20191118_13_00</v>
      </c>
      <c r="I325" s="69">
        <f t="shared" ref="I325:N340" si="176">I324</f>
        <v>1</v>
      </c>
      <c r="J325" s="76" t="str">
        <f t="shared" si="176"/>
        <v>Senecio</v>
      </c>
      <c r="K325" s="76" t="str">
        <f t="shared" si="176"/>
        <v>burtoni</v>
      </c>
      <c r="L325" s="77">
        <f t="shared" si="176"/>
        <v>0</v>
      </c>
      <c r="M325" s="77">
        <f t="shared" si="176"/>
        <v>7</v>
      </c>
      <c r="N325" s="71">
        <f t="shared" si="176"/>
        <v>0</v>
      </c>
      <c r="O325" s="44"/>
      <c r="P325" s="45">
        <f t="shared" si="159"/>
        <v>1</v>
      </c>
      <c r="Q325" s="46" t="str">
        <f t="shared" si="160"/>
        <v>13:36:29</v>
      </c>
      <c r="R325" s="47" t="str">
        <f t="shared" si="161"/>
        <v>36:29</v>
      </c>
      <c r="S325" s="48">
        <f t="shared" si="151"/>
        <v>7</v>
      </c>
      <c r="T325" s="47" t="str">
        <f t="shared" si="162"/>
        <v>13</v>
      </c>
      <c r="U325" s="49">
        <v>36</v>
      </c>
      <c r="V325" s="50">
        <v>36</v>
      </c>
      <c r="W325" s="51" t="str">
        <f t="shared" si="163"/>
        <v>36:36</v>
      </c>
      <c r="X325" s="52" t="s">
        <v>63</v>
      </c>
      <c r="Y325" s="124" t="s">
        <v>69</v>
      </c>
      <c r="Z325" s="124"/>
      <c r="AA325" s="47" t="s">
        <v>59</v>
      </c>
      <c r="AB325" s="47" t="str">
        <f t="shared" si="164"/>
        <v>NA</v>
      </c>
      <c r="AC325" s="53">
        <f t="shared" si="165"/>
        <v>0</v>
      </c>
      <c r="AD325" s="54">
        <f t="shared" si="166"/>
        <v>1</v>
      </c>
      <c r="AE325" s="54"/>
      <c r="AF325" s="54"/>
      <c r="AG325" s="55">
        <v>1</v>
      </c>
      <c r="AH325" s="56">
        <v>2</v>
      </c>
      <c r="AI325" s="55"/>
      <c r="AJ325" s="56" t="str">
        <f t="shared" si="168"/>
        <v/>
      </c>
      <c r="AK325" s="55"/>
      <c r="AL325" s="56" t="str">
        <f t="shared" si="169"/>
        <v/>
      </c>
      <c r="AM325" s="55">
        <v>1</v>
      </c>
      <c r="AN325" s="56">
        <v>5</v>
      </c>
      <c r="AO325" s="55"/>
      <c r="AP325" s="56" t="str">
        <f t="shared" si="171"/>
        <v/>
      </c>
      <c r="AQ325" s="55"/>
      <c r="AR325" s="56" t="str">
        <f t="shared" si="172"/>
        <v/>
      </c>
      <c r="AS325" s="57"/>
      <c r="AT325" s="58"/>
      <c r="AU325" s="58"/>
      <c r="AV325" s="59"/>
      <c r="AW325" s="60">
        <v>1</v>
      </c>
      <c r="AX325" s="61">
        <f t="shared" si="152"/>
        <v>1</v>
      </c>
      <c r="AY325" s="60">
        <v>1</v>
      </c>
      <c r="AZ325" s="61">
        <f t="shared" si="154"/>
        <v>1</v>
      </c>
    </row>
    <row r="326" spans="1:52" s="3" customFormat="1" hidden="1" x14ac:dyDescent="0.35">
      <c r="A326" s="72">
        <f t="shared" si="155"/>
        <v>2019</v>
      </c>
      <c r="B326" s="72" t="str">
        <f t="shared" si="156"/>
        <v>Nov</v>
      </c>
      <c r="C326" s="73">
        <f t="shared" si="174"/>
        <v>18</v>
      </c>
      <c r="D326" s="74">
        <f t="shared" si="157"/>
        <v>13</v>
      </c>
      <c r="E326" s="75">
        <v>36</v>
      </c>
      <c r="F326" s="79">
        <v>38</v>
      </c>
      <c r="G326" s="82"/>
      <c r="H326" s="68" t="str">
        <f t="shared" si="175"/>
        <v>Senbur7_20191118_13_00</v>
      </c>
      <c r="I326" s="69">
        <f t="shared" si="176"/>
        <v>1</v>
      </c>
      <c r="J326" s="76" t="str">
        <f t="shared" si="176"/>
        <v>Senecio</v>
      </c>
      <c r="K326" s="76" t="str">
        <f t="shared" si="176"/>
        <v>burtoni</v>
      </c>
      <c r="L326" s="77">
        <f t="shared" si="176"/>
        <v>0</v>
      </c>
      <c r="M326" s="77">
        <f t="shared" si="176"/>
        <v>7</v>
      </c>
      <c r="N326" s="71">
        <f t="shared" si="176"/>
        <v>0</v>
      </c>
      <c r="O326" s="44"/>
      <c r="P326" s="45" t="s">
        <v>67</v>
      </c>
      <c r="Q326" s="46" t="str">
        <f t="shared" si="160"/>
        <v/>
      </c>
      <c r="R326" s="47" t="e">
        <f t="shared" si="161"/>
        <v>#VALUE!</v>
      </c>
      <c r="S326" s="48" t="e">
        <f t="shared" si="151"/>
        <v>#VALUE!</v>
      </c>
      <c r="T326" s="47" t="str">
        <f t="shared" si="162"/>
        <v/>
      </c>
      <c r="U326" s="49">
        <v>38</v>
      </c>
      <c r="V326" s="50">
        <v>13</v>
      </c>
      <c r="W326" s="51" t="e">
        <f t="shared" si="163"/>
        <v>#VALUE!</v>
      </c>
      <c r="X326" s="52" t="s">
        <v>63</v>
      </c>
      <c r="Y326" s="52"/>
      <c r="Z326" s="52"/>
      <c r="AA326" s="47" t="s">
        <v>59</v>
      </c>
      <c r="AB326" s="47" t="str">
        <f t="shared" si="164"/>
        <v>NA</v>
      </c>
      <c r="AC326" s="53" t="e">
        <f t="shared" si="165"/>
        <v>#VALUE!</v>
      </c>
      <c r="AD326" s="54">
        <v>2</v>
      </c>
      <c r="AE326" s="54"/>
      <c r="AF326" s="54"/>
      <c r="AG326" s="55">
        <v>1</v>
      </c>
      <c r="AH326" s="56">
        <v>10</v>
      </c>
      <c r="AI326" s="55"/>
      <c r="AJ326" s="56" t="str">
        <f t="shared" si="168"/>
        <v/>
      </c>
      <c r="AK326" s="55"/>
      <c r="AL326" s="56" t="str">
        <f t="shared" si="169"/>
        <v/>
      </c>
      <c r="AM326" s="55">
        <v>1</v>
      </c>
      <c r="AN326" s="56">
        <v>85</v>
      </c>
      <c r="AO326" s="55"/>
      <c r="AP326" s="56" t="str">
        <f t="shared" si="171"/>
        <v/>
      </c>
      <c r="AQ326" s="55"/>
      <c r="AR326" s="56" t="str">
        <f t="shared" si="172"/>
        <v/>
      </c>
      <c r="AS326" s="57"/>
      <c r="AT326" s="58"/>
      <c r="AU326" s="58"/>
      <c r="AV326" s="59"/>
      <c r="AW326" s="60">
        <v>1</v>
      </c>
      <c r="AX326" s="61">
        <f t="shared" si="152"/>
        <v>2</v>
      </c>
      <c r="AY326" s="60">
        <v>1</v>
      </c>
      <c r="AZ326" s="61">
        <f t="shared" si="154"/>
        <v>2</v>
      </c>
    </row>
    <row r="327" spans="1:52" s="3" customFormat="1" hidden="1" x14ac:dyDescent="0.35">
      <c r="A327" s="72">
        <f t="shared" si="155"/>
        <v>2019</v>
      </c>
      <c r="B327" s="72" t="str">
        <f t="shared" si="156"/>
        <v>Nov</v>
      </c>
      <c r="C327" s="73">
        <f t="shared" si="174"/>
        <v>18</v>
      </c>
      <c r="D327" s="74">
        <f t="shared" si="157"/>
        <v>13</v>
      </c>
      <c r="E327" s="75">
        <v>36</v>
      </c>
      <c r="F327" s="79">
        <v>57</v>
      </c>
      <c r="G327" s="82"/>
      <c r="H327" s="68" t="str">
        <f t="shared" si="175"/>
        <v>Senbur7_20191118_13_00</v>
      </c>
      <c r="I327" s="69">
        <f t="shared" si="176"/>
        <v>1</v>
      </c>
      <c r="J327" s="76" t="str">
        <f t="shared" si="176"/>
        <v>Senecio</v>
      </c>
      <c r="K327" s="76" t="str">
        <f t="shared" si="176"/>
        <v>burtoni</v>
      </c>
      <c r="L327" s="77">
        <f t="shared" si="176"/>
        <v>0</v>
      </c>
      <c r="M327" s="77">
        <f t="shared" si="176"/>
        <v>7</v>
      </c>
      <c r="N327" s="71">
        <f t="shared" si="176"/>
        <v>0</v>
      </c>
      <c r="O327" s="44"/>
      <c r="P327" s="45">
        <f t="shared" si="159"/>
        <v>1</v>
      </c>
      <c r="Q327" s="46" t="str">
        <f t="shared" si="160"/>
        <v>13:36:57</v>
      </c>
      <c r="R327" s="47" t="str">
        <f t="shared" si="161"/>
        <v>36:57</v>
      </c>
      <c r="S327" s="48">
        <f t="shared" si="151"/>
        <v>8</v>
      </c>
      <c r="T327" s="47" t="str">
        <f t="shared" si="162"/>
        <v>13</v>
      </c>
      <c r="U327" s="49">
        <v>37</v>
      </c>
      <c r="V327" s="50">
        <v>5</v>
      </c>
      <c r="W327" s="51" t="str">
        <f t="shared" si="163"/>
        <v>37:05</v>
      </c>
      <c r="X327" s="52" t="s">
        <v>63</v>
      </c>
      <c r="Y327" s="124" t="s">
        <v>83</v>
      </c>
      <c r="Z327" s="124"/>
      <c r="AA327" s="47" t="s">
        <v>59</v>
      </c>
      <c r="AB327" s="47" t="str">
        <f t="shared" si="164"/>
        <v>NA</v>
      </c>
      <c r="AC327" s="53">
        <f t="shared" si="165"/>
        <v>0</v>
      </c>
      <c r="AD327" s="54">
        <f t="shared" si="166"/>
        <v>1</v>
      </c>
      <c r="AE327" s="54"/>
      <c r="AF327" s="54"/>
      <c r="AG327" s="55">
        <v>1</v>
      </c>
      <c r="AH327" s="56">
        <v>2</v>
      </c>
      <c r="AI327" s="55"/>
      <c r="AJ327" s="56" t="str">
        <f t="shared" si="168"/>
        <v/>
      </c>
      <c r="AK327" s="55"/>
      <c r="AL327" s="56" t="str">
        <f t="shared" si="169"/>
        <v/>
      </c>
      <c r="AM327" s="55">
        <v>1</v>
      </c>
      <c r="AN327" s="56">
        <v>6</v>
      </c>
      <c r="AO327" s="55"/>
      <c r="AP327" s="56"/>
      <c r="AQ327" s="55"/>
      <c r="AR327" s="56" t="str">
        <f t="shared" si="172"/>
        <v/>
      </c>
      <c r="AS327" s="57"/>
      <c r="AT327" s="58"/>
      <c r="AU327" s="58"/>
      <c r="AV327" s="59"/>
      <c r="AW327" s="60">
        <v>1</v>
      </c>
      <c r="AX327" s="61">
        <f t="shared" si="152"/>
        <v>1</v>
      </c>
      <c r="AY327" s="60">
        <v>1</v>
      </c>
      <c r="AZ327" s="61">
        <f t="shared" si="154"/>
        <v>1</v>
      </c>
    </row>
    <row r="328" spans="1:52" s="3" customFormat="1" hidden="1" x14ac:dyDescent="0.35">
      <c r="A328" s="72">
        <f t="shared" si="155"/>
        <v>2019</v>
      </c>
      <c r="B328" s="72" t="str">
        <f t="shared" si="156"/>
        <v>Nov</v>
      </c>
      <c r="C328" s="73">
        <f t="shared" si="174"/>
        <v>18</v>
      </c>
      <c r="D328" s="74">
        <f t="shared" si="157"/>
        <v>13</v>
      </c>
      <c r="E328" s="75">
        <f t="shared" si="158"/>
        <v>37</v>
      </c>
      <c r="F328" s="79">
        <v>51</v>
      </c>
      <c r="G328" s="82"/>
      <c r="H328" s="68" t="str">
        <f t="shared" si="175"/>
        <v>Senbur7_20191118_13_00</v>
      </c>
      <c r="I328" s="69">
        <f t="shared" si="176"/>
        <v>1</v>
      </c>
      <c r="J328" s="76" t="str">
        <f t="shared" si="176"/>
        <v>Senecio</v>
      </c>
      <c r="K328" s="76" t="str">
        <f t="shared" si="176"/>
        <v>burtoni</v>
      </c>
      <c r="L328" s="77">
        <f t="shared" si="176"/>
        <v>0</v>
      </c>
      <c r="M328" s="77">
        <f t="shared" si="176"/>
        <v>7</v>
      </c>
      <c r="N328" s="71">
        <f t="shared" si="176"/>
        <v>0</v>
      </c>
      <c r="O328" s="44"/>
      <c r="P328" s="45">
        <f t="shared" si="159"/>
        <v>1</v>
      </c>
      <c r="Q328" s="46" t="str">
        <f t="shared" si="160"/>
        <v>13:37:51</v>
      </c>
      <c r="R328" s="47" t="str">
        <f t="shared" si="161"/>
        <v>37:51</v>
      </c>
      <c r="S328" s="48">
        <f t="shared" si="151"/>
        <v>12</v>
      </c>
      <c r="T328" s="47" t="str">
        <f t="shared" si="162"/>
        <v>13</v>
      </c>
      <c r="U328" s="49">
        <v>38</v>
      </c>
      <c r="V328" s="50">
        <v>3</v>
      </c>
      <c r="W328" s="51" t="str">
        <f t="shared" si="163"/>
        <v>38:03</v>
      </c>
      <c r="X328" s="52" t="s">
        <v>71</v>
      </c>
      <c r="Y328" s="124" t="s">
        <v>86</v>
      </c>
      <c r="Z328" s="124"/>
      <c r="AA328" s="47" t="s">
        <v>59</v>
      </c>
      <c r="AB328" s="47" t="str">
        <f t="shared" si="164"/>
        <v>NA</v>
      </c>
      <c r="AC328" s="53">
        <f t="shared" si="165"/>
        <v>0</v>
      </c>
      <c r="AD328" s="54">
        <f t="shared" si="166"/>
        <v>1</v>
      </c>
      <c r="AE328" s="54"/>
      <c r="AF328" s="54"/>
      <c r="AG328" s="55">
        <v>1</v>
      </c>
      <c r="AH328" s="56">
        <f t="shared" si="167"/>
        <v>12</v>
      </c>
      <c r="AI328" s="55"/>
      <c r="AJ328" s="56" t="str">
        <f t="shared" si="168"/>
        <v/>
      </c>
      <c r="AK328" s="55"/>
      <c r="AL328" s="56" t="str">
        <f t="shared" si="169"/>
        <v/>
      </c>
      <c r="AM328" s="55"/>
      <c r="AN328" s="56" t="str">
        <f t="shared" si="170"/>
        <v/>
      </c>
      <c r="AO328" s="55"/>
      <c r="AP328" s="56" t="str">
        <f t="shared" si="171"/>
        <v/>
      </c>
      <c r="AQ328" s="55"/>
      <c r="AR328" s="56" t="str">
        <f t="shared" si="172"/>
        <v/>
      </c>
      <c r="AS328" s="57"/>
      <c r="AT328" s="58"/>
      <c r="AU328" s="58"/>
      <c r="AV328" s="59"/>
      <c r="AW328" s="60">
        <f t="shared" si="173"/>
        <v>0</v>
      </c>
      <c r="AX328" s="61" t="str">
        <f t="shared" si="152"/>
        <v/>
      </c>
      <c r="AY328" s="60">
        <f t="shared" si="153"/>
        <v>0</v>
      </c>
      <c r="AZ328" s="61" t="str">
        <f t="shared" si="154"/>
        <v/>
      </c>
    </row>
    <row r="329" spans="1:52" s="3" customFormat="1" hidden="1" x14ac:dyDescent="0.35">
      <c r="A329" s="72">
        <f t="shared" si="155"/>
        <v>2019</v>
      </c>
      <c r="B329" s="72" t="str">
        <f t="shared" si="156"/>
        <v>Nov</v>
      </c>
      <c r="C329" s="73">
        <f t="shared" si="174"/>
        <v>18</v>
      </c>
      <c r="D329" s="74">
        <f t="shared" si="157"/>
        <v>13</v>
      </c>
      <c r="E329" s="75">
        <f t="shared" si="158"/>
        <v>38</v>
      </c>
      <c r="F329" s="79"/>
      <c r="G329" s="82"/>
      <c r="H329" s="68" t="str">
        <f t="shared" si="175"/>
        <v>Senbur7_20191118_13_00</v>
      </c>
      <c r="I329" s="69">
        <f t="shared" si="176"/>
        <v>1</v>
      </c>
      <c r="J329" s="76" t="str">
        <f t="shared" si="176"/>
        <v>Senecio</v>
      </c>
      <c r="K329" s="76" t="str">
        <f t="shared" si="176"/>
        <v>burtoni</v>
      </c>
      <c r="L329" s="77">
        <f t="shared" si="176"/>
        <v>0</v>
      </c>
      <c r="M329" s="77">
        <f t="shared" si="176"/>
        <v>7</v>
      </c>
      <c r="N329" s="71">
        <f t="shared" si="176"/>
        <v>0</v>
      </c>
      <c r="O329" s="44"/>
      <c r="P329" s="45" t="str">
        <f t="shared" si="159"/>
        <v/>
      </c>
      <c r="Q329" s="46" t="str">
        <f t="shared" si="160"/>
        <v/>
      </c>
      <c r="R329" s="47" t="e">
        <f t="shared" si="161"/>
        <v>#VALUE!</v>
      </c>
      <c r="S329" s="48" t="e">
        <f t="shared" si="151"/>
        <v>#VALUE!</v>
      </c>
      <c r="T329" s="47" t="str">
        <f t="shared" si="162"/>
        <v/>
      </c>
      <c r="U329" s="49"/>
      <c r="V329" s="50"/>
      <c r="W329" s="51" t="e">
        <f t="shared" si="163"/>
        <v>#VALUE!</v>
      </c>
      <c r="X329" s="52"/>
      <c r="Y329" s="52"/>
      <c r="Z329" s="52"/>
      <c r="AA329" s="47" t="e">
        <f>INDEX(VISITORS[INSECT ORDER], MATCH(X329,VISITORS[NAME USED],0))</f>
        <v>#N/A</v>
      </c>
      <c r="AB329" s="47" t="e">
        <f t="shared" si="164"/>
        <v>#N/A</v>
      </c>
      <c r="AC329" s="53" t="e">
        <f t="shared" si="165"/>
        <v>#VALUE!</v>
      </c>
      <c r="AD329" s="54" t="str">
        <f t="shared" si="166"/>
        <v/>
      </c>
      <c r="AE329" s="54"/>
      <c r="AF329" s="54"/>
      <c r="AG329" s="55" t="str">
        <f t="shared" ref="AG329:AG387" si="177">IF(OR(X329="Something small"),1,"")</f>
        <v/>
      </c>
      <c r="AH329" s="56" t="str">
        <f t="shared" si="167"/>
        <v/>
      </c>
      <c r="AI329" s="55"/>
      <c r="AJ329" s="56" t="str">
        <f t="shared" si="168"/>
        <v/>
      </c>
      <c r="AK329" s="55"/>
      <c r="AL329" s="56" t="str">
        <f t="shared" si="169"/>
        <v/>
      </c>
      <c r="AM329" s="55"/>
      <c r="AN329" s="56" t="str">
        <f t="shared" si="170"/>
        <v/>
      </c>
      <c r="AO329" s="55"/>
      <c r="AP329" s="56" t="str">
        <f t="shared" si="171"/>
        <v/>
      </c>
      <c r="AQ329" s="55"/>
      <c r="AR329" s="56" t="str">
        <f t="shared" si="172"/>
        <v/>
      </c>
      <c r="AS329" s="57"/>
      <c r="AT329" s="58"/>
      <c r="AU329" s="58"/>
      <c r="AV329" s="59"/>
      <c r="AW329" s="60" t="str">
        <f t="shared" si="173"/>
        <v/>
      </c>
      <c r="AX329" s="61" t="str">
        <f t="shared" si="152"/>
        <v/>
      </c>
      <c r="AY329" s="60" t="str">
        <f t="shared" si="153"/>
        <v/>
      </c>
      <c r="AZ329" s="61" t="str">
        <f t="shared" si="154"/>
        <v/>
      </c>
    </row>
    <row r="330" spans="1:52" s="3" customFormat="1" hidden="1" x14ac:dyDescent="0.35">
      <c r="A330" s="72">
        <f t="shared" si="155"/>
        <v>2019</v>
      </c>
      <c r="B330" s="72" t="str">
        <f t="shared" si="156"/>
        <v>Nov</v>
      </c>
      <c r="C330" s="73">
        <f t="shared" si="174"/>
        <v>18</v>
      </c>
      <c r="D330" s="74">
        <f t="shared" si="157"/>
        <v>13</v>
      </c>
      <c r="E330" s="75">
        <f t="shared" si="158"/>
        <v>39</v>
      </c>
      <c r="F330" s="79">
        <v>45</v>
      </c>
      <c r="G330" s="82"/>
      <c r="H330" s="68" t="str">
        <f t="shared" si="175"/>
        <v>Senbur7_20191118_13_00</v>
      </c>
      <c r="I330" s="69">
        <f t="shared" si="176"/>
        <v>1</v>
      </c>
      <c r="J330" s="76" t="str">
        <f t="shared" si="176"/>
        <v>Senecio</v>
      </c>
      <c r="K330" s="76" t="str">
        <f t="shared" si="176"/>
        <v>burtoni</v>
      </c>
      <c r="L330" s="77">
        <f t="shared" si="176"/>
        <v>0</v>
      </c>
      <c r="M330" s="77">
        <f t="shared" si="176"/>
        <v>7</v>
      </c>
      <c r="N330" s="71">
        <f t="shared" si="176"/>
        <v>0</v>
      </c>
      <c r="O330" s="44"/>
      <c r="P330" s="45">
        <f t="shared" si="159"/>
        <v>1</v>
      </c>
      <c r="Q330" s="46" t="str">
        <f t="shared" si="160"/>
        <v>13:39:45</v>
      </c>
      <c r="R330" s="47" t="str">
        <f t="shared" si="161"/>
        <v>39:45</v>
      </c>
      <c r="S330" s="48">
        <f t="shared" si="151"/>
        <v>8</v>
      </c>
      <c r="T330" s="47" t="str">
        <f t="shared" si="162"/>
        <v>13</v>
      </c>
      <c r="U330" s="49">
        <v>39</v>
      </c>
      <c r="V330" s="50">
        <v>53</v>
      </c>
      <c r="W330" s="51" t="str">
        <f t="shared" si="163"/>
        <v>39:53</v>
      </c>
      <c r="X330" s="52" t="s">
        <v>63</v>
      </c>
      <c r="Y330" s="124" t="s">
        <v>83</v>
      </c>
      <c r="Z330" s="124"/>
      <c r="AA330" s="47" t="s">
        <v>59</v>
      </c>
      <c r="AB330" s="47" t="str">
        <f t="shared" si="164"/>
        <v>NA</v>
      </c>
      <c r="AC330" s="53">
        <f t="shared" si="165"/>
        <v>0</v>
      </c>
      <c r="AD330" s="54">
        <f t="shared" si="166"/>
        <v>1</v>
      </c>
      <c r="AE330" s="54"/>
      <c r="AF330" s="54"/>
      <c r="AG330" s="55" t="str">
        <f t="shared" si="177"/>
        <v/>
      </c>
      <c r="AH330" s="56" t="str">
        <f t="shared" si="167"/>
        <v/>
      </c>
      <c r="AI330" s="55"/>
      <c r="AJ330" s="56" t="str">
        <f t="shared" si="168"/>
        <v/>
      </c>
      <c r="AK330" s="55"/>
      <c r="AL330" s="56" t="str">
        <f t="shared" si="169"/>
        <v/>
      </c>
      <c r="AM330" s="55">
        <v>1</v>
      </c>
      <c r="AN330" s="56">
        <f t="shared" si="170"/>
        <v>8</v>
      </c>
      <c r="AO330" s="55"/>
      <c r="AP330" s="56" t="str">
        <f t="shared" si="171"/>
        <v/>
      </c>
      <c r="AQ330" s="55"/>
      <c r="AR330" s="56" t="str">
        <f t="shared" si="172"/>
        <v/>
      </c>
      <c r="AS330" s="57"/>
      <c r="AT330" s="58"/>
      <c r="AU330" s="58"/>
      <c r="AV330" s="59"/>
      <c r="AW330" s="60">
        <v>1</v>
      </c>
      <c r="AX330" s="61">
        <f t="shared" si="152"/>
        <v>1</v>
      </c>
      <c r="AY330" s="60">
        <v>1</v>
      </c>
      <c r="AZ330" s="61">
        <f t="shared" si="154"/>
        <v>1</v>
      </c>
    </row>
    <row r="331" spans="1:52" s="3" customFormat="1" hidden="1" x14ac:dyDescent="0.35">
      <c r="A331" s="72">
        <f t="shared" si="155"/>
        <v>2019</v>
      </c>
      <c r="B331" s="72" t="str">
        <f t="shared" si="156"/>
        <v>Nov</v>
      </c>
      <c r="C331" s="73">
        <f t="shared" si="174"/>
        <v>18</v>
      </c>
      <c r="D331" s="74">
        <f t="shared" si="157"/>
        <v>13</v>
      </c>
      <c r="E331" s="75">
        <v>39</v>
      </c>
      <c r="F331" s="79">
        <v>56</v>
      </c>
      <c r="G331" s="82"/>
      <c r="H331" s="68" t="str">
        <f t="shared" si="175"/>
        <v>Senbur7_20191118_13_00</v>
      </c>
      <c r="I331" s="69">
        <f t="shared" si="176"/>
        <v>1</v>
      </c>
      <c r="J331" s="76" t="str">
        <f t="shared" si="176"/>
        <v>Senecio</v>
      </c>
      <c r="K331" s="76" t="str">
        <f t="shared" si="176"/>
        <v>burtoni</v>
      </c>
      <c r="L331" s="77">
        <f t="shared" si="176"/>
        <v>0</v>
      </c>
      <c r="M331" s="77">
        <f t="shared" si="176"/>
        <v>7</v>
      </c>
      <c r="N331" s="71">
        <f t="shared" si="176"/>
        <v>0</v>
      </c>
      <c r="O331" s="44"/>
      <c r="P331" s="45">
        <f t="shared" si="159"/>
        <v>1</v>
      </c>
      <c r="Q331" s="46" t="str">
        <f t="shared" si="160"/>
        <v>13:39:56</v>
      </c>
      <c r="R331" s="47" t="str">
        <f t="shared" si="161"/>
        <v>39:56</v>
      </c>
      <c r="S331" s="48">
        <f t="shared" si="151"/>
        <v>46</v>
      </c>
      <c r="T331" s="47" t="str">
        <f t="shared" si="162"/>
        <v>13</v>
      </c>
      <c r="U331" s="49">
        <v>40</v>
      </c>
      <c r="V331" s="50">
        <v>42</v>
      </c>
      <c r="W331" s="51" t="str">
        <f t="shared" si="163"/>
        <v>40:42</v>
      </c>
      <c r="X331" s="52" t="s">
        <v>63</v>
      </c>
      <c r="Y331" s="124" t="s">
        <v>82</v>
      </c>
      <c r="Z331" s="124"/>
      <c r="AA331" s="47" t="s">
        <v>59</v>
      </c>
      <c r="AB331" s="47" t="str">
        <f t="shared" si="164"/>
        <v>NA</v>
      </c>
      <c r="AC331" s="53">
        <f t="shared" si="165"/>
        <v>0</v>
      </c>
      <c r="AD331" s="54">
        <f t="shared" si="166"/>
        <v>1</v>
      </c>
      <c r="AE331" s="54"/>
      <c r="AF331" s="54"/>
      <c r="AG331" s="55">
        <v>1</v>
      </c>
      <c r="AH331" s="56">
        <v>10</v>
      </c>
      <c r="AI331" s="55"/>
      <c r="AJ331" s="56" t="str">
        <f t="shared" si="168"/>
        <v/>
      </c>
      <c r="AK331" s="55"/>
      <c r="AL331" s="56" t="str">
        <f t="shared" si="169"/>
        <v/>
      </c>
      <c r="AM331" s="55">
        <v>1</v>
      </c>
      <c r="AN331" s="56">
        <v>36</v>
      </c>
      <c r="AO331" s="55"/>
      <c r="AP331" s="56" t="str">
        <f t="shared" si="171"/>
        <v/>
      </c>
      <c r="AQ331" s="55"/>
      <c r="AR331" s="56" t="str">
        <f t="shared" si="172"/>
        <v/>
      </c>
      <c r="AS331" s="57"/>
      <c r="AT331" s="58"/>
      <c r="AU331" s="58"/>
      <c r="AV331" s="59"/>
      <c r="AW331" s="60">
        <v>1</v>
      </c>
      <c r="AX331" s="61">
        <f t="shared" si="152"/>
        <v>1</v>
      </c>
      <c r="AY331" s="60">
        <v>1</v>
      </c>
      <c r="AZ331" s="61">
        <f t="shared" si="154"/>
        <v>1</v>
      </c>
    </row>
    <row r="332" spans="1:52" s="3" customFormat="1" hidden="1" x14ac:dyDescent="0.35">
      <c r="A332" s="72">
        <f t="shared" si="155"/>
        <v>2019</v>
      </c>
      <c r="B332" s="72" t="str">
        <f t="shared" si="156"/>
        <v>Nov</v>
      </c>
      <c r="C332" s="73">
        <f t="shared" si="174"/>
        <v>18</v>
      </c>
      <c r="D332" s="74">
        <f t="shared" si="157"/>
        <v>13</v>
      </c>
      <c r="E332" s="75">
        <f t="shared" si="158"/>
        <v>40</v>
      </c>
      <c r="F332" s="79">
        <v>8</v>
      </c>
      <c r="G332" s="82"/>
      <c r="H332" s="68" t="str">
        <f t="shared" si="175"/>
        <v>Senbur7_20191118_13_00</v>
      </c>
      <c r="I332" s="69">
        <f t="shared" si="176"/>
        <v>1</v>
      </c>
      <c r="J332" s="76" t="str">
        <f t="shared" si="176"/>
        <v>Senecio</v>
      </c>
      <c r="K332" s="76" t="str">
        <f t="shared" si="176"/>
        <v>burtoni</v>
      </c>
      <c r="L332" s="77">
        <f t="shared" si="176"/>
        <v>0</v>
      </c>
      <c r="M332" s="77">
        <f t="shared" si="176"/>
        <v>7</v>
      </c>
      <c r="N332" s="71">
        <f t="shared" si="176"/>
        <v>0</v>
      </c>
      <c r="O332" s="44"/>
      <c r="P332" s="45">
        <f t="shared" si="159"/>
        <v>1</v>
      </c>
      <c r="Q332" s="46" t="str">
        <f t="shared" si="160"/>
        <v>13:40:08</v>
      </c>
      <c r="R332" s="47" t="str">
        <f t="shared" si="161"/>
        <v>40:08</v>
      </c>
      <c r="S332" s="48">
        <f t="shared" si="151"/>
        <v>19</v>
      </c>
      <c r="T332" s="47" t="str">
        <f t="shared" si="162"/>
        <v>13</v>
      </c>
      <c r="U332" s="49">
        <v>40</v>
      </c>
      <c r="V332" s="50">
        <v>27</v>
      </c>
      <c r="W332" s="51" t="str">
        <f t="shared" si="163"/>
        <v>40:27</v>
      </c>
      <c r="X332" s="52" t="s">
        <v>63</v>
      </c>
      <c r="Y332" s="124" t="s">
        <v>82</v>
      </c>
      <c r="Z332" s="124"/>
      <c r="AA332" s="47" t="s">
        <v>59</v>
      </c>
      <c r="AB332" s="47" t="str">
        <f t="shared" si="164"/>
        <v>NA</v>
      </c>
      <c r="AC332" s="53">
        <f t="shared" si="165"/>
        <v>0</v>
      </c>
      <c r="AD332" s="54">
        <v>2</v>
      </c>
      <c r="AE332" s="54"/>
      <c r="AF332" s="54"/>
      <c r="AG332" s="55">
        <v>1</v>
      </c>
      <c r="AH332" s="56">
        <v>9</v>
      </c>
      <c r="AI332" s="55"/>
      <c r="AJ332" s="56" t="str">
        <f t="shared" si="168"/>
        <v/>
      </c>
      <c r="AK332" s="55"/>
      <c r="AL332" s="56" t="str">
        <f t="shared" si="169"/>
        <v/>
      </c>
      <c r="AM332" s="55">
        <v>1</v>
      </c>
      <c r="AN332" s="56">
        <v>10</v>
      </c>
      <c r="AO332" s="55"/>
      <c r="AP332" s="56" t="str">
        <f t="shared" si="171"/>
        <v/>
      </c>
      <c r="AQ332" s="55"/>
      <c r="AR332" s="56" t="str">
        <f t="shared" si="172"/>
        <v/>
      </c>
      <c r="AS332" s="57"/>
      <c r="AT332" s="58"/>
      <c r="AU332" s="58"/>
      <c r="AV332" s="59"/>
      <c r="AW332" s="60">
        <v>1</v>
      </c>
      <c r="AX332" s="61">
        <v>1</v>
      </c>
      <c r="AY332" s="60">
        <v>1</v>
      </c>
      <c r="AZ332" s="61">
        <v>1</v>
      </c>
    </row>
    <row r="333" spans="1:52" s="3" customFormat="1" hidden="1" x14ac:dyDescent="0.35">
      <c r="A333" s="72">
        <f t="shared" si="155"/>
        <v>2019</v>
      </c>
      <c r="B333" s="72" t="str">
        <f t="shared" si="156"/>
        <v>Nov</v>
      </c>
      <c r="C333" s="73">
        <f t="shared" si="174"/>
        <v>18</v>
      </c>
      <c r="D333" s="74">
        <f t="shared" si="157"/>
        <v>13</v>
      </c>
      <c r="E333" s="75">
        <v>40</v>
      </c>
      <c r="F333" s="79">
        <v>19</v>
      </c>
      <c r="G333" s="82"/>
      <c r="H333" s="68" t="str">
        <f t="shared" si="175"/>
        <v>Senbur7_20191118_13_00</v>
      </c>
      <c r="I333" s="69">
        <f t="shared" si="176"/>
        <v>1</v>
      </c>
      <c r="J333" s="76" t="str">
        <f t="shared" si="176"/>
        <v>Senecio</v>
      </c>
      <c r="K333" s="76" t="str">
        <f t="shared" si="176"/>
        <v>burtoni</v>
      </c>
      <c r="L333" s="77">
        <f t="shared" si="176"/>
        <v>0</v>
      </c>
      <c r="M333" s="77">
        <f t="shared" si="176"/>
        <v>7</v>
      </c>
      <c r="N333" s="71">
        <f t="shared" si="176"/>
        <v>0</v>
      </c>
      <c r="O333" s="44"/>
      <c r="P333" s="45">
        <f t="shared" si="159"/>
        <v>1</v>
      </c>
      <c r="Q333" s="46" t="str">
        <f t="shared" si="160"/>
        <v>13:40:19</v>
      </c>
      <c r="R333" s="47" t="str">
        <f t="shared" si="161"/>
        <v>40:19</v>
      </c>
      <c r="S333" s="48">
        <f t="shared" si="151"/>
        <v>0</v>
      </c>
      <c r="T333" s="47" t="str">
        <f t="shared" si="162"/>
        <v>13</v>
      </c>
      <c r="U333" s="49">
        <v>40</v>
      </c>
      <c r="V333" s="50">
        <v>19</v>
      </c>
      <c r="W333" s="51" t="str">
        <f t="shared" si="163"/>
        <v>40:19</v>
      </c>
      <c r="X333" s="52" t="s">
        <v>63</v>
      </c>
      <c r="Y333" s="124" t="s">
        <v>82</v>
      </c>
      <c r="Z333" s="124"/>
      <c r="AA333" s="47" t="s">
        <v>59</v>
      </c>
      <c r="AB333" s="47" t="str">
        <f t="shared" si="164"/>
        <v>NA</v>
      </c>
      <c r="AC333" s="53">
        <f t="shared" si="165"/>
        <v>0</v>
      </c>
      <c r="AD333" s="54">
        <f t="shared" si="166"/>
        <v>1</v>
      </c>
      <c r="AE333" s="54"/>
      <c r="AF333" s="54"/>
      <c r="AG333" s="55">
        <v>1</v>
      </c>
      <c r="AH333" s="56">
        <f t="shared" si="167"/>
        <v>0</v>
      </c>
      <c r="AI333" s="55"/>
      <c r="AJ333" s="56" t="str">
        <f t="shared" si="168"/>
        <v/>
      </c>
      <c r="AK333" s="55"/>
      <c r="AL333" s="56" t="str">
        <f t="shared" si="169"/>
        <v/>
      </c>
      <c r="AM333" s="55"/>
      <c r="AN333" s="56" t="str">
        <f t="shared" si="170"/>
        <v/>
      </c>
      <c r="AO333" s="55"/>
      <c r="AP333" s="56" t="str">
        <f t="shared" si="171"/>
        <v/>
      </c>
      <c r="AQ333" s="55"/>
      <c r="AR333" s="56" t="str">
        <f t="shared" si="172"/>
        <v/>
      </c>
      <c r="AS333" s="57"/>
      <c r="AT333" s="58"/>
      <c r="AU333" s="58"/>
      <c r="AV333" s="59"/>
      <c r="AW333" s="60">
        <f t="shared" si="173"/>
        <v>0</v>
      </c>
      <c r="AX333" s="61" t="str">
        <f t="shared" si="152"/>
        <v/>
      </c>
      <c r="AY333" s="60">
        <f t="shared" si="153"/>
        <v>0</v>
      </c>
      <c r="AZ333" s="61" t="str">
        <f t="shared" si="154"/>
        <v/>
      </c>
    </row>
    <row r="334" spans="1:52" s="3" customFormat="1" hidden="1" x14ac:dyDescent="0.35">
      <c r="A334" s="72">
        <f t="shared" si="155"/>
        <v>2019</v>
      </c>
      <c r="B334" s="72" t="str">
        <f t="shared" si="156"/>
        <v>Nov</v>
      </c>
      <c r="C334" s="73">
        <f t="shared" si="174"/>
        <v>18</v>
      </c>
      <c r="D334" s="74">
        <f t="shared" si="157"/>
        <v>13</v>
      </c>
      <c r="E334" s="75">
        <v>40</v>
      </c>
      <c r="F334" s="79">
        <v>27</v>
      </c>
      <c r="G334" s="82"/>
      <c r="H334" s="68" t="str">
        <f t="shared" si="175"/>
        <v>Senbur7_20191118_13_00</v>
      </c>
      <c r="I334" s="69">
        <f t="shared" si="176"/>
        <v>1</v>
      </c>
      <c r="J334" s="76" t="str">
        <f t="shared" si="176"/>
        <v>Senecio</v>
      </c>
      <c r="K334" s="76" t="str">
        <f t="shared" si="176"/>
        <v>burtoni</v>
      </c>
      <c r="L334" s="77">
        <f t="shared" si="176"/>
        <v>0</v>
      </c>
      <c r="M334" s="77">
        <f t="shared" si="176"/>
        <v>7</v>
      </c>
      <c r="N334" s="71">
        <f t="shared" si="176"/>
        <v>0</v>
      </c>
      <c r="O334" s="44"/>
      <c r="P334" s="45">
        <f t="shared" si="159"/>
        <v>1</v>
      </c>
      <c r="Q334" s="46" t="str">
        <f t="shared" si="160"/>
        <v>13:40:27</v>
      </c>
      <c r="R334" s="47" t="str">
        <f t="shared" si="161"/>
        <v>40:27</v>
      </c>
      <c r="S334" s="48">
        <f t="shared" si="151"/>
        <v>0</v>
      </c>
      <c r="T334" s="47" t="str">
        <f t="shared" si="162"/>
        <v>13</v>
      </c>
      <c r="U334" s="49">
        <v>40</v>
      </c>
      <c r="V334" s="50">
        <v>27</v>
      </c>
      <c r="W334" s="51" t="str">
        <f t="shared" si="163"/>
        <v>40:27</v>
      </c>
      <c r="X334" s="52" t="s">
        <v>63</v>
      </c>
      <c r="Y334" s="124" t="s">
        <v>83</v>
      </c>
      <c r="Z334" s="124"/>
      <c r="AA334" s="47" t="s">
        <v>68</v>
      </c>
      <c r="AB334" s="47" t="str">
        <f t="shared" si="164"/>
        <v>NA</v>
      </c>
      <c r="AC334" s="53">
        <f t="shared" si="165"/>
        <v>0</v>
      </c>
      <c r="AD334" s="54">
        <f t="shared" si="166"/>
        <v>1</v>
      </c>
      <c r="AE334" s="54"/>
      <c r="AF334" s="54"/>
      <c r="AG334" s="55">
        <v>1</v>
      </c>
      <c r="AH334" s="56">
        <f t="shared" si="167"/>
        <v>0</v>
      </c>
      <c r="AI334" s="55"/>
      <c r="AJ334" s="56" t="str">
        <f t="shared" si="168"/>
        <v/>
      </c>
      <c r="AK334" s="55"/>
      <c r="AL334" s="56" t="str">
        <f t="shared" si="169"/>
        <v/>
      </c>
      <c r="AM334" s="55"/>
      <c r="AN334" s="56" t="str">
        <f t="shared" si="170"/>
        <v/>
      </c>
      <c r="AO334" s="55"/>
      <c r="AP334" s="56" t="str">
        <f t="shared" si="171"/>
        <v/>
      </c>
      <c r="AQ334" s="55"/>
      <c r="AR334" s="56" t="str">
        <f t="shared" si="172"/>
        <v/>
      </c>
      <c r="AS334" s="57"/>
      <c r="AT334" s="58"/>
      <c r="AU334" s="58"/>
      <c r="AV334" s="59"/>
      <c r="AW334" s="60">
        <f t="shared" si="173"/>
        <v>0</v>
      </c>
      <c r="AX334" s="61" t="str">
        <f t="shared" si="152"/>
        <v/>
      </c>
      <c r="AY334" s="60">
        <f t="shared" si="153"/>
        <v>0</v>
      </c>
      <c r="AZ334" s="61" t="str">
        <f t="shared" si="154"/>
        <v/>
      </c>
    </row>
    <row r="335" spans="1:52" s="3" customFormat="1" hidden="1" x14ac:dyDescent="0.35">
      <c r="A335" s="72">
        <f t="shared" si="155"/>
        <v>2019</v>
      </c>
      <c r="B335" s="72" t="str">
        <f t="shared" si="156"/>
        <v>Nov</v>
      </c>
      <c r="C335" s="73">
        <f t="shared" si="174"/>
        <v>18</v>
      </c>
      <c r="D335" s="74">
        <f t="shared" si="157"/>
        <v>13</v>
      </c>
      <c r="E335" s="75">
        <v>40</v>
      </c>
      <c r="F335" s="79">
        <v>41</v>
      </c>
      <c r="G335" s="82"/>
      <c r="H335" s="68" t="str">
        <f t="shared" si="175"/>
        <v>Senbur7_20191118_13_00</v>
      </c>
      <c r="I335" s="69">
        <f t="shared" si="176"/>
        <v>1</v>
      </c>
      <c r="J335" s="76" t="str">
        <f t="shared" si="176"/>
        <v>Senecio</v>
      </c>
      <c r="K335" s="76" t="str">
        <f t="shared" si="176"/>
        <v>burtoni</v>
      </c>
      <c r="L335" s="77">
        <f t="shared" si="176"/>
        <v>0</v>
      </c>
      <c r="M335" s="77">
        <f t="shared" si="176"/>
        <v>7</v>
      </c>
      <c r="N335" s="71">
        <f t="shared" si="176"/>
        <v>0</v>
      </c>
      <c r="O335" s="44"/>
      <c r="P335" s="45">
        <f t="shared" si="159"/>
        <v>1</v>
      </c>
      <c r="Q335" s="46" t="str">
        <f t="shared" si="160"/>
        <v>13:40:41</v>
      </c>
      <c r="R335" s="47" t="str">
        <f t="shared" si="161"/>
        <v>40:41</v>
      </c>
      <c r="S335" s="48">
        <f t="shared" si="151"/>
        <v>51</v>
      </c>
      <c r="T335" s="47" t="str">
        <f t="shared" si="162"/>
        <v>13</v>
      </c>
      <c r="U335" s="49">
        <v>41</v>
      </c>
      <c r="V335" s="50">
        <v>32</v>
      </c>
      <c r="W335" s="51" t="str">
        <f t="shared" si="163"/>
        <v>41:32</v>
      </c>
      <c r="X335" s="52" t="s">
        <v>63</v>
      </c>
      <c r="Y335" s="124" t="s">
        <v>82</v>
      </c>
      <c r="Z335" s="124"/>
      <c r="AA335" s="47" t="s">
        <v>59</v>
      </c>
      <c r="AB335" s="47" t="str">
        <f t="shared" si="164"/>
        <v>NA</v>
      </c>
      <c r="AC335" s="53">
        <f t="shared" si="165"/>
        <v>0</v>
      </c>
      <c r="AD335" s="54">
        <f t="shared" si="166"/>
        <v>1</v>
      </c>
      <c r="AE335" s="54"/>
      <c r="AF335" s="54"/>
      <c r="AG335" s="55">
        <v>1</v>
      </c>
      <c r="AH335" s="56">
        <v>5</v>
      </c>
      <c r="AI335" s="55"/>
      <c r="AJ335" s="56" t="str">
        <f t="shared" si="168"/>
        <v/>
      </c>
      <c r="AK335" s="55"/>
      <c r="AL335" s="56" t="str">
        <f t="shared" si="169"/>
        <v/>
      </c>
      <c r="AM335" s="55">
        <v>1</v>
      </c>
      <c r="AN335" s="56">
        <v>46</v>
      </c>
      <c r="AO335" s="55"/>
      <c r="AP335" s="56" t="str">
        <f t="shared" si="171"/>
        <v/>
      </c>
      <c r="AQ335" s="55"/>
      <c r="AR335" s="56" t="str">
        <f t="shared" si="172"/>
        <v/>
      </c>
      <c r="AS335" s="57"/>
      <c r="AT335" s="58"/>
      <c r="AU335" s="58"/>
      <c r="AV335" s="59"/>
      <c r="AW335" s="60">
        <v>1</v>
      </c>
      <c r="AX335" s="61">
        <f t="shared" si="152"/>
        <v>1</v>
      </c>
      <c r="AY335" s="60">
        <v>1</v>
      </c>
      <c r="AZ335" s="61">
        <f t="shared" si="154"/>
        <v>1</v>
      </c>
    </row>
    <row r="336" spans="1:52" s="3" customFormat="1" hidden="1" x14ac:dyDescent="0.35">
      <c r="A336" s="72">
        <f t="shared" si="155"/>
        <v>2019</v>
      </c>
      <c r="B336" s="72" t="str">
        <f t="shared" si="156"/>
        <v>Nov</v>
      </c>
      <c r="C336" s="73">
        <f t="shared" si="174"/>
        <v>18</v>
      </c>
      <c r="D336" s="74">
        <f t="shared" si="157"/>
        <v>13</v>
      </c>
      <c r="E336" s="75">
        <f t="shared" si="158"/>
        <v>41</v>
      </c>
      <c r="F336" s="79"/>
      <c r="G336" s="82"/>
      <c r="H336" s="68" t="str">
        <f t="shared" si="175"/>
        <v>Senbur7_20191118_13_00</v>
      </c>
      <c r="I336" s="69">
        <f t="shared" si="176"/>
        <v>1</v>
      </c>
      <c r="J336" s="76" t="str">
        <f t="shared" si="176"/>
        <v>Senecio</v>
      </c>
      <c r="K336" s="76" t="str">
        <f t="shared" si="176"/>
        <v>burtoni</v>
      </c>
      <c r="L336" s="77">
        <f t="shared" si="176"/>
        <v>0</v>
      </c>
      <c r="M336" s="77">
        <f t="shared" si="176"/>
        <v>7</v>
      </c>
      <c r="N336" s="71">
        <f t="shared" si="176"/>
        <v>0</v>
      </c>
      <c r="O336" s="44"/>
      <c r="P336" s="45" t="str">
        <f t="shared" si="159"/>
        <v/>
      </c>
      <c r="Q336" s="46" t="str">
        <f t="shared" si="160"/>
        <v/>
      </c>
      <c r="R336" s="47" t="e">
        <f t="shared" si="161"/>
        <v>#VALUE!</v>
      </c>
      <c r="S336" s="48" t="e">
        <f t="shared" si="151"/>
        <v>#VALUE!</v>
      </c>
      <c r="T336" s="47" t="str">
        <f t="shared" si="162"/>
        <v/>
      </c>
      <c r="U336" s="49"/>
      <c r="V336" s="50"/>
      <c r="W336" s="51" t="e">
        <f t="shared" si="163"/>
        <v>#VALUE!</v>
      </c>
      <c r="X336" s="52"/>
      <c r="Y336" s="52"/>
      <c r="Z336" s="52"/>
      <c r="AA336" s="47" t="e">
        <f>INDEX(VISITORS[INSECT ORDER], MATCH(X336,VISITORS[NAME USED],0))</f>
        <v>#N/A</v>
      </c>
      <c r="AB336" s="47" t="e">
        <f t="shared" si="164"/>
        <v>#N/A</v>
      </c>
      <c r="AC336" s="53" t="e">
        <f t="shared" si="165"/>
        <v>#VALUE!</v>
      </c>
      <c r="AD336" s="54" t="str">
        <f t="shared" si="166"/>
        <v/>
      </c>
      <c r="AE336" s="54"/>
      <c r="AF336" s="54"/>
      <c r="AG336" s="55" t="str">
        <f t="shared" si="177"/>
        <v/>
      </c>
      <c r="AH336" s="56" t="str">
        <f t="shared" si="167"/>
        <v/>
      </c>
      <c r="AI336" s="55"/>
      <c r="AJ336" s="56" t="str">
        <f t="shared" si="168"/>
        <v/>
      </c>
      <c r="AK336" s="55"/>
      <c r="AL336" s="56" t="str">
        <f t="shared" si="169"/>
        <v/>
      </c>
      <c r="AM336" s="55"/>
      <c r="AN336" s="56" t="str">
        <f t="shared" si="170"/>
        <v/>
      </c>
      <c r="AO336" s="55"/>
      <c r="AP336" s="56" t="str">
        <f t="shared" si="171"/>
        <v/>
      </c>
      <c r="AQ336" s="55"/>
      <c r="AR336" s="56" t="str">
        <f t="shared" si="172"/>
        <v/>
      </c>
      <c r="AS336" s="57"/>
      <c r="AT336" s="58"/>
      <c r="AU336" s="58"/>
      <c r="AV336" s="59"/>
      <c r="AW336" s="60" t="str">
        <f t="shared" si="173"/>
        <v/>
      </c>
      <c r="AX336" s="61" t="str">
        <f t="shared" si="152"/>
        <v/>
      </c>
      <c r="AY336" s="60" t="str">
        <f t="shared" si="153"/>
        <v/>
      </c>
      <c r="AZ336" s="61" t="str">
        <f t="shared" si="154"/>
        <v/>
      </c>
    </row>
    <row r="337" spans="1:52" s="3" customFormat="1" hidden="1" x14ac:dyDescent="0.35">
      <c r="A337" s="72">
        <f t="shared" si="155"/>
        <v>2019</v>
      </c>
      <c r="B337" s="72" t="str">
        <f t="shared" si="156"/>
        <v>Nov</v>
      </c>
      <c r="C337" s="73">
        <f t="shared" si="174"/>
        <v>18</v>
      </c>
      <c r="D337" s="74">
        <f t="shared" si="157"/>
        <v>13</v>
      </c>
      <c r="E337" s="75">
        <f t="shared" si="158"/>
        <v>42</v>
      </c>
      <c r="F337" s="79"/>
      <c r="G337" s="82"/>
      <c r="H337" s="68" t="str">
        <f t="shared" si="175"/>
        <v>Senbur7_20191118_13_00</v>
      </c>
      <c r="I337" s="69">
        <f t="shared" si="176"/>
        <v>1</v>
      </c>
      <c r="J337" s="76" t="str">
        <f t="shared" si="176"/>
        <v>Senecio</v>
      </c>
      <c r="K337" s="76" t="str">
        <f t="shared" si="176"/>
        <v>burtoni</v>
      </c>
      <c r="L337" s="77">
        <f t="shared" si="176"/>
        <v>0</v>
      </c>
      <c r="M337" s="77">
        <f t="shared" si="176"/>
        <v>7</v>
      </c>
      <c r="N337" s="71">
        <f t="shared" si="176"/>
        <v>0</v>
      </c>
      <c r="O337" s="44"/>
      <c r="P337" s="45" t="str">
        <f t="shared" si="159"/>
        <v/>
      </c>
      <c r="Q337" s="46" t="str">
        <f t="shared" si="160"/>
        <v/>
      </c>
      <c r="R337" s="47" t="e">
        <f t="shared" si="161"/>
        <v>#VALUE!</v>
      </c>
      <c r="S337" s="48" t="e">
        <f t="shared" si="151"/>
        <v>#VALUE!</v>
      </c>
      <c r="T337" s="47" t="str">
        <f t="shared" si="162"/>
        <v/>
      </c>
      <c r="U337" s="49"/>
      <c r="V337" s="50"/>
      <c r="W337" s="51" t="e">
        <f t="shared" si="163"/>
        <v>#VALUE!</v>
      </c>
      <c r="X337" s="52"/>
      <c r="Y337" s="52"/>
      <c r="Z337" s="52"/>
      <c r="AA337" s="47" t="e">
        <f>INDEX(VISITORS[INSECT ORDER], MATCH(X337,VISITORS[NAME USED],0))</f>
        <v>#N/A</v>
      </c>
      <c r="AB337" s="47" t="e">
        <f t="shared" si="164"/>
        <v>#N/A</v>
      </c>
      <c r="AC337" s="53" t="e">
        <f t="shared" si="165"/>
        <v>#VALUE!</v>
      </c>
      <c r="AD337" s="54" t="str">
        <f t="shared" si="166"/>
        <v/>
      </c>
      <c r="AE337" s="54"/>
      <c r="AF337" s="54"/>
      <c r="AG337" s="55" t="str">
        <f t="shared" si="177"/>
        <v/>
      </c>
      <c r="AH337" s="56" t="str">
        <f t="shared" si="167"/>
        <v/>
      </c>
      <c r="AI337" s="55"/>
      <c r="AJ337" s="56" t="str">
        <f t="shared" si="168"/>
        <v/>
      </c>
      <c r="AK337" s="55"/>
      <c r="AL337" s="56" t="str">
        <f t="shared" si="169"/>
        <v/>
      </c>
      <c r="AM337" s="55"/>
      <c r="AN337" s="56" t="str">
        <f t="shared" si="170"/>
        <v/>
      </c>
      <c r="AO337" s="55"/>
      <c r="AP337" s="56" t="str">
        <f t="shared" si="171"/>
        <v/>
      </c>
      <c r="AQ337" s="55"/>
      <c r="AR337" s="56" t="str">
        <f t="shared" si="172"/>
        <v/>
      </c>
      <c r="AS337" s="57"/>
      <c r="AT337" s="58"/>
      <c r="AU337" s="58"/>
      <c r="AV337" s="59"/>
      <c r="AW337" s="60" t="str">
        <f t="shared" si="173"/>
        <v/>
      </c>
      <c r="AX337" s="61" t="str">
        <f t="shared" si="152"/>
        <v/>
      </c>
      <c r="AY337" s="60" t="str">
        <f t="shared" si="153"/>
        <v/>
      </c>
      <c r="AZ337" s="61" t="str">
        <f t="shared" si="154"/>
        <v/>
      </c>
    </row>
    <row r="338" spans="1:52" s="3" customFormat="1" hidden="1" x14ac:dyDescent="0.35">
      <c r="A338" s="72">
        <f t="shared" si="155"/>
        <v>2019</v>
      </c>
      <c r="B338" s="72" t="str">
        <f t="shared" si="156"/>
        <v>Nov</v>
      </c>
      <c r="C338" s="73">
        <f t="shared" si="174"/>
        <v>18</v>
      </c>
      <c r="D338" s="74">
        <f t="shared" si="157"/>
        <v>13</v>
      </c>
      <c r="E338" s="75">
        <f t="shared" si="158"/>
        <v>43</v>
      </c>
      <c r="F338" s="79">
        <v>23</v>
      </c>
      <c r="G338" s="82"/>
      <c r="H338" s="68" t="str">
        <f t="shared" si="175"/>
        <v>Senbur7_20191118_13_00</v>
      </c>
      <c r="I338" s="69">
        <f t="shared" si="176"/>
        <v>1</v>
      </c>
      <c r="J338" s="76" t="str">
        <f t="shared" si="176"/>
        <v>Senecio</v>
      </c>
      <c r="K338" s="76" t="str">
        <f t="shared" si="176"/>
        <v>burtoni</v>
      </c>
      <c r="L338" s="77">
        <f t="shared" si="176"/>
        <v>0</v>
      </c>
      <c r="M338" s="77">
        <f t="shared" si="176"/>
        <v>7</v>
      </c>
      <c r="N338" s="71">
        <f t="shared" si="176"/>
        <v>0</v>
      </c>
      <c r="O338" s="44"/>
      <c r="P338" s="45">
        <f t="shared" si="159"/>
        <v>1</v>
      </c>
      <c r="Q338" s="46" t="str">
        <f t="shared" si="160"/>
        <v>13:43:23</v>
      </c>
      <c r="R338" s="47" t="str">
        <f t="shared" si="161"/>
        <v>43:23</v>
      </c>
      <c r="S338" s="48">
        <f t="shared" si="151"/>
        <v>19</v>
      </c>
      <c r="T338" s="47" t="str">
        <f t="shared" si="162"/>
        <v>13</v>
      </c>
      <c r="U338" s="49">
        <v>43</v>
      </c>
      <c r="V338" s="50">
        <v>42</v>
      </c>
      <c r="W338" s="51" t="str">
        <f t="shared" si="163"/>
        <v>43:42</v>
      </c>
      <c r="X338" s="52" t="s">
        <v>63</v>
      </c>
      <c r="Y338" s="124" t="s">
        <v>82</v>
      </c>
      <c r="Z338" s="124"/>
      <c r="AA338" s="47" t="s">
        <v>59</v>
      </c>
      <c r="AB338" s="47" t="str">
        <f t="shared" si="164"/>
        <v>NA</v>
      </c>
      <c r="AC338" s="53">
        <f t="shared" si="165"/>
        <v>0</v>
      </c>
      <c r="AD338" s="54">
        <v>2</v>
      </c>
      <c r="AE338" s="54"/>
      <c r="AF338" s="54"/>
      <c r="AG338" s="55">
        <v>1</v>
      </c>
      <c r="AH338" s="56">
        <v>8</v>
      </c>
      <c r="AI338" s="55"/>
      <c r="AJ338" s="56" t="str">
        <f t="shared" si="168"/>
        <v/>
      </c>
      <c r="AK338" s="55"/>
      <c r="AL338" s="56" t="str">
        <f t="shared" si="169"/>
        <v/>
      </c>
      <c r="AM338" s="55">
        <v>1</v>
      </c>
      <c r="AN338" s="56">
        <v>11</v>
      </c>
      <c r="AO338" s="55"/>
      <c r="AP338" s="56" t="str">
        <f t="shared" si="171"/>
        <v/>
      </c>
      <c r="AQ338" s="55"/>
      <c r="AR338" s="56" t="str">
        <f t="shared" si="172"/>
        <v/>
      </c>
      <c r="AS338" s="57"/>
      <c r="AT338" s="58"/>
      <c r="AU338" s="58"/>
      <c r="AV338" s="59"/>
      <c r="AW338" s="60">
        <v>1</v>
      </c>
      <c r="AX338" s="61">
        <v>1</v>
      </c>
      <c r="AY338" s="60">
        <v>1</v>
      </c>
      <c r="AZ338" s="61">
        <v>1</v>
      </c>
    </row>
    <row r="339" spans="1:52" s="3" customFormat="1" hidden="1" x14ac:dyDescent="0.35">
      <c r="A339" s="72">
        <f t="shared" si="155"/>
        <v>2019</v>
      </c>
      <c r="B339" s="72" t="str">
        <f t="shared" si="156"/>
        <v>Nov</v>
      </c>
      <c r="C339" s="73">
        <f t="shared" si="174"/>
        <v>18</v>
      </c>
      <c r="D339" s="74">
        <f t="shared" si="157"/>
        <v>13</v>
      </c>
      <c r="E339" s="75">
        <f t="shared" si="158"/>
        <v>44</v>
      </c>
      <c r="F339" s="79">
        <v>2</v>
      </c>
      <c r="G339" s="82"/>
      <c r="H339" s="68" t="str">
        <f t="shared" si="175"/>
        <v>Senbur7_20191118_13_00</v>
      </c>
      <c r="I339" s="69">
        <f t="shared" si="176"/>
        <v>1</v>
      </c>
      <c r="J339" s="76" t="str">
        <f t="shared" si="176"/>
        <v>Senecio</v>
      </c>
      <c r="K339" s="76" t="str">
        <f t="shared" si="176"/>
        <v>burtoni</v>
      </c>
      <c r="L339" s="77">
        <f t="shared" si="176"/>
        <v>0</v>
      </c>
      <c r="M339" s="77">
        <f t="shared" si="176"/>
        <v>7</v>
      </c>
      <c r="N339" s="71">
        <f t="shared" si="176"/>
        <v>0</v>
      </c>
      <c r="O339" s="44"/>
      <c r="P339" s="45">
        <f t="shared" si="159"/>
        <v>1</v>
      </c>
      <c r="Q339" s="46" t="str">
        <f t="shared" si="160"/>
        <v>13:44:02</v>
      </c>
      <c r="R339" s="47" t="str">
        <f t="shared" si="161"/>
        <v>44:02</v>
      </c>
      <c r="S339" s="48">
        <f t="shared" si="151"/>
        <v>21</v>
      </c>
      <c r="T339" s="47" t="str">
        <f t="shared" si="162"/>
        <v>13</v>
      </c>
      <c r="U339" s="49">
        <v>44</v>
      </c>
      <c r="V339" s="50">
        <v>23</v>
      </c>
      <c r="W339" s="51" t="str">
        <f t="shared" si="163"/>
        <v>44:23</v>
      </c>
      <c r="X339" s="52" t="s">
        <v>63</v>
      </c>
      <c r="Y339" s="124" t="s">
        <v>82</v>
      </c>
      <c r="Z339" s="124"/>
      <c r="AA339" s="47" t="s">
        <v>59</v>
      </c>
      <c r="AB339" s="47" t="str">
        <f t="shared" si="164"/>
        <v>NA</v>
      </c>
      <c r="AC339" s="53">
        <f t="shared" si="165"/>
        <v>0</v>
      </c>
      <c r="AD339" s="54">
        <v>3</v>
      </c>
      <c r="AE339" s="54"/>
      <c r="AF339" s="54"/>
      <c r="AG339" s="55">
        <v>1</v>
      </c>
      <c r="AH339" s="56">
        <v>15</v>
      </c>
      <c r="AI339" s="55"/>
      <c r="AJ339" s="56" t="str">
        <f t="shared" si="168"/>
        <v/>
      </c>
      <c r="AK339" s="55"/>
      <c r="AL339" s="56" t="str">
        <f t="shared" si="169"/>
        <v/>
      </c>
      <c r="AM339" s="55">
        <v>1</v>
      </c>
      <c r="AN339" s="56">
        <v>6</v>
      </c>
      <c r="AO339" s="55"/>
      <c r="AP339" s="56" t="str">
        <f t="shared" si="171"/>
        <v/>
      </c>
      <c r="AQ339" s="55"/>
      <c r="AR339" s="56" t="str">
        <f t="shared" si="172"/>
        <v/>
      </c>
      <c r="AS339" s="57"/>
      <c r="AT339" s="58"/>
      <c r="AU339" s="58"/>
      <c r="AV339" s="59"/>
      <c r="AW339" s="60">
        <v>1</v>
      </c>
      <c r="AX339" s="61">
        <v>1</v>
      </c>
      <c r="AY339" s="60">
        <v>1</v>
      </c>
      <c r="AZ339" s="61">
        <v>1</v>
      </c>
    </row>
    <row r="340" spans="1:52" s="3" customFormat="1" hidden="1" x14ac:dyDescent="0.35">
      <c r="A340" s="72">
        <f t="shared" si="155"/>
        <v>2019</v>
      </c>
      <c r="B340" s="72" t="str">
        <f t="shared" si="156"/>
        <v>Nov</v>
      </c>
      <c r="C340" s="73">
        <f t="shared" si="174"/>
        <v>18</v>
      </c>
      <c r="D340" s="74">
        <f t="shared" si="157"/>
        <v>13</v>
      </c>
      <c r="E340" s="75">
        <f t="shared" si="158"/>
        <v>45</v>
      </c>
      <c r="F340" s="79"/>
      <c r="G340" s="82"/>
      <c r="H340" s="68" t="str">
        <f t="shared" si="175"/>
        <v>Senbur7_20191118_13_00</v>
      </c>
      <c r="I340" s="69">
        <f t="shared" si="176"/>
        <v>1</v>
      </c>
      <c r="J340" s="76" t="str">
        <f t="shared" si="176"/>
        <v>Senecio</v>
      </c>
      <c r="K340" s="76" t="str">
        <f t="shared" si="176"/>
        <v>burtoni</v>
      </c>
      <c r="L340" s="77">
        <f t="shared" si="176"/>
        <v>0</v>
      </c>
      <c r="M340" s="77">
        <f t="shared" si="176"/>
        <v>7</v>
      </c>
      <c r="N340" s="71">
        <f t="shared" si="176"/>
        <v>0</v>
      </c>
      <c r="O340" s="44"/>
      <c r="P340" s="45" t="str">
        <f t="shared" si="159"/>
        <v/>
      </c>
      <c r="Q340" s="46" t="str">
        <f t="shared" si="160"/>
        <v/>
      </c>
      <c r="R340" s="47" t="e">
        <f t="shared" si="161"/>
        <v>#VALUE!</v>
      </c>
      <c r="S340" s="48" t="e">
        <f t="shared" si="151"/>
        <v>#VALUE!</v>
      </c>
      <c r="T340" s="47" t="str">
        <f t="shared" si="162"/>
        <v/>
      </c>
      <c r="U340" s="49"/>
      <c r="V340" s="50"/>
      <c r="W340" s="51" t="e">
        <f t="shared" si="163"/>
        <v>#VALUE!</v>
      </c>
      <c r="X340" s="52"/>
      <c r="Y340" s="52"/>
      <c r="Z340" s="52"/>
      <c r="AA340" s="47" t="e">
        <f>INDEX(VISITORS[INSECT ORDER], MATCH(X340,VISITORS[NAME USED],0))</f>
        <v>#N/A</v>
      </c>
      <c r="AB340" s="47" t="e">
        <f t="shared" si="164"/>
        <v>#N/A</v>
      </c>
      <c r="AC340" s="53" t="e">
        <f t="shared" si="165"/>
        <v>#VALUE!</v>
      </c>
      <c r="AD340" s="54" t="str">
        <f t="shared" si="166"/>
        <v/>
      </c>
      <c r="AE340" s="54"/>
      <c r="AF340" s="54"/>
      <c r="AG340" s="55" t="str">
        <f t="shared" si="177"/>
        <v/>
      </c>
      <c r="AH340" s="56" t="str">
        <f t="shared" si="167"/>
        <v/>
      </c>
      <c r="AI340" s="55"/>
      <c r="AJ340" s="56" t="str">
        <f t="shared" si="168"/>
        <v/>
      </c>
      <c r="AK340" s="55"/>
      <c r="AL340" s="56" t="str">
        <f t="shared" si="169"/>
        <v/>
      </c>
      <c r="AM340" s="55"/>
      <c r="AN340" s="56" t="str">
        <f t="shared" si="170"/>
        <v/>
      </c>
      <c r="AO340" s="55"/>
      <c r="AP340" s="56" t="str">
        <f t="shared" si="171"/>
        <v/>
      </c>
      <c r="AQ340" s="55"/>
      <c r="AR340" s="56" t="str">
        <f t="shared" si="172"/>
        <v/>
      </c>
      <c r="AS340" s="57"/>
      <c r="AT340" s="58"/>
      <c r="AU340" s="58"/>
      <c r="AV340" s="59"/>
      <c r="AW340" s="60" t="str">
        <f t="shared" si="173"/>
        <v/>
      </c>
      <c r="AX340" s="61" t="str">
        <f t="shared" si="152"/>
        <v/>
      </c>
      <c r="AY340" s="60" t="str">
        <f t="shared" si="153"/>
        <v/>
      </c>
      <c r="AZ340" s="61" t="str">
        <f t="shared" si="154"/>
        <v/>
      </c>
    </row>
    <row r="341" spans="1:52" s="3" customFormat="1" hidden="1" x14ac:dyDescent="0.35">
      <c r="A341" s="72">
        <f t="shared" si="155"/>
        <v>2019</v>
      </c>
      <c r="B341" s="72" t="str">
        <f t="shared" si="156"/>
        <v>Nov</v>
      </c>
      <c r="C341" s="73">
        <f t="shared" si="174"/>
        <v>18</v>
      </c>
      <c r="D341" s="74">
        <f t="shared" si="157"/>
        <v>13</v>
      </c>
      <c r="E341" s="75">
        <f t="shared" si="158"/>
        <v>46</v>
      </c>
      <c r="F341" s="79">
        <v>29</v>
      </c>
      <c r="G341" s="82"/>
      <c r="H341" s="68" t="str">
        <f t="shared" si="175"/>
        <v>Senbur7_20191118_13_00</v>
      </c>
      <c r="I341" s="69">
        <f t="shared" ref="I341:N356" si="178">I340</f>
        <v>1</v>
      </c>
      <c r="J341" s="76" t="str">
        <f t="shared" si="178"/>
        <v>Senecio</v>
      </c>
      <c r="K341" s="76" t="str">
        <f t="shared" si="178"/>
        <v>burtoni</v>
      </c>
      <c r="L341" s="77">
        <f t="shared" si="178"/>
        <v>0</v>
      </c>
      <c r="M341" s="77">
        <f t="shared" si="178"/>
        <v>7</v>
      </c>
      <c r="N341" s="71">
        <f t="shared" si="178"/>
        <v>0</v>
      </c>
      <c r="O341" s="44"/>
      <c r="P341" s="45">
        <f t="shared" si="159"/>
        <v>1</v>
      </c>
      <c r="Q341" s="46" t="str">
        <f t="shared" si="160"/>
        <v>13:46:29</v>
      </c>
      <c r="R341" s="47" t="str">
        <f t="shared" si="161"/>
        <v>46:29</v>
      </c>
      <c r="S341" s="48">
        <f t="shared" si="151"/>
        <v>9</v>
      </c>
      <c r="T341" s="47" t="str">
        <f t="shared" si="162"/>
        <v>13</v>
      </c>
      <c r="U341" s="49">
        <v>46</v>
      </c>
      <c r="V341" s="50">
        <v>38</v>
      </c>
      <c r="W341" s="51" t="str">
        <f t="shared" si="163"/>
        <v>46:38</v>
      </c>
      <c r="X341" s="52" t="s">
        <v>63</v>
      </c>
      <c r="Y341" s="124" t="s">
        <v>82</v>
      </c>
      <c r="Z341" s="124"/>
      <c r="AA341" s="47" t="s">
        <v>68</v>
      </c>
      <c r="AB341" s="47" t="str">
        <f t="shared" si="164"/>
        <v>NA</v>
      </c>
      <c r="AC341" s="53">
        <f t="shared" si="165"/>
        <v>0</v>
      </c>
      <c r="AD341" s="54">
        <f t="shared" si="166"/>
        <v>1</v>
      </c>
      <c r="AE341" s="54"/>
      <c r="AF341" s="54"/>
      <c r="AG341" s="55" t="str">
        <f t="shared" si="177"/>
        <v/>
      </c>
      <c r="AH341" s="56" t="str">
        <f t="shared" si="167"/>
        <v/>
      </c>
      <c r="AI341" s="55"/>
      <c r="AJ341" s="56" t="str">
        <f t="shared" si="168"/>
        <v/>
      </c>
      <c r="AK341" s="55"/>
      <c r="AL341" s="56" t="str">
        <f t="shared" si="169"/>
        <v/>
      </c>
      <c r="AM341" s="55">
        <v>1</v>
      </c>
      <c r="AN341" s="56">
        <f t="shared" si="170"/>
        <v>9</v>
      </c>
      <c r="AO341" s="55"/>
      <c r="AP341" s="56" t="str">
        <f t="shared" si="171"/>
        <v/>
      </c>
      <c r="AQ341" s="55"/>
      <c r="AR341" s="56" t="str">
        <f t="shared" si="172"/>
        <v/>
      </c>
      <c r="AS341" s="57"/>
      <c r="AT341" s="58"/>
      <c r="AU341" s="58"/>
      <c r="AV341" s="59"/>
      <c r="AW341" s="60">
        <v>1</v>
      </c>
      <c r="AX341" s="61">
        <f t="shared" si="152"/>
        <v>1</v>
      </c>
      <c r="AY341" s="60">
        <v>1</v>
      </c>
      <c r="AZ341" s="61">
        <f t="shared" si="154"/>
        <v>1</v>
      </c>
    </row>
    <row r="342" spans="1:52" s="3" customFormat="1" hidden="1" x14ac:dyDescent="0.35">
      <c r="A342" s="72">
        <f t="shared" si="155"/>
        <v>2019</v>
      </c>
      <c r="B342" s="72" t="str">
        <f t="shared" si="156"/>
        <v>Nov</v>
      </c>
      <c r="C342" s="73">
        <f t="shared" si="174"/>
        <v>18</v>
      </c>
      <c r="D342" s="74">
        <f t="shared" si="157"/>
        <v>13</v>
      </c>
      <c r="E342" s="75">
        <f t="shared" si="158"/>
        <v>47</v>
      </c>
      <c r="F342" s="79"/>
      <c r="G342" s="82"/>
      <c r="H342" s="68" t="str">
        <f t="shared" si="175"/>
        <v>Senbur7_20191118_13_00</v>
      </c>
      <c r="I342" s="69">
        <f t="shared" si="178"/>
        <v>1</v>
      </c>
      <c r="J342" s="76" t="str">
        <f t="shared" si="178"/>
        <v>Senecio</v>
      </c>
      <c r="K342" s="76" t="str">
        <f t="shared" si="178"/>
        <v>burtoni</v>
      </c>
      <c r="L342" s="77">
        <f t="shared" si="178"/>
        <v>0</v>
      </c>
      <c r="M342" s="77">
        <f t="shared" si="178"/>
        <v>7</v>
      </c>
      <c r="N342" s="71">
        <f t="shared" si="178"/>
        <v>0</v>
      </c>
      <c r="O342" s="44"/>
      <c r="P342" s="45" t="str">
        <f t="shared" si="159"/>
        <v/>
      </c>
      <c r="Q342" s="46" t="str">
        <f t="shared" si="160"/>
        <v/>
      </c>
      <c r="R342" s="47" t="e">
        <f t="shared" si="161"/>
        <v>#VALUE!</v>
      </c>
      <c r="S342" s="48" t="e">
        <f t="shared" si="151"/>
        <v>#VALUE!</v>
      </c>
      <c r="T342" s="47" t="str">
        <f t="shared" si="162"/>
        <v/>
      </c>
      <c r="U342" s="49"/>
      <c r="V342" s="50"/>
      <c r="W342" s="51" t="e">
        <f t="shared" si="163"/>
        <v>#VALUE!</v>
      </c>
      <c r="X342" s="52"/>
      <c r="Y342" s="52"/>
      <c r="Z342" s="52"/>
      <c r="AA342" s="47" t="e">
        <f>INDEX(VISITORS[INSECT ORDER], MATCH(X342,VISITORS[NAME USED],0))</f>
        <v>#N/A</v>
      </c>
      <c r="AB342" s="47" t="e">
        <f t="shared" si="164"/>
        <v>#N/A</v>
      </c>
      <c r="AC342" s="53" t="e">
        <f t="shared" si="165"/>
        <v>#VALUE!</v>
      </c>
      <c r="AD342" s="54" t="str">
        <f t="shared" si="166"/>
        <v/>
      </c>
      <c r="AE342" s="54"/>
      <c r="AF342" s="54"/>
      <c r="AG342" s="55" t="str">
        <f t="shared" si="177"/>
        <v/>
      </c>
      <c r="AH342" s="56" t="str">
        <f t="shared" si="167"/>
        <v/>
      </c>
      <c r="AI342" s="55"/>
      <c r="AJ342" s="56" t="str">
        <f t="shared" si="168"/>
        <v/>
      </c>
      <c r="AK342" s="55"/>
      <c r="AL342" s="56" t="str">
        <f t="shared" si="169"/>
        <v/>
      </c>
      <c r="AM342" s="55"/>
      <c r="AN342" s="56" t="str">
        <f t="shared" si="170"/>
        <v/>
      </c>
      <c r="AO342" s="55"/>
      <c r="AP342" s="56" t="str">
        <f t="shared" si="171"/>
        <v/>
      </c>
      <c r="AQ342" s="55"/>
      <c r="AR342" s="56" t="str">
        <f t="shared" si="172"/>
        <v/>
      </c>
      <c r="AS342" s="57"/>
      <c r="AT342" s="58"/>
      <c r="AU342" s="58"/>
      <c r="AV342" s="59"/>
      <c r="AW342" s="60" t="str">
        <f t="shared" si="173"/>
        <v/>
      </c>
      <c r="AX342" s="61" t="str">
        <f t="shared" si="152"/>
        <v/>
      </c>
      <c r="AY342" s="60" t="str">
        <f t="shared" si="153"/>
        <v/>
      </c>
      <c r="AZ342" s="61" t="str">
        <f t="shared" si="154"/>
        <v/>
      </c>
    </row>
    <row r="343" spans="1:52" s="3" customFormat="1" hidden="1" x14ac:dyDescent="0.35">
      <c r="A343" s="72">
        <f t="shared" si="155"/>
        <v>2019</v>
      </c>
      <c r="B343" s="72" t="str">
        <f t="shared" si="156"/>
        <v>Nov</v>
      </c>
      <c r="C343" s="73">
        <f t="shared" si="174"/>
        <v>18</v>
      </c>
      <c r="D343" s="74">
        <f t="shared" si="157"/>
        <v>13</v>
      </c>
      <c r="E343" s="75">
        <f t="shared" si="158"/>
        <v>48</v>
      </c>
      <c r="F343" s="79">
        <v>9</v>
      </c>
      <c r="G343" s="82"/>
      <c r="H343" s="68" t="str">
        <f t="shared" si="175"/>
        <v>Senbur7_20191118_13_00</v>
      </c>
      <c r="I343" s="69">
        <f t="shared" si="178"/>
        <v>1</v>
      </c>
      <c r="J343" s="76" t="str">
        <f t="shared" si="178"/>
        <v>Senecio</v>
      </c>
      <c r="K343" s="76" t="str">
        <f t="shared" si="178"/>
        <v>burtoni</v>
      </c>
      <c r="L343" s="77">
        <f t="shared" si="178"/>
        <v>0</v>
      </c>
      <c r="M343" s="77">
        <f t="shared" si="178"/>
        <v>7</v>
      </c>
      <c r="N343" s="71">
        <f t="shared" si="178"/>
        <v>0</v>
      </c>
      <c r="O343" s="44"/>
      <c r="P343" s="45">
        <f t="shared" si="159"/>
        <v>1</v>
      </c>
      <c r="Q343" s="46" t="str">
        <f t="shared" si="160"/>
        <v>13:48:09</v>
      </c>
      <c r="R343" s="47" t="str">
        <f t="shared" si="161"/>
        <v>48:09</v>
      </c>
      <c r="S343" s="48">
        <f t="shared" si="151"/>
        <v>22</v>
      </c>
      <c r="T343" s="47" t="str">
        <f t="shared" si="162"/>
        <v>13</v>
      </c>
      <c r="U343" s="49">
        <v>48</v>
      </c>
      <c r="V343" s="50">
        <v>31</v>
      </c>
      <c r="W343" s="51" t="str">
        <f t="shared" si="163"/>
        <v>48:31</v>
      </c>
      <c r="X343" s="52" t="s">
        <v>63</v>
      </c>
      <c r="Y343" s="124" t="s">
        <v>82</v>
      </c>
      <c r="Z343" s="124"/>
      <c r="AA343" s="47" t="s">
        <v>59</v>
      </c>
      <c r="AB343" s="47" t="str">
        <f t="shared" si="164"/>
        <v>NA</v>
      </c>
      <c r="AC343" s="53">
        <f t="shared" si="165"/>
        <v>0</v>
      </c>
      <c r="AD343" s="54">
        <f t="shared" si="166"/>
        <v>1</v>
      </c>
      <c r="AE343" s="54"/>
      <c r="AF343" s="54"/>
      <c r="AG343" s="55">
        <v>1</v>
      </c>
      <c r="AH343" s="56">
        <v>2</v>
      </c>
      <c r="AI343" s="55"/>
      <c r="AJ343" s="56" t="str">
        <f t="shared" si="168"/>
        <v/>
      </c>
      <c r="AK343" s="55"/>
      <c r="AL343" s="56" t="str">
        <f t="shared" si="169"/>
        <v/>
      </c>
      <c r="AM343" s="55">
        <v>1</v>
      </c>
      <c r="AN343" s="56">
        <v>20</v>
      </c>
      <c r="AO343" s="55"/>
      <c r="AP343" s="56" t="str">
        <f t="shared" si="171"/>
        <v/>
      </c>
      <c r="AQ343" s="55"/>
      <c r="AR343" s="56" t="str">
        <f t="shared" si="172"/>
        <v/>
      </c>
      <c r="AS343" s="57"/>
      <c r="AT343" s="58"/>
      <c r="AU343" s="58"/>
      <c r="AV343" s="59"/>
      <c r="AW343" s="60">
        <v>1</v>
      </c>
      <c r="AX343" s="61">
        <f t="shared" si="152"/>
        <v>1</v>
      </c>
      <c r="AY343" s="60">
        <v>1</v>
      </c>
      <c r="AZ343" s="61">
        <f t="shared" si="154"/>
        <v>1</v>
      </c>
    </row>
    <row r="344" spans="1:52" s="3" customFormat="1" hidden="1" x14ac:dyDescent="0.35">
      <c r="A344" s="72">
        <f t="shared" si="155"/>
        <v>2019</v>
      </c>
      <c r="B344" s="72" t="str">
        <f t="shared" si="156"/>
        <v>Nov</v>
      </c>
      <c r="C344" s="73">
        <f t="shared" si="174"/>
        <v>18</v>
      </c>
      <c r="D344" s="74">
        <f t="shared" si="157"/>
        <v>13</v>
      </c>
      <c r="E344" s="75">
        <v>48</v>
      </c>
      <c r="F344" s="79">
        <v>41</v>
      </c>
      <c r="G344" s="82"/>
      <c r="H344" s="68" t="str">
        <f t="shared" si="175"/>
        <v>Senbur7_20191118_13_00</v>
      </c>
      <c r="I344" s="69">
        <f t="shared" si="178"/>
        <v>1</v>
      </c>
      <c r="J344" s="76" t="str">
        <f t="shared" si="178"/>
        <v>Senecio</v>
      </c>
      <c r="K344" s="76" t="str">
        <f t="shared" si="178"/>
        <v>burtoni</v>
      </c>
      <c r="L344" s="77">
        <f t="shared" si="178"/>
        <v>0</v>
      </c>
      <c r="M344" s="77">
        <f t="shared" si="178"/>
        <v>7</v>
      </c>
      <c r="N344" s="71">
        <f t="shared" si="178"/>
        <v>0</v>
      </c>
      <c r="O344" s="44"/>
      <c r="P344" s="45">
        <f t="shared" si="159"/>
        <v>1</v>
      </c>
      <c r="Q344" s="46" t="str">
        <f t="shared" si="160"/>
        <v>13:48:41</v>
      </c>
      <c r="R344" s="47" t="str">
        <f t="shared" si="161"/>
        <v>48:41</v>
      </c>
      <c r="S344" s="48">
        <f t="shared" si="151"/>
        <v>9</v>
      </c>
      <c r="T344" s="47" t="str">
        <f t="shared" si="162"/>
        <v>13</v>
      </c>
      <c r="U344" s="49">
        <v>48</v>
      </c>
      <c r="V344" s="50">
        <v>50</v>
      </c>
      <c r="W344" s="51" t="str">
        <f t="shared" si="163"/>
        <v>48:50</v>
      </c>
      <c r="X344" s="52" t="s">
        <v>63</v>
      </c>
      <c r="Y344" s="124" t="s">
        <v>92</v>
      </c>
      <c r="Z344" s="124"/>
      <c r="AA344" s="47" t="s">
        <v>59</v>
      </c>
      <c r="AB344" s="47" t="str">
        <f t="shared" si="164"/>
        <v>NA</v>
      </c>
      <c r="AC344" s="53">
        <f t="shared" si="165"/>
        <v>0</v>
      </c>
      <c r="AD344" s="54">
        <f t="shared" si="166"/>
        <v>1</v>
      </c>
      <c r="AE344" s="54"/>
      <c r="AF344" s="54"/>
      <c r="AG344" s="55" t="str">
        <f t="shared" si="177"/>
        <v/>
      </c>
      <c r="AH344" s="56" t="str">
        <f t="shared" si="167"/>
        <v/>
      </c>
      <c r="AI344" s="55"/>
      <c r="AJ344" s="56" t="str">
        <f t="shared" si="168"/>
        <v/>
      </c>
      <c r="AK344" s="55"/>
      <c r="AL344" s="56" t="str">
        <f t="shared" si="169"/>
        <v/>
      </c>
      <c r="AM344" s="55">
        <v>1</v>
      </c>
      <c r="AN344" s="56">
        <f t="shared" si="170"/>
        <v>9</v>
      </c>
      <c r="AO344" s="55"/>
      <c r="AP344" s="56" t="str">
        <f t="shared" si="171"/>
        <v/>
      </c>
      <c r="AQ344" s="55"/>
      <c r="AR344" s="56" t="str">
        <f t="shared" si="172"/>
        <v/>
      </c>
      <c r="AS344" s="57"/>
      <c r="AT344" s="58"/>
      <c r="AU344" s="58"/>
      <c r="AV344" s="59"/>
      <c r="AW344" s="60">
        <v>1</v>
      </c>
      <c r="AX344" s="61">
        <f t="shared" si="152"/>
        <v>1</v>
      </c>
      <c r="AY344" s="60">
        <v>1</v>
      </c>
      <c r="AZ344" s="61">
        <f t="shared" si="154"/>
        <v>1</v>
      </c>
    </row>
    <row r="345" spans="1:52" s="3" customFormat="1" hidden="1" x14ac:dyDescent="0.35">
      <c r="A345" s="72">
        <f t="shared" si="155"/>
        <v>2019</v>
      </c>
      <c r="B345" s="72" t="str">
        <f t="shared" si="156"/>
        <v>Nov</v>
      </c>
      <c r="C345" s="73">
        <f t="shared" si="174"/>
        <v>18</v>
      </c>
      <c r="D345" s="74">
        <f t="shared" si="157"/>
        <v>13</v>
      </c>
      <c r="E345" s="75">
        <f t="shared" si="158"/>
        <v>49</v>
      </c>
      <c r="F345" s="79">
        <v>8</v>
      </c>
      <c r="G345" s="82"/>
      <c r="H345" s="68" t="str">
        <f t="shared" si="175"/>
        <v>Senbur7_20191118_13_00</v>
      </c>
      <c r="I345" s="69">
        <f t="shared" si="178"/>
        <v>1</v>
      </c>
      <c r="J345" s="76" t="str">
        <f t="shared" si="178"/>
        <v>Senecio</v>
      </c>
      <c r="K345" s="76" t="str">
        <f t="shared" si="178"/>
        <v>burtoni</v>
      </c>
      <c r="L345" s="77">
        <f t="shared" si="178"/>
        <v>0</v>
      </c>
      <c r="M345" s="77">
        <f t="shared" si="178"/>
        <v>7</v>
      </c>
      <c r="N345" s="71">
        <f t="shared" si="178"/>
        <v>0</v>
      </c>
      <c r="O345" s="44"/>
      <c r="P345" s="45">
        <f t="shared" si="159"/>
        <v>1</v>
      </c>
      <c r="Q345" s="46" t="str">
        <f t="shared" si="160"/>
        <v>13:49:08</v>
      </c>
      <c r="R345" s="47" t="str">
        <f t="shared" si="161"/>
        <v>49:08</v>
      </c>
      <c r="S345" s="48">
        <f t="shared" si="151"/>
        <v>5</v>
      </c>
      <c r="T345" s="47" t="str">
        <f t="shared" si="162"/>
        <v>13</v>
      </c>
      <c r="U345" s="49">
        <v>49</v>
      </c>
      <c r="V345" s="50">
        <v>13</v>
      </c>
      <c r="W345" s="51" t="str">
        <f t="shared" si="163"/>
        <v>49:13</v>
      </c>
      <c r="X345" s="52" t="s">
        <v>63</v>
      </c>
      <c r="Y345" s="124" t="s">
        <v>82</v>
      </c>
      <c r="Z345" s="124"/>
      <c r="AA345" s="47" t="s">
        <v>59</v>
      </c>
      <c r="AB345" s="47" t="str">
        <f t="shared" si="164"/>
        <v>NA</v>
      </c>
      <c r="AC345" s="53">
        <f t="shared" si="165"/>
        <v>0</v>
      </c>
      <c r="AD345" s="54">
        <f t="shared" si="166"/>
        <v>1</v>
      </c>
      <c r="AE345" s="54"/>
      <c r="AF345" s="54"/>
      <c r="AG345" s="55" t="str">
        <f t="shared" si="177"/>
        <v/>
      </c>
      <c r="AH345" s="56" t="str">
        <f t="shared" si="167"/>
        <v/>
      </c>
      <c r="AI345" s="55"/>
      <c r="AJ345" s="56" t="str">
        <f t="shared" si="168"/>
        <v/>
      </c>
      <c r="AK345" s="55"/>
      <c r="AL345" s="56" t="str">
        <f t="shared" si="169"/>
        <v/>
      </c>
      <c r="AM345" s="55">
        <v>1</v>
      </c>
      <c r="AN345" s="56">
        <f t="shared" si="170"/>
        <v>5</v>
      </c>
      <c r="AO345" s="55"/>
      <c r="AP345" s="56" t="str">
        <f t="shared" si="171"/>
        <v/>
      </c>
      <c r="AQ345" s="55"/>
      <c r="AR345" s="56" t="str">
        <f t="shared" si="172"/>
        <v/>
      </c>
      <c r="AS345" s="57"/>
      <c r="AT345" s="58"/>
      <c r="AU345" s="58"/>
      <c r="AV345" s="59"/>
      <c r="AW345" s="60">
        <v>1</v>
      </c>
      <c r="AX345" s="61">
        <f t="shared" si="152"/>
        <v>1</v>
      </c>
      <c r="AY345" s="60">
        <v>1</v>
      </c>
      <c r="AZ345" s="61">
        <f t="shared" si="154"/>
        <v>1</v>
      </c>
    </row>
    <row r="346" spans="1:52" s="3" customFormat="1" hidden="1" x14ac:dyDescent="0.35">
      <c r="A346" s="72">
        <f t="shared" si="155"/>
        <v>2019</v>
      </c>
      <c r="B346" s="72" t="str">
        <f t="shared" si="156"/>
        <v>Nov</v>
      </c>
      <c r="C346" s="73">
        <f t="shared" si="174"/>
        <v>18</v>
      </c>
      <c r="D346" s="74">
        <f t="shared" si="157"/>
        <v>13</v>
      </c>
      <c r="E346" s="75">
        <f t="shared" si="158"/>
        <v>50</v>
      </c>
      <c r="F346" s="79">
        <v>21</v>
      </c>
      <c r="G346" s="82"/>
      <c r="H346" s="68" t="str">
        <f t="shared" si="175"/>
        <v>Senbur7_20191118_13_00</v>
      </c>
      <c r="I346" s="69">
        <f t="shared" si="178"/>
        <v>1</v>
      </c>
      <c r="J346" s="76" t="str">
        <f t="shared" si="178"/>
        <v>Senecio</v>
      </c>
      <c r="K346" s="76" t="str">
        <f t="shared" si="178"/>
        <v>burtoni</v>
      </c>
      <c r="L346" s="77">
        <f t="shared" si="178"/>
        <v>0</v>
      </c>
      <c r="M346" s="77">
        <f t="shared" si="178"/>
        <v>7</v>
      </c>
      <c r="N346" s="71">
        <f t="shared" si="178"/>
        <v>0</v>
      </c>
      <c r="O346" s="44"/>
      <c r="P346" s="45">
        <f t="shared" si="159"/>
        <v>1</v>
      </c>
      <c r="Q346" s="46" t="str">
        <f t="shared" si="160"/>
        <v>13:50:21</v>
      </c>
      <c r="R346" s="47" t="str">
        <f t="shared" si="161"/>
        <v>50:21</v>
      </c>
      <c r="S346" s="48">
        <f t="shared" si="151"/>
        <v>4</v>
      </c>
      <c r="T346" s="47" t="str">
        <f t="shared" si="162"/>
        <v>13</v>
      </c>
      <c r="U346" s="49">
        <v>50</v>
      </c>
      <c r="V346" s="50">
        <v>25</v>
      </c>
      <c r="W346" s="51" t="str">
        <f t="shared" si="163"/>
        <v>50:25</v>
      </c>
      <c r="X346" s="52" t="s">
        <v>63</v>
      </c>
      <c r="Y346" s="124" t="s">
        <v>88</v>
      </c>
      <c r="Z346" s="124"/>
      <c r="AA346" s="47" t="s">
        <v>59</v>
      </c>
      <c r="AB346" s="47" t="str">
        <f t="shared" si="164"/>
        <v>NA</v>
      </c>
      <c r="AC346" s="53">
        <f t="shared" si="165"/>
        <v>0</v>
      </c>
      <c r="AD346" s="54">
        <f t="shared" si="166"/>
        <v>1</v>
      </c>
      <c r="AE346" s="54"/>
      <c r="AF346" s="54"/>
      <c r="AG346" s="55" t="str">
        <f t="shared" si="177"/>
        <v/>
      </c>
      <c r="AH346" s="56" t="str">
        <f t="shared" si="167"/>
        <v/>
      </c>
      <c r="AI346" s="55"/>
      <c r="AJ346" s="56" t="str">
        <f t="shared" si="168"/>
        <v/>
      </c>
      <c r="AK346" s="55"/>
      <c r="AL346" s="56" t="str">
        <f t="shared" si="169"/>
        <v/>
      </c>
      <c r="AM346" s="55">
        <v>1</v>
      </c>
      <c r="AN346" s="56">
        <f t="shared" si="170"/>
        <v>4</v>
      </c>
      <c r="AO346" s="55"/>
      <c r="AP346" s="56" t="str">
        <f t="shared" si="171"/>
        <v/>
      </c>
      <c r="AQ346" s="55"/>
      <c r="AR346" s="56" t="str">
        <f t="shared" si="172"/>
        <v/>
      </c>
      <c r="AS346" s="57"/>
      <c r="AT346" s="58"/>
      <c r="AU346" s="58"/>
      <c r="AV346" s="59"/>
      <c r="AW346" s="60">
        <v>1</v>
      </c>
      <c r="AX346" s="61">
        <v>1</v>
      </c>
      <c r="AY346" s="60">
        <v>1</v>
      </c>
      <c r="AZ346" s="61">
        <f t="shared" si="154"/>
        <v>1</v>
      </c>
    </row>
    <row r="347" spans="1:52" s="3" customFormat="1" hidden="1" x14ac:dyDescent="0.35">
      <c r="A347" s="72">
        <f t="shared" si="155"/>
        <v>2019</v>
      </c>
      <c r="B347" s="72" t="str">
        <f t="shared" si="156"/>
        <v>Nov</v>
      </c>
      <c r="C347" s="73">
        <f t="shared" si="174"/>
        <v>18</v>
      </c>
      <c r="D347" s="74">
        <f t="shared" si="157"/>
        <v>13</v>
      </c>
      <c r="E347" s="75">
        <v>50</v>
      </c>
      <c r="F347" s="79">
        <v>25</v>
      </c>
      <c r="G347" s="82"/>
      <c r="H347" s="68" t="str">
        <f t="shared" si="175"/>
        <v>Senbur7_20191118_13_00</v>
      </c>
      <c r="I347" s="69">
        <f t="shared" si="178"/>
        <v>1</v>
      </c>
      <c r="J347" s="76" t="str">
        <f t="shared" si="178"/>
        <v>Senecio</v>
      </c>
      <c r="K347" s="76" t="str">
        <f t="shared" si="178"/>
        <v>burtoni</v>
      </c>
      <c r="L347" s="77">
        <f t="shared" si="178"/>
        <v>0</v>
      </c>
      <c r="M347" s="77">
        <f t="shared" si="178"/>
        <v>7</v>
      </c>
      <c r="N347" s="71">
        <f t="shared" si="178"/>
        <v>0</v>
      </c>
      <c r="O347" s="44"/>
      <c r="P347" s="45">
        <f t="shared" si="159"/>
        <v>1</v>
      </c>
      <c r="Q347" s="46" t="str">
        <f t="shared" si="160"/>
        <v>13:50:25</v>
      </c>
      <c r="R347" s="47" t="str">
        <f t="shared" si="161"/>
        <v>50:25</v>
      </c>
      <c r="S347" s="48">
        <f t="shared" si="151"/>
        <v>7</v>
      </c>
      <c r="T347" s="47" t="str">
        <f t="shared" si="162"/>
        <v>13</v>
      </c>
      <c r="U347" s="49">
        <v>50</v>
      </c>
      <c r="V347" s="50">
        <v>32</v>
      </c>
      <c r="W347" s="51" t="str">
        <f t="shared" si="163"/>
        <v>50:32</v>
      </c>
      <c r="X347" s="52" t="s">
        <v>63</v>
      </c>
      <c r="Y347" s="124" t="s">
        <v>82</v>
      </c>
      <c r="Z347" s="124"/>
      <c r="AA347" s="47" t="s">
        <v>59</v>
      </c>
      <c r="AB347" s="47" t="str">
        <f t="shared" si="164"/>
        <v>NA</v>
      </c>
      <c r="AC347" s="53">
        <f t="shared" si="165"/>
        <v>0</v>
      </c>
      <c r="AD347" s="54">
        <f t="shared" si="166"/>
        <v>1</v>
      </c>
      <c r="AE347" s="54"/>
      <c r="AF347" s="54"/>
      <c r="AG347" s="55" t="str">
        <f t="shared" si="177"/>
        <v/>
      </c>
      <c r="AH347" s="56" t="str">
        <f t="shared" si="167"/>
        <v/>
      </c>
      <c r="AI347" s="55"/>
      <c r="AJ347" s="56" t="str">
        <f t="shared" si="168"/>
        <v/>
      </c>
      <c r="AK347" s="55"/>
      <c r="AL347" s="56" t="str">
        <f t="shared" si="169"/>
        <v/>
      </c>
      <c r="AM347" s="55">
        <v>1</v>
      </c>
      <c r="AN347" s="56">
        <f t="shared" si="170"/>
        <v>7</v>
      </c>
      <c r="AO347" s="55"/>
      <c r="AP347" s="56" t="str">
        <f t="shared" si="171"/>
        <v/>
      </c>
      <c r="AQ347" s="55"/>
      <c r="AR347" s="56" t="str">
        <f t="shared" si="172"/>
        <v/>
      </c>
      <c r="AS347" s="57"/>
      <c r="AT347" s="58"/>
      <c r="AU347" s="58"/>
      <c r="AV347" s="59"/>
      <c r="AW347" s="60">
        <v>1</v>
      </c>
      <c r="AX347" s="61">
        <v>1</v>
      </c>
      <c r="AY347" s="60">
        <v>1</v>
      </c>
      <c r="AZ347" s="61">
        <v>1</v>
      </c>
    </row>
    <row r="348" spans="1:52" s="3" customFormat="1" hidden="1" x14ac:dyDescent="0.35">
      <c r="A348" s="72">
        <f t="shared" si="155"/>
        <v>2019</v>
      </c>
      <c r="B348" s="72" t="str">
        <f t="shared" si="156"/>
        <v>Nov</v>
      </c>
      <c r="C348" s="73">
        <f t="shared" si="174"/>
        <v>18</v>
      </c>
      <c r="D348" s="74">
        <f t="shared" si="157"/>
        <v>13</v>
      </c>
      <c r="E348" s="75">
        <v>50</v>
      </c>
      <c r="F348" s="79">
        <v>39</v>
      </c>
      <c r="G348" s="82"/>
      <c r="H348" s="68" t="str">
        <f t="shared" si="175"/>
        <v>Senbur7_20191118_13_00</v>
      </c>
      <c r="I348" s="69">
        <f t="shared" si="178"/>
        <v>1</v>
      </c>
      <c r="J348" s="76" t="str">
        <f t="shared" si="178"/>
        <v>Senecio</v>
      </c>
      <c r="K348" s="76" t="str">
        <f t="shared" si="178"/>
        <v>burtoni</v>
      </c>
      <c r="L348" s="77">
        <f t="shared" si="178"/>
        <v>0</v>
      </c>
      <c r="M348" s="77">
        <f t="shared" si="178"/>
        <v>7</v>
      </c>
      <c r="N348" s="71">
        <f t="shared" si="178"/>
        <v>0</v>
      </c>
      <c r="O348" s="44"/>
      <c r="P348" s="45">
        <f t="shared" si="159"/>
        <v>1</v>
      </c>
      <c r="Q348" s="46" t="str">
        <f t="shared" si="160"/>
        <v>13:50:39</v>
      </c>
      <c r="R348" s="47" t="str">
        <f t="shared" si="161"/>
        <v>50:39</v>
      </c>
      <c r="S348" s="48">
        <f t="shared" si="151"/>
        <v>14</v>
      </c>
      <c r="T348" s="47" t="str">
        <f t="shared" si="162"/>
        <v>13</v>
      </c>
      <c r="U348" s="49">
        <v>50</v>
      </c>
      <c r="V348" s="50">
        <v>53</v>
      </c>
      <c r="W348" s="51" t="str">
        <f t="shared" si="163"/>
        <v>50:53</v>
      </c>
      <c r="X348" s="52" t="s">
        <v>63</v>
      </c>
      <c r="Y348" s="124" t="s">
        <v>82</v>
      </c>
      <c r="Z348" s="124"/>
      <c r="AA348" s="47" t="s">
        <v>59</v>
      </c>
      <c r="AB348" s="47" t="str">
        <f t="shared" si="164"/>
        <v>NA</v>
      </c>
      <c r="AC348" s="53">
        <f t="shared" si="165"/>
        <v>0</v>
      </c>
      <c r="AD348" s="54">
        <f t="shared" si="166"/>
        <v>1</v>
      </c>
      <c r="AE348" s="54"/>
      <c r="AF348" s="54"/>
      <c r="AG348" s="55">
        <v>1</v>
      </c>
      <c r="AH348" s="56">
        <f t="shared" si="167"/>
        <v>14</v>
      </c>
      <c r="AI348" s="55"/>
      <c r="AJ348" s="56" t="str">
        <f t="shared" si="168"/>
        <v/>
      </c>
      <c r="AK348" s="55"/>
      <c r="AL348" s="56" t="str">
        <f t="shared" si="169"/>
        <v/>
      </c>
      <c r="AM348" s="55"/>
      <c r="AN348" s="56" t="str">
        <f t="shared" si="170"/>
        <v/>
      </c>
      <c r="AO348" s="55"/>
      <c r="AP348" s="56" t="str">
        <f t="shared" si="171"/>
        <v/>
      </c>
      <c r="AQ348" s="55"/>
      <c r="AR348" s="56" t="str">
        <f t="shared" si="172"/>
        <v/>
      </c>
      <c r="AS348" s="57"/>
      <c r="AT348" s="58"/>
      <c r="AU348" s="58"/>
      <c r="AV348" s="59"/>
      <c r="AW348" s="60">
        <f t="shared" si="173"/>
        <v>0</v>
      </c>
      <c r="AX348" s="61" t="str">
        <f t="shared" si="152"/>
        <v/>
      </c>
      <c r="AY348" s="60">
        <f t="shared" si="153"/>
        <v>0</v>
      </c>
      <c r="AZ348" s="61" t="str">
        <f t="shared" si="154"/>
        <v/>
      </c>
    </row>
    <row r="349" spans="1:52" s="3" customFormat="1" hidden="1" x14ac:dyDescent="0.35">
      <c r="A349" s="72">
        <f t="shared" si="155"/>
        <v>2019</v>
      </c>
      <c r="B349" s="72" t="str">
        <f t="shared" si="156"/>
        <v>Nov</v>
      </c>
      <c r="C349" s="73">
        <f t="shared" si="174"/>
        <v>18</v>
      </c>
      <c r="D349" s="74">
        <f t="shared" si="157"/>
        <v>13</v>
      </c>
      <c r="E349" s="75">
        <v>50</v>
      </c>
      <c r="F349" s="79">
        <v>53</v>
      </c>
      <c r="G349" s="82"/>
      <c r="H349" s="68" t="str">
        <f t="shared" si="175"/>
        <v>Senbur7_20191118_13_00</v>
      </c>
      <c r="I349" s="69">
        <f t="shared" si="178"/>
        <v>1</v>
      </c>
      <c r="J349" s="76" t="str">
        <f t="shared" si="178"/>
        <v>Senecio</v>
      </c>
      <c r="K349" s="76" t="str">
        <f t="shared" si="178"/>
        <v>burtoni</v>
      </c>
      <c r="L349" s="77">
        <f t="shared" si="178"/>
        <v>0</v>
      </c>
      <c r="M349" s="77">
        <f t="shared" si="178"/>
        <v>7</v>
      </c>
      <c r="N349" s="71">
        <f t="shared" si="178"/>
        <v>0</v>
      </c>
      <c r="O349" s="44"/>
      <c r="P349" s="45">
        <f t="shared" si="159"/>
        <v>1</v>
      </c>
      <c r="Q349" s="46" t="str">
        <f t="shared" si="160"/>
        <v>13:50:53</v>
      </c>
      <c r="R349" s="47" t="str">
        <f t="shared" si="161"/>
        <v>50:53</v>
      </c>
      <c r="S349" s="48">
        <f t="shared" si="151"/>
        <v>43</v>
      </c>
      <c r="T349" s="47" t="str">
        <f t="shared" si="162"/>
        <v>13</v>
      </c>
      <c r="U349" s="49">
        <v>51</v>
      </c>
      <c r="V349" s="50">
        <v>36</v>
      </c>
      <c r="W349" s="51" t="str">
        <f t="shared" si="163"/>
        <v>51:36</v>
      </c>
      <c r="X349" s="52" t="s">
        <v>63</v>
      </c>
      <c r="Y349" s="124" t="s">
        <v>88</v>
      </c>
      <c r="Z349" s="124"/>
      <c r="AA349" s="47" t="s">
        <v>59</v>
      </c>
      <c r="AB349" s="47" t="str">
        <f t="shared" si="164"/>
        <v>NA</v>
      </c>
      <c r="AC349" s="53">
        <f t="shared" si="165"/>
        <v>0</v>
      </c>
      <c r="AD349" s="54">
        <v>3</v>
      </c>
      <c r="AE349" s="54"/>
      <c r="AF349" s="54"/>
      <c r="AG349" s="55">
        <v>1</v>
      </c>
      <c r="AH349" s="56">
        <v>33</v>
      </c>
      <c r="AI349" s="55"/>
      <c r="AJ349" s="56" t="str">
        <f t="shared" si="168"/>
        <v/>
      </c>
      <c r="AK349" s="55"/>
      <c r="AL349" s="56" t="str">
        <f t="shared" si="169"/>
        <v/>
      </c>
      <c r="AM349" s="55">
        <v>1</v>
      </c>
      <c r="AN349" s="56">
        <v>10</v>
      </c>
      <c r="AO349" s="55"/>
      <c r="AP349" s="56" t="str">
        <f t="shared" si="171"/>
        <v/>
      </c>
      <c r="AQ349" s="55"/>
      <c r="AR349" s="56" t="str">
        <f t="shared" si="172"/>
        <v/>
      </c>
      <c r="AS349" s="57"/>
      <c r="AT349" s="58"/>
      <c r="AU349" s="58"/>
      <c r="AV349" s="59"/>
      <c r="AW349" s="60">
        <v>1</v>
      </c>
      <c r="AX349" s="61">
        <v>1</v>
      </c>
      <c r="AY349" s="60">
        <v>1</v>
      </c>
      <c r="AZ349" s="61">
        <v>1</v>
      </c>
    </row>
    <row r="350" spans="1:52" s="3" customFormat="1" hidden="1" x14ac:dyDescent="0.35">
      <c r="A350" s="72">
        <f t="shared" si="155"/>
        <v>2019</v>
      </c>
      <c r="B350" s="72" t="str">
        <f t="shared" si="156"/>
        <v>Nov</v>
      </c>
      <c r="C350" s="73">
        <f t="shared" si="174"/>
        <v>18</v>
      </c>
      <c r="D350" s="74">
        <f t="shared" si="157"/>
        <v>13</v>
      </c>
      <c r="E350" s="75">
        <f t="shared" si="158"/>
        <v>51</v>
      </c>
      <c r="F350" s="79"/>
      <c r="G350" s="82"/>
      <c r="H350" s="68" t="str">
        <f t="shared" si="175"/>
        <v>Senbur7_20191118_13_00</v>
      </c>
      <c r="I350" s="69">
        <f t="shared" si="178"/>
        <v>1</v>
      </c>
      <c r="J350" s="76" t="str">
        <f t="shared" si="178"/>
        <v>Senecio</v>
      </c>
      <c r="K350" s="76" t="str">
        <f t="shared" si="178"/>
        <v>burtoni</v>
      </c>
      <c r="L350" s="77">
        <f t="shared" si="178"/>
        <v>0</v>
      </c>
      <c r="M350" s="77">
        <f t="shared" si="178"/>
        <v>7</v>
      </c>
      <c r="N350" s="71">
        <f t="shared" si="178"/>
        <v>0</v>
      </c>
      <c r="O350" s="44"/>
      <c r="P350" s="45" t="str">
        <f t="shared" si="159"/>
        <v/>
      </c>
      <c r="Q350" s="46" t="str">
        <f t="shared" si="160"/>
        <v/>
      </c>
      <c r="R350" s="47" t="e">
        <f t="shared" si="161"/>
        <v>#VALUE!</v>
      </c>
      <c r="S350" s="48" t="e">
        <f t="shared" si="151"/>
        <v>#VALUE!</v>
      </c>
      <c r="T350" s="47" t="str">
        <f t="shared" si="162"/>
        <v/>
      </c>
      <c r="U350" s="49"/>
      <c r="V350" s="50"/>
      <c r="W350" s="51" t="e">
        <f t="shared" si="163"/>
        <v>#VALUE!</v>
      </c>
      <c r="X350" s="52"/>
      <c r="Y350" s="52"/>
      <c r="Z350" s="52"/>
      <c r="AA350" s="47" t="e">
        <f>INDEX(VISITORS[INSECT ORDER], MATCH(X350,VISITORS[NAME USED],0))</f>
        <v>#N/A</v>
      </c>
      <c r="AB350" s="47" t="e">
        <f t="shared" si="164"/>
        <v>#N/A</v>
      </c>
      <c r="AC350" s="53" t="e">
        <f t="shared" si="165"/>
        <v>#VALUE!</v>
      </c>
      <c r="AD350" s="54" t="str">
        <f t="shared" si="166"/>
        <v/>
      </c>
      <c r="AE350" s="54"/>
      <c r="AF350" s="54"/>
      <c r="AG350" s="55" t="str">
        <f t="shared" si="177"/>
        <v/>
      </c>
      <c r="AH350" s="56" t="str">
        <f t="shared" si="167"/>
        <v/>
      </c>
      <c r="AI350" s="55"/>
      <c r="AJ350" s="56" t="str">
        <f t="shared" si="168"/>
        <v/>
      </c>
      <c r="AK350" s="55"/>
      <c r="AL350" s="56" t="str">
        <f t="shared" si="169"/>
        <v/>
      </c>
      <c r="AM350" s="55"/>
      <c r="AN350" s="56" t="str">
        <f t="shared" si="170"/>
        <v/>
      </c>
      <c r="AO350" s="55"/>
      <c r="AP350" s="56" t="str">
        <f t="shared" si="171"/>
        <v/>
      </c>
      <c r="AQ350" s="55"/>
      <c r="AR350" s="56" t="str">
        <f t="shared" si="172"/>
        <v/>
      </c>
      <c r="AS350" s="57"/>
      <c r="AT350" s="58"/>
      <c r="AU350" s="58"/>
      <c r="AV350" s="59"/>
      <c r="AW350" s="60" t="str">
        <f t="shared" si="173"/>
        <v/>
      </c>
      <c r="AX350" s="61" t="str">
        <f t="shared" si="152"/>
        <v/>
      </c>
      <c r="AY350" s="60" t="str">
        <f t="shared" si="153"/>
        <v/>
      </c>
      <c r="AZ350" s="61" t="str">
        <f t="shared" si="154"/>
        <v/>
      </c>
    </row>
    <row r="351" spans="1:52" s="3" customFormat="1" hidden="1" x14ac:dyDescent="0.35">
      <c r="A351" s="72">
        <f t="shared" si="155"/>
        <v>2019</v>
      </c>
      <c r="B351" s="72" t="str">
        <f t="shared" si="156"/>
        <v>Nov</v>
      </c>
      <c r="C351" s="73">
        <f t="shared" si="174"/>
        <v>18</v>
      </c>
      <c r="D351" s="74">
        <f t="shared" si="157"/>
        <v>13</v>
      </c>
      <c r="E351" s="75">
        <f t="shared" si="158"/>
        <v>52</v>
      </c>
      <c r="F351" s="79"/>
      <c r="G351" s="82"/>
      <c r="H351" s="68" t="str">
        <f t="shared" si="175"/>
        <v>Senbur7_20191118_13_00</v>
      </c>
      <c r="I351" s="69">
        <f t="shared" si="178"/>
        <v>1</v>
      </c>
      <c r="J351" s="76" t="str">
        <f t="shared" si="178"/>
        <v>Senecio</v>
      </c>
      <c r="K351" s="76" t="str">
        <f t="shared" si="178"/>
        <v>burtoni</v>
      </c>
      <c r="L351" s="77">
        <f t="shared" si="178"/>
        <v>0</v>
      </c>
      <c r="M351" s="77">
        <f t="shared" si="178"/>
        <v>7</v>
      </c>
      <c r="N351" s="71">
        <f t="shared" si="178"/>
        <v>0</v>
      </c>
      <c r="O351" s="44"/>
      <c r="P351" s="45" t="str">
        <f t="shared" si="159"/>
        <v/>
      </c>
      <c r="Q351" s="46" t="str">
        <f t="shared" si="160"/>
        <v/>
      </c>
      <c r="R351" s="47" t="e">
        <f t="shared" si="161"/>
        <v>#VALUE!</v>
      </c>
      <c r="S351" s="48" t="e">
        <f t="shared" si="151"/>
        <v>#VALUE!</v>
      </c>
      <c r="T351" s="47" t="str">
        <f t="shared" si="162"/>
        <v/>
      </c>
      <c r="U351" s="49"/>
      <c r="V351" s="50"/>
      <c r="W351" s="51" t="e">
        <f t="shared" si="163"/>
        <v>#VALUE!</v>
      </c>
      <c r="X351" s="52"/>
      <c r="Y351" s="52"/>
      <c r="Z351" s="52"/>
      <c r="AA351" s="47" t="e">
        <f>INDEX(VISITORS[INSECT ORDER], MATCH(X351,VISITORS[NAME USED],0))</f>
        <v>#N/A</v>
      </c>
      <c r="AB351" s="47" t="e">
        <f t="shared" si="164"/>
        <v>#N/A</v>
      </c>
      <c r="AC351" s="53" t="e">
        <f t="shared" si="165"/>
        <v>#VALUE!</v>
      </c>
      <c r="AD351" s="54" t="str">
        <f t="shared" si="166"/>
        <v/>
      </c>
      <c r="AE351" s="54"/>
      <c r="AF351" s="54"/>
      <c r="AG351" s="55" t="str">
        <f t="shared" si="177"/>
        <v/>
      </c>
      <c r="AH351" s="56" t="str">
        <f t="shared" si="167"/>
        <v/>
      </c>
      <c r="AI351" s="55"/>
      <c r="AJ351" s="56" t="str">
        <f t="shared" si="168"/>
        <v/>
      </c>
      <c r="AK351" s="55"/>
      <c r="AL351" s="56" t="str">
        <f t="shared" si="169"/>
        <v/>
      </c>
      <c r="AM351" s="55"/>
      <c r="AN351" s="56" t="str">
        <f t="shared" si="170"/>
        <v/>
      </c>
      <c r="AO351" s="55"/>
      <c r="AP351" s="56" t="str">
        <f t="shared" si="171"/>
        <v/>
      </c>
      <c r="AQ351" s="55"/>
      <c r="AR351" s="56" t="str">
        <f t="shared" si="172"/>
        <v/>
      </c>
      <c r="AS351" s="57"/>
      <c r="AT351" s="58"/>
      <c r="AU351" s="58"/>
      <c r="AV351" s="59"/>
      <c r="AW351" s="60" t="str">
        <f t="shared" si="173"/>
        <v/>
      </c>
      <c r="AX351" s="61" t="str">
        <f t="shared" si="152"/>
        <v/>
      </c>
      <c r="AY351" s="60" t="str">
        <f t="shared" si="153"/>
        <v/>
      </c>
      <c r="AZ351" s="61" t="str">
        <f t="shared" si="154"/>
        <v/>
      </c>
    </row>
    <row r="352" spans="1:52" s="3" customFormat="1" hidden="1" x14ac:dyDescent="0.35">
      <c r="A352" s="72">
        <f t="shared" si="155"/>
        <v>2019</v>
      </c>
      <c r="B352" s="72" t="str">
        <f t="shared" si="156"/>
        <v>Nov</v>
      </c>
      <c r="C352" s="73">
        <f t="shared" si="174"/>
        <v>18</v>
      </c>
      <c r="D352" s="74">
        <f t="shared" si="157"/>
        <v>13</v>
      </c>
      <c r="E352" s="75">
        <f t="shared" si="158"/>
        <v>53</v>
      </c>
      <c r="F352" s="79">
        <v>34</v>
      </c>
      <c r="G352" s="82"/>
      <c r="H352" s="68" t="str">
        <f t="shared" si="175"/>
        <v>Senbur7_20191118_13_00</v>
      </c>
      <c r="I352" s="69">
        <f t="shared" si="178"/>
        <v>1</v>
      </c>
      <c r="J352" s="76" t="str">
        <f t="shared" si="178"/>
        <v>Senecio</v>
      </c>
      <c r="K352" s="76" t="str">
        <f t="shared" si="178"/>
        <v>burtoni</v>
      </c>
      <c r="L352" s="77">
        <f t="shared" si="178"/>
        <v>0</v>
      </c>
      <c r="M352" s="77">
        <f t="shared" si="178"/>
        <v>7</v>
      </c>
      <c r="N352" s="71">
        <f t="shared" si="178"/>
        <v>0</v>
      </c>
      <c r="O352" s="44"/>
      <c r="P352" s="45">
        <f t="shared" si="159"/>
        <v>1</v>
      </c>
      <c r="Q352" s="46" t="str">
        <f t="shared" si="160"/>
        <v>13:53:34</v>
      </c>
      <c r="R352" s="47" t="str">
        <f t="shared" si="161"/>
        <v>53:34</v>
      </c>
      <c r="S352" s="48">
        <f t="shared" si="151"/>
        <v>9</v>
      </c>
      <c r="T352" s="47" t="str">
        <f t="shared" si="162"/>
        <v>13</v>
      </c>
      <c r="U352" s="49">
        <v>53</v>
      </c>
      <c r="V352" s="50">
        <v>43</v>
      </c>
      <c r="W352" s="51" t="str">
        <f t="shared" si="163"/>
        <v>53:43</v>
      </c>
      <c r="X352" s="52" t="s">
        <v>63</v>
      </c>
      <c r="Y352" s="124" t="s">
        <v>82</v>
      </c>
      <c r="Z352" s="124"/>
      <c r="AA352" s="47" t="s">
        <v>59</v>
      </c>
      <c r="AB352" s="47" t="str">
        <f t="shared" si="164"/>
        <v>NA</v>
      </c>
      <c r="AC352" s="53">
        <f t="shared" si="165"/>
        <v>0</v>
      </c>
      <c r="AD352" s="54">
        <f t="shared" si="166"/>
        <v>1</v>
      </c>
      <c r="AE352" s="54"/>
      <c r="AF352" s="54"/>
      <c r="AG352" s="55" t="str">
        <f t="shared" si="177"/>
        <v/>
      </c>
      <c r="AH352" s="56" t="str">
        <f t="shared" si="167"/>
        <v/>
      </c>
      <c r="AI352" s="55"/>
      <c r="AJ352" s="56" t="str">
        <f t="shared" si="168"/>
        <v/>
      </c>
      <c r="AK352" s="55"/>
      <c r="AL352" s="56" t="str">
        <f t="shared" si="169"/>
        <v/>
      </c>
      <c r="AM352" s="55">
        <v>1</v>
      </c>
      <c r="AN352" s="56">
        <f t="shared" si="170"/>
        <v>9</v>
      </c>
      <c r="AO352" s="55"/>
      <c r="AP352" s="56" t="str">
        <f t="shared" si="171"/>
        <v/>
      </c>
      <c r="AQ352" s="55"/>
      <c r="AR352" s="56" t="str">
        <f t="shared" si="172"/>
        <v/>
      </c>
      <c r="AS352" s="57"/>
      <c r="AT352" s="58"/>
      <c r="AU352" s="58"/>
      <c r="AV352" s="59"/>
      <c r="AW352" s="60">
        <v>1</v>
      </c>
      <c r="AX352" s="61">
        <f t="shared" si="152"/>
        <v>1</v>
      </c>
      <c r="AY352" s="60">
        <v>1</v>
      </c>
      <c r="AZ352" s="61">
        <f t="shared" si="154"/>
        <v>1</v>
      </c>
    </row>
    <row r="353" spans="1:52" s="3" customFormat="1" hidden="1" x14ac:dyDescent="0.35">
      <c r="A353" s="72">
        <f t="shared" si="155"/>
        <v>2019</v>
      </c>
      <c r="B353" s="72" t="str">
        <f t="shared" si="156"/>
        <v>Nov</v>
      </c>
      <c r="C353" s="73">
        <f t="shared" si="174"/>
        <v>18</v>
      </c>
      <c r="D353" s="74">
        <f t="shared" si="157"/>
        <v>13</v>
      </c>
      <c r="E353" s="75">
        <f t="shared" si="158"/>
        <v>54</v>
      </c>
      <c r="F353" s="79"/>
      <c r="G353" s="82"/>
      <c r="H353" s="68" t="str">
        <f t="shared" si="175"/>
        <v>Senbur7_20191118_13_00</v>
      </c>
      <c r="I353" s="69">
        <f t="shared" si="178"/>
        <v>1</v>
      </c>
      <c r="J353" s="76" t="str">
        <f t="shared" si="178"/>
        <v>Senecio</v>
      </c>
      <c r="K353" s="76" t="str">
        <f t="shared" si="178"/>
        <v>burtoni</v>
      </c>
      <c r="L353" s="77">
        <f t="shared" si="178"/>
        <v>0</v>
      </c>
      <c r="M353" s="77">
        <f t="shared" si="178"/>
        <v>7</v>
      </c>
      <c r="N353" s="71">
        <f t="shared" si="178"/>
        <v>0</v>
      </c>
      <c r="O353" s="44"/>
      <c r="P353" s="45" t="str">
        <f t="shared" si="159"/>
        <v/>
      </c>
      <c r="Q353" s="46" t="str">
        <f t="shared" si="160"/>
        <v/>
      </c>
      <c r="R353" s="47" t="e">
        <f t="shared" si="161"/>
        <v>#VALUE!</v>
      </c>
      <c r="S353" s="48" t="e">
        <f t="shared" si="151"/>
        <v>#VALUE!</v>
      </c>
      <c r="T353" s="47" t="str">
        <f t="shared" si="162"/>
        <v/>
      </c>
      <c r="U353" s="49"/>
      <c r="V353" s="50"/>
      <c r="W353" s="51" t="e">
        <f t="shared" si="163"/>
        <v>#VALUE!</v>
      </c>
      <c r="X353" s="52"/>
      <c r="Y353" s="52"/>
      <c r="Z353" s="52"/>
      <c r="AA353" s="47" t="e">
        <f>INDEX(VISITORS[INSECT ORDER], MATCH(X353,VISITORS[NAME USED],0))</f>
        <v>#N/A</v>
      </c>
      <c r="AB353" s="47" t="e">
        <f t="shared" si="164"/>
        <v>#N/A</v>
      </c>
      <c r="AC353" s="53" t="e">
        <f t="shared" si="165"/>
        <v>#VALUE!</v>
      </c>
      <c r="AD353" s="54" t="str">
        <f t="shared" si="166"/>
        <v/>
      </c>
      <c r="AE353" s="54"/>
      <c r="AF353" s="54"/>
      <c r="AG353" s="55" t="str">
        <f t="shared" si="177"/>
        <v/>
      </c>
      <c r="AH353" s="56" t="str">
        <f t="shared" si="167"/>
        <v/>
      </c>
      <c r="AI353" s="55"/>
      <c r="AJ353" s="56" t="str">
        <f t="shared" si="168"/>
        <v/>
      </c>
      <c r="AK353" s="55"/>
      <c r="AL353" s="56" t="str">
        <f t="shared" si="169"/>
        <v/>
      </c>
      <c r="AM353" s="55"/>
      <c r="AN353" s="56" t="str">
        <f t="shared" si="170"/>
        <v/>
      </c>
      <c r="AO353" s="55"/>
      <c r="AP353" s="56" t="str">
        <f t="shared" si="171"/>
        <v/>
      </c>
      <c r="AQ353" s="55"/>
      <c r="AR353" s="56" t="str">
        <f t="shared" si="172"/>
        <v/>
      </c>
      <c r="AS353" s="57"/>
      <c r="AT353" s="58"/>
      <c r="AU353" s="58"/>
      <c r="AV353" s="59"/>
      <c r="AW353" s="60" t="str">
        <f t="shared" si="173"/>
        <v/>
      </c>
      <c r="AX353" s="61" t="str">
        <f t="shared" si="152"/>
        <v/>
      </c>
      <c r="AY353" s="60" t="str">
        <f t="shared" si="153"/>
        <v/>
      </c>
      <c r="AZ353" s="61" t="str">
        <f t="shared" si="154"/>
        <v/>
      </c>
    </row>
    <row r="354" spans="1:52" s="3" customFormat="1" hidden="1" x14ac:dyDescent="0.35">
      <c r="A354" s="72">
        <f t="shared" si="155"/>
        <v>2019</v>
      </c>
      <c r="B354" s="72" t="str">
        <f t="shared" si="156"/>
        <v>Nov</v>
      </c>
      <c r="C354" s="73">
        <f t="shared" si="174"/>
        <v>18</v>
      </c>
      <c r="D354" s="74">
        <f t="shared" si="157"/>
        <v>13</v>
      </c>
      <c r="E354" s="75">
        <f t="shared" si="158"/>
        <v>55</v>
      </c>
      <c r="F354" s="79">
        <v>55</v>
      </c>
      <c r="G354" s="82"/>
      <c r="H354" s="68" t="str">
        <f t="shared" si="175"/>
        <v>Senbur7_20191118_13_00</v>
      </c>
      <c r="I354" s="69">
        <f t="shared" si="178"/>
        <v>1</v>
      </c>
      <c r="J354" s="76" t="str">
        <f t="shared" si="178"/>
        <v>Senecio</v>
      </c>
      <c r="K354" s="76" t="str">
        <f t="shared" si="178"/>
        <v>burtoni</v>
      </c>
      <c r="L354" s="77">
        <f t="shared" si="178"/>
        <v>0</v>
      </c>
      <c r="M354" s="77">
        <f t="shared" si="178"/>
        <v>7</v>
      </c>
      <c r="N354" s="71">
        <f t="shared" si="178"/>
        <v>0</v>
      </c>
      <c r="O354" s="44"/>
      <c r="P354" s="45">
        <f t="shared" si="159"/>
        <v>1</v>
      </c>
      <c r="Q354" s="46" t="str">
        <f t="shared" si="160"/>
        <v>13:55:55</v>
      </c>
      <c r="R354" s="47" t="str">
        <f t="shared" si="161"/>
        <v>55:55</v>
      </c>
      <c r="S354" s="48">
        <f t="shared" si="151"/>
        <v>7</v>
      </c>
      <c r="T354" s="47" t="str">
        <f t="shared" si="162"/>
        <v>13</v>
      </c>
      <c r="U354" s="49">
        <v>56</v>
      </c>
      <c r="V354" s="50">
        <v>2</v>
      </c>
      <c r="W354" s="51" t="str">
        <f t="shared" si="163"/>
        <v>56:02</v>
      </c>
      <c r="X354" s="52" t="s">
        <v>63</v>
      </c>
      <c r="Y354" s="124" t="s">
        <v>83</v>
      </c>
      <c r="Z354" s="124"/>
      <c r="AA354" s="47" t="s">
        <v>59</v>
      </c>
      <c r="AB354" s="47" t="str">
        <f t="shared" si="164"/>
        <v>NA</v>
      </c>
      <c r="AC354" s="53">
        <f t="shared" si="165"/>
        <v>0</v>
      </c>
      <c r="AD354" s="54">
        <v>2</v>
      </c>
      <c r="AE354" s="54"/>
      <c r="AF354" s="54"/>
      <c r="AG354" s="55">
        <v>1</v>
      </c>
      <c r="AH354" s="56">
        <v>4</v>
      </c>
      <c r="AI354" s="55"/>
      <c r="AJ354" s="56" t="str">
        <f t="shared" si="168"/>
        <v/>
      </c>
      <c r="AK354" s="55"/>
      <c r="AL354" s="56" t="str">
        <f t="shared" si="169"/>
        <v/>
      </c>
      <c r="AM354" s="55">
        <v>1</v>
      </c>
      <c r="AN354" s="56">
        <v>3</v>
      </c>
      <c r="AO354" s="55"/>
      <c r="AP354" s="56" t="str">
        <f t="shared" si="171"/>
        <v/>
      </c>
      <c r="AQ354" s="55"/>
      <c r="AR354" s="56" t="str">
        <f t="shared" si="172"/>
        <v/>
      </c>
      <c r="AS354" s="57"/>
      <c r="AT354" s="58"/>
      <c r="AU354" s="58"/>
      <c r="AV354" s="59"/>
      <c r="AW354" s="60">
        <v>1</v>
      </c>
      <c r="AX354" s="61">
        <v>1</v>
      </c>
      <c r="AY354" s="60">
        <v>1</v>
      </c>
      <c r="AZ354" s="61">
        <v>1</v>
      </c>
    </row>
    <row r="355" spans="1:52" s="3" customFormat="1" x14ac:dyDescent="0.35">
      <c r="A355" s="72">
        <f t="shared" si="155"/>
        <v>2019</v>
      </c>
      <c r="B355" s="72" t="str">
        <f t="shared" si="156"/>
        <v>Nov</v>
      </c>
      <c r="C355" s="73">
        <f t="shared" si="174"/>
        <v>18</v>
      </c>
      <c r="D355" s="74">
        <f t="shared" si="157"/>
        <v>13</v>
      </c>
      <c r="E355" s="75">
        <f t="shared" si="158"/>
        <v>56</v>
      </c>
      <c r="F355" s="79">
        <v>34</v>
      </c>
      <c r="G355" s="82"/>
      <c r="H355" s="68" t="str">
        <f t="shared" si="175"/>
        <v>Senbur7_20191118_13_00</v>
      </c>
      <c r="I355" s="69">
        <f t="shared" si="178"/>
        <v>1</v>
      </c>
      <c r="J355" s="76" t="str">
        <f t="shared" si="178"/>
        <v>Senecio</v>
      </c>
      <c r="K355" s="76" t="str">
        <f t="shared" si="178"/>
        <v>burtoni</v>
      </c>
      <c r="L355" s="77">
        <f t="shared" si="178"/>
        <v>0</v>
      </c>
      <c r="M355" s="77">
        <f t="shared" si="178"/>
        <v>7</v>
      </c>
      <c r="N355" s="71">
        <f t="shared" si="178"/>
        <v>0</v>
      </c>
      <c r="O355" s="44"/>
      <c r="P355" s="45">
        <f t="shared" si="159"/>
        <v>1</v>
      </c>
      <c r="Q355" s="46" t="str">
        <f t="shared" si="160"/>
        <v>13:56:34</v>
      </c>
      <c r="R355" s="47" t="str">
        <f t="shared" si="161"/>
        <v>56:34</v>
      </c>
      <c r="S355" s="48">
        <f t="shared" si="151"/>
        <v>2</v>
      </c>
      <c r="T355" s="47" t="str">
        <f t="shared" si="162"/>
        <v>13</v>
      </c>
      <c r="U355" s="49">
        <v>56</v>
      </c>
      <c r="V355" s="50">
        <v>36</v>
      </c>
      <c r="W355" s="51" t="str">
        <f t="shared" si="163"/>
        <v>56:36</v>
      </c>
      <c r="X355" s="52" t="s">
        <v>72</v>
      </c>
      <c r="Y355" s="124" t="s">
        <v>93</v>
      </c>
      <c r="Z355" s="124"/>
      <c r="AA355" s="47" t="s">
        <v>77</v>
      </c>
      <c r="AB355" s="47" t="str">
        <f t="shared" si="164"/>
        <v>NA</v>
      </c>
      <c r="AC355" s="53">
        <f t="shared" si="165"/>
        <v>0</v>
      </c>
      <c r="AD355" s="54">
        <f t="shared" si="166"/>
        <v>1</v>
      </c>
      <c r="AE355" s="54"/>
      <c r="AF355" s="54"/>
      <c r="AG355" s="55" t="str">
        <f t="shared" si="177"/>
        <v/>
      </c>
      <c r="AH355" s="56" t="str">
        <f t="shared" si="167"/>
        <v/>
      </c>
      <c r="AI355" s="55"/>
      <c r="AJ355" s="56" t="str">
        <f t="shared" si="168"/>
        <v/>
      </c>
      <c r="AK355" s="55"/>
      <c r="AL355" s="56" t="str">
        <f t="shared" si="169"/>
        <v/>
      </c>
      <c r="AM355" s="55">
        <v>1</v>
      </c>
      <c r="AN355" s="56">
        <f t="shared" si="170"/>
        <v>2</v>
      </c>
      <c r="AO355" s="55"/>
      <c r="AP355" s="56" t="str">
        <f t="shared" si="171"/>
        <v/>
      </c>
      <c r="AQ355" s="55"/>
      <c r="AR355" s="56" t="str">
        <f t="shared" si="172"/>
        <v/>
      </c>
      <c r="AS355" s="57"/>
      <c r="AT355" s="58"/>
      <c r="AU355" s="58"/>
      <c r="AV355" s="59"/>
      <c r="AW355" s="60">
        <v>1</v>
      </c>
      <c r="AX355" s="61">
        <v>1</v>
      </c>
      <c r="AY355" s="60">
        <v>1</v>
      </c>
      <c r="AZ355" s="61">
        <v>1</v>
      </c>
    </row>
    <row r="356" spans="1:52" s="3" customFormat="1" hidden="1" x14ac:dyDescent="0.35">
      <c r="A356" s="72">
        <f t="shared" si="155"/>
        <v>2019</v>
      </c>
      <c r="B356" s="72" t="str">
        <f t="shared" si="156"/>
        <v>Nov</v>
      </c>
      <c r="C356" s="73">
        <f t="shared" si="174"/>
        <v>18</v>
      </c>
      <c r="D356" s="74">
        <f t="shared" si="157"/>
        <v>13</v>
      </c>
      <c r="E356" s="75">
        <v>56</v>
      </c>
      <c r="F356" s="79">
        <v>39</v>
      </c>
      <c r="G356" s="82"/>
      <c r="H356" s="68" t="str">
        <f t="shared" si="175"/>
        <v>Senbur7_20191118_13_00</v>
      </c>
      <c r="I356" s="69">
        <f t="shared" si="178"/>
        <v>1</v>
      </c>
      <c r="J356" s="76" t="str">
        <f t="shared" si="178"/>
        <v>Senecio</v>
      </c>
      <c r="K356" s="76" t="str">
        <f t="shared" si="178"/>
        <v>burtoni</v>
      </c>
      <c r="L356" s="77">
        <f t="shared" si="178"/>
        <v>0</v>
      </c>
      <c r="M356" s="77">
        <f t="shared" si="178"/>
        <v>7</v>
      </c>
      <c r="N356" s="71">
        <f t="shared" si="178"/>
        <v>0</v>
      </c>
      <c r="O356" s="44"/>
      <c r="P356" s="45">
        <f t="shared" si="159"/>
        <v>1</v>
      </c>
      <c r="Q356" s="46" t="str">
        <f t="shared" si="160"/>
        <v>13:56:39</v>
      </c>
      <c r="R356" s="47" t="str">
        <f t="shared" si="161"/>
        <v>56:39</v>
      </c>
      <c r="S356" s="48">
        <f t="shared" si="151"/>
        <v>6</v>
      </c>
      <c r="T356" s="47" t="str">
        <f t="shared" si="162"/>
        <v>13</v>
      </c>
      <c r="U356" s="49">
        <v>56</v>
      </c>
      <c r="V356" s="50">
        <v>45</v>
      </c>
      <c r="W356" s="51" t="str">
        <f t="shared" si="163"/>
        <v>56:45</v>
      </c>
      <c r="X356" s="52" t="s">
        <v>63</v>
      </c>
      <c r="Y356" s="124" t="s">
        <v>86</v>
      </c>
      <c r="Z356" s="124"/>
      <c r="AA356" s="47" t="s">
        <v>59</v>
      </c>
      <c r="AB356" s="47" t="str">
        <f t="shared" si="164"/>
        <v>NA</v>
      </c>
      <c r="AC356" s="53">
        <f t="shared" si="165"/>
        <v>0</v>
      </c>
      <c r="AD356" s="54">
        <f t="shared" si="166"/>
        <v>1</v>
      </c>
      <c r="AE356" s="54"/>
      <c r="AF356" s="54"/>
      <c r="AG356" s="55">
        <v>1</v>
      </c>
      <c r="AH356" s="56">
        <f t="shared" si="167"/>
        <v>6</v>
      </c>
      <c r="AI356" s="55"/>
      <c r="AJ356" s="56" t="str">
        <f t="shared" si="168"/>
        <v/>
      </c>
      <c r="AK356" s="55"/>
      <c r="AL356" s="56" t="str">
        <f t="shared" si="169"/>
        <v/>
      </c>
      <c r="AM356" s="55"/>
      <c r="AN356" s="56" t="str">
        <f t="shared" si="170"/>
        <v/>
      </c>
      <c r="AO356" s="55"/>
      <c r="AP356" s="56" t="str">
        <f t="shared" si="171"/>
        <v/>
      </c>
      <c r="AQ356" s="55"/>
      <c r="AR356" s="56" t="str">
        <f t="shared" si="172"/>
        <v/>
      </c>
      <c r="AS356" s="57"/>
      <c r="AT356" s="58"/>
      <c r="AU356" s="58"/>
      <c r="AV356" s="59"/>
      <c r="AW356" s="60">
        <v>1</v>
      </c>
      <c r="AX356" s="61">
        <f t="shared" si="152"/>
        <v>1</v>
      </c>
      <c r="AY356" s="60">
        <f t="shared" si="153"/>
        <v>0</v>
      </c>
      <c r="AZ356" s="61" t="str">
        <f t="shared" si="154"/>
        <v/>
      </c>
    </row>
    <row r="357" spans="1:52" s="3" customFormat="1" hidden="1" x14ac:dyDescent="0.35">
      <c r="A357" s="72">
        <f t="shared" si="155"/>
        <v>2019</v>
      </c>
      <c r="B357" s="72" t="str">
        <f t="shared" si="156"/>
        <v>Nov</v>
      </c>
      <c r="C357" s="73">
        <f t="shared" si="174"/>
        <v>18</v>
      </c>
      <c r="D357" s="74">
        <f t="shared" si="157"/>
        <v>13</v>
      </c>
      <c r="E357" s="75">
        <f t="shared" si="158"/>
        <v>57</v>
      </c>
      <c r="F357" s="79">
        <v>10</v>
      </c>
      <c r="G357" s="82"/>
      <c r="H357" s="68" t="str">
        <f t="shared" si="175"/>
        <v>Senbur7_20191118_13_00</v>
      </c>
      <c r="I357" s="69">
        <f t="shared" ref="I357:N372" si="179">I356</f>
        <v>1</v>
      </c>
      <c r="J357" s="76" t="str">
        <f t="shared" si="179"/>
        <v>Senecio</v>
      </c>
      <c r="K357" s="76" t="str">
        <f t="shared" si="179"/>
        <v>burtoni</v>
      </c>
      <c r="L357" s="77">
        <f t="shared" si="179"/>
        <v>0</v>
      </c>
      <c r="M357" s="77">
        <f t="shared" si="179"/>
        <v>7</v>
      </c>
      <c r="N357" s="71">
        <f t="shared" si="179"/>
        <v>0</v>
      </c>
      <c r="O357" s="44"/>
      <c r="P357" s="45">
        <f t="shared" si="159"/>
        <v>1</v>
      </c>
      <c r="Q357" s="46" t="str">
        <f t="shared" si="160"/>
        <v>13:57:10</v>
      </c>
      <c r="R357" s="47" t="str">
        <f t="shared" si="161"/>
        <v>57:10</v>
      </c>
      <c r="S357" s="48">
        <f t="shared" si="151"/>
        <v>10</v>
      </c>
      <c r="T357" s="47" t="str">
        <f t="shared" si="162"/>
        <v>13</v>
      </c>
      <c r="U357" s="49">
        <v>57</v>
      </c>
      <c r="V357" s="50">
        <v>20</v>
      </c>
      <c r="W357" s="51" t="str">
        <f t="shared" si="163"/>
        <v>57:20</v>
      </c>
      <c r="X357" s="52" t="s">
        <v>63</v>
      </c>
      <c r="Y357" s="124" t="s">
        <v>82</v>
      </c>
      <c r="Z357" s="124"/>
      <c r="AA357" s="47" t="s">
        <v>59</v>
      </c>
      <c r="AB357" s="47" t="str">
        <f t="shared" si="164"/>
        <v>NA</v>
      </c>
      <c r="AC357" s="53">
        <f t="shared" si="165"/>
        <v>0</v>
      </c>
      <c r="AD357" s="54">
        <f t="shared" si="166"/>
        <v>1</v>
      </c>
      <c r="AE357" s="54"/>
      <c r="AF357" s="54"/>
      <c r="AG357" s="55" t="str">
        <f t="shared" si="177"/>
        <v/>
      </c>
      <c r="AH357" s="56" t="str">
        <f t="shared" si="167"/>
        <v/>
      </c>
      <c r="AI357" s="55"/>
      <c r="AJ357" s="56" t="str">
        <f t="shared" si="168"/>
        <v/>
      </c>
      <c r="AK357" s="55"/>
      <c r="AL357" s="56" t="str">
        <f t="shared" si="169"/>
        <v/>
      </c>
      <c r="AM357" s="55">
        <v>1</v>
      </c>
      <c r="AN357" s="56">
        <f t="shared" si="170"/>
        <v>10</v>
      </c>
      <c r="AO357" s="55"/>
      <c r="AP357" s="56" t="str">
        <f t="shared" si="171"/>
        <v/>
      </c>
      <c r="AQ357" s="55"/>
      <c r="AR357" s="56" t="str">
        <f t="shared" si="172"/>
        <v/>
      </c>
      <c r="AS357" s="57"/>
      <c r="AT357" s="58"/>
      <c r="AU357" s="58"/>
      <c r="AV357" s="59"/>
      <c r="AW357" s="60">
        <v>1</v>
      </c>
      <c r="AX357" s="61">
        <f t="shared" si="152"/>
        <v>1</v>
      </c>
      <c r="AY357" s="60">
        <v>1</v>
      </c>
      <c r="AZ357" s="61">
        <f t="shared" si="154"/>
        <v>1</v>
      </c>
    </row>
    <row r="358" spans="1:52" s="3" customFormat="1" hidden="1" x14ac:dyDescent="0.35">
      <c r="A358" s="72">
        <f t="shared" si="155"/>
        <v>2019</v>
      </c>
      <c r="B358" s="72" t="str">
        <f t="shared" si="156"/>
        <v>Nov</v>
      </c>
      <c r="C358" s="73">
        <f t="shared" si="174"/>
        <v>18</v>
      </c>
      <c r="D358" s="74">
        <f t="shared" si="157"/>
        <v>13</v>
      </c>
      <c r="E358" s="75">
        <v>57</v>
      </c>
      <c r="F358" s="79">
        <v>13</v>
      </c>
      <c r="G358" s="82"/>
      <c r="H358" s="68" t="str">
        <f t="shared" si="175"/>
        <v>Senbur7_20191118_13_00</v>
      </c>
      <c r="I358" s="69">
        <f t="shared" si="179"/>
        <v>1</v>
      </c>
      <c r="J358" s="76" t="str">
        <f t="shared" si="179"/>
        <v>Senecio</v>
      </c>
      <c r="K358" s="76" t="str">
        <f t="shared" si="179"/>
        <v>burtoni</v>
      </c>
      <c r="L358" s="77">
        <f t="shared" si="179"/>
        <v>0</v>
      </c>
      <c r="M358" s="77">
        <f t="shared" si="179"/>
        <v>7</v>
      </c>
      <c r="N358" s="71">
        <f t="shared" si="179"/>
        <v>0</v>
      </c>
      <c r="O358" s="44"/>
      <c r="P358" s="45">
        <f t="shared" si="159"/>
        <v>1</v>
      </c>
      <c r="Q358" s="46" t="str">
        <f t="shared" si="160"/>
        <v>13:57:13</v>
      </c>
      <c r="R358" s="47" t="str">
        <f t="shared" si="161"/>
        <v>57:13</v>
      </c>
      <c r="S358" s="48">
        <f t="shared" si="151"/>
        <v>3</v>
      </c>
      <c r="T358" s="47" t="str">
        <f t="shared" si="162"/>
        <v>13</v>
      </c>
      <c r="U358" s="49">
        <v>57</v>
      </c>
      <c r="V358" s="50">
        <v>16</v>
      </c>
      <c r="W358" s="51" t="str">
        <f t="shared" si="163"/>
        <v>57:16</v>
      </c>
      <c r="X358" s="52" t="s">
        <v>63</v>
      </c>
      <c r="Y358" s="124" t="s">
        <v>86</v>
      </c>
      <c r="Z358" s="124"/>
      <c r="AA358" s="47" t="s">
        <v>59</v>
      </c>
      <c r="AB358" s="47" t="str">
        <f t="shared" si="164"/>
        <v>NA</v>
      </c>
      <c r="AC358" s="53">
        <f t="shared" si="165"/>
        <v>0</v>
      </c>
      <c r="AD358" s="54">
        <f t="shared" si="166"/>
        <v>1</v>
      </c>
      <c r="AE358" s="54"/>
      <c r="AF358" s="54"/>
      <c r="AG358" s="55"/>
      <c r="AH358" s="56" t="str">
        <f t="shared" si="167"/>
        <v/>
      </c>
      <c r="AI358" s="55"/>
      <c r="AJ358" s="56" t="str">
        <f t="shared" si="168"/>
        <v/>
      </c>
      <c r="AK358" s="55"/>
      <c r="AL358" s="56" t="str">
        <f t="shared" si="169"/>
        <v/>
      </c>
      <c r="AM358" s="55">
        <v>1</v>
      </c>
      <c r="AN358" s="56">
        <f t="shared" si="170"/>
        <v>3</v>
      </c>
      <c r="AO358" s="55"/>
      <c r="AP358" s="56" t="str">
        <f t="shared" si="171"/>
        <v/>
      </c>
      <c r="AQ358" s="55"/>
      <c r="AR358" s="56" t="str">
        <f t="shared" si="172"/>
        <v/>
      </c>
      <c r="AS358" s="57"/>
      <c r="AT358" s="58"/>
      <c r="AU358" s="58"/>
      <c r="AV358" s="59"/>
      <c r="AW358" s="60">
        <v>1</v>
      </c>
      <c r="AX358" s="61">
        <f t="shared" si="152"/>
        <v>1</v>
      </c>
      <c r="AY358" s="60">
        <v>1</v>
      </c>
      <c r="AZ358" s="61">
        <f t="shared" si="154"/>
        <v>1</v>
      </c>
    </row>
    <row r="359" spans="1:52" s="3" customFormat="1" x14ac:dyDescent="0.35">
      <c r="A359" s="72">
        <f t="shared" si="155"/>
        <v>2019</v>
      </c>
      <c r="B359" s="72" t="str">
        <f t="shared" si="156"/>
        <v>Nov</v>
      </c>
      <c r="C359" s="73">
        <f t="shared" si="174"/>
        <v>18</v>
      </c>
      <c r="D359" s="74">
        <f t="shared" si="157"/>
        <v>13</v>
      </c>
      <c r="E359" s="75">
        <v>57</v>
      </c>
      <c r="F359" s="79">
        <v>16</v>
      </c>
      <c r="G359" s="82"/>
      <c r="H359" s="68" t="str">
        <f t="shared" si="175"/>
        <v>Senbur7_20191118_13_00</v>
      </c>
      <c r="I359" s="69">
        <f t="shared" si="179"/>
        <v>1</v>
      </c>
      <c r="J359" s="76" t="str">
        <f t="shared" si="179"/>
        <v>Senecio</v>
      </c>
      <c r="K359" s="76" t="str">
        <f t="shared" si="179"/>
        <v>burtoni</v>
      </c>
      <c r="L359" s="77">
        <f t="shared" si="179"/>
        <v>0</v>
      </c>
      <c r="M359" s="77">
        <f t="shared" si="179"/>
        <v>7</v>
      </c>
      <c r="N359" s="71">
        <f t="shared" si="179"/>
        <v>0</v>
      </c>
      <c r="O359" s="44"/>
      <c r="P359" s="45">
        <f t="shared" si="159"/>
        <v>1</v>
      </c>
      <c r="Q359" s="46" t="str">
        <f t="shared" si="160"/>
        <v>13:57:16</v>
      </c>
      <c r="R359" s="47" t="str">
        <f t="shared" si="161"/>
        <v>57:16</v>
      </c>
      <c r="S359" s="48">
        <f t="shared" si="151"/>
        <v>29</v>
      </c>
      <c r="T359" s="47" t="str">
        <f t="shared" si="162"/>
        <v>13</v>
      </c>
      <c r="U359" s="49">
        <v>57</v>
      </c>
      <c r="V359" s="50">
        <v>45</v>
      </c>
      <c r="W359" s="51" t="str">
        <f t="shared" si="163"/>
        <v>57:45</v>
      </c>
      <c r="X359" s="52" t="s">
        <v>62</v>
      </c>
      <c r="Y359" s="124" t="s">
        <v>84</v>
      </c>
      <c r="Z359" s="124"/>
      <c r="AA359" s="47" t="s">
        <v>77</v>
      </c>
      <c r="AB359" s="47" t="str">
        <f t="shared" si="164"/>
        <v>NA</v>
      </c>
      <c r="AC359" s="53">
        <f t="shared" si="165"/>
        <v>0</v>
      </c>
      <c r="AD359" s="54">
        <f t="shared" si="166"/>
        <v>1</v>
      </c>
      <c r="AE359" s="54"/>
      <c r="AF359" s="54"/>
      <c r="AG359" s="55" t="str">
        <f t="shared" si="177"/>
        <v/>
      </c>
      <c r="AH359" s="56" t="str">
        <f t="shared" si="167"/>
        <v/>
      </c>
      <c r="AI359" s="55"/>
      <c r="AJ359" s="56" t="str">
        <f t="shared" si="168"/>
        <v/>
      </c>
      <c r="AK359" s="55">
        <v>1</v>
      </c>
      <c r="AL359" s="56">
        <v>15</v>
      </c>
      <c r="AM359" s="55">
        <v>1</v>
      </c>
      <c r="AN359" s="56">
        <v>14</v>
      </c>
      <c r="AO359" s="55"/>
      <c r="AP359" s="56" t="str">
        <f t="shared" si="171"/>
        <v/>
      </c>
      <c r="AQ359" s="55"/>
      <c r="AR359" s="56" t="str">
        <f t="shared" si="172"/>
        <v/>
      </c>
      <c r="AS359" s="57"/>
      <c r="AT359" s="58"/>
      <c r="AU359" s="58"/>
      <c r="AV359" s="59"/>
      <c r="AW359" s="60">
        <v>1</v>
      </c>
      <c r="AX359" s="61">
        <f t="shared" si="152"/>
        <v>1</v>
      </c>
      <c r="AY359" s="60">
        <v>1</v>
      </c>
      <c r="AZ359" s="61">
        <f t="shared" si="154"/>
        <v>1</v>
      </c>
    </row>
    <row r="360" spans="1:52" s="3" customFormat="1" hidden="1" x14ac:dyDescent="0.35">
      <c r="A360" s="72">
        <f t="shared" si="155"/>
        <v>2019</v>
      </c>
      <c r="B360" s="72" t="str">
        <f t="shared" si="156"/>
        <v>Nov</v>
      </c>
      <c r="C360" s="73">
        <f t="shared" si="174"/>
        <v>18</v>
      </c>
      <c r="D360" s="74">
        <f t="shared" si="157"/>
        <v>13</v>
      </c>
      <c r="E360" s="75">
        <v>57</v>
      </c>
      <c r="F360" s="79">
        <v>15</v>
      </c>
      <c r="G360" s="82"/>
      <c r="H360" s="68" t="str">
        <f t="shared" si="175"/>
        <v>Senbur7_20191118_13_00</v>
      </c>
      <c r="I360" s="69">
        <f t="shared" si="179"/>
        <v>1</v>
      </c>
      <c r="J360" s="76" t="str">
        <f t="shared" si="179"/>
        <v>Senecio</v>
      </c>
      <c r="K360" s="76" t="str">
        <f t="shared" si="179"/>
        <v>burtoni</v>
      </c>
      <c r="L360" s="77">
        <f t="shared" si="179"/>
        <v>0</v>
      </c>
      <c r="M360" s="77">
        <f t="shared" si="179"/>
        <v>7</v>
      </c>
      <c r="N360" s="71">
        <f t="shared" si="179"/>
        <v>0</v>
      </c>
      <c r="O360" s="44"/>
      <c r="P360" s="45">
        <f t="shared" si="159"/>
        <v>1</v>
      </c>
      <c r="Q360" s="46" t="str">
        <f t="shared" si="160"/>
        <v>13:57:15</v>
      </c>
      <c r="R360" s="47" t="str">
        <f t="shared" si="161"/>
        <v>57:15</v>
      </c>
      <c r="S360" s="48">
        <f t="shared" si="151"/>
        <v>7</v>
      </c>
      <c r="T360" s="47" t="str">
        <f t="shared" si="162"/>
        <v>13</v>
      </c>
      <c r="U360" s="49">
        <v>57</v>
      </c>
      <c r="V360" s="50">
        <v>22</v>
      </c>
      <c r="W360" s="51" t="str">
        <f t="shared" si="163"/>
        <v>57:22</v>
      </c>
      <c r="X360" s="52" t="s">
        <v>63</v>
      </c>
      <c r="Y360" s="124" t="s">
        <v>83</v>
      </c>
      <c r="Z360" s="124"/>
      <c r="AA360" s="47" t="s">
        <v>59</v>
      </c>
      <c r="AB360" s="47" t="str">
        <f t="shared" si="164"/>
        <v>NA</v>
      </c>
      <c r="AC360" s="53">
        <f t="shared" si="165"/>
        <v>0</v>
      </c>
      <c r="AD360" s="54">
        <f t="shared" si="166"/>
        <v>1</v>
      </c>
      <c r="AE360" s="54"/>
      <c r="AF360" s="54"/>
      <c r="AG360" s="55">
        <v>1</v>
      </c>
      <c r="AH360" s="56">
        <v>4</v>
      </c>
      <c r="AI360" s="55"/>
      <c r="AJ360" s="56" t="str">
        <f t="shared" si="168"/>
        <v/>
      </c>
      <c r="AK360" s="55"/>
      <c r="AL360" s="56" t="str">
        <f t="shared" si="169"/>
        <v/>
      </c>
      <c r="AM360" s="55">
        <v>1</v>
      </c>
      <c r="AN360" s="56">
        <v>3</v>
      </c>
      <c r="AO360" s="55"/>
      <c r="AP360" s="56" t="str">
        <f t="shared" si="171"/>
        <v/>
      </c>
      <c r="AQ360" s="55"/>
      <c r="AR360" s="56" t="str">
        <f t="shared" si="172"/>
        <v/>
      </c>
      <c r="AS360" s="57"/>
      <c r="AT360" s="58"/>
      <c r="AU360" s="58"/>
      <c r="AV360" s="59"/>
      <c r="AW360" s="60">
        <v>1</v>
      </c>
      <c r="AX360" s="61">
        <f t="shared" si="152"/>
        <v>1</v>
      </c>
      <c r="AY360" s="60">
        <f t="shared" si="153"/>
        <v>0</v>
      </c>
      <c r="AZ360" s="61" t="str">
        <f t="shared" si="154"/>
        <v/>
      </c>
    </row>
    <row r="361" spans="1:52" s="3" customFormat="1" hidden="1" x14ac:dyDescent="0.35">
      <c r="A361" s="72">
        <f t="shared" si="155"/>
        <v>2019</v>
      </c>
      <c r="B361" s="72" t="str">
        <f t="shared" si="156"/>
        <v>Nov</v>
      </c>
      <c r="C361" s="73">
        <f t="shared" si="174"/>
        <v>18</v>
      </c>
      <c r="D361" s="74">
        <f t="shared" si="157"/>
        <v>13</v>
      </c>
      <c r="E361" s="75">
        <f t="shared" si="158"/>
        <v>58</v>
      </c>
      <c r="F361" s="79">
        <v>14</v>
      </c>
      <c r="G361" s="82"/>
      <c r="H361" s="68" t="str">
        <f t="shared" si="175"/>
        <v>Senbur7_20191118_13_00</v>
      </c>
      <c r="I361" s="69">
        <f t="shared" si="179"/>
        <v>1</v>
      </c>
      <c r="J361" s="76" t="str">
        <f t="shared" si="179"/>
        <v>Senecio</v>
      </c>
      <c r="K361" s="76" t="str">
        <f t="shared" si="179"/>
        <v>burtoni</v>
      </c>
      <c r="L361" s="77">
        <f t="shared" si="179"/>
        <v>0</v>
      </c>
      <c r="M361" s="77">
        <f t="shared" si="179"/>
        <v>7</v>
      </c>
      <c r="N361" s="71">
        <f t="shared" si="179"/>
        <v>0</v>
      </c>
      <c r="O361" s="44"/>
      <c r="P361" s="45">
        <f t="shared" si="159"/>
        <v>1</v>
      </c>
      <c r="Q361" s="46" t="str">
        <f t="shared" si="160"/>
        <v>13:58:14</v>
      </c>
      <c r="R361" s="47" t="str">
        <f t="shared" si="161"/>
        <v>58:14</v>
      </c>
      <c r="S361" s="48">
        <f t="shared" si="151"/>
        <v>6</v>
      </c>
      <c r="T361" s="47" t="str">
        <f t="shared" si="162"/>
        <v>13</v>
      </c>
      <c r="U361" s="49">
        <v>58</v>
      </c>
      <c r="V361" s="50">
        <v>20</v>
      </c>
      <c r="W361" s="51" t="str">
        <f t="shared" si="163"/>
        <v>58:20</v>
      </c>
      <c r="X361" s="52" t="s">
        <v>63</v>
      </c>
      <c r="Y361" s="124" t="s">
        <v>83</v>
      </c>
      <c r="Z361" s="124"/>
      <c r="AA361" s="47" t="s">
        <v>59</v>
      </c>
      <c r="AB361" s="47" t="str">
        <f t="shared" si="164"/>
        <v>NA</v>
      </c>
      <c r="AC361" s="53">
        <f t="shared" si="165"/>
        <v>0</v>
      </c>
      <c r="AD361" s="54">
        <f t="shared" si="166"/>
        <v>1</v>
      </c>
      <c r="AE361" s="54"/>
      <c r="AF361" s="54"/>
      <c r="AG361" s="55" t="str">
        <f t="shared" si="177"/>
        <v/>
      </c>
      <c r="AH361" s="56" t="str">
        <f t="shared" si="167"/>
        <v/>
      </c>
      <c r="AI361" s="55"/>
      <c r="AJ361" s="56" t="str">
        <f t="shared" si="168"/>
        <v/>
      </c>
      <c r="AK361" s="55"/>
      <c r="AL361" s="56" t="str">
        <f t="shared" si="169"/>
        <v/>
      </c>
      <c r="AM361" s="55">
        <v>1</v>
      </c>
      <c r="AN361" s="56">
        <f t="shared" si="170"/>
        <v>6</v>
      </c>
      <c r="AO361" s="55"/>
      <c r="AP361" s="56" t="str">
        <f t="shared" si="171"/>
        <v/>
      </c>
      <c r="AQ361" s="55"/>
      <c r="AR361" s="56" t="str">
        <f t="shared" si="172"/>
        <v/>
      </c>
      <c r="AS361" s="57"/>
      <c r="AT361" s="58"/>
      <c r="AU361" s="58"/>
      <c r="AV361" s="59"/>
      <c r="AW361" s="60">
        <v>1</v>
      </c>
      <c r="AX361" s="61">
        <f t="shared" si="152"/>
        <v>1</v>
      </c>
      <c r="AY361" s="60">
        <v>1</v>
      </c>
      <c r="AZ361" s="61">
        <f t="shared" si="154"/>
        <v>1</v>
      </c>
    </row>
    <row r="362" spans="1:52" s="3" customFormat="1" hidden="1" x14ac:dyDescent="0.35">
      <c r="A362" s="72">
        <f t="shared" si="155"/>
        <v>2019</v>
      </c>
      <c r="B362" s="72" t="str">
        <f t="shared" si="156"/>
        <v>Nov</v>
      </c>
      <c r="C362" s="73">
        <f t="shared" si="174"/>
        <v>18</v>
      </c>
      <c r="D362" s="74">
        <f t="shared" si="157"/>
        <v>13</v>
      </c>
      <c r="E362" s="75">
        <f t="shared" si="158"/>
        <v>59</v>
      </c>
      <c r="F362" s="79"/>
      <c r="G362" s="82"/>
      <c r="H362" s="68" t="str">
        <f t="shared" si="175"/>
        <v>Senbur7_20191118_13_00</v>
      </c>
      <c r="I362" s="69">
        <f t="shared" si="179"/>
        <v>1</v>
      </c>
      <c r="J362" s="76" t="str">
        <f t="shared" si="179"/>
        <v>Senecio</v>
      </c>
      <c r="K362" s="76" t="str">
        <f t="shared" si="179"/>
        <v>burtoni</v>
      </c>
      <c r="L362" s="77">
        <f t="shared" si="179"/>
        <v>0</v>
      </c>
      <c r="M362" s="77">
        <f t="shared" si="179"/>
        <v>7</v>
      </c>
      <c r="N362" s="71">
        <f t="shared" si="179"/>
        <v>0</v>
      </c>
      <c r="O362" s="44"/>
      <c r="P362" s="45" t="str">
        <f t="shared" si="159"/>
        <v/>
      </c>
      <c r="Q362" s="46" t="str">
        <f t="shared" si="160"/>
        <v/>
      </c>
      <c r="R362" s="47" t="e">
        <f t="shared" si="161"/>
        <v>#VALUE!</v>
      </c>
      <c r="S362" s="48" t="e">
        <f t="shared" si="151"/>
        <v>#VALUE!</v>
      </c>
      <c r="T362" s="47" t="str">
        <f t="shared" si="162"/>
        <v/>
      </c>
      <c r="U362" s="49"/>
      <c r="V362" s="50"/>
      <c r="W362" s="51" t="e">
        <f t="shared" si="163"/>
        <v>#VALUE!</v>
      </c>
      <c r="X362" s="52"/>
      <c r="Y362" s="52"/>
      <c r="Z362" s="52"/>
      <c r="AA362" s="47" t="e">
        <f>INDEX(VISITORS[INSECT ORDER], MATCH(X362,VISITORS[NAME USED],0))</f>
        <v>#N/A</v>
      </c>
      <c r="AB362" s="47" t="e">
        <f t="shared" si="164"/>
        <v>#N/A</v>
      </c>
      <c r="AC362" s="53" t="e">
        <f t="shared" si="165"/>
        <v>#VALUE!</v>
      </c>
      <c r="AD362" s="54" t="str">
        <f t="shared" si="166"/>
        <v/>
      </c>
      <c r="AE362" s="54"/>
      <c r="AF362" s="54"/>
      <c r="AG362" s="55" t="str">
        <f t="shared" si="177"/>
        <v/>
      </c>
      <c r="AH362" s="56" t="str">
        <f t="shared" si="167"/>
        <v/>
      </c>
      <c r="AI362" s="55"/>
      <c r="AJ362" s="56" t="str">
        <f t="shared" si="168"/>
        <v/>
      </c>
      <c r="AK362" s="55"/>
      <c r="AL362" s="56" t="str">
        <f t="shared" si="169"/>
        <v/>
      </c>
      <c r="AM362" s="55"/>
      <c r="AN362" s="56" t="str">
        <f t="shared" si="170"/>
        <v/>
      </c>
      <c r="AO362" s="55"/>
      <c r="AP362" s="56" t="str">
        <f t="shared" si="171"/>
        <v/>
      </c>
      <c r="AQ362" s="55"/>
      <c r="AR362" s="56" t="str">
        <f t="shared" si="172"/>
        <v/>
      </c>
      <c r="AS362" s="57"/>
      <c r="AT362" s="58"/>
      <c r="AU362" s="58"/>
      <c r="AV362" s="59"/>
      <c r="AW362" s="60" t="str">
        <f t="shared" si="173"/>
        <v/>
      </c>
      <c r="AX362" s="61" t="str">
        <f t="shared" si="152"/>
        <v/>
      </c>
      <c r="AY362" s="60" t="str">
        <f t="shared" si="153"/>
        <v/>
      </c>
      <c r="AZ362" s="61" t="str">
        <f t="shared" si="154"/>
        <v/>
      </c>
    </row>
    <row r="363" spans="1:52" s="3" customFormat="1" hidden="1" x14ac:dyDescent="0.35">
      <c r="A363" s="72">
        <f t="shared" si="155"/>
        <v>2019</v>
      </c>
      <c r="B363" s="72" t="str">
        <f t="shared" si="156"/>
        <v>Nov</v>
      </c>
      <c r="C363" s="73">
        <f t="shared" si="174"/>
        <v>18</v>
      </c>
      <c r="D363" s="74">
        <f t="shared" si="157"/>
        <v>14</v>
      </c>
      <c r="E363" s="75">
        <f t="shared" si="158"/>
        <v>0</v>
      </c>
      <c r="F363" s="79">
        <v>39</v>
      </c>
      <c r="G363" s="82"/>
      <c r="H363" s="68" t="str">
        <f t="shared" si="175"/>
        <v>Senbur0_20191118_14_00</v>
      </c>
      <c r="I363" s="69">
        <f t="shared" si="179"/>
        <v>1</v>
      </c>
      <c r="J363" s="76" t="str">
        <f t="shared" si="179"/>
        <v>Senecio</v>
      </c>
      <c r="K363" s="76" t="str">
        <f t="shared" si="179"/>
        <v>burtoni</v>
      </c>
      <c r="L363" s="77">
        <f t="shared" si="179"/>
        <v>0</v>
      </c>
      <c r="M363" s="77">
        <f t="shared" si="179"/>
        <v>7</v>
      </c>
      <c r="N363" s="71">
        <f t="shared" si="179"/>
        <v>0</v>
      </c>
      <c r="O363" s="44"/>
      <c r="P363" s="45">
        <f t="shared" si="159"/>
        <v>1</v>
      </c>
      <c r="Q363" s="46" t="str">
        <f t="shared" si="160"/>
        <v>14:00:39</v>
      </c>
      <c r="R363" s="47" t="str">
        <f t="shared" si="161"/>
        <v>00:39</v>
      </c>
      <c r="S363" s="48">
        <f t="shared" si="151"/>
        <v>39</v>
      </c>
      <c r="T363" s="47" t="str">
        <f t="shared" si="162"/>
        <v>14</v>
      </c>
      <c r="U363" s="49">
        <v>1</v>
      </c>
      <c r="V363" s="50">
        <v>18</v>
      </c>
      <c r="W363" s="51" t="str">
        <f t="shared" si="163"/>
        <v>01:18</v>
      </c>
      <c r="X363" s="52" t="s">
        <v>63</v>
      </c>
      <c r="Y363" s="124" t="s">
        <v>86</v>
      </c>
      <c r="Z363" s="124"/>
      <c r="AA363" s="47" t="s">
        <v>59</v>
      </c>
      <c r="AB363" s="47" t="str">
        <f t="shared" si="164"/>
        <v>NA</v>
      </c>
      <c r="AC363" s="53">
        <f t="shared" si="165"/>
        <v>0</v>
      </c>
      <c r="AD363" s="54">
        <v>2</v>
      </c>
      <c r="AE363" s="54"/>
      <c r="AF363" s="54"/>
      <c r="AG363" s="55">
        <v>1</v>
      </c>
      <c r="AH363" s="56">
        <v>19</v>
      </c>
      <c r="AI363" s="55"/>
      <c r="AJ363" s="56" t="str">
        <f t="shared" si="168"/>
        <v/>
      </c>
      <c r="AK363" s="55"/>
      <c r="AL363" s="56" t="str">
        <f t="shared" si="169"/>
        <v/>
      </c>
      <c r="AM363" s="55">
        <v>1</v>
      </c>
      <c r="AN363" s="56">
        <v>20</v>
      </c>
      <c r="AO363" s="55"/>
      <c r="AP363" s="56" t="str">
        <f t="shared" si="171"/>
        <v/>
      </c>
      <c r="AQ363" s="55"/>
      <c r="AR363" s="56" t="str">
        <f t="shared" si="172"/>
        <v/>
      </c>
      <c r="AS363" s="57"/>
      <c r="AT363" s="58"/>
      <c r="AU363" s="58"/>
      <c r="AV363" s="59"/>
      <c r="AW363" s="60">
        <v>1</v>
      </c>
      <c r="AX363" s="61">
        <v>1</v>
      </c>
      <c r="AY363" s="60">
        <v>1</v>
      </c>
      <c r="AZ363" s="61">
        <v>1</v>
      </c>
    </row>
    <row r="364" spans="1:52" s="3" customFormat="1" hidden="1" x14ac:dyDescent="0.35">
      <c r="A364" s="72">
        <f t="shared" si="155"/>
        <v>2019</v>
      </c>
      <c r="B364" s="72" t="str">
        <f t="shared" si="156"/>
        <v>Nov</v>
      </c>
      <c r="C364" s="73">
        <f t="shared" si="174"/>
        <v>18</v>
      </c>
      <c r="D364" s="74">
        <f t="shared" si="157"/>
        <v>14</v>
      </c>
      <c r="E364" s="75">
        <v>0</v>
      </c>
      <c r="F364" s="79">
        <v>59</v>
      </c>
      <c r="G364" s="82"/>
      <c r="H364" s="68" t="str">
        <f t="shared" si="175"/>
        <v>Senbur0_20191118_14_00</v>
      </c>
      <c r="I364" s="69">
        <f t="shared" si="179"/>
        <v>1</v>
      </c>
      <c r="J364" s="76" t="str">
        <f t="shared" si="179"/>
        <v>Senecio</v>
      </c>
      <c r="K364" s="76" t="str">
        <f t="shared" si="179"/>
        <v>burtoni</v>
      </c>
      <c r="L364" s="77">
        <f t="shared" si="179"/>
        <v>0</v>
      </c>
      <c r="M364" s="77">
        <f t="shared" si="179"/>
        <v>7</v>
      </c>
      <c r="N364" s="71">
        <f t="shared" si="179"/>
        <v>0</v>
      </c>
      <c r="O364" s="44"/>
      <c r="P364" s="45">
        <f t="shared" si="159"/>
        <v>1</v>
      </c>
      <c r="Q364" s="46" t="str">
        <f t="shared" si="160"/>
        <v>14:00:59</v>
      </c>
      <c r="R364" s="47" t="str">
        <f t="shared" si="161"/>
        <v>00:59</v>
      </c>
      <c r="S364" s="48">
        <f t="shared" si="151"/>
        <v>19</v>
      </c>
      <c r="T364" s="47" t="str">
        <f t="shared" si="162"/>
        <v>14</v>
      </c>
      <c r="U364" s="49">
        <v>1</v>
      </c>
      <c r="V364" s="50">
        <v>18</v>
      </c>
      <c r="W364" s="51" t="str">
        <f t="shared" si="163"/>
        <v>01:18</v>
      </c>
      <c r="X364" s="52" t="s">
        <v>63</v>
      </c>
      <c r="Y364" s="124" t="s">
        <v>83</v>
      </c>
      <c r="Z364" s="124"/>
      <c r="AA364" s="47" t="s">
        <v>59</v>
      </c>
      <c r="AB364" s="47" t="str">
        <f t="shared" si="164"/>
        <v>NA</v>
      </c>
      <c r="AC364" s="53">
        <f t="shared" si="165"/>
        <v>0</v>
      </c>
      <c r="AD364" s="54">
        <v>2</v>
      </c>
      <c r="AE364" s="54"/>
      <c r="AF364" s="54"/>
      <c r="AG364" s="55">
        <v>1</v>
      </c>
      <c r="AH364" s="56">
        <v>8</v>
      </c>
      <c r="AI364" s="55"/>
      <c r="AJ364" s="56" t="str">
        <f t="shared" si="168"/>
        <v/>
      </c>
      <c r="AK364" s="55"/>
      <c r="AL364" s="56" t="str">
        <f t="shared" si="169"/>
        <v/>
      </c>
      <c r="AM364" s="55">
        <v>1</v>
      </c>
      <c r="AN364" s="56">
        <v>11</v>
      </c>
      <c r="AO364" s="55"/>
      <c r="AP364" s="56" t="str">
        <f t="shared" si="171"/>
        <v/>
      </c>
      <c r="AQ364" s="55"/>
      <c r="AR364" s="56" t="str">
        <f t="shared" si="172"/>
        <v/>
      </c>
      <c r="AS364" s="57"/>
      <c r="AT364" s="58"/>
      <c r="AU364" s="58"/>
      <c r="AV364" s="59"/>
      <c r="AW364" s="60">
        <v>1</v>
      </c>
      <c r="AX364" s="61">
        <v>1</v>
      </c>
      <c r="AY364" s="60">
        <v>1</v>
      </c>
      <c r="AZ364" s="61">
        <v>1</v>
      </c>
    </row>
    <row r="365" spans="1:52" s="3" customFormat="1" hidden="1" x14ac:dyDescent="0.35">
      <c r="A365" s="72">
        <f t="shared" si="155"/>
        <v>2019</v>
      </c>
      <c r="B365" s="72" t="str">
        <f t="shared" si="156"/>
        <v>Nov</v>
      </c>
      <c r="C365" s="73">
        <f t="shared" si="174"/>
        <v>18</v>
      </c>
      <c r="D365" s="74">
        <f t="shared" si="157"/>
        <v>14</v>
      </c>
      <c r="E365" s="75">
        <f t="shared" si="158"/>
        <v>1</v>
      </c>
      <c r="F365" s="79">
        <v>50</v>
      </c>
      <c r="G365" s="82"/>
      <c r="H365" s="68" t="str">
        <f t="shared" si="175"/>
        <v>Senbur0_20191118_14_00</v>
      </c>
      <c r="I365" s="69">
        <f t="shared" si="179"/>
        <v>1</v>
      </c>
      <c r="J365" s="76" t="str">
        <f t="shared" si="179"/>
        <v>Senecio</v>
      </c>
      <c r="K365" s="76" t="str">
        <f t="shared" si="179"/>
        <v>burtoni</v>
      </c>
      <c r="L365" s="77">
        <f t="shared" si="179"/>
        <v>0</v>
      </c>
      <c r="M365" s="77">
        <f t="shared" si="179"/>
        <v>7</v>
      </c>
      <c r="N365" s="71">
        <f t="shared" si="179"/>
        <v>0</v>
      </c>
      <c r="O365" s="44"/>
      <c r="P365" s="45">
        <f t="shared" si="159"/>
        <v>1</v>
      </c>
      <c r="Q365" s="46" t="str">
        <f t="shared" si="160"/>
        <v>14:01:50</v>
      </c>
      <c r="R365" s="47" t="str">
        <f t="shared" si="161"/>
        <v>01:50</v>
      </c>
      <c r="S365" s="48">
        <f t="shared" si="151"/>
        <v>10</v>
      </c>
      <c r="T365" s="47" t="str">
        <f t="shared" si="162"/>
        <v>14</v>
      </c>
      <c r="U365" s="49">
        <v>2</v>
      </c>
      <c r="V365" s="50">
        <v>0</v>
      </c>
      <c r="W365" s="51" t="str">
        <f t="shared" si="163"/>
        <v>02:00</v>
      </c>
      <c r="X365" s="52" t="s">
        <v>63</v>
      </c>
      <c r="Y365" s="124" t="s">
        <v>82</v>
      </c>
      <c r="Z365" s="124"/>
      <c r="AA365" s="47" t="s">
        <v>59</v>
      </c>
      <c r="AB365" s="47" t="str">
        <f t="shared" si="164"/>
        <v>NA</v>
      </c>
      <c r="AC365" s="53">
        <f t="shared" si="165"/>
        <v>0</v>
      </c>
      <c r="AD365" s="54">
        <f t="shared" si="166"/>
        <v>1</v>
      </c>
      <c r="AE365" s="54"/>
      <c r="AF365" s="54"/>
      <c r="AG365" s="55" t="str">
        <f t="shared" si="177"/>
        <v/>
      </c>
      <c r="AH365" s="56" t="str">
        <f t="shared" si="167"/>
        <v/>
      </c>
      <c r="AI365" s="55"/>
      <c r="AJ365" s="56" t="str">
        <f t="shared" si="168"/>
        <v/>
      </c>
      <c r="AK365" s="55"/>
      <c r="AL365" s="56" t="str">
        <f t="shared" si="169"/>
        <v/>
      </c>
      <c r="AM365" s="55">
        <v>1</v>
      </c>
      <c r="AN365" s="56">
        <f t="shared" si="170"/>
        <v>10</v>
      </c>
      <c r="AO365" s="55"/>
      <c r="AP365" s="56" t="str">
        <f t="shared" si="171"/>
        <v/>
      </c>
      <c r="AQ365" s="55"/>
      <c r="AR365" s="56" t="str">
        <f t="shared" si="172"/>
        <v/>
      </c>
      <c r="AS365" s="57"/>
      <c r="AT365" s="58"/>
      <c r="AU365" s="58"/>
      <c r="AV365" s="59"/>
      <c r="AW365" s="60">
        <v>1</v>
      </c>
      <c r="AX365" s="61">
        <f t="shared" si="152"/>
        <v>1</v>
      </c>
      <c r="AY365" s="60">
        <v>1</v>
      </c>
      <c r="AZ365" s="61">
        <f t="shared" si="154"/>
        <v>1</v>
      </c>
    </row>
    <row r="366" spans="1:52" s="3" customFormat="1" hidden="1" x14ac:dyDescent="0.35">
      <c r="A366" s="72">
        <f t="shared" si="155"/>
        <v>2019</v>
      </c>
      <c r="B366" s="72" t="str">
        <f t="shared" si="156"/>
        <v>Nov</v>
      </c>
      <c r="C366" s="73">
        <f t="shared" si="174"/>
        <v>18</v>
      </c>
      <c r="D366" s="74">
        <f t="shared" si="157"/>
        <v>14</v>
      </c>
      <c r="E366" s="75">
        <v>1</v>
      </c>
      <c r="F366" s="79">
        <v>56</v>
      </c>
      <c r="G366" s="82"/>
      <c r="H366" s="68" t="str">
        <f t="shared" si="175"/>
        <v>Senbur0_20191118_14_00</v>
      </c>
      <c r="I366" s="69">
        <f t="shared" si="179"/>
        <v>1</v>
      </c>
      <c r="J366" s="76" t="str">
        <f t="shared" si="179"/>
        <v>Senecio</v>
      </c>
      <c r="K366" s="76" t="str">
        <f t="shared" si="179"/>
        <v>burtoni</v>
      </c>
      <c r="L366" s="77">
        <f t="shared" si="179"/>
        <v>0</v>
      </c>
      <c r="M366" s="77">
        <f t="shared" si="179"/>
        <v>7</v>
      </c>
      <c r="N366" s="71">
        <f t="shared" si="179"/>
        <v>0</v>
      </c>
      <c r="O366" s="44"/>
      <c r="P366" s="45">
        <f t="shared" si="159"/>
        <v>1</v>
      </c>
      <c r="Q366" s="46" t="str">
        <f t="shared" si="160"/>
        <v>14:01:56</v>
      </c>
      <c r="R366" s="47" t="str">
        <f t="shared" si="161"/>
        <v>01:56</v>
      </c>
      <c r="S366" s="48">
        <f t="shared" si="151"/>
        <v>11</v>
      </c>
      <c r="T366" s="47" t="str">
        <f t="shared" si="162"/>
        <v>14</v>
      </c>
      <c r="U366" s="49">
        <v>2</v>
      </c>
      <c r="V366" s="50">
        <v>7</v>
      </c>
      <c r="W366" s="51" t="str">
        <f t="shared" si="163"/>
        <v>02:07</v>
      </c>
      <c r="X366" s="52" t="s">
        <v>63</v>
      </c>
      <c r="Y366" s="124" t="s">
        <v>87</v>
      </c>
      <c r="Z366" s="124"/>
      <c r="AA366" s="47" t="s">
        <v>59</v>
      </c>
      <c r="AB366" s="47" t="str">
        <f t="shared" si="164"/>
        <v>NA</v>
      </c>
      <c r="AC366" s="53">
        <f t="shared" si="165"/>
        <v>0</v>
      </c>
      <c r="AD366" s="54">
        <f t="shared" si="166"/>
        <v>1</v>
      </c>
      <c r="AE366" s="54"/>
      <c r="AF366" s="54"/>
      <c r="AG366" s="55">
        <v>1</v>
      </c>
      <c r="AH366" s="56">
        <v>3</v>
      </c>
      <c r="AI366" s="55"/>
      <c r="AJ366" s="56" t="str">
        <f t="shared" si="168"/>
        <v/>
      </c>
      <c r="AK366" s="55"/>
      <c r="AL366" s="56" t="str">
        <f t="shared" si="169"/>
        <v/>
      </c>
      <c r="AM366" s="55">
        <v>1</v>
      </c>
      <c r="AN366" s="56">
        <v>8</v>
      </c>
      <c r="AO366" s="55"/>
      <c r="AP366" s="56" t="str">
        <f t="shared" si="171"/>
        <v/>
      </c>
      <c r="AQ366" s="55"/>
      <c r="AR366" s="56" t="str">
        <f t="shared" si="172"/>
        <v/>
      </c>
      <c r="AS366" s="57"/>
      <c r="AT366" s="58"/>
      <c r="AU366" s="58"/>
      <c r="AV366" s="59"/>
      <c r="AW366" s="60">
        <v>1</v>
      </c>
      <c r="AX366" s="61">
        <f t="shared" si="152"/>
        <v>1</v>
      </c>
      <c r="AY366" s="60">
        <v>1</v>
      </c>
      <c r="AZ366" s="61">
        <f t="shared" si="154"/>
        <v>1</v>
      </c>
    </row>
    <row r="367" spans="1:52" s="3" customFormat="1" hidden="1" x14ac:dyDescent="0.35">
      <c r="A367" s="72">
        <f t="shared" si="155"/>
        <v>2019</v>
      </c>
      <c r="B367" s="72" t="str">
        <f t="shared" si="156"/>
        <v>Nov</v>
      </c>
      <c r="C367" s="73">
        <f t="shared" si="174"/>
        <v>18</v>
      </c>
      <c r="D367" s="74">
        <f t="shared" si="157"/>
        <v>14</v>
      </c>
      <c r="E367" s="75">
        <f t="shared" si="158"/>
        <v>2</v>
      </c>
      <c r="F367" s="79">
        <v>0</v>
      </c>
      <c r="G367" s="82"/>
      <c r="H367" s="68" t="str">
        <f t="shared" si="175"/>
        <v>Senbur0_20191118_14_00</v>
      </c>
      <c r="I367" s="69">
        <f t="shared" si="179"/>
        <v>1</v>
      </c>
      <c r="J367" s="76" t="str">
        <f t="shared" si="179"/>
        <v>Senecio</v>
      </c>
      <c r="K367" s="76" t="str">
        <f t="shared" si="179"/>
        <v>burtoni</v>
      </c>
      <c r="L367" s="77">
        <f t="shared" si="179"/>
        <v>0</v>
      </c>
      <c r="M367" s="77">
        <f t="shared" si="179"/>
        <v>7</v>
      </c>
      <c r="N367" s="71">
        <f t="shared" si="179"/>
        <v>0</v>
      </c>
      <c r="O367" s="44"/>
      <c r="P367" s="45">
        <f t="shared" si="159"/>
        <v>1</v>
      </c>
      <c r="Q367" s="46" t="str">
        <f t="shared" si="160"/>
        <v>14:02:00</v>
      </c>
      <c r="R367" s="47" t="str">
        <f t="shared" si="161"/>
        <v>02:00</v>
      </c>
      <c r="S367" s="48">
        <f t="shared" si="151"/>
        <v>3</v>
      </c>
      <c r="T367" s="47" t="str">
        <f t="shared" si="162"/>
        <v>14</v>
      </c>
      <c r="U367" s="49">
        <v>2</v>
      </c>
      <c r="V367" s="50">
        <v>3</v>
      </c>
      <c r="W367" s="51" t="str">
        <f t="shared" si="163"/>
        <v>02:03</v>
      </c>
      <c r="X367" s="52" t="s">
        <v>63</v>
      </c>
      <c r="Y367" s="124" t="s">
        <v>82</v>
      </c>
      <c r="Z367" s="124"/>
      <c r="AA367" s="47" t="s">
        <v>59</v>
      </c>
      <c r="AB367" s="47" t="str">
        <f t="shared" si="164"/>
        <v>NA</v>
      </c>
      <c r="AC367" s="53">
        <f t="shared" si="165"/>
        <v>0</v>
      </c>
      <c r="AD367" s="54">
        <f t="shared" si="166"/>
        <v>1</v>
      </c>
      <c r="AE367" s="54"/>
      <c r="AF367" s="54"/>
      <c r="AG367" s="55">
        <v>1</v>
      </c>
      <c r="AH367" s="56">
        <f t="shared" si="167"/>
        <v>3</v>
      </c>
      <c r="AI367" s="55"/>
      <c r="AJ367" s="56" t="str">
        <f t="shared" si="168"/>
        <v/>
      </c>
      <c r="AK367" s="55"/>
      <c r="AL367" s="56" t="str">
        <f t="shared" si="169"/>
        <v/>
      </c>
      <c r="AM367" s="55"/>
      <c r="AN367" s="56" t="str">
        <f t="shared" si="170"/>
        <v/>
      </c>
      <c r="AO367" s="55"/>
      <c r="AP367" s="56" t="str">
        <f t="shared" si="171"/>
        <v/>
      </c>
      <c r="AQ367" s="55"/>
      <c r="AR367" s="56" t="str">
        <f t="shared" si="172"/>
        <v/>
      </c>
      <c r="AS367" s="57"/>
      <c r="AT367" s="58"/>
      <c r="AU367" s="58"/>
      <c r="AV367" s="59"/>
      <c r="AW367" s="60">
        <f t="shared" si="173"/>
        <v>0</v>
      </c>
      <c r="AX367" s="61" t="str">
        <f t="shared" si="152"/>
        <v/>
      </c>
      <c r="AY367" s="60">
        <f t="shared" si="153"/>
        <v>0</v>
      </c>
      <c r="AZ367" s="61" t="str">
        <f t="shared" si="154"/>
        <v/>
      </c>
    </row>
    <row r="368" spans="1:52" s="3" customFormat="1" hidden="1" x14ac:dyDescent="0.35">
      <c r="A368" s="72">
        <f t="shared" si="155"/>
        <v>2019</v>
      </c>
      <c r="B368" s="72" t="str">
        <f t="shared" si="156"/>
        <v>Nov</v>
      </c>
      <c r="C368" s="73">
        <f t="shared" si="174"/>
        <v>18</v>
      </c>
      <c r="D368" s="74">
        <f t="shared" si="157"/>
        <v>14</v>
      </c>
      <c r="E368" s="75">
        <f t="shared" si="158"/>
        <v>3</v>
      </c>
      <c r="F368" s="79"/>
      <c r="G368" s="82"/>
      <c r="H368" s="68" t="str">
        <f t="shared" si="175"/>
        <v>Senbur0_20191118_14_00</v>
      </c>
      <c r="I368" s="69">
        <f t="shared" si="179"/>
        <v>1</v>
      </c>
      <c r="J368" s="76" t="str">
        <f t="shared" si="179"/>
        <v>Senecio</v>
      </c>
      <c r="K368" s="76" t="str">
        <f t="shared" si="179"/>
        <v>burtoni</v>
      </c>
      <c r="L368" s="77">
        <f t="shared" si="179"/>
        <v>0</v>
      </c>
      <c r="M368" s="77">
        <f t="shared" si="179"/>
        <v>7</v>
      </c>
      <c r="N368" s="71">
        <f t="shared" si="179"/>
        <v>0</v>
      </c>
      <c r="O368" s="44"/>
      <c r="P368" s="45" t="str">
        <f t="shared" si="159"/>
        <v/>
      </c>
      <c r="Q368" s="46" t="str">
        <f t="shared" si="160"/>
        <v/>
      </c>
      <c r="R368" s="47" t="e">
        <f t="shared" si="161"/>
        <v>#VALUE!</v>
      </c>
      <c r="S368" s="48" t="e">
        <f t="shared" si="151"/>
        <v>#VALUE!</v>
      </c>
      <c r="T368" s="47" t="str">
        <f t="shared" si="162"/>
        <v/>
      </c>
      <c r="U368" s="49"/>
      <c r="V368" s="50"/>
      <c r="W368" s="51" t="e">
        <f t="shared" si="163"/>
        <v>#VALUE!</v>
      </c>
      <c r="X368" s="52"/>
      <c r="Y368" s="52"/>
      <c r="Z368" s="52"/>
      <c r="AA368" s="47" t="e">
        <f>INDEX(VISITORS[INSECT ORDER], MATCH(X368,VISITORS[NAME USED],0))</f>
        <v>#N/A</v>
      </c>
      <c r="AB368" s="47" t="e">
        <f t="shared" si="164"/>
        <v>#N/A</v>
      </c>
      <c r="AC368" s="53" t="e">
        <f t="shared" si="165"/>
        <v>#VALUE!</v>
      </c>
      <c r="AD368" s="54" t="str">
        <f t="shared" si="166"/>
        <v/>
      </c>
      <c r="AE368" s="54"/>
      <c r="AF368" s="54"/>
      <c r="AG368" s="55" t="str">
        <f t="shared" si="177"/>
        <v/>
      </c>
      <c r="AH368" s="56" t="str">
        <f t="shared" si="167"/>
        <v/>
      </c>
      <c r="AI368" s="55"/>
      <c r="AJ368" s="56" t="str">
        <f t="shared" si="168"/>
        <v/>
      </c>
      <c r="AK368" s="55"/>
      <c r="AL368" s="56" t="str">
        <f t="shared" si="169"/>
        <v/>
      </c>
      <c r="AM368" s="55"/>
      <c r="AN368" s="56" t="str">
        <f t="shared" si="170"/>
        <v/>
      </c>
      <c r="AO368" s="55"/>
      <c r="AP368" s="56" t="str">
        <f t="shared" si="171"/>
        <v/>
      </c>
      <c r="AQ368" s="55"/>
      <c r="AR368" s="56" t="str">
        <f t="shared" si="172"/>
        <v/>
      </c>
      <c r="AS368" s="57"/>
      <c r="AT368" s="58"/>
      <c r="AU368" s="58"/>
      <c r="AV368" s="59"/>
      <c r="AW368" s="60" t="str">
        <f t="shared" si="173"/>
        <v/>
      </c>
      <c r="AX368" s="61" t="str">
        <f t="shared" si="152"/>
        <v/>
      </c>
      <c r="AY368" s="60" t="str">
        <f t="shared" si="153"/>
        <v/>
      </c>
      <c r="AZ368" s="61" t="str">
        <f t="shared" si="154"/>
        <v/>
      </c>
    </row>
    <row r="369" spans="1:52" s="3" customFormat="1" hidden="1" x14ac:dyDescent="0.35">
      <c r="A369" s="72">
        <f t="shared" si="155"/>
        <v>2019</v>
      </c>
      <c r="B369" s="72" t="str">
        <f t="shared" si="156"/>
        <v>Nov</v>
      </c>
      <c r="C369" s="73">
        <f t="shared" si="174"/>
        <v>18</v>
      </c>
      <c r="D369" s="74">
        <f t="shared" si="157"/>
        <v>14</v>
      </c>
      <c r="E369" s="75">
        <f t="shared" si="158"/>
        <v>4</v>
      </c>
      <c r="F369" s="79"/>
      <c r="G369" s="82"/>
      <c r="H369" s="68" t="str">
        <f t="shared" si="175"/>
        <v>Senbur0_20191118_14_00</v>
      </c>
      <c r="I369" s="69">
        <f t="shared" si="179"/>
        <v>1</v>
      </c>
      <c r="J369" s="76" t="str">
        <f t="shared" si="179"/>
        <v>Senecio</v>
      </c>
      <c r="K369" s="76" t="str">
        <f t="shared" si="179"/>
        <v>burtoni</v>
      </c>
      <c r="L369" s="77">
        <f t="shared" si="179"/>
        <v>0</v>
      </c>
      <c r="M369" s="77">
        <f t="shared" si="179"/>
        <v>7</v>
      </c>
      <c r="N369" s="71">
        <f t="shared" si="179"/>
        <v>0</v>
      </c>
      <c r="O369" s="44"/>
      <c r="P369" s="45" t="str">
        <f t="shared" si="159"/>
        <v/>
      </c>
      <c r="Q369" s="46" t="str">
        <f t="shared" si="160"/>
        <v/>
      </c>
      <c r="R369" s="47" t="e">
        <f t="shared" si="161"/>
        <v>#VALUE!</v>
      </c>
      <c r="S369" s="48" t="e">
        <f t="shared" si="151"/>
        <v>#VALUE!</v>
      </c>
      <c r="T369" s="47" t="str">
        <f t="shared" si="162"/>
        <v/>
      </c>
      <c r="U369" s="49"/>
      <c r="V369" s="50"/>
      <c r="W369" s="51" t="e">
        <f t="shared" si="163"/>
        <v>#VALUE!</v>
      </c>
      <c r="X369" s="52"/>
      <c r="Y369" s="52"/>
      <c r="Z369" s="52"/>
      <c r="AA369" s="47" t="e">
        <f>INDEX(VISITORS[INSECT ORDER], MATCH(X369,VISITORS[NAME USED],0))</f>
        <v>#N/A</v>
      </c>
      <c r="AB369" s="47" t="e">
        <f t="shared" si="164"/>
        <v>#N/A</v>
      </c>
      <c r="AC369" s="53" t="e">
        <f t="shared" si="165"/>
        <v>#VALUE!</v>
      </c>
      <c r="AD369" s="54" t="str">
        <f t="shared" si="166"/>
        <v/>
      </c>
      <c r="AE369" s="54"/>
      <c r="AF369" s="54"/>
      <c r="AG369" s="55" t="str">
        <f t="shared" si="177"/>
        <v/>
      </c>
      <c r="AH369" s="56" t="str">
        <f t="shared" si="167"/>
        <v/>
      </c>
      <c r="AI369" s="55"/>
      <c r="AJ369" s="56" t="str">
        <f t="shared" si="168"/>
        <v/>
      </c>
      <c r="AK369" s="55"/>
      <c r="AL369" s="56" t="str">
        <f t="shared" si="169"/>
        <v/>
      </c>
      <c r="AM369" s="55"/>
      <c r="AN369" s="56" t="str">
        <f t="shared" si="170"/>
        <v/>
      </c>
      <c r="AO369" s="55"/>
      <c r="AP369" s="56" t="str">
        <f t="shared" si="171"/>
        <v/>
      </c>
      <c r="AQ369" s="55"/>
      <c r="AR369" s="56" t="str">
        <f t="shared" si="172"/>
        <v/>
      </c>
      <c r="AS369" s="57"/>
      <c r="AT369" s="58"/>
      <c r="AU369" s="58"/>
      <c r="AV369" s="59"/>
      <c r="AW369" s="60" t="str">
        <f t="shared" si="173"/>
        <v/>
      </c>
      <c r="AX369" s="61" t="str">
        <f t="shared" si="152"/>
        <v/>
      </c>
      <c r="AY369" s="60" t="str">
        <f t="shared" si="153"/>
        <v/>
      </c>
      <c r="AZ369" s="61" t="str">
        <f t="shared" si="154"/>
        <v/>
      </c>
    </row>
    <row r="370" spans="1:52" s="3" customFormat="1" hidden="1" x14ac:dyDescent="0.35">
      <c r="A370" s="72">
        <f t="shared" si="155"/>
        <v>2019</v>
      </c>
      <c r="B370" s="72" t="str">
        <f t="shared" si="156"/>
        <v>Nov</v>
      </c>
      <c r="C370" s="73">
        <f t="shared" si="174"/>
        <v>18</v>
      </c>
      <c r="D370" s="74">
        <f t="shared" si="157"/>
        <v>14</v>
      </c>
      <c r="E370" s="75">
        <f t="shared" si="158"/>
        <v>5</v>
      </c>
      <c r="F370" s="79"/>
      <c r="G370" s="82"/>
      <c r="H370" s="68" t="str">
        <f t="shared" si="175"/>
        <v>Senbur0_20191118_14_00</v>
      </c>
      <c r="I370" s="69">
        <f t="shared" si="179"/>
        <v>1</v>
      </c>
      <c r="J370" s="76" t="str">
        <f t="shared" si="179"/>
        <v>Senecio</v>
      </c>
      <c r="K370" s="76" t="str">
        <f t="shared" si="179"/>
        <v>burtoni</v>
      </c>
      <c r="L370" s="77">
        <f t="shared" si="179"/>
        <v>0</v>
      </c>
      <c r="M370" s="77">
        <f t="shared" si="179"/>
        <v>7</v>
      </c>
      <c r="N370" s="71">
        <f t="shared" si="179"/>
        <v>0</v>
      </c>
      <c r="O370" s="44"/>
      <c r="P370" s="45" t="str">
        <f t="shared" si="159"/>
        <v/>
      </c>
      <c r="Q370" s="46" t="str">
        <f t="shared" si="160"/>
        <v/>
      </c>
      <c r="R370" s="47" t="e">
        <f t="shared" si="161"/>
        <v>#VALUE!</v>
      </c>
      <c r="S370" s="48" t="e">
        <f t="shared" si="151"/>
        <v>#VALUE!</v>
      </c>
      <c r="T370" s="47" t="str">
        <f t="shared" si="162"/>
        <v/>
      </c>
      <c r="U370" s="49"/>
      <c r="V370" s="50"/>
      <c r="W370" s="51" t="e">
        <f t="shared" si="163"/>
        <v>#VALUE!</v>
      </c>
      <c r="X370" s="52"/>
      <c r="Y370" s="52"/>
      <c r="Z370" s="52"/>
      <c r="AA370" s="47" t="e">
        <f>INDEX(VISITORS[INSECT ORDER], MATCH(X370,VISITORS[NAME USED],0))</f>
        <v>#N/A</v>
      </c>
      <c r="AB370" s="47" t="e">
        <f t="shared" si="164"/>
        <v>#N/A</v>
      </c>
      <c r="AC370" s="53" t="e">
        <f t="shared" si="165"/>
        <v>#VALUE!</v>
      </c>
      <c r="AD370" s="54" t="str">
        <f t="shared" si="166"/>
        <v/>
      </c>
      <c r="AE370" s="54"/>
      <c r="AF370" s="54"/>
      <c r="AG370" s="55" t="str">
        <f t="shared" si="177"/>
        <v/>
      </c>
      <c r="AH370" s="56" t="str">
        <f t="shared" si="167"/>
        <v/>
      </c>
      <c r="AI370" s="55"/>
      <c r="AJ370" s="56" t="str">
        <f t="shared" si="168"/>
        <v/>
      </c>
      <c r="AK370" s="55"/>
      <c r="AL370" s="56" t="str">
        <f t="shared" si="169"/>
        <v/>
      </c>
      <c r="AM370" s="55"/>
      <c r="AN370" s="56" t="str">
        <f t="shared" si="170"/>
        <v/>
      </c>
      <c r="AO370" s="55"/>
      <c r="AP370" s="56" t="str">
        <f t="shared" si="171"/>
        <v/>
      </c>
      <c r="AQ370" s="55"/>
      <c r="AR370" s="56" t="str">
        <f t="shared" si="172"/>
        <v/>
      </c>
      <c r="AS370" s="57"/>
      <c r="AT370" s="58"/>
      <c r="AU370" s="58"/>
      <c r="AV370" s="59"/>
      <c r="AW370" s="60" t="str">
        <f t="shared" si="173"/>
        <v/>
      </c>
      <c r="AX370" s="61" t="str">
        <f t="shared" si="152"/>
        <v/>
      </c>
      <c r="AY370" s="60" t="str">
        <f t="shared" si="153"/>
        <v/>
      </c>
      <c r="AZ370" s="61" t="str">
        <f t="shared" si="154"/>
        <v/>
      </c>
    </row>
    <row r="371" spans="1:52" s="3" customFormat="1" hidden="1" x14ac:dyDescent="0.35">
      <c r="A371" s="72">
        <f t="shared" si="155"/>
        <v>2019</v>
      </c>
      <c r="B371" s="72" t="str">
        <f t="shared" si="156"/>
        <v>Nov</v>
      </c>
      <c r="C371" s="73">
        <f t="shared" si="174"/>
        <v>18</v>
      </c>
      <c r="D371" s="74">
        <f t="shared" si="157"/>
        <v>14</v>
      </c>
      <c r="E371" s="75">
        <f t="shared" si="158"/>
        <v>6</v>
      </c>
      <c r="F371" s="79">
        <v>9</v>
      </c>
      <c r="G371" s="82"/>
      <c r="H371" s="68" t="str">
        <f t="shared" si="175"/>
        <v>Senbur0_20191118_14_00</v>
      </c>
      <c r="I371" s="69">
        <f t="shared" si="179"/>
        <v>1</v>
      </c>
      <c r="J371" s="76" t="str">
        <f t="shared" si="179"/>
        <v>Senecio</v>
      </c>
      <c r="K371" s="76" t="str">
        <f t="shared" si="179"/>
        <v>burtoni</v>
      </c>
      <c r="L371" s="77">
        <f t="shared" si="179"/>
        <v>0</v>
      </c>
      <c r="M371" s="77">
        <f t="shared" si="179"/>
        <v>7</v>
      </c>
      <c r="N371" s="71">
        <f t="shared" si="179"/>
        <v>0</v>
      </c>
      <c r="O371" s="44"/>
      <c r="P371" s="45">
        <f t="shared" si="159"/>
        <v>1</v>
      </c>
      <c r="Q371" s="46" t="str">
        <f t="shared" si="160"/>
        <v>14:06:09</v>
      </c>
      <c r="R371" s="47" t="str">
        <f t="shared" si="161"/>
        <v>06:09</v>
      </c>
      <c r="S371" s="48">
        <f t="shared" si="151"/>
        <v>94</v>
      </c>
      <c r="T371" s="47" t="str">
        <f t="shared" si="162"/>
        <v>14</v>
      </c>
      <c r="U371" s="49">
        <v>7</v>
      </c>
      <c r="V371" s="50">
        <v>43</v>
      </c>
      <c r="W371" s="51" t="str">
        <f t="shared" si="163"/>
        <v>07:43</v>
      </c>
      <c r="X371" s="52" t="s">
        <v>63</v>
      </c>
      <c r="Y371" s="124" t="s">
        <v>82</v>
      </c>
      <c r="Z371" s="124"/>
      <c r="AA371" s="47" t="s">
        <v>59</v>
      </c>
      <c r="AB371" s="47" t="str">
        <f t="shared" si="164"/>
        <v>NA</v>
      </c>
      <c r="AC371" s="53">
        <f t="shared" si="165"/>
        <v>0</v>
      </c>
      <c r="AD371" s="54">
        <f t="shared" si="166"/>
        <v>1</v>
      </c>
      <c r="AE371" s="54"/>
      <c r="AF371" s="54"/>
      <c r="AG371" s="55">
        <v>1</v>
      </c>
      <c r="AH371" s="56">
        <v>14</v>
      </c>
      <c r="AI371" s="55"/>
      <c r="AJ371" s="56" t="str">
        <f t="shared" si="168"/>
        <v/>
      </c>
      <c r="AK371" s="55"/>
      <c r="AL371" s="56" t="str">
        <f t="shared" si="169"/>
        <v/>
      </c>
      <c r="AM371" s="55">
        <v>1</v>
      </c>
      <c r="AN371" s="56">
        <v>80</v>
      </c>
      <c r="AO371" s="55"/>
      <c r="AP371" s="56" t="str">
        <f t="shared" si="171"/>
        <v/>
      </c>
      <c r="AQ371" s="55"/>
      <c r="AR371" s="56" t="str">
        <f t="shared" si="172"/>
        <v/>
      </c>
      <c r="AS371" s="57"/>
      <c r="AT371" s="58"/>
      <c r="AU371" s="58"/>
      <c r="AV371" s="59"/>
      <c r="AW371" s="60">
        <v>1</v>
      </c>
      <c r="AX371" s="61">
        <f t="shared" si="152"/>
        <v>1</v>
      </c>
      <c r="AY371" s="60">
        <v>1</v>
      </c>
      <c r="AZ371" s="61">
        <f t="shared" si="154"/>
        <v>1</v>
      </c>
    </row>
    <row r="372" spans="1:52" s="3" customFormat="1" hidden="1" x14ac:dyDescent="0.35">
      <c r="A372" s="72">
        <f t="shared" si="155"/>
        <v>2019</v>
      </c>
      <c r="B372" s="72" t="str">
        <f t="shared" si="156"/>
        <v>Nov</v>
      </c>
      <c r="C372" s="73">
        <f t="shared" si="174"/>
        <v>18</v>
      </c>
      <c r="D372" s="74">
        <f t="shared" si="157"/>
        <v>14</v>
      </c>
      <c r="E372" s="75">
        <v>6</v>
      </c>
      <c r="F372" s="79">
        <v>23</v>
      </c>
      <c r="G372" s="82"/>
      <c r="H372" s="68" t="str">
        <f t="shared" si="175"/>
        <v>Senbur0_20191118_14_00</v>
      </c>
      <c r="I372" s="69">
        <f t="shared" si="179"/>
        <v>1</v>
      </c>
      <c r="J372" s="76" t="str">
        <f t="shared" si="179"/>
        <v>Senecio</v>
      </c>
      <c r="K372" s="76" t="str">
        <f t="shared" si="179"/>
        <v>burtoni</v>
      </c>
      <c r="L372" s="77">
        <f t="shared" si="179"/>
        <v>0</v>
      </c>
      <c r="M372" s="77">
        <f t="shared" si="179"/>
        <v>7</v>
      </c>
      <c r="N372" s="71">
        <f t="shared" si="179"/>
        <v>0</v>
      </c>
      <c r="O372" s="44"/>
      <c r="P372" s="45">
        <f t="shared" si="159"/>
        <v>1</v>
      </c>
      <c r="Q372" s="46" t="str">
        <f t="shared" si="160"/>
        <v>14:06:23</v>
      </c>
      <c r="R372" s="47" t="str">
        <f t="shared" si="161"/>
        <v>06:23</v>
      </c>
      <c r="S372" s="48">
        <f t="shared" si="151"/>
        <v>6</v>
      </c>
      <c r="T372" s="47" t="str">
        <f t="shared" si="162"/>
        <v>14</v>
      </c>
      <c r="U372" s="49">
        <v>6</v>
      </c>
      <c r="V372" s="50">
        <v>29</v>
      </c>
      <c r="W372" s="51" t="str">
        <f t="shared" si="163"/>
        <v>06:29</v>
      </c>
      <c r="X372" s="52" t="s">
        <v>63</v>
      </c>
      <c r="Y372" s="124" t="s">
        <v>83</v>
      </c>
      <c r="Z372" s="124"/>
      <c r="AA372" s="47" t="s">
        <v>59</v>
      </c>
      <c r="AB372" s="47" t="str">
        <f t="shared" si="164"/>
        <v>NA</v>
      </c>
      <c r="AC372" s="53">
        <f t="shared" si="165"/>
        <v>0</v>
      </c>
      <c r="AD372" s="54">
        <f t="shared" si="166"/>
        <v>1</v>
      </c>
      <c r="AE372" s="54"/>
      <c r="AF372" s="54"/>
      <c r="AG372" s="55" t="str">
        <f t="shared" si="177"/>
        <v/>
      </c>
      <c r="AH372" s="56" t="str">
        <f t="shared" si="167"/>
        <v/>
      </c>
      <c r="AI372" s="55"/>
      <c r="AJ372" s="56" t="str">
        <f t="shared" si="168"/>
        <v/>
      </c>
      <c r="AK372" s="55"/>
      <c r="AL372" s="56" t="str">
        <f t="shared" si="169"/>
        <v/>
      </c>
      <c r="AM372" s="55">
        <v>1</v>
      </c>
      <c r="AN372" s="56">
        <f t="shared" si="170"/>
        <v>6</v>
      </c>
      <c r="AO372" s="55"/>
      <c r="AP372" s="56" t="str">
        <f t="shared" si="171"/>
        <v/>
      </c>
      <c r="AQ372" s="55"/>
      <c r="AR372" s="56" t="str">
        <f t="shared" si="172"/>
        <v/>
      </c>
      <c r="AS372" s="57"/>
      <c r="AT372" s="58"/>
      <c r="AU372" s="58"/>
      <c r="AV372" s="59"/>
      <c r="AW372" s="60">
        <v>1</v>
      </c>
      <c r="AX372" s="61">
        <f t="shared" si="152"/>
        <v>1</v>
      </c>
      <c r="AY372" s="60">
        <v>1</v>
      </c>
      <c r="AZ372" s="61">
        <f t="shared" si="154"/>
        <v>1</v>
      </c>
    </row>
    <row r="373" spans="1:52" s="3" customFormat="1" hidden="1" x14ac:dyDescent="0.35">
      <c r="A373" s="72">
        <f t="shared" si="155"/>
        <v>2019</v>
      </c>
      <c r="B373" s="72" t="str">
        <f t="shared" si="156"/>
        <v>Nov</v>
      </c>
      <c r="C373" s="73">
        <f t="shared" si="174"/>
        <v>18</v>
      </c>
      <c r="D373" s="74">
        <f t="shared" si="157"/>
        <v>14</v>
      </c>
      <c r="E373" s="75">
        <f t="shared" si="158"/>
        <v>7</v>
      </c>
      <c r="F373" s="79"/>
      <c r="G373" s="82"/>
      <c r="H373" s="68" t="str">
        <f t="shared" si="175"/>
        <v>Senbur0_20191118_14_00</v>
      </c>
      <c r="I373" s="69">
        <f t="shared" ref="I373:N388" si="180">I372</f>
        <v>1</v>
      </c>
      <c r="J373" s="76" t="str">
        <f t="shared" si="180"/>
        <v>Senecio</v>
      </c>
      <c r="K373" s="76" t="str">
        <f t="shared" si="180"/>
        <v>burtoni</v>
      </c>
      <c r="L373" s="77">
        <f t="shared" si="180"/>
        <v>0</v>
      </c>
      <c r="M373" s="77">
        <f t="shared" si="180"/>
        <v>7</v>
      </c>
      <c r="N373" s="71">
        <f t="shared" si="180"/>
        <v>0</v>
      </c>
      <c r="O373" s="44"/>
      <c r="P373" s="45" t="str">
        <f t="shared" si="159"/>
        <v/>
      </c>
      <c r="Q373" s="46" t="str">
        <f t="shared" si="160"/>
        <v/>
      </c>
      <c r="R373" s="47" t="e">
        <f t="shared" si="161"/>
        <v>#VALUE!</v>
      </c>
      <c r="S373" s="48" t="e">
        <f t="shared" si="151"/>
        <v>#VALUE!</v>
      </c>
      <c r="T373" s="47" t="str">
        <f t="shared" si="162"/>
        <v/>
      </c>
      <c r="U373" s="49"/>
      <c r="V373" s="50"/>
      <c r="W373" s="51" t="e">
        <f t="shared" si="163"/>
        <v>#VALUE!</v>
      </c>
      <c r="X373" s="52"/>
      <c r="Y373" s="52"/>
      <c r="Z373" s="52"/>
      <c r="AA373" s="47" t="e">
        <f>INDEX(VISITORS[INSECT ORDER], MATCH(X373,VISITORS[NAME USED],0))</f>
        <v>#N/A</v>
      </c>
      <c r="AB373" s="47" t="e">
        <f t="shared" si="164"/>
        <v>#N/A</v>
      </c>
      <c r="AC373" s="53" t="e">
        <f t="shared" si="165"/>
        <v>#VALUE!</v>
      </c>
      <c r="AD373" s="54" t="str">
        <f t="shared" si="166"/>
        <v/>
      </c>
      <c r="AE373" s="54"/>
      <c r="AF373" s="54"/>
      <c r="AG373" s="55" t="str">
        <f t="shared" si="177"/>
        <v/>
      </c>
      <c r="AH373" s="56" t="str">
        <f t="shared" si="167"/>
        <v/>
      </c>
      <c r="AI373" s="55"/>
      <c r="AJ373" s="56" t="str">
        <f t="shared" si="168"/>
        <v/>
      </c>
      <c r="AK373" s="55"/>
      <c r="AL373" s="56" t="str">
        <f t="shared" si="169"/>
        <v/>
      </c>
      <c r="AM373" s="55"/>
      <c r="AN373" s="56" t="str">
        <f t="shared" si="170"/>
        <v/>
      </c>
      <c r="AO373" s="55"/>
      <c r="AP373" s="56" t="str">
        <f t="shared" si="171"/>
        <v/>
      </c>
      <c r="AQ373" s="55"/>
      <c r="AR373" s="56" t="str">
        <f t="shared" si="172"/>
        <v/>
      </c>
      <c r="AS373" s="57"/>
      <c r="AT373" s="58"/>
      <c r="AU373" s="58"/>
      <c r="AV373" s="59"/>
      <c r="AW373" s="60" t="str">
        <f t="shared" si="173"/>
        <v/>
      </c>
      <c r="AX373" s="61" t="str">
        <f t="shared" si="152"/>
        <v/>
      </c>
      <c r="AY373" s="60" t="str">
        <f t="shared" si="153"/>
        <v/>
      </c>
      <c r="AZ373" s="61" t="str">
        <f t="shared" si="154"/>
        <v/>
      </c>
    </row>
    <row r="374" spans="1:52" s="3" customFormat="1" hidden="1" x14ac:dyDescent="0.35">
      <c r="A374" s="72">
        <f t="shared" si="155"/>
        <v>2019</v>
      </c>
      <c r="B374" s="72" t="str">
        <f t="shared" si="156"/>
        <v>Nov</v>
      </c>
      <c r="C374" s="73">
        <f t="shared" si="174"/>
        <v>18</v>
      </c>
      <c r="D374" s="74">
        <f t="shared" si="157"/>
        <v>14</v>
      </c>
      <c r="E374" s="75">
        <f t="shared" si="158"/>
        <v>8</v>
      </c>
      <c r="F374" s="79">
        <v>25</v>
      </c>
      <c r="G374" s="82"/>
      <c r="H374" s="68" t="str">
        <f t="shared" si="175"/>
        <v>Senbur0_20191118_14_00</v>
      </c>
      <c r="I374" s="69">
        <f t="shared" si="180"/>
        <v>1</v>
      </c>
      <c r="J374" s="76" t="str">
        <f t="shared" si="180"/>
        <v>Senecio</v>
      </c>
      <c r="K374" s="76" t="str">
        <f t="shared" si="180"/>
        <v>burtoni</v>
      </c>
      <c r="L374" s="77">
        <f t="shared" si="180"/>
        <v>0</v>
      </c>
      <c r="M374" s="77">
        <f t="shared" si="180"/>
        <v>7</v>
      </c>
      <c r="N374" s="71">
        <f t="shared" si="180"/>
        <v>0</v>
      </c>
      <c r="O374" s="44"/>
      <c r="P374" s="45">
        <f t="shared" si="159"/>
        <v>1</v>
      </c>
      <c r="Q374" s="46" t="str">
        <f t="shared" si="160"/>
        <v>14:08:25</v>
      </c>
      <c r="R374" s="47" t="str">
        <f t="shared" si="161"/>
        <v>08:25</v>
      </c>
      <c r="S374" s="48">
        <f t="shared" si="151"/>
        <v>313</v>
      </c>
      <c r="T374" s="47" t="str">
        <f t="shared" si="162"/>
        <v>14</v>
      </c>
      <c r="U374" s="49">
        <v>13</v>
      </c>
      <c r="V374" s="50">
        <v>38</v>
      </c>
      <c r="W374" s="51" t="str">
        <f t="shared" si="163"/>
        <v>13:38</v>
      </c>
      <c r="X374" s="52" t="s">
        <v>63</v>
      </c>
      <c r="Y374" s="124" t="s">
        <v>82</v>
      </c>
      <c r="Z374" s="124"/>
      <c r="AA374" s="47" t="s">
        <v>59</v>
      </c>
      <c r="AB374" s="47" t="str">
        <f t="shared" si="164"/>
        <v>NA</v>
      </c>
      <c r="AC374" s="53">
        <f t="shared" si="165"/>
        <v>0</v>
      </c>
      <c r="AD374" s="54">
        <v>4</v>
      </c>
      <c r="AE374" s="54"/>
      <c r="AF374" s="54"/>
      <c r="AG374" s="55">
        <v>1</v>
      </c>
      <c r="AH374" s="56">
        <v>113</v>
      </c>
      <c r="AI374" s="55"/>
      <c r="AJ374" s="56" t="str">
        <f t="shared" si="168"/>
        <v/>
      </c>
      <c r="AK374" s="55"/>
      <c r="AL374" s="56" t="str">
        <f t="shared" si="169"/>
        <v/>
      </c>
      <c r="AM374" s="55">
        <v>1</v>
      </c>
      <c r="AN374" s="56">
        <v>200</v>
      </c>
      <c r="AO374" s="55"/>
      <c r="AP374" s="56" t="str">
        <f t="shared" si="171"/>
        <v/>
      </c>
      <c r="AQ374" s="55"/>
      <c r="AR374" s="56" t="str">
        <f t="shared" si="172"/>
        <v/>
      </c>
      <c r="AS374" s="57"/>
      <c r="AT374" s="58"/>
      <c r="AU374" s="58"/>
      <c r="AV374" s="59"/>
      <c r="AW374" s="60">
        <v>1</v>
      </c>
      <c r="AX374" s="61">
        <v>2</v>
      </c>
      <c r="AY374" s="60">
        <v>1</v>
      </c>
      <c r="AZ374" s="61">
        <v>2</v>
      </c>
    </row>
    <row r="375" spans="1:52" s="3" customFormat="1" x14ac:dyDescent="0.35">
      <c r="A375" s="72">
        <f t="shared" si="155"/>
        <v>2019</v>
      </c>
      <c r="B375" s="72" t="str">
        <f t="shared" si="156"/>
        <v>Nov</v>
      </c>
      <c r="C375" s="73">
        <f t="shared" si="174"/>
        <v>18</v>
      </c>
      <c r="D375" s="74">
        <f t="shared" si="157"/>
        <v>14</v>
      </c>
      <c r="E375" s="75">
        <f t="shared" si="158"/>
        <v>9</v>
      </c>
      <c r="F375" s="79">
        <v>28</v>
      </c>
      <c r="G375" s="82"/>
      <c r="H375" s="68" t="str">
        <f t="shared" si="175"/>
        <v>Senbur0_20191118_14_00</v>
      </c>
      <c r="I375" s="69">
        <f t="shared" si="180"/>
        <v>1</v>
      </c>
      <c r="J375" s="76" t="str">
        <f t="shared" si="180"/>
        <v>Senecio</v>
      </c>
      <c r="K375" s="76" t="str">
        <f t="shared" si="180"/>
        <v>burtoni</v>
      </c>
      <c r="L375" s="77">
        <f t="shared" si="180"/>
        <v>0</v>
      </c>
      <c r="M375" s="77">
        <f t="shared" si="180"/>
        <v>7</v>
      </c>
      <c r="N375" s="71">
        <f t="shared" si="180"/>
        <v>0</v>
      </c>
      <c r="O375" s="44"/>
      <c r="P375" s="45">
        <f t="shared" si="159"/>
        <v>1</v>
      </c>
      <c r="Q375" s="46" t="str">
        <f t="shared" si="160"/>
        <v>14:09:28</v>
      </c>
      <c r="R375" s="47" t="str">
        <f t="shared" si="161"/>
        <v>09:28</v>
      </c>
      <c r="S375" s="48">
        <f t="shared" si="151"/>
        <v>24</v>
      </c>
      <c r="T375" s="47" t="str">
        <f t="shared" si="162"/>
        <v>14</v>
      </c>
      <c r="U375" s="49">
        <v>9</v>
      </c>
      <c r="V375" s="50">
        <v>52</v>
      </c>
      <c r="W375" s="51" t="str">
        <f t="shared" si="163"/>
        <v>09:52</v>
      </c>
      <c r="X375" s="52" t="s">
        <v>62</v>
      </c>
      <c r="Y375" s="124" t="s">
        <v>84</v>
      </c>
      <c r="Z375" s="124"/>
      <c r="AA375" s="47" t="s">
        <v>77</v>
      </c>
      <c r="AB375" s="47" t="str">
        <f t="shared" si="164"/>
        <v>NA</v>
      </c>
      <c r="AC375" s="53">
        <f t="shared" si="165"/>
        <v>0</v>
      </c>
      <c r="AD375" s="54">
        <v>2</v>
      </c>
      <c r="AE375" s="54"/>
      <c r="AF375" s="54"/>
      <c r="AG375" s="55">
        <v>1</v>
      </c>
      <c r="AH375" s="56">
        <v>1</v>
      </c>
      <c r="AI375" s="55"/>
      <c r="AJ375" s="56" t="str">
        <f t="shared" si="168"/>
        <v/>
      </c>
      <c r="AK375" s="55">
        <v>1</v>
      </c>
      <c r="AL375" s="56">
        <v>13</v>
      </c>
      <c r="AM375" s="55">
        <v>1</v>
      </c>
      <c r="AN375" s="56">
        <v>10</v>
      </c>
      <c r="AO375" s="55"/>
      <c r="AP375" s="56" t="str">
        <f t="shared" si="171"/>
        <v/>
      </c>
      <c r="AQ375" s="55"/>
      <c r="AR375" s="56" t="str">
        <f t="shared" si="172"/>
        <v/>
      </c>
      <c r="AS375" s="57"/>
      <c r="AT375" s="58"/>
      <c r="AU375" s="58"/>
      <c r="AV375" s="59"/>
      <c r="AW375" s="60">
        <v>1</v>
      </c>
      <c r="AX375" s="61">
        <f t="shared" si="152"/>
        <v>2</v>
      </c>
      <c r="AY375" s="60">
        <v>1</v>
      </c>
      <c r="AZ375" s="61">
        <f t="shared" si="154"/>
        <v>2</v>
      </c>
    </row>
    <row r="376" spans="1:52" s="3" customFormat="1" hidden="1" x14ac:dyDescent="0.35">
      <c r="A376" s="72">
        <f t="shared" si="155"/>
        <v>2019</v>
      </c>
      <c r="B376" s="72" t="str">
        <f t="shared" si="156"/>
        <v>Nov</v>
      </c>
      <c r="C376" s="73">
        <f t="shared" si="174"/>
        <v>18</v>
      </c>
      <c r="D376" s="74">
        <f t="shared" si="157"/>
        <v>14</v>
      </c>
      <c r="E376" s="75">
        <f t="shared" si="158"/>
        <v>10</v>
      </c>
      <c r="F376" s="79">
        <v>1</v>
      </c>
      <c r="G376" s="82"/>
      <c r="H376" s="68" t="str">
        <f t="shared" si="175"/>
        <v>Senbur0_20191118_14_00</v>
      </c>
      <c r="I376" s="69">
        <f t="shared" si="180"/>
        <v>1</v>
      </c>
      <c r="J376" s="76" t="str">
        <f t="shared" si="180"/>
        <v>Senecio</v>
      </c>
      <c r="K376" s="76" t="str">
        <f t="shared" si="180"/>
        <v>burtoni</v>
      </c>
      <c r="L376" s="77">
        <f t="shared" si="180"/>
        <v>0</v>
      </c>
      <c r="M376" s="77">
        <f t="shared" si="180"/>
        <v>7</v>
      </c>
      <c r="N376" s="71">
        <f t="shared" si="180"/>
        <v>0</v>
      </c>
      <c r="O376" s="44"/>
      <c r="P376" s="45">
        <f t="shared" si="159"/>
        <v>1</v>
      </c>
      <c r="Q376" s="46" t="str">
        <f t="shared" si="160"/>
        <v>14:10:01</v>
      </c>
      <c r="R376" s="47" t="str">
        <f t="shared" si="161"/>
        <v>10:01</v>
      </c>
      <c r="S376" s="48">
        <f t="shared" si="151"/>
        <v>14</v>
      </c>
      <c r="T376" s="47" t="str">
        <f t="shared" si="162"/>
        <v>14</v>
      </c>
      <c r="U376" s="49">
        <v>10</v>
      </c>
      <c r="V376" s="50">
        <v>15</v>
      </c>
      <c r="W376" s="51" t="str">
        <f t="shared" si="163"/>
        <v>10:15</v>
      </c>
      <c r="X376" s="52" t="s">
        <v>63</v>
      </c>
      <c r="Y376" s="124" t="s">
        <v>82</v>
      </c>
      <c r="Z376" s="124"/>
      <c r="AA376" s="47" t="s">
        <v>59</v>
      </c>
      <c r="AB376" s="47" t="str">
        <f t="shared" si="164"/>
        <v>NA</v>
      </c>
      <c r="AC376" s="53">
        <f t="shared" si="165"/>
        <v>0</v>
      </c>
      <c r="AD376" s="54">
        <f t="shared" si="166"/>
        <v>1</v>
      </c>
      <c r="AE376" s="54"/>
      <c r="AF376" s="54"/>
      <c r="AG376" s="55" t="str">
        <f t="shared" si="177"/>
        <v/>
      </c>
      <c r="AH376" s="56" t="str">
        <f t="shared" si="167"/>
        <v/>
      </c>
      <c r="AI376" s="55"/>
      <c r="AJ376" s="56" t="str">
        <f t="shared" si="168"/>
        <v/>
      </c>
      <c r="AK376" s="55"/>
      <c r="AL376" s="56" t="str">
        <f t="shared" si="169"/>
        <v/>
      </c>
      <c r="AM376" s="55">
        <v>1</v>
      </c>
      <c r="AN376" s="56">
        <f t="shared" si="170"/>
        <v>14</v>
      </c>
      <c r="AO376" s="55"/>
      <c r="AP376" s="56" t="str">
        <f t="shared" si="171"/>
        <v/>
      </c>
      <c r="AQ376" s="55"/>
      <c r="AR376" s="56" t="str">
        <f t="shared" si="172"/>
        <v/>
      </c>
      <c r="AS376" s="57"/>
      <c r="AT376" s="58"/>
      <c r="AU376" s="58"/>
      <c r="AV376" s="59"/>
      <c r="AW376" s="60">
        <v>1</v>
      </c>
      <c r="AX376" s="61">
        <f t="shared" si="152"/>
        <v>1</v>
      </c>
      <c r="AY376" s="60">
        <f t="shared" si="153"/>
        <v>0</v>
      </c>
      <c r="AZ376" s="61" t="str">
        <f t="shared" si="154"/>
        <v/>
      </c>
    </row>
    <row r="377" spans="1:52" s="3" customFormat="1" hidden="1" x14ac:dyDescent="0.35">
      <c r="A377" s="72">
        <f t="shared" si="155"/>
        <v>2019</v>
      </c>
      <c r="B377" s="72" t="str">
        <f t="shared" si="156"/>
        <v>Nov</v>
      </c>
      <c r="C377" s="73">
        <f t="shared" si="174"/>
        <v>18</v>
      </c>
      <c r="D377" s="74">
        <f t="shared" si="157"/>
        <v>14</v>
      </c>
      <c r="E377" s="75">
        <v>10</v>
      </c>
      <c r="F377" s="79">
        <v>38</v>
      </c>
      <c r="G377" s="82"/>
      <c r="H377" s="68" t="str">
        <f t="shared" si="175"/>
        <v>Senbur0_20191118_14_00</v>
      </c>
      <c r="I377" s="69">
        <f t="shared" si="180"/>
        <v>1</v>
      </c>
      <c r="J377" s="76" t="str">
        <f t="shared" si="180"/>
        <v>Senecio</v>
      </c>
      <c r="K377" s="76" t="str">
        <f t="shared" si="180"/>
        <v>burtoni</v>
      </c>
      <c r="L377" s="77">
        <f t="shared" si="180"/>
        <v>0</v>
      </c>
      <c r="M377" s="77">
        <f t="shared" si="180"/>
        <v>7</v>
      </c>
      <c r="N377" s="71">
        <f t="shared" si="180"/>
        <v>0</v>
      </c>
      <c r="O377" s="44"/>
      <c r="P377" s="45">
        <f t="shared" si="159"/>
        <v>1</v>
      </c>
      <c r="Q377" s="46" t="str">
        <f t="shared" si="160"/>
        <v>14:10:38</v>
      </c>
      <c r="R377" s="47" t="str">
        <f t="shared" si="161"/>
        <v>10:38</v>
      </c>
      <c r="S377" s="48">
        <f t="shared" si="151"/>
        <v>4</v>
      </c>
      <c r="T377" s="47" t="str">
        <f t="shared" si="162"/>
        <v>14</v>
      </c>
      <c r="U377" s="49">
        <v>10</v>
      </c>
      <c r="V377" s="50">
        <v>42</v>
      </c>
      <c r="W377" s="51" t="str">
        <f t="shared" si="163"/>
        <v>10:42</v>
      </c>
      <c r="X377" s="52" t="s">
        <v>69</v>
      </c>
      <c r="Y377" s="124" t="s">
        <v>86</v>
      </c>
      <c r="Z377" s="124"/>
      <c r="AA377" s="47" t="s">
        <v>59</v>
      </c>
      <c r="AB377" s="47" t="str">
        <f t="shared" si="164"/>
        <v>NA</v>
      </c>
      <c r="AC377" s="53">
        <f t="shared" si="165"/>
        <v>0</v>
      </c>
      <c r="AD377" s="54">
        <f t="shared" si="166"/>
        <v>1</v>
      </c>
      <c r="AE377" s="54"/>
      <c r="AF377" s="54"/>
      <c r="AG377" s="55">
        <v>1</v>
      </c>
      <c r="AH377" s="56">
        <f t="shared" si="167"/>
        <v>4</v>
      </c>
      <c r="AI377" s="55"/>
      <c r="AJ377" s="56" t="str">
        <f t="shared" si="168"/>
        <v/>
      </c>
      <c r="AK377" s="55"/>
      <c r="AL377" s="56" t="str">
        <f t="shared" si="169"/>
        <v/>
      </c>
      <c r="AM377" s="55"/>
      <c r="AN377" s="56" t="str">
        <f t="shared" si="170"/>
        <v/>
      </c>
      <c r="AO377" s="55"/>
      <c r="AP377" s="56" t="str">
        <f t="shared" si="171"/>
        <v/>
      </c>
      <c r="AQ377" s="55"/>
      <c r="AR377" s="56" t="str">
        <f t="shared" si="172"/>
        <v/>
      </c>
      <c r="AS377" s="57"/>
      <c r="AT377" s="58"/>
      <c r="AU377" s="58"/>
      <c r="AV377" s="59"/>
      <c r="AW377" s="60">
        <f t="shared" si="173"/>
        <v>0</v>
      </c>
      <c r="AX377" s="61" t="str">
        <f t="shared" si="152"/>
        <v/>
      </c>
      <c r="AY377" s="60">
        <f t="shared" si="153"/>
        <v>0</v>
      </c>
      <c r="AZ377" s="61" t="str">
        <f t="shared" si="154"/>
        <v/>
      </c>
    </row>
    <row r="378" spans="1:52" s="3" customFormat="1" hidden="1" x14ac:dyDescent="0.35">
      <c r="A378" s="72">
        <f t="shared" si="155"/>
        <v>2019</v>
      </c>
      <c r="B378" s="72" t="str">
        <f t="shared" si="156"/>
        <v>Nov</v>
      </c>
      <c r="C378" s="73">
        <f t="shared" si="174"/>
        <v>18</v>
      </c>
      <c r="D378" s="74">
        <f t="shared" si="157"/>
        <v>14</v>
      </c>
      <c r="E378" s="75">
        <f t="shared" si="158"/>
        <v>11</v>
      </c>
      <c r="F378" s="79">
        <v>3</v>
      </c>
      <c r="G378" s="82"/>
      <c r="H378" s="68" t="str">
        <f t="shared" si="175"/>
        <v>Senbur0_20191118_14_00</v>
      </c>
      <c r="I378" s="69">
        <f t="shared" si="180"/>
        <v>1</v>
      </c>
      <c r="J378" s="76" t="str">
        <f t="shared" si="180"/>
        <v>Senecio</v>
      </c>
      <c r="K378" s="76" t="str">
        <f t="shared" si="180"/>
        <v>burtoni</v>
      </c>
      <c r="L378" s="77">
        <f t="shared" si="180"/>
        <v>0</v>
      </c>
      <c r="M378" s="77">
        <f t="shared" si="180"/>
        <v>7</v>
      </c>
      <c r="N378" s="71">
        <f t="shared" si="180"/>
        <v>0</v>
      </c>
      <c r="O378" s="44"/>
      <c r="P378" s="45">
        <f t="shared" si="159"/>
        <v>1</v>
      </c>
      <c r="Q378" s="46" t="str">
        <f t="shared" si="160"/>
        <v>14:11:03</v>
      </c>
      <c r="R378" s="47" t="str">
        <f t="shared" si="161"/>
        <v>11:03</v>
      </c>
      <c r="S378" s="48">
        <f t="shared" si="151"/>
        <v>14</v>
      </c>
      <c r="T378" s="47" t="str">
        <f t="shared" si="162"/>
        <v>14</v>
      </c>
      <c r="U378" s="49">
        <v>11</v>
      </c>
      <c r="V378" s="50">
        <v>17</v>
      </c>
      <c r="W378" s="51" t="str">
        <f t="shared" si="163"/>
        <v>11:17</v>
      </c>
      <c r="X378" s="52" t="s">
        <v>63</v>
      </c>
      <c r="Y378" s="124" t="s">
        <v>83</v>
      </c>
      <c r="Z378" s="124"/>
      <c r="AA378" s="47" t="s">
        <v>59</v>
      </c>
      <c r="AB378" s="47" t="str">
        <f t="shared" si="164"/>
        <v>NA</v>
      </c>
      <c r="AC378" s="53">
        <f t="shared" si="165"/>
        <v>0</v>
      </c>
      <c r="AD378" s="54">
        <f t="shared" si="166"/>
        <v>1</v>
      </c>
      <c r="AE378" s="54"/>
      <c r="AF378" s="54"/>
      <c r="AG378" s="55">
        <v>1</v>
      </c>
      <c r="AH378" s="56">
        <v>4</v>
      </c>
      <c r="AI378" s="55"/>
      <c r="AJ378" s="56" t="str">
        <f t="shared" si="168"/>
        <v/>
      </c>
      <c r="AK378" s="55"/>
      <c r="AL378" s="56" t="str">
        <f t="shared" si="169"/>
        <v/>
      </c>
      <c r="AM378" s="55">
        <v>1</v>
      </c>
      <c r="AN378" s="56">
        <v>10</v>
      </c>
      <c r="AO378" s="55"/>
      <c r="AP378" s="56" t="str">
        <f t="shared" si="171"/>
        <v/>
      </c>
      <c r="AQ378" s="55"/>
      <c r="AR378" s="56" t="str">
        <f t="shared" si="172"/>
        <v/>
      </c>
      <c r="AS378" s="57"/>
      <c r="AT378" s="58"/>
      <c r="AU378" s="58"/>
      <c r="AV378" s="59"/>
      <c r="AW378" s="60">
        <v>1</v>
      </c>
      <c r="AX378" s="61">
        <f t="shared" si="152"/>
        <v>1</v>
      </c>
      <c r="AY378" s="60">
        <v>1</v>
      </c>
      <c r="AZ378" s="61">
        <f t="shared" si="154"/>
        <v>1</v>
      </c>
    </row>
    <row r="379" spans="1:52" s="3" customFormat="1" hidden="1" x14ac:dyDescent="0.35">
      <c r="A379" s="72">
        <f t="shared" si="155"/>
        <v>2019</v>
      </c>
      <c r="B379" s="72" t="str">
        <f t="shared" si="156"/>
        <v>Nov</v>
      </c>
      <c r="C379" s="73">
        <f t="shared" si="174"/>
        <v>18</v>
      </c>
      <c r="D379" s="74">
        <f t="shared" si="157"/>
        <v>14</v>
      </c>
      <c r="E379" s="75">
        <f t="shared" si="158"/>
        <v>12</v>
      </c>
      <c r="F379" s="79">
        <v>34</v>
      </c>
      <c r="G379" s="82"/>
      <c r="H379" s="68" t="str">
        <f t="shared" si="175"/>
        <v>Senbur0_20191118_14_00</v>
      </c>
      <c r="I379" s="69">
        <f t="shared" si="180"/>
        <v>1</v>
      </c>
      <c r="J379" s="76" t="str">
        <f t="shared" si="180"/>
        <v>Senecio</v>
      </c>
      <c r="K379" s="76" t="str">
        <f t="shared" si="180"/>
        <v>burtoni</v>
      </c>
      <c r="L379" s="77">
        <f t="shared" si="180"/>
        <v>0</v>
      </c>
      <c r="M379" s="77">
        <f t="shared" si="180"/>
        <v>7</v>
      </c>
      <c r="N379" s="71">
        <f t="shared" si="180"/>
        <v>0</v>
      </c>
      <c r="O379" s="44"/>
      <c r="P379" s="45">
        <f t="shared" si="159"/>
        <v>1</v>
      </c>
      <c r="Q379" s="46" t="str">
        <f t="shared" si="160"/>
        <v>14:12:34</v>
      </c>
      <c r="R379" s="47" t="str">
        <f t="shared" si="161"/>
        <v>12:34</v>
      </c>
      <c r="S379" s="48">
        <f t="shared" si="151"/>
        <v>56</v>
      </c>
      <c r="T379" s="47" t="str">
        <f t="shared" si="162"/>
        <v>14</v>
      </c>
      <c r="U379" s="49">
        <v>13</v>
      </c>
      <c r="V379" s="50">
        <v>30</v>
      </c>
      <c r="W379" s="51" t="str">
        <f t="shared" si="163"/>
        <v>13:30</v>
      </c>
      <c r="X379" s="52" t="s">
        <v>63</v>
      </c>
      <c r="Y379" s="124" t="s">
        <v>82</v>
      </c>
      <c r="Z379" s="124"/>
      <c r="AA379" s="47" t="s">
        <v>59</v>
      </c>
      <c r="AB379" s="47" t="str">
        <f t="shared" si="164"/>
        <v>NA</v>
      </c>
      <c r="AC379" s="53">
        <f t="shared" si="165"/>
        <v>0</v>
      </c>
      <c r="AD379" s="54">
        <v>2</v>
      </c>
      <c r="AE379" s="54"/>
      <c r="AF379" s="54"/>
      <c r="AG379" s="55">
        <v>1</v>
      </c>
      <c r="AH379" s="56">
        <f t="shared" si="167"/>
        <v>56</v>
      </c>
      <c r="AI379" s="55"/>
      <c r="AJ379" s="56" t="str">
        <f t="shared" si="168"/>
        <v/>
      </c>
      <c r="AK379" s="55"/>
      <c r="AL379" s="56" t="str">
        <f t="shared" si="169"/>
        <v/>
      </c>
      <c r="AM379" s="55"/>
      <c r="AN379" s="56" t="str">
        <f t="shared" si="170"/>
        <v/>
      </c>
      <c r="AO379" s="55"/>
      <c r="AP379" s="56" t="str">
        <f t="shared" si="171"/>
        <v/>
      </c>
      <c r="AQ379" s="55"/>
      <c r="AR379" s="56" t="str">
        <f t="shared" si="172"/>
        <v/>
      </c>
      <c r="AS379" s="57"/>
      <c r="AT379" s="58"/>
      <c r="AU379" s="58"/>
      <c r="AV379" s="59"/>
      <c r="AW379" s="60">
        <f t="shared" si="173"/>
        <v>0</v>
      </c>
      <c r="AX379" s="61" t="str">
        <f t="shared" si="152"/>
        <v/>
      </c>
      <c r="AY379" s="60">
        <f t="shared" si="153"/>
        <v>0</v>
      </c>
      <c r="AZ379" s="61" t="str">
        <f t="shared" si="154"/>
        <v/>
      </c>
    </row>
    <row r="380" spans="1:52" s="3" customFormat="1" hidden="1" x14ac:dyDescent="0.35">
      <c r="A380" s="72">
        <f t="shared" si="155"/>
        <v>2019</v>
      </c>
      <c r="B380" s="72" t="str">
        <f t="shared" si="156"/>
        <v>Nov</v>
      </c>
      <c r="C380" s="73">
        <f t="shared" si="174"/>
        <v>18</v>
      </c>
      <c r="D380" s="74">
        <f t="shared" si="157"/>
        <v>14</v>
      </c>
      <c r="E380" s="75">
        <f t="shared" si="158"/>
        <v>13</v>
      </c>
      <c r="F380" s="79">
        <v>49</v>
      </c>
      <c r="G380" s="82"/>
      <c r="H380" s="68" t="str">
        <f t="shared" si="175"/>
        <v>Senbur0_20191118_14_00</v>
      </c>
      <c r="I380" s="69">
        <f t="shared" si="180"/>
        <v>1</v>
      </c>
      <c r="J380" s="76" t="str">
        <f t="shared" si="180"/>
        <v>Senecio</v>
      </c>
      <c r="K380" s="76" t="str">
        <f t="shared" si="180"/>
        <v>burtoni</v>
      </c>
      <c r="L380" s="77">
        <f t="shared" si="180"/>
        <v>0</v>
      </c>
      <c r="M380" s="77">
        <f t="shared" si="180"/>
        <v>7</v>
      </c>
      <c r="N380" s="71">
        <f t="shared" si="180"/>
        <v>0</v>
      </c>
      <c r="O380" s="44"/>
      <c r="P380" s="45">
        <f t="shared" si="159"/>
        <v>1</v>
      </c>
      <c r="Q380" s="46" t="str">
        <f t="shared" si="160"/>
        <v>14:13:49</v>
      </c>
      <c r="R380" s="47" t="str">
        <f t="shared" si="161"/>
        <v>13:49</v>
      </c>
      <c r="S380" s="48">
        <f t="shared" si="151"/>
        <v>7</v>
      </c>
      <c r="T380" s="47" t="str">
        <f t="shared" si="162"/>
        <v>14</v>
      </c>
      <c r="U380" s="49">
        <v>13</v>
      </c>
      <c r="V380" s="50">
        <v>56</v>
      </c>
      <c r="W380" s="51" t="str">
        <f t="shared" si="163"/>
        <v>13:56</v>
      </c>
      <c r="X380" s="52" t="s">
        <v>63</v>
      </c>
      <c r="Y380" s="124" t="s">
        <v>83</v>
      </c>
      <c r="Z380" s="124"/>
      <c r="AA380" s="47" t="s">
        <v>59</v>
      </c>
      <c r="AB380" s="47" t="str">
        <f t="shared" si="164"/>
        <v>NA</v>
      </c>
      <c r="AC380" s="53">
        <f t="shared" si="165"/>
        <v>0</v>
      </c>
      <c r="AD380" s="54">
        <f t="shared" si="166"/>
        <v>1</v>
      </c>
      <c r="AE380" s="54"/>
      <c r="AF380" s="54"/>
      <c r="AG380" s="55" t="str">
        <f t="shared" si="177"/>
        <v/>
      </c>
      <c r="AH380" s="56" t="str">
        <f t="shared" si="167"/>
        <v/>
      </c>
      <c r="AI380" s="55"/>
      <c r="AJ380" s="56" t="str">
        <f t="shared" si="168"/>
        <v/>
      </c>
      <c r="AK380" s="55"/>
      <c r="AL380" s="56" t="str">
        <f t="shared" si="169"/>
        <v/>
      </c>
      <c r="AM380" s="55">
        <v>1</v>
      </c>
      <c r="AN380" s="56">
        <f t="shared" si="170"/>
        <v>7</v>
      </c>
      <c r="AO380" s="55"/>
      <c r="AP380" s="56" t="str">
        <f t="shared" si="171"/>
        <v/>
      </c>
      <c r="AQ380" s="55"/>
      <c r="AR380" s="56" t="str">
        <f t="shared" si="172"/>
        <v/>
      </c>
      <c r="AS380" s="57"/>
      <c r="AT380" s="58"/>
      <c r="AU380" s="58"/>
      <c r="AV380" s="59"/>
      <c r="AW380" s="60">
        <v>1</v>
      </c>
      <c r="AX380" s="61">
        <f t="shared" si="152"/>
        <v>1</v>
      </c>
      <c r="AY380" s="60">
        <v>1</v>
      </c>
      <c r="AZ380" s="61">
        <f t="shared" si="154"/>
        <v>1</v>
      </c>
    </row>
    <row r="381" spans="1:52" s="3" customFormat="1" hidden="1" x14ac:dyDescent="0.35">
      <c r="A381" s="72">
        <f t="shared" si="155"/>
        <v>2019</v>
      </c>
      <c r="B381" s="72" t="str">
        <f t="shared" si="156"/>
        <v>Nov</v>
      </c>
      <c r="C381" s="73">
        <f t="shared" si="174"/>
        <v>18</v>
      </c>
      <c r="D381" s="74">
        <f t="shared" si="157"/>
        <v>14</v>
      </c>
      <c r="E381" s="75">
        <f t="shared" si="158"/>
        <v>14</v>
      </c>
      <c r="F381" s="79">
        <v>23</v>
      </c>
      <c r="G381" s="82"/>
      <c r="H381" s="68" t="str">
        <f t="shared" si="175"/>
        <v>Senbur0_20191118_14_00</v>
      </c>
      <c r="I381" s="69">
        <f t="shared" si="180"/>
        <v>1</v>
      </c>
      <c r="J381" s="76" t="str">
        <f t="shared" si="180"/>
        <v>Senecio</v>
      </c>
      <c r="K381" s="76" t="str">
        <f t="shared" si="180"/>
        <v>burtoni</v>
      </c>
      <c r="L381" s="77">
        <f t="shared" si="180"/>
        <v>0</v>
      </c>
      <c r="M381" s="77">
        <f t="shared" si="180"/>
        <v>7</v>
      </c>
      <c r="N381" s="71">
        <f t="shared" si="180"/>
        <v>0</v>
      </c>
      <c r="O381" s="44"/>
      <c r="P381" s="45">
        <f t="shared" si="159"/>
        <v>1</v>
      </c>
      <c r="Q381" s="46" t="str">
        <f t="shared" si="160"/>
        <v>14:14:23</v>
      </c>
      <c r="R381" s="47" t="str">
        <f t="shared" si="161"/>
        <v>14:23</v>
      </c>
      <c r="S381" s="48">
        <f t="shared" si="151"/>
        <v>38</v>
      </c>
      <c r="T381" s="47" t="str">
        <f t="shared" si="162"/>
        <v>14</v>
      </c>
      <c r="U381" s="49">
        <v>15</v>
      </c>
      <c r="V381" s="50">
        <v>1</v>
      </c>
      <c r="W381" s="51" t="str">
        <f t="shared" si="163"/>
        <v>15:01</v>
      </c>
      <c r="X381" s="52" t="s">
        <v>63</v>
      </c>
      <c r="Y381" s="124" t="s">
        <v>82</v>
      </c>
      <c r="Z381" s="124"/>
      <c r="AA381" s="47" t="s">
        <v>59</v>
      </c>
      <c r="AB381" s="47" t="str">
        <f t="shared" si="164"/>
        <v>NA</v>
      </c>
      <c r="AC381" s="53">
        <f t="shared" si="165"/>
        <v>0</v>
      </c>
      <c r="AD381" s="54">
        <v>2</v>
      </c>
      <c r="AE381" s="54"/>
      <c r="AF381" s="54"/>
      <c r="AG381" s="55">
        <v>1</v>
      </c>
      <c r="AH381" s="56">
        <v>10</v>
      </c>
      <c r="AI381" s="55"/>
      <c r="AJ381" s="56" t="str">
        <f t="shared" si="168"/>
        <v/>
      </c>
      <c r="AK381" s="55"/>
      <c r="AL381" s="56" t="str">
        <f t="shared" si="169"/>
        <v/>
      </c>
      <c r="AM381" s="55">
        <v>1</v>
      </c>
      <c r="AN381" s="56">
        <v>28</v>
      </c>
      <c r="AO381" s="55"/>
      <c r="AP381" s="56" t="str">
        <f t="shared" si="171"/>
        <v/>
      </c>
      <c r="AQ381" s="55"/>
      <c r="AR381" s="56" t="str">
        <f t="shared" si="172"/>
        <v/>
      </c>
      <c r="AS381" s="57"/>
      <c r="AT381" s="58"/>
      <c r="AU381" s="58"/>
      <c r="AV381" s="59"/>
      <c r="AW381" s="60">
        <v>1</v>
      </c>
      <c r="AX381" s="61">
        <v>1</v>
      </c>
      <c r="AY381" s="60">
        <v>1</v>
      </c>
      <c r="AZ381" s="61">
        <v>1</v>
      </c>
    </row>
    <row r="382" spans="1:52" s="3" customFormat="1" hidden="1" x14ac:dyDescent="0.35">
      <c r="A382" s="72">
        <f t="shared" si="155"/>
        <v>2019</v>
      </c>
      <c r="B382" s="72" t="str">
        <f t="shared" si="156"/>
        <v>Nov</v>
      </c>
      <c r="C382" s="73">
        <f t="shared" si="174"/>
        <v>18</v>
      </c>
      <c r="D382" s="74">
        <f t="shared" si="157"/>
        <v>14</v>
      </c>
      <c r="E382" s="75">
        <f t="shared" si="158"/>
        <v>15</v>
      </c>
      <c r="F382" s="79"/>
      <c r="G382" s="82"/>
      <c r="H382" s="68" t="str">
        <f t="shared" si="175"/>
        <v>Senbur0_20191118_14_00</v>
      </c>
      <c r="I382" s="69">
        <f t="shared" si="180"/>
        <v>1</v>
      </c>
      <c r="J382" s="76" t="str">
        <f t="shared" si="180"/>
        <v>Senecio</v>
      </c>
      <c r="K382" s="76" t="str">
        <f t="shared" si="180"/>
        <v>burtoni</v>
      </c>
      <c r="L382" s="77">
        <f t="shared" si="180"/>
        <v>0</v>
      </c>
      <c r="M382" s="77">
        <f t="shared" si="180"/>
        <v>7</v>
      </c>
      <c r="N382" s="71">
        <f t="shared" si="180"/>
        <v>0</v>
      </c>
      <c r="O382" s="44"/>
      <c r="P382" s="45" t="str">
        <f t="shared" si="159"/>
        <v/>
      </c>
      <c r="Q382" s="46" t="str">
        <f t="shared" si="160"/>
        <v/>
      </c>
      <c r="R382" s="47" t="e">
        <f t="shared" si="161"/>
        <v>#VALUE!</v>
      </c>
      <c r="S382" s="48" t="e">
        <f t="shared" si="151"/>
        <v>#VALUE!</v>
      </c>
      <c r="T382" s="47" t="str">
        <f t="shared" si="162"/>
        <v/>
      </c>
      <c r="U382" s="49"/>
      <c r="V382" s="50"/>
      <c r="W382" s="51" t="e">
        <f t="shared" si="163"/>
        <v>#VALUE!</v>
      </c>
      <c r="X382" s="52"/>
      <c r="Y382" s="52"/>
      <c r="Z382" s="52"/>
      <c r="AA382" s="47" t="e">
        <f>INDEX(VISITORS[INSECT ORDER], MATCH(X382,VISITORS[NAME USED],0))</f>
        <v>#N/A</v>
      </c>
      <c r="AB382" s="47" t="e">
        <f t="shared" si="164"/>
        <v>#N/A</v>
      </c>
      <c r="AC382" s="53" t="e">
        <f t="shared" si="165"/>
        <v>#VALUE!</v>
      </c>
      <c r="AD382" s="54" t="str">
        <f t="shared" si="166"/>
        <v/>
      </c>
      <c r="AE382" s="54"/>
      <c r="AF382" s="54"/>
      <c r="AG382" s="55" t="str">
        <f t="shared" si="177"/>
        <v/>
      </c>
      <c r="AH382" s="56" t="str">
        <f t="shared" si="167"/>
        <v/>
      </c>
      <c r="AI382" s="55"/>
      <c r="AJ382" s="56" t="str">
        <f t="shared" si="168"/>
        <v/>
      </c>
      <c r="AK382" s="55"/>
      <c r="AL382" s="56" t="str">
        <f t="shared" si="169"/>
        <v/>
      </c>
      <c r="AM382" s="55"/>
      <c r="AN382" s="56" t="str">
        <f t="shared" si="170"/>
        <v/>
      </c>
      <c r="AO382" s="55"/>
      <c r="AP382" s="56" t="str">
        <f t="shared" si="171"/>
        <v/>
      </c>
      <c r="AQ382" s="55"/>
      <c r="AR382" s="56" t="str">
        <f t="shared" si="172"/>
        <v/>
      </c>
      <c r="AS382" s="57"/>
      <c r="AT382" s="58"/>
      <c r="AU382" s="58"/>
      <c r="AV382" s="59"/>
      <c r="AW382" s="60" t="str">
        <f t="shared" si="173"/>
        <v/>
      </c>
      <c r="AX382" s="61" t="str">
        <f t="shared" si="152"/>
        <v/>
      </c>
      <c r="AY382" s="60" t="str">
        <f t="shared" si="153"/>
        <v/>
      </c>
      <c r="AZ382" s="61" t="str">
        <f t="shared" si="154"/>
        <v/>
      </c>
    </row>
    <row r="383" spans="1:52" s="3" customFormat="1" hidden="1" x14ac:dyDescent="0.35">
      <c r="A383" s="72">
        <f t="shared" si="155"/>
        <v>2019</v>
      </c>
      <c r="B383" s="72" t="str">
        <f t="shared" si="156"/>
        <v>Nov</v>
      </c>
      <c r="C383" s="73">
        <f t="shared" si="174"/>
        <v>18</v>
      </c>
      <c r="D383" s="74">
        <f t="shared" si="157"/>
        <v>14</v>
      </c>
      <c r="E383" s="75">
        <f t="shared" si="158"/>
        <v>16</v>
      </c>
      <c r="F383" s="79">
        <v>6</v>
      </c>
      <c r="G383" s="82"/>
      <c r="H383" s="68" t="str">
        <f t="shared" si="175"/>
        <v>Senbur0_20191118_14_00</v>
      </c>
      <c r="I383" s="69">
        <f t="shared" si="180"/>
        <v>1</v>
      </c>
      <c r="J383" s="76" t="str">
        <f t="shared" si="180"/>
        <v>Senecio</v>
      </c>
      <c r="K383" s="76" t="str">
        <f t="shared" si="180"/>
        <v>burtoni</v>
      </c>
      <c r="L383" s="77">
        <f t="shared" si="180"/>
        <v>0</v>
      </c>
      <c r="M383" s="77">
        <f t="shared" si="180"/>
        <v>7</v>
      </c>
      <c r="N383" s="71">
        <f t="shared" si="180"/>
        <v>0</v>
      </c>
      <c r="O383" s="44"/>
      <c r="P383" s="45">
        <f t="shared" si="159"/>
        <v>1</v>
      </c>
      <c r="Q383" s="46" t="str">
        <f t="shared" si="160"/>
        <v>14:16:06</v>
      </c>
      <c r="R383" s="47" t="str">
        <f t="shared" si="161"/>
        <v>16:06</v>
      </c>
      <c r="S383" s="48">
        <f t="shared" si="151"/>
        <v>12</v>
      </c>
      <c r="T383" s="47" t="str">
        <f t="shared" si="162"/>
        <v>14</v>
      </c>
      <c r="U383" s="49">
        <v>16</v>
      </c>
      <c r="V383" s="50">
        <v>18</v>
      </c>
      <c r="W383" s="51" t="str">
        <f t="shared" si="163"/>
        <v>16:18</v>
      </c>
      <c r="X383" s="52" t="s">
        <v>63</v>
      </c>
      <c r="Y383" s="124" t="s">
        <v>83</v>
      </c>
      <c r="Z383" s="124"/>
      <c r="AA383" s="47" t="s">
        <v>59</v>
      </c>
      <c r="AB383" s="47" t="str">
        <f t="shared" si="164"/>
        <v>NA</v>
      </c>
      <c r="AC383" s="53">
        <f t="shared" si="165"/>
        <v>0</v>
      </c>
      <c r="AD383" s="54">
        <f t="shared" si="166"/>
        <v>1</v>
      </c>
      <c r="AE383" s="54"/>
      <c r="AF383" s="54"/>
      <c r="AG383" s="55" t="str">
        <f t="shared" si="177"/>
        <v/>
      </c>
      <c r="AH383" s="56" t="str">
        <f t="shared" si="167"/>
        <v/>
      </c>
      <c r="AI383" s="55"/>
      <c r="AJ383" s="56" t="str">
        <f t="shared" si="168"/>
        <v/>
      </c>
      <c r="AK383" s="55"/>
      <c r="AL383" s="56" t="str">
        <f t="shared" si="169"/>
        <v/>
      </c>
      <c r="AM383" s="55">
        <v>1</v>
      </c>
      <c r="AN383" s="56">
        <f t="shared" si="170"/>
        <v>12</v>
      </c>
      <c r="AO383" s="55"/>
      <c r="AP383" s="56" t="str">
        <f t="shared" si="171"/>
        <v/>
      </c>
      <c r="AQ383" s="55"/>
      <c r="AR383" s="56" t="str">
        <f t="shared" si="172"/>
        <v/>
      </c>
      <c r="AS383" s="57"/>
      <c r="AT383" s="58"/>
      <c r="AU383" s="58"/>
      <c r="AV383" s="59"/>
      <c r="AW383" s="60">
        <v>1</v>
      </c>
      <c r="AX383" s="61">
        <f t="shared" si="152"/>
        <v>1</v>
      </c>
      <c r="AY383" s="60">
        <v>1</v>
      </c>
      <c r="AZ383" s="61">
        <f t="shared" si="154"/>
        <v>1</v>
      </c>
    </row>
    <row r="384" spans="1:52" s="3" customFormat="1" hidden="1" x14ac:dyDescent="0.35">
      <c r="A384" s="72">
        <f t="shared" si="155"/>
        <v>2019</v>
      </c>
      <c r="B384" s="72" t="str">
        <f t="shared" si="156"/>
        <v>Nov</v>
      </c>
      <c r="C384" s="73">
        <f t="shared" si="174"/>
        <v>18</v>
      </c>
      <c r="D384" s="74">
        <f t="shared" si="157"/>
        <v>14</v>
      </c>
      <c r="E384" s="75">
        <v>16</v>
      </c>
      <c r="F384" s="79">
        <v>38</v>
      </c>
      <c r="G384" s="82"/>
      <c r="H384" s="68" t="str">
        <f t="shared" si="175"/>
        <v>Senbur0_20191118_14_00</v>
      </c>
      <c r="I384" s="69">
        <f t="shared" si="180"/>
        <v>1</v>
      </c>
      <c r="J384" s="76" t="str">
        <f t="shared" si="180"/>
        <v>Senecio</v>
      </c>
      <c r="K384" s="76" t="str">
        <f t="shared" si="180"/>
        <v>burtoni</v>
      </c>
      <c r="L384" s="77">
        <f t="shared" si="180"/>
        <v>0</v>
      </c>
      <c r="M384" s="77">
        <f t="shared" si="180"/>
        <v>7</v>
      </c>
      <c r="N384" s="71">
        <f t="shared" si="180"/>
        <v>0</v>
      </c>
      <c r="O384" s="44"/>
      <c r="P384" s="45">
        <f t="shared" si="159"/>
        <v>1</v>
      </c>
      <c r="Q384" s="46" t="str">
        <f t="shared" si="160"/>
        <v>14:16:38</v>
      </c>
      <c r="R384" s="47" t="str">
        <f t="shared" si="161"/>
        <v>16:38</v>
      </c>
      <c r="S384" s="48">
        <f t="shared" si="151"/>
        <v>10</v>
      </c>
      <c r="T384" s="47" t="str">
        <f t="shared" si="162"/>
        <v>14</v>
      </c>
      <c r="U384" s="49">
        <v>16</v>
      </c>
      <c r="V384" s="50">
        <v>48</v>
      </c>
      <c r="W384" s="51" t="str">
        <f t="shared" si="163"/>
        <v>16:48</v>
      </c>
      <c r="X384" s="52" t="s">
        <v>63</v>
      </c>
      <c r="Y384" s="124" t="s">
        <v>83</v>
      </c>
      <c r="Z384" s="124"/>
      <c r="AA384" s="47" t="s">
        <v>68</v>
      </c>
      <c r="AB384" s="47" t="str">
        <f t="shared" si="164"/>
        <v>NA</v>
      </c>
      <c r="AC384" s="53">
        <f t="shared" si="165"/>
        <v>0</v>
      </c>
      <c r="AD384" s="54">
        <f t="shared" si="166"/>
        <v>1</v>
      </c>
      <c r="AE384" s="54"/>
      <c r="AF384" s="54"/>
      <c r="AG384" s="55">
        <v>1</v>
      </c>
      <c r="AH384" s="56">
        <v>2</v>
      </c>
      <c r="AI384" s="55"/>
      <c r="AJ384" s="56" t="str">
        <f t="shared" si="168"/>
        <v/>
      </c>
      <c r="AK384" s="55"/>
      <c r="AL384" s="56" t="str">
        <f t="shared" si="169"/>
        <v/>
      </c>
      <c r="AM384" s="55">
        <v>1</v>
      </c>
      <c r="AN384" s="56">
        <v>8</v>
      </c>
      <c r="AO384" s="55"/>
      <c r="AP384" s="56" t="str">
        <f t="shared" si="171"/>
        <v/>
      </c>
      <c r="AQ384" s="55"/>
      <c r="AR384" s="56" t="str">
        <f t="shared" si="172"/>
        <v/>
      </c>
      <c r="AS384" s="57"/>
      <c r="AT384" s="58"/>
      <c r="AU384" s="58"/>
      <c r="AV384" s="59"/>
      <c r="AW384" s="60">
        <v>1</v>
      </c>
      <c r="AX384" s="61">
        <f t="shared" si="152"/>
        <v>1</v>
      </c>
      <c r="AY384" s="60">
        <v>1</v>
      </c>
      <c r="AZ384" s="61">
        <f t="shared" si="154"/>
        <v>1</v>
      </c>
    </row>
    <row r="385" spans="1:52" s="3" customFormat="1" hidden="1" x14ac:dyDescent="0.35">
      <c r="A385" s="72">
        <f t="shared" si="155"/>
        <v>2019</v>
      </c>
      <c r="B385" s="72" t="str">
        <f t="shared" si="156"/>
        <v>Nov</v>
      </c>
      <c r="C385" s="73">
        <f t="shared" si="174"/>
        <v>18</v>
      </c>
      <c r="D385" s="74">
        <f t="shared" si="157"/>
        <v>14</v>
      </c>
      <c r="E385" s="75">
        <f t="shared" si="158"/>
        <v>17</v>
      </c>
      <c r="F385" s="79"/>
      <c r="G385" s="82"/>
      <c r="H385" s="68" t="str">
        <f t="shared" si="175"/>
        <v>Senbur0_20191118_14_00</v>
      </c>
      <c r="I385" s="69">
        <f t="shared" si="180"/>
        <v>1</v>
      </c>
      <c r="J385" s="76" t="str">
        <f t="shared" si="180"/>
        <v>Senecio</v>
      </c>
      <c r="K385" s="76" t="str">
        <f t="shared" si="180"/>
        <v>burtoni</v>
      </c>
      <c r="L385" s="77">
        <f t="shared" si="180"/>
        <v>0</v>
      </c>
      <c r="M385" s="77">
        <f t="shared" si="180"/>
        <v>7</v>
      </c>
      <c r="N385" s="71">
        <f t="shared" si="180"/>
        <v>0</v>
      </c>
      <c r="O385" s="44"/>
      <c r="P385" s="45" t="str">
        <f t="shared" si="159"/>
        <v/>
      </c>
      <c r="Q385" s="46" t="str">
        <f t="shared" si="160"/>
        <v/>
      </c>
      <c r="R385" s="47" t="e">
        <f t="shared" si="161"/>
        <v>#VALUE!</v>
      </c>
      <c r="S385" s="48" t="e">
        <f t="shared" si="151"/>
        <v>#VALUE!</v>
      </c>
      <c r="T385" s="47" t="str">
        <f t="shared" si="162"/>
        <v/>
      </c>
      <c r="U385" s="49"/>
      <c r="V385" s="50"/>
      <c r="W385" s="51" t="e">
        <f t="shared" si="163"/>
        <v>#VALUE!</v>
      </c>
      <c r="X385" s="52"/>
      <c r="Y385" s="52"/>
      <c r="Z385" s="52"/>
      <c r="AA385" s="47" t="e">
        <f>INDEX(VISITORS[INSECT ORDER], MATCH(X385,VISITORS[NAME USED],0))</f>
        <v>#N/A</v>
      </c>
      <c r="AB385" s="47" t="e">
        <f t="shared" si="164"/>
        <v>#N/A</v>
      </c>
      <c r="AC385" s="53" t="e">
        <f t="shared" si="165"/>
        <v>#VALUE!</v>
      </c>
      <c r="AD385" s="54" t="str">
        <f t="shared" si="166"/>
        <v/>
      </c>
      <c r="AE385" s="54"/>
      <c r="AF385" s="54"/>
      <c r="AG385" s="55" t="str">
        <f t="shared" si="177"/>
        <v/>
      </c>
      <c r="AH385" s="56" t="str">
        <f t="shared" si="167"/>
        <v/>
      </c>
      <c r="AI385" s="55"/>
      <c r="AJ385" s="56" t="str">
        <f t="shared" si="168"/>
        <v/>
      </c>
      <c r="AK385" s="55"/>
      <c r="AL385" s="56" t="str">
        <f t="shared" si="169"/>
        <v/>
      </c>
      <c r="AM385" s="55"/>
      <c r="AN385" s="56" t="str">
        <f t="shared" si="170"/>
        <v/>
      </c>
      <c r="AO385" s="55"/>
      <c r="AP385" s="56" t="str">
        <f t="shared" si="171"/>
        <v/>
      </c>
      <c r="AQ385" s="55"/>
      <c r="AR385" s="56" t="str">
        <f t="shared" si="172"/>
        <v/>
      </c>
      <c r="AS385" s="57"/>
      <c r="AT385" s="58"/>
      <c r="AU385" s="58"/>
      <c r="AV385" s="59"/>
      <c r="AW385" s="60" t="str">
        <f t="shared" si="173"/>
        <v/>
      </c>
      <c r="AX385" s="61" t="str">
        <f t="shared" si="152"/>
        <v/>
      </c>
      <c r="AY385" s="60" t="str">
        <f t="shared" si="153"/>
        <v/>
      </c>
      <c r="AZ385" s="61" t="str">
        <f t="shared" si="154"/>
        <v/>
      </c>
    </row>
    <row r="386" spans="1:52" s="3" customFormat="1" hidden="1" x14ac:dyDescent="0.35">
      <c r="A386" s="72">
        <f t="shared" si="155"/>
        <v>2019</v>
      </c>
      <c r="B386" s="72" t="str">
        <f t="shared" si="156"/>
        <v>Nov</v>
      </c>
      <c r="C386" s="73">
        <f t="shared" si="174"/>
        <v>18</v>
      </c>
      <c r="D386" s="74">
        <f t="shared" si="157"/>
        <v>14</v>
      </c>
      <c r="E386" s="75">
        <f t="shared" si="158"/>
        <v>18</v>
      </c>
      <c r="F386" s="79"/>
      <c r="G386" s="82"/>
      <c r="H386" s="68" t="str">
        <f t="shared" si="175"/>
        <v>Senbur0_20191118_14_00</v>
      </c>
      <c r="I386" s="69">
        <f t="shared" si="180"/>
        <v>1</v>
      </c>
      <c r="J386" s="76" t="str">
        <f t="shared" si="180"/>
        <v>Senecio</v>
      </c>
      <c r="K386" s="76" t="str">
        <f t="shared" si="180"/>
        <v>burtoni</v>
      </c>
      <c r="L386" s="77">
        <f t="shared" si="180"/>
        <v>0</v>
      </c>
      <c r="M386" s="77">
        <f t="shared" si="180"/>
        <v>7</v>
      </c>
      <c r="N386" s="71">
        <f t="shared" si="180"/>
        <v>0</v>
      </c>
      <c r="O386" s="44"/>
      <c r="P386" s="45" t="str">
        <f t="shared" si="159"/>
        <v/>
      </c>
      <c r="Q386" s="46" t="str">
        <f t="shared" si="160"/>
        <v/>
      </c>
      <c r="R386" s="47" t="e">
        <f t="shared" si="161"/>
        <v>#VALUE!</v>
      </c>
      <c r="S386" s="48" t="e">
        <f t="shared" si="151"/>
        <v>#VALUE!</v>
      </c>
      <c r="T386" s="47" t="str">
        <f t="shared" si="162"/>
        <v/>
      </c>
      <c r="U386" s="49"/>
      <c r="V386" s="50"/>
      <c r="W386" s="51" t="e">
        <f t="shared" si="163"/>
        <v>#VALUE!</v>
      </c>
      <c r="X386" s="52"/>
      <c r="Y386" s="52"/>
      <c r="Z386" s="52"/>
      <c r="AA386" s="47" t="e">
        <f>INDEX(VISITORS[INSECT ORDER], MATCH(X386,VISITORS[NAME USED],0))</f>
        <v>#N/A</v>
      </c>
      <c r="AB386" s="47" t="e">
        <f t="shared" si="164"/>
        <v>#N/A</v>
      </c>
      <c r="AC386" s="53" t="e">
        <f t="shared" si="165"/>
        <v>#VALUE!</v>
      </c>
      <c r="AD386" s="54" t="str">
        <f t="shared" si="166"/>
        <v/>
      </c>
      <c r="AE386" s="54"/>
      <c r="AF386" s="54"/>
      <c r="AG386" s="55" t="str">
        <f t="shared" si="177"/>
        <v/>
      </c>
      <c r="AH386" s="56" t="str">
        <f t="shared" si="167"/>
        <v/>
      </c>
      <c r="AI386" s="55"/>
      <c r="AJ386" s="56" t="str">
        <f t="shared" si="168"/>
        <v/>
      </c>
      <c r="AK386" s="55"/>
      <c r="AL386" s="56" t="str">
        <f t="shared" si="169"/>
        <v/>
      </c>
      <c r="AM386" s="55"/>
      <c r="AN386" s="56" t="str">
        <f t="shared" si="170"/>
        <v/>
      </c>
      <c r="AO386" s="55"/>
      <c r="AP386" s="56" t="str">
        <f t="shared" si="171"/>
        <v/>
      </c>
      <c r="AQ386" s="55"/>
      <c r="AR386" s="56" t="str">
        <f t="shared" si="172"/>
        <v/>
      </c>
      <c r="AS386" s="57"/>
      <c r="AT386" s="58"/>
      <c r="AU386" s="58"/>
      <c r="AV386" s="59"/>
      <c r="AW386" s="60" t="str">
        <f t="shared" si="173"/>
        <v/>
      </c>
      <c r="AX386" s="61" t="str">
        <f t="shared" si="152"/>
        <v/>
      </c>
      <c r="AY386" s="60" t="str">
        <f t="shared" si="153"/>
        <v/>
      </c>
      <c r="AZ386" s="61" t="str">
        <f t="shared" si="154"/>
        <v/>
      </c>
    </row>
    <row r="387" spans="1:52" s="3" customFormat="1" hidden="1" x14ac:dyDescent="0.35">
      <c r="A387" s="72">
        <f t="shared" si="155"/>
        <v>2019</v>
      </c>
      <c r="B387" s="72" t="str">
        <f t="shared" si="156"/>
        <v>Nov</v>
      </c>
      <c r="C387" s="73">
        <f t="shared" si="174"/>
        <v>18</v>
      </c>
      <c r="D387" s="74">
        <f t="shared" si="157"/>
        <v>14</v>
      </c>
      <c r="E387" s="75">
        <f t="shared" si="158"/>
        <v>19</v>
      </c>
      <c r="F387" s="79"/>
      <c r="G387" s="82"/>
      <c r="H387" s="68" t="str">
        <f t="shared" si="175"/>
        <v>Senbur0_20191118_14_00</v>
      </c>
      <c r="I387" s="69">
        <f t="shared" si="180"/>
        <v>1</v>
      </c>
      <c r="J387" s="76" t="str">
        <f t="shared" si="180"/>
        <v>Senecio</v>
      </c>
      <c r="K387" s="76" t="str">
        <f t="shared" si="180"/>
        <v>burtoni</v>
      </c>
      <c r="L387" s="77">
        <f t="shared" si="180"/>
        <v>0</v>
      </c>
      <c r="M387" s="77">
        <f t="shared" si="180"/>
        <v>7</v>
      </c>
      <c r="N387" s="71">
        <f t="shared" si="180"/>
        <v>0</v>
      </c>
      <c r="O387" s="44"/>
      <c r="P387" s="45" t="str">
        <f t="shared" si="159"/>
        <v/>
      </c>
      <c r="Q387" s="46" t="str">
        <f t="shared" si="160"/>
        <v/>
      </c>
      <c r="R387" s="47" t="e">
        <f t="shared" si="161"/>
        <v>#VALUE!</v>
      </c>
      <c r="S387" s="48" t="e">
        <f t="shared" ref="S387:S450" si="181">IF(T387&lt;D387, (T387*3600+U387*60+V387)+((23*3600+59*60+60)-(D387*3600+E387*60+LEFT(F387,2))), (T387*3600+U387*60+V387)-(D387*3600+E387*60+LEFT(F387,2)))</f>
        <v>#VALUE!</v>
      </c>
      <c r="T387" s="47" t="str">
        <f t="shared" si="162"/>
        <v/>
      </c>
      <c r="U387" s="49"/>
      <c r="V387" s="50"/>
      <c r="W387" s="51" t="e">
        <f t="shared" si="163"/>
        <v>#VALUE!</v>
      </c>
      <c r="X387" s="52"/>
      <c r="Y387" s="52"/>
      <c r="Z387" s="52"/>
      <c r="AA387" s="47" t="e">
        <f>INDEX(VISITORS[INSECT ORDER], MATCH(X387,VISITORS[NAME USED],0))</f>
        <v>#N/A</v>
      </c>
      <c r="AB387" s="47" t="e">
        <f t="shared" si="164"/>
        <v>#N/A</v>
      </c>
      <c r="AC387" s="53" t="e">
        <f t="shared" si="165"/>
        <v>#VALUE!</v>
      </c>
      <c r="AD387" s="54" t="str">
        <f t="shared" si="166"/>
        <v/>
      </c>
      <c r="AE387" s="54"/>
      <c r="AF387" s="54"/>
      <c r="AG387" s="55" t="str">
        <f t="shared" si="177"/>
        <v/>
      </c>
      <c r="AH387" s="56" t="str">
        <f t="shared" si="167"/>
        <v/>
      </c>
      <c r="AI387" s="55"/>
      <c r="AJ387" s="56" t="str">
        <f t="shared" si="168"/>
        <v/>
      </c>
      <c r="AK387" s="55"/>
      <c r="AL387" s="56" t="str">
        <f t="shared" si="169"/>
        <v/>
      </c>
      <c r="AM387" s="55"/>
      <c r="AN387" s="56" t="str">
        <f t="shared" si="170"/>
        <v/>
      </c>
      <c r="AO387" s="55"/>
      <c r="AP387" s="56" t="str">
        <f t="shared" si="171"/>
        <v/>
      </c>
      <c r="AQ387" s="55"/>
      <c r="AR387" s="56" t="str">
        <f t="shared" si="172"/>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4"/>
        <v>18</v>
      </c>
      <c r="D388" s="74">
        <f t="shared" ref="D388:D451" si="188">IF(IF(E387=59,D387+1,D387)=24,0,IF(E387=59,D387+1,D387))</f>
        <v>14</v>
      </c>
      <c r="E388" s="75">
        <f t="shared" ref="E388:E451" si="189">IF(E387&lt;59,E387+1,0)</f>
        <v>20</v>
      </c>
      <c r="F388" s="79"/>
      <c r="G388" s="82"/>
      <c r="H388" s="68" t="str">
        <f t="shared" si="175"/>
        <v>Senbur0_20191118_14_00</v>
      </c>
      <c r="I388" s="69">
        <f t="shared" si="180"/>
        <v>1</v>
      </c>
      <c r="J388" s="76" t="str">
        <f t="shared" si="180"/>
        <v>Senecio</v>
      </c>
      <c r="K388" s="76" t="str">
        <f t="shared" si="180"/>
        <v>burtoni</v>
      </c>
      <c r="L388" s="77">
        <f t="shared" si="180"/>
        <v>0</v>
      </c>
      <c r="M388" s="77">
        <f t="shared" si="180"/>
        <v>7</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18</v>
      </c>
      <c r="D389" s="74">
        <f t="shared" si="188"/>
        <v>14</v>
      </c>
      <c r="E389" s="75">
        <f t="shared" si="189"/>
        <v>21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Senbur0_20191118_14_00</v>
      </c>
      <c r="I389" s="69">
        <f t="shared" ref="I389:N404" si="207">I388</f>
        <v>1</v>
      </c>
      <c r="J389" s="76" t="str">
        <f t="shared" si="207"/>
        <v>Senecio</v>
      </c>
      <c r="K389" s="76" t="str">
        <f t="shared" si="207"/>
        <v>burtoni</v>
      </c>
      <c r="L389" s="77">
        <f t="shared" si="207"/>
        <v>0</v>
      </c>
      <c r="M389" s="77">
        <f t="shared" si="207"/>
        <v>7</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18</v>
      </c>
      <c r="D390" s="74">
        <f t="shared" si="188"/>
        <v>14</v>
      </c>
      <c r="E390" s="75">
        <f t="shared" si="189"/>
        <v>22</v>
      </c>
      <c r="F390" s="79"/>
      <c r="G390" s="82"/>
      <c r="H390" s="68" t="str">
        <f t="shared" si="206"/>
        <v>Senbur0_20191118_14_00</v>
      </c>
      <c r="I390" s="69">
        <f t="shared" si="207"/>
        <v>1</v>
      </c>
      <c r="J390" s="76" t="str">
        <f t="shared" si="207"/>
        <v>Senecio</v>
      </c>
      <c r="K390" s="76" t="str">
        <f t="shared" si="207"/>
        <v>burtoni</v>
      </c>
      <c r="L390" s="77">
        <f t="shared" si="207"/>
        <v>0</v>
      </c>
      <c r="M390" s="77">
        <f t="shared" si="207"/>
        <v>7</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18</v>
      </c>
      <c r="D391" s="74">
        <f t="shared" si="188"/>
        <v>14</v>
      </c>
      <c r="E391" s="75">
        <f t="shared" si="189"/>
        <v>23</v>
      </c>
      <c r="F391" s="79"/>
      <c r="G391" s="82"/>
      <c r="H391" s="68" t="str">
        <f t="shared" si="206"/>
        <v>Senbur0_20191118_14_00</v>
      </c>
      <c r="I391" s="69">
        <f t="shared" si="207"/>
        <v>1</v>
      </c>
      <c r="J391" s="76" t="str">
        <f t="shared" si="207"/>
        <v>Senecio</v>
      </c>
      <c r="K391" s="76" t="str">
        <f t="shared" si="207"/>
        <v>burtoni</v>
      </c>
      <c r="L391" s="77">
        <f t="shared" si="207"/>
        <v>0</v>
      </c>
      <c r="M391" s="77">
        <f t="shared" si="207"/>
        <v>7</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18</v>
      </c>
      <c r="D392" s="74">
        <f t="shared" si="188"/>
        <v>14</v>
      </c>
      <c r="E392" s="75">
        <f t="shared" si="189"/>
        <v>24</v>
      </c>
      <c r="F392" s="79"/>
      <c r="G392" s="82"/>
      <c r="H392" s="68" t="str">
        <f t="shared" si="206"/>
        <v>Senbur0_20191118_14_00</v>
      </c>
      <c r="I392" s="69">
        <f t="shared" si="207"/>
        <v>1</v>
      </c>
      <c r="J392" s="76" t="str">
        <f t="shared" si="207"/>
        <v>Senecio</v>
      </c>
      <c r="K392" s="76" t="str">
        <f t="shared" si="207"/>
        <v>burtoni</v>
      </c>
      <c r="L392" s="77">
        <f t="shared" si="207"/>
        <v>0</v>
      </c>
      <c r="M392" s="77">
        <f t="shared" si="207"/>
        <v>7</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18</v>
      </c>
      <c r="D393" s="74">
        <f t="shared" si="188"/>
        <v>14</v>
      </c>
      <c r="E393" s="75">
        <f t="shared" si="189"/>
        <v>25</v>
      </c>
      <c r="F393" s="79">
        <v>12</v>
      </c>
      <c r="G393" s="82"/>
      <c r="H393" s="68" t="str">
        <f t="shared" si="206"/>
        <v>Senbur0_20191118_14_00</v>
      </c>
      <c r="I393" s="69">
        <f t="shared" si="207"/>
        <v>1</v>
      </c>
      <c r="J393" s="76" t="str">
        <f t="shared" si="207"/>
        <v>Senecio</v>
      </c>
      <c r="K393" s="76" t="str">
        <f t="shared" si="207"/>
        <v>burtoni</v>
      </c>
      <c r="L393" s="77">
        <f t="shared" si="207"/>
        <v>0</v>
      </c>
      <c r="M393" s="77">
        <f t="shared" si="207"/>
        <v>7</v>
      </c>
      <c r="N393" s="71">
        <f t="shared" si="207"/>
        <v>0</v>
      </c>
      <c r="O393" s="44"/>
      <c r="P393" s="45">
        <f t="shared" si="190"/>
        <v>1</v>
      </c>
      <c r="Q393" s="46" t="str">
        <f t="shared" si="191"/>
        <v>14:25:12</v>
      </c>
      <c r="R393" s="47" t="str">
        <f t="shared" si="192"/>
        <v>25:12</v>
      </c>
      <c r="S393" s="48">
        <f t="shared" si="181"/>
        <v>52</v>
      </c>
      <c r="T393" s="47" t="str">
        <f t="shared" si="193"/>
        <v>14</v>
      </c>
      <c r="U393" s="49">
        <v>26</v>
      </c>
      <c r="V393" s="50">
        <v>4</v>
      </c>
      <c r="W393" s="51" t="str">
        <f t="shared" si="194"/>
        <v>26:04</v>
      </c>
      <c r="X393" s="52" t="s">
        <v>63</v>
      </c>
      <c r="Y393" s="124" t="s">
        <v>83</v>
      </c>
      <c r="Z393" s="124"/>
      <c r="AA393" s="47" t="s">
        <v>59</v>
      </c>
      <c r="AB393" s="47" t="str">
        <f t="shared" si="195"/>
        <v>NA</v>
      </c>
      <c r="AC393" s="53">
        <f t="shared" si="196"/>
        <v>0</v>
      </c>
      <c r="AD393" s="54">
        <f t="shared" si="197"/>
        <v>1</v>
      </c>
      <c r="AE393" s="54"/>
      <c r="AF393" s="54"/>
      <c r="AG393" s="55">
        <v>1</v>
      </c>
      <c r="AH393" s="56">
        <v>8</v>
      </c>
      <c r="AI393" s="55"/>
      <c r="AJ393" s="56" t="str">
        <f t="shared" si="200"/>
        <v/>
      </c>
      <c r="AK393" s="55"/>
      <c r="AL393" s="56" t="str">
        <f t="shared" si="201"/>
        <v/>
      </c>
      <c r="AM393" s="55">
        <v>1</v>
      </c>
      <c r="AN393" s="56">
        <v>44</v>
      </c>
      <c r="AO393" s="55"/>
      <c r="AP393" s="56" t="str">
        <f t="shared" si="203"/>
        <v/>
      </c>
      <c r="AQ393" s="55"/>
      <c r="AR393" s="56" t="str">
        <f t="shared" si="204"/>
        <v/>
      </c>
      <c r="AS393" s="57"/>
      <c r="AT393" s="58"/>
      <c r="AU393" s="58"/>
      <c r="AV393" s="59"/>
      <c r="AW393" s="60">
        <v>1</v>
      </c>
      <c r="AX393" s="61">
        <f t="shared" si="183"/>
        <v>1</v>
      </c>
      <c r="AY393" s="60">
        <v>1</v>
      </c>
      <c r="AZ393" s="61">
        <f t="shared" si="185"/>
        <v>1</v>
      </c>
    </row>
    <row r="394" spans="1:52" s="3" customFormat="1" hidden="1" x14ac:dyDescent="0.35">
      <c r="A394" s="72">
        <f t="shared" si="186"/>
        <v>2019</v>
      </c>
      <c r="B394" s="72" t="str">
        <f t="shared" si="187"/>
        <v>Nov</v>
      </c>
      <c r="C394" s="73">
        <f t="shared" si="205"/>
        <v>18</v>
      </c>
      <c r="D394" s="74">
        <f t="shared" si="188"/>
        <v>14</v>
      </c>
      <c r="E394" s="75">
        <f t="shared" si="189"/>
        <v>26</v>
      </c>
      <c r="F394" s="79">
        <v>4</v>
      </c>
      <c r="G394" s="82"/>
      <c r="H394" s="68" t="str">
        <f t="shared" si="206"/>
        <v>Senbur0_20191118_14_00</v>
      </c>
      <c r="I394" s="69">
        <f t="shared" si="207"/>
        <v>1</v>
      </c>
      <c r="J394" s="76" t="str">
        <f t="shared" si="207"/>
        <v>Senecio</v>
      </c>
      <c r="K394" s="76" t="str">
        <f t="shared" si="207"/>
        <v>burtoni</v>
      </c>
      <c r="L394" s="77">
        <f t="shared" si="207"/>
        <v>0</v>
      </c>
      <c r="M394" s="77">
        <f t="shared" si="207"/>
        <v>7</v>
      </c>
      <c r="N394" s="71">
        <f t="shared" si="207"/>
        <v>0</v>
      </c>
      <c r="O394" s="44"/>
      <c r="P394" s="45">
        <f t="shared" si="190"/>
        <v>1</v>
      </c>
      <c r="Q394" s="46" t="str">
        <f t="shared" si="191"/>
        <v>14:26:04</v>
      </c>
      <c r="R394" s="47" t="str">
        <f t="shared" si="192"/>
        <v>26:04</v>
      </c>
      <c r="S394" s="48">
        <f t="shared" si="181"/>
        <v>19</v>
      </c>
      <c r="T394" s="47" t="str">
        <f t="shared" si="193"/>
        <v>14</v>
      </c>
      <c r="U394" s="49">
        <v>26</v>
      </c>
      <c r="V394" s="50">
        <v>23</v>
      </c>
      <c r="W394" s="51" t="str">
        <f t="shared" si="194"/>
        <v>26:23</v>
      </c>
      <c r="X394" s="52" t="s">
        <v>63</v>
      </c>
      <c r="Y394" s="124" t="s">
        <v>82</v>
      </c>
      <c r="Z394" s="124"/>
      <c r="AA394" s="47" t="s">
        <v>59</v>
      </c>
      <c r="AB394" s="47" t="str">
        <f t="shared" si="195"/>
        <v>NA</v>
      </c>
      <c r="AC394" s="53">
        <f t="shared" si="196"/>
        <v>0</v>
      </c>
      <c r="AD394" s="54">
        <v>2</v>
      </c>
      <c r="AE394" s="54"/>
      <c r="AF394" s="54"/>
      <c r="AG394" s="55">
        <v>1</v>
      </c>
      <c r="AH394" s="56">
        <v>9</v>
      </c>
      <c r="AI394" s="55"/>
      <c r="AJ394" s="56" t="str">
        <f t="shared" si="200"/>
        <v/>
      </c>
      <c r="AK394" s="55"/>
      <c r="AL394" s="56" t="str">
        <f t="shared" si="201"/>
        <v/>
      </c>
      <c r="AM394" s="55">
        <v>1</v>
      </c>
      <c r="AN394" s="56">
        <v>10</v>
      </c>
      <c r="AO394" s="55"/>
      <c r="AP394" s="56" t="str">
        <f t="shared" si="203"/>
        <v/>
      </c>
      <c r="AQ394" s="55"/>
      <c r="AR394" s="56" t="str">
        <f t="shared" si="204"/>
        <v/>
      </c>
      <c r="AS394" s="57"/>
      <c r="AT394" s="58"/>
      <c r="AU394" s="58"/>
      <c r="AV394" s="59"/>
      <c r="AW394" s="60">
        <v>1</v>
      </c>
      <c r="AX394" s="61">
        <v>1</v>
      </c>
      <c r="AY394" s="60">
        <v>1</v>
      </c>
      <c r="AZ394" s="61">
        <v>1</v>
      </c>
    </row>
    <row r="395" spans="1:52" s="3" customFormat="1" hidden="1" x14ac:dyDescent="0.35">
      <c r="A395" s="72">
        <f t="shared" si="186"/>
        <v>2019</v>
      </c>
      <c r="B395" s="72" t="str">
        <f t="shared" si="187"/>
        <v>Nov</v>
      </c>
      <c r="C395" s="73">
        <f t="shared" si="205"/>
        <v>18</v>
      </c>
      <c r="D395" s="74">
        <f t="shared" si="188"/>
        <v>14</v>
      </c>
      <c r="E395" s="75">
        <v>26</v>
      </c>
      <c r="F395" s="79">
        <v>20</v>
      </c>
      <c r="G395" s="82"/>
      <c r="H395" s="68" t="str">
        <f t="shared" si="206"/>
        <v>Senbur0_20191118_14_00</v>
      </c>
      <c r="I395" s="69">
        <f t="shared" si="207"/>
        <v>1</v>
      </c>
      <c r="J395" s="76" t="str">
        <f t="shared" si="207"/>
        <v>Senecio</v>
      </c>
      <c r="K395" s="76" t="str">
        <f t="shared" si="207"/>
        <v>burtoni</v>
      </c>
      <c r="L395" s="77">
        <f t="shared" si="207"/>
        <v>0</v>
      </c>
      <c r="M395" s="77">
        <f t="shared" si="207"/>
        <v>7</v>
      </c>
      <c r="N395" s="71">
        <f t="shared" si="207"/>
        <v>0</v>
      </c>
      <c r="O395" s="44"/>
      <c r="P395" s="45">
        <f t="shared" si="190"/>
        <v>1</v>
      </c>
      <c r="Q395" s="46" t="str">
        <f t="shared" si="191"/>
        <v>14:26:20</v>
      </c>
      <c r="R395" s="47" t="str">
        <f t="shared" si="192"/>
        <v>26:20</v>
      </c>
      <c r="S395" s="48">
        <f t="shared" si="181"/>
        <v>23</v>
      </c>
      <c r="T395" s="47" t="str">
        <f t="shared" si="193"/>
        <v>14</v>
      </c>
      <c r="U395" s="49">
        <v>26</v>
      </c>
      <c r="V395" s="50">
        <v>43</v>
      </c>
      <c r="W395" s="51" t="str">
        <f t="shared" si="194"/>
        <v>26:43</v>
      </c>
      <c r="X395" s="52" t="s">
        <v>63</v>
      </c>
      <c r="Y395" s="124" t="s">
        <v>83</v>
      </c>
      <c r="Z395" s="124"/>
      <c r="AA395" s="47" t="s">
        <v>59</v>
      </c>
      <c r="AB395" s="47" t="str">
        <f t="shared" si="195"/>
        <v>NA</v>
      </c>
      <c r="AC395" s="53">
        <f t="shared" si="196"/>
        <v>0</v>
      </c>
      <c r="AD395" s="54">
        <f t="shared" si="197"/>
        <v>1</v>
      </c>
      <c r="AE395" s="54"/>
      <c r="AF395" s="54"/>
      <c r="AG395" s="55">
        <v>1</v>
      </c>
      <c r="AH395" s="56">
        <f t="shared" si="199"/>
        <v>23</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v>1</v>
      </c>
      <c r="AX395" s="61">
        <f t="shared" si="183"/>
        <v>1</v>
      </c>
      <c r="AY395" s="60">
        <v>1</v>
      </c>
      <c r="AZ395" s="61">
        <f t="shared" si="185"/>
        <v>1</v>
      </c>
    </row>
    <row r="396" spans="1:52" s="3" customFormat="1" hidden="1" x14ac:dyDescent="0.35">
      <c r="A396" s="72">
        <f t="shared" si="186"/>
        <v>2019</v>
      </c>
      <c r="B396" s="72" t="str">
        <f t="shared" si="187"/>
        <v>Nov</v>
      </c>
      <c r="C396" s="73">
        <f t="shared" si="205"/>
        <v>18</v>
      </c>
      <c r="D396" s="74">
        <f t="shared" si="188"/>
        <v>14</v>
      </c>
      <c r="E396" s="75">
        <f t="shared" si="189"/>
        <v>27</v>
      </c>
      <c r="F396" s="79"/>
      <c r="G396" s="82"/>
      <c r="H396" s="68" t="str">
        <f t="shared" si="206"/>
        <v>Senbur0_20191118_14_00</v>
      </c>
      <c r="I396" s="69">
        <f t="shared" si="207"/>
        <v>1</v>
      </c>
      <c r="J396" s="76" t="str">
        <f t="shared" si="207"/>
        <v>Senecio</v>
      </c>
      <c r="K396" s="76" t="str">
        <f t="shared" si="207"/>
        <v>burtoni</v>
      </c>
      <c r="L396" s="77">
        <f t="shared" si="207"/>
        <v>0</v>
      </c>
      <c r="M396" s="77">
        <f t="shared" si="207"/>
        <v>7</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18</v>
      </c>
      <c r="D397" s="74">
        <f t="shared" si="188"/>
        <v>14</v>
      </c>
      <c r="E397" s="75">
        <f t="shared" si="189"/>
        <v>28</v>
      </c>
      <c r="F397" s="79"/>
      <c r="G397" s="82"/>
      <c r="H397" s="68" t="str">
        <f t="shared" si="206"/>
        <v>Senbur0_20191118_14_00</v>
      </c>
      <c r="I397" s="69">
        <f t="shared" si="207"/>
        <v>1</v>
      </c>
      <c r="J397" s="76" t="str">
        <f t="shared" si="207"/>
        <v>Senecio</v>
      </c>
      <c r="K397" s="76" t="str">
        <f t="shared" si="207"/>
        <v>burtoni</v>
      </c>
      <c r="L397" s="77">
        <f t="shared" si="207"/>
        <v>0</v>
      </c>
      <c r="M397" s="77">
        <f t="shared" si="207"/>
        <v>7</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18</v>
      </c>
      <c r="D398" s="74">
        <f t="shared" si="188"/>
        <v>14</v>
      </c>
      <c r="E398" s="75">
        <f t="shared" si="189"/>
        <v>29</v>
      </c>
      <c r="F398" s="79"/>
      <c r="G398" s="82"/>
      <c r="H398" s="68" t="str">
        <f t="shared" si="206"/>
        <v>Senbur0_20191118_14_00</v>
      </c>
      <c r="I398" s="69">
        <f t="shared" si="207"/>
        <v>1</v>
      </c>
      <c r="J398" s="76" t="str">
        <f t="shared" si="207"/>
        <v>Senecio</v>
      </c>
      <c r="K398" s="76" t="str">
        <f t="shared" si="207"/>
        <v>burtoni</v>
      </c>
      <c r="L398" s="77">
        <f t="shared" si="207"/>
        <v>0</v>
      </c>
      <c r="M398" s="77">
        <f t="shared" si="207"/>
        <v>7</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18</v>
      </c>
      <c r="D399" s="74">
        <f t="shared" si="188"/>
        <v>14</v>
      </c>
      <c r="E399" s="75">
        <f t="shared" si="189"/>
        <v>30</v>
      </c>
      <c r="F399" s="79"/>
      <c r="G399" s="82"/>
      <c r="H399" s="68" t="str">
        <f t="shared" si="206"/>
        <v>Senbur0_20191118_14_00</v>
      </c>
      <c r="I399" s="69">
        <f t="shared" si="207"/>
        <v>1</v>
      </c>
      <c r="J399" s="76" t="str">
        <f t="shared" si="207"/>
        <v>Senecio</v>
      </c>
      <c r="K399" s="76" t="str">
        <f t="shared" si="207"/>
        <v>burtoni</v>
      </c>
      <c r="L399" s="77">
        <f t="shared" si="207"/>
        <v>0</v>
      </c>
      <c r="M399" s="77">
        <f t="shared" si="207"/>
        <v>7</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18</v>
      </c>
      <c r="D400" s="74">
        <f t="shared" si="188"/>
        <v>14</v>
      </c>
      <c r="E400" s="75">
        <f t="shared" si="189"/>
        <v>31</v>
      </c>
      <c r="F400" s="79">
        <v>30</v>
      </c>
      <c r="G400" s="82"/>
      <c r="H400" s="68" t="str">
        <f t="shared" si="206"/>
        <v>Senbur0_20191118_14_00</v>
      </c>
      <c r="I400" s="69">
        <f t="shared" si="207"/>
        <v>1</v>
      </c>
      <c r="J400" s="76" t="str">
        <f t="shared" si="207"/>
        <v>Senecio</v>
      </c>
      <c r="K400" s="76" t="str">
        <f t="shared" si="207"/>
        <v>burtoni</v>
      </c>
      <c r="L400" s="77">
        <f t="shared" si="207"/>
        <v>0</v>
      </c>
      <c r="M400" s="77">
        <f t="shared" si="207"/>
        <v>7</v>
      </c>
      <c r="N400" s="71">
        <f t="shared" si="207"/>
        <v>0</v>
      </c>
      <c r="O400" s="44"/>
      <c r="P400" s="45">
        <f t="shared" si="190"/>
        <v>1</v>
      </c>
      <c r="Q400" s="46" t="str">
        <f t="shared" si="191"/>
        <v>14:31:30</v>
      </c>
      <c r="R400" s="47" t="str">
        <f t="shared" si="192"/>
        <v>31:30</v>
      </c>
      <c r="S400" s="48">
        <f t="shared" si="181"/>
        <v>14</v>
      </c>
      <c r="T400" s="47" t="str">
        <f t="shared" si="193"/>
        <v>14</v>
      </c>
      <c r="U400" s="49">
        <v>31</v>
      </c>
      <c r="V400" s="50">
        <v>44</v>
      </c>
      <c r="W400" s="51" t="str">
        <f t="shared" si="194"/>
        <v>31:44</v>
      </c>
      <c r="X400" s="52" t="s">
        <v>63</v>
      </c>
      <c r="Y400" s="124" t="s">
        <v>82</v>
      </c>
      <c r="Z400" s="124"/>
      <c r="AA400" s="47" t="s">
        <v>59</v>
      </c>
      <c r="AB400" s="47" t="str">
        <f t="shared" si="195"/>
        <v>NA</v>
      </c>
      <c r="AC400" s="53">
        <f t="shared" si="196"/>
        <v>0</v>
      </c>
      <c r="AD400" s="54">
        <f t="shared" si="197"/>
        <v>1</v>
      </c>
      <c r="AE400" s="54"/>
      <c r="AF400" s="54"/>
      <c r="AG400" s="55" t="str">
        <f t="shared" si="198"/>
        <v/>
      </c>
      <c r="AH400" s="56" t="str">
        <f t="shared" si="199"/>
        <v/>
      </c>
      <c r="AI400" s="55"/>
      <c r="AJ400" s="56" t="str">
        <f t="shared" si="200"/>
        <v/>
      </c>
      <c r="AK400" s="55"/>
      <c r="AL400" s="56" t="str">
        <f t="shared" si="201"/>
        <v/>
      </c>
      <c r="AM400" s="55">
        <v>1</v>
      </c>
      <c r="AN400" s="56">
        <f t="shared" si="202"/>
        <v>14</v>
      </c>
      <c r="AO400" s="55"/>
      <c r="AP400" s="56" t="str">
        <f t="shared" si="203"/>
        <v/>
      </c>
      <c r="AQ400" s="55"/>
      <c r="AR400" s="56" t="str">
        <f t="shared" si="204"/>
        <v/>
      </c>
      <c r="AS400" s="57"/>
      <c r="AT400" s="58"/>
      <c r="AU400" s="58"/>
      <c r="AV400" s="59"/>
      <c r="AW400" s="60">
        <v>1</v>
      </c>
      <c r="AX400" s="61">
        <f t="shared" si="183"/>
        <v>1</v>
      </c>
      <c r="AY400" s="60">
        <v>1</v>
      </c>
      <c r="AZ400" s="61">
        <f t="shared" si="185"/>
        <v>1</v>
      </c>
    </row>
    <row r="401" spans="1:52" s="3" customFormat="1" hidden="1" x14ac:dyDescent="0.35">
      <c r="A401" s="72">
        <f t="shared" si="186"/>
        <v>2019</v>
      </c>
      <c r="B401" s="72" t="str">
        <f t="shared" si="187"/>
        <v>Nov</v>
      </c>
      <c r="C401" s="73">
        <f t="shared" si="205"/>
        <v>18</v>
      </c>
      <c r="D401" s="74">
        <f t="shared" si="188"/>
        <v>14</v>
      </c>
      <c r="E401" s="75">
        <f t="shared" si="189"/>
        <v>32</v>
      </c>
      <c r="F401" s="79"/>
      <c r="G401" s="82"/>
      <c r="H401" s="68" t="str">
        <f t="shared" si="206"/>
        <v>Senbur0_20191118_14_00</v>
      </c>
      <c r="I401" s="69">
        <f t="shared" si="207"/>
        <v>1</v>
      </c>
      <c r="J401" s="76" t="str">
        <f t="shared" si="207"/>
        <v>Senecio</v>
      </c>
      <c r="K401" s="76" t="str">
        <f t="shared" si="207"/>
        <v>burtoni</v>
      </c>
      <c r="L401" s="77">
        <f t="shared" si="207"/>
        <v>0</v>
      </c>
      <c r="M401" s="77">
        <f t="shared" si="207"/>
        <v>7</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18</v>
      </c>
      <c r="D402" s="74">
        <f t="shared" si="188"/>
        <v>14</v>
      </c>
      <c r="E402" s="75">
        <f t="shared" si="189"/>
        <v>33</v>
      </c>
      <c r="F402" s="79"/>
      <c r="G402" s="82"/>
      <c r="H402" s="68" t="str">
        <f t="shared" si="206"/>
        <v>Senbur0_20191118_14_00</v>
      </c>
      <c r="I402" s="69">
        <f t="shared" si="207"/>
        <v>1</v>
      </c>
      <c r="J402" s="76" t="str">
        <f t="shared" si="207"/>
        <v>Senecio</v>
      </c>
      <c r="K402" s="76" t="str">
        <f t="shared" si="207"/>
        <v>burtoni</v>
      </c>
      <c r="L402" s="77">
        <f t="shared" si="207"/>
        <v>0</v>
      </c>
      <c r="M402" s="77">
        <f t="shared" si="207"/>
        <v>7</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18</v>
      </c>
      <c r="D403" s="74">
        <f t="shared" si="188"/>
        <v>14</v>
      </c>
      <c r="E403" s="75">
        <f t="shared" si="189"/>
        <v>34</v>
      </c>
      <c r="F403" s="79">
        <v>47</v>
      </c>
      <c r="G403" s="82"/>
      <c r="H403" s="68" t="str">
        <f t="shared" si="206"/>
        <v>Senbur0_20191118_14_00</v>
      </c>
      <c r="I403" s="69">
        <f t="shared" si="207"/>
        <v>1</v>
      </c>
      <c r="J403" s="76" t="str">
        <f t="shared" si="207"/>
        <v>Senecio</v>
      </c>
      <c r="K403" s="76" t="str">
        <f t="shared" si="207"/>
        <v>burtoni</v>
      </c>
      <c r="L403" s="77">
        <f t="shared" si="207"/>
        <v>0</v>
      </c>
      <c r="M403" s="77">
        <f t="shared" si="207"/>
        <v>7</v>
      </c>
      <c r="N403" s="71">
        <f t="shared" si="207"/>
        <v>0</v>
      </c>
      <c r="O403" s="44"/>
      <c r="P403" s="45">
        <f t="shared" si="190"/>
        <v>1</v>
      </c>
      <c r="Q403" s="46" t="str">
        <f t="shared" si="191"/>
        <v>14:34:47</v>
      </c>
      <c r="R403" s="47" t="str">
        <f t="shared" si="192"/>
        <v>34:47</v>
      </c>
      <c r="S403" s="48">
        <f t="shared" si="181"/>
        <v>6</v>
      </c>
      <c r="T403" s="47" t="str">
        <f t="shared" si="193"/>
        <v>14</v>
      </c>
      <c r="U403" s="49">
        <v>34</v>
      </c>
      <c r="V403" s="50">
        <v>53</v>
      </c>
      <c r="W403" s="51" t="str">
        <f t="shared" si="194"/>
        <v>34:53</v>
      </c>
      <c r="X403" s="52" t="s">
        <v>63</v>
      </c>
      <c r="Y403" s="124" t="s">
        <v>82</v>
      </c>
      <c r="Z403" s="124"/>
      <c r="AA403" s="47" t="s">
        <v>59</v>
      </c>
      <c r="AB403" s="47" t="str">
        <f t="shared" si="195"/>
        <v>NA</v>
      </c>
      <c r="AC403" s="53">
        <f t="shared" si="196"/>
        <v>0</v>
      </c>
      <c r="AD403" s="54">
        <f t="shared" si="197"/>
        <v>1</v>
      </c>
      <c r="AE403" s="54"/>
      <c r="AF403" s="54"/>
      <c r="AG403" s="55">
        <v>1</v>
      </c>
      <c r="AH403" s="56">
        <f t="shared" si="199"/>
        <v>6</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f t="shared" si="182"/>
        <v>0</v>
      </c>
      <c r="AX403" s="61" t="str">
        <f t="shared" si="183"/>
        <v/>
      </c>
      <c r="AY403" s="60">
        <f t="shared" si="184"/>
        <v>0</v>
      </c>
      <c r="AZ403" s="61" t="str">
        <f t="shared" si="185"/>
        <v/>
      </c>
    </row>
    <row r="404" spans="1:52" s="3" customFormat="1" hidden="1" x14ac:dyDescent="0.35">
      <c r="A404" s="72">
        <f t="shared" si="186"/>
        <v>2019</v>
      </c>
      <c r="B404" s="72" t="str">
        <f t="shared" si="187"/>
        <v>Nov</v>
      </c>
      <c r="C404" s="73">
        <f t="shared" si="205"/>
        <v>18</v>
      </c>
      <c r="D404" s="74">
        <f t="shared" si="188"/>
        <v>14</v>
      </c>
      <c r="E404" s="75">
        <f t="shared" si="189"/>
        <v>35</v>
      </c>
      <c r="F404" s="79">
        <v>2</v>
      </c>
      <c r="G404" s="82"/>
      <c r="H404" s="68" t="str">
        <f t="shared" si="206"/>
        <v>Senbur0_20191118_14_00</v>
      </c>
      <c r="I404" s="69">
        <f t="shared" si="207"/>
        <v>1</v>
      </c>
      <c r="J404" s="76" t="str">
        <f t="shared" si="207"/>
        <v>Senecio</v>
      </c>
      <c r="K404" s="76" t="str">
        <f t="shared" si="207"/>
        <v>burtoni</v>
      </c>
      <c r="L404" s="77">
        <f t="shared" si="207"/>
        <v>0</v>
      </c>
      <c r="M404" s="77">
        <f t="shared" si="207"/>
        <v>7</v>
      </c>
      <c r="N404" s="71">
        <f t="shared" si="207"/>
        <v>0</v>
      </c>
      <c r="O404" s="44"/>
      <c r="P404" s="45">
        <f t="shared" si="190"/>
        <v>1</v>
      </c>
      <c r="Q404" s="46" t="str">
        <f t="shared" si="191"/>
        <v>14:35:02</v>
      </c>
      <c r="R404" s="47" t="str">
        <f t="shared" si="192"/>
        <v>35:02</v>
      </c>
      <c r="S404" s="48">
        <f t="shared" si="181"/>
        <v>13</v>
      </c>
      <c r="T404" s="47" t="str">
        <f t="shared" si="193"/>
        <v>14</v>
      </c>
      <c r="U404" s="49">
        <v>35</v>
      </c>
      <c r="V404" s="50">
        <v>15</v>
      </c>
      <c r="W404" s="51" t="str">
        <f t="shared" si="194"/>
        <v>35:15</v>
      </c>
      <c r="X404" s="52" t="s">
        <v>63</v>
      </c>
      <c r="Y404" s="124" t="s">
        <v>82</v>
      </c>
      <c r="Z404" s="124"/>
      <c r="AA404" s="47" t="s">
        <v>59</v>
      </c>
      <c r="AB404" s="47" t="str">
        <f t="shared" si="195"/>
        <v>NA</v>
      </c>
      <c r="AC404" s="53">
        <f t="shared" si="196"/>
        <v>0</v>
      </c>
      <c r="AD404" s="54">
        <f t="shared" si="197"/>
        <v>1</v>
      </c>
      <c r="AE404" s="54"/>
      <c r="AF404" s="54"/>
      <c r="AG404" s="55" t="str">
        <f t="shared" si="198"/>
        <v/>
      </c>
      <c r="AH404" s="56" t="str">
        <f t="shared" si="199"/>
        <v/>
      </c>
      <c r="AI404" s="55"/>
      <c r="AJ404" s="56" t="str">
        <f t="shared" si="200"/>
        <v/>
      </c>
      <c r="AK404" s="55"/>
      <c r="AL404" s="56" t="str">
        <f t="shared" si="201"/>
        <v/>
      </c>
      <c r="AM404" s="55">
        <v>1</v>
      </c>
      <c r="AN404" s="56">
        <f t="shared" si="202"/>
        <v>13</v>
      </c>
      <c r="AO404" s="55"/>
      <c r="AP404" s="56" t="str">
        <f t="shared" si="203"/>
        <v/>
      </c>
      <c r="AQ404" s="55"/>
      <c r="AR404" s="56" t="str">
        <f t="shared" si="204"/>
        <v/>
      </c>
      <c r="AS404" s="57"/>
      <c r="AT404" s="58"/>
      <c r="AU404" s="58"/>
      <c r="AV404" s="59"/>
      <c r="AW404" s="60">
        <v>1</v>
      </c>
      <c r="AX404" s="61">
        <f t="shared" si="183"/>
        <v>1</v>
      </c>
      <c r="AY404" s="60">
        <v>1</v>
      </c>
      <c r="AZ404" s="61">
        <f t="shared" si="185"/>
        <v>1</v>
      </c>
    </row>
    <row r="405" spans="1:52" s="3" customFormat="1" hidden="1" x14ac:dyDescent="0.35">
      <c r="A405" s="72">
        <f t="shared" si="186"/>
        <v>2019</v>
      </c>
      <c r="B405" s="72" t="str">
        <f t="shared" si="187"/>
        <v>Nov</v>
      </c>
      <c r="C405" s="73">
        <f t="shared" si="205"/>
        <v>18</v>
      </c>
      <c r="D405" s="74">
        <f t="shared" si="188"/>
        <v>14</v>
      </c>
      <c r="E405" s="75">
        <v>35</v>
      </c>
      <c r="F405" s="79">
        <v>9</v>
      </c>
      <c r="G405" s="82"/>
      <c r="H405" s="68" t="str">
        <f t="shared" si="206"/>
        <v>Senbur0_20191118_14_00</v>
      </c>
      <c r="I405" s="69">
        <f t="shared" ref="I405:N420" si="208">I404</f>
        <v>1</v>
      </c>
      <c r="J405" s="76" t="str">
        <f t="shared" si="208"/>
        <v>Senecio</v>
      </c>
      <c r="K405" s="76" t="str">
        <f t="shared" si="208"/>
        <v>burtoni</v>
      </c>
      <c r="L405" s="77">
        <f t="shared" si="208"/>
        <v>0</v>
      </c>
      <c r="M405" s="77">
        <f t="shared" si="208"/>
        <v>7</v>
      </c>
      <c r="N405" s="71">
        <f t="shared" si="208"/>
        <v>0</v>
      </c>
      <c r="O405" s="44"/>
      <c r="P405" s="45">
        <f t="shared" si="190"/>
        <v>1</v>
      </c>
      <c r="Q405" s="46" t="str">
        <f t="shared" si="191"/>
        <v>14:35:09</v>
      </c>
      <c r="R405" s="47" t="str">
        <f t="shared" si="192"/>
        <v>35:09</v>
      </c>
      <c r="S405" s="48">
        <f t="shared" si="181"/>
        <v>16</v>
      </c>
      <c r="T405" s="47" t="str">
        <f t="shared" si="193"/>
        <v>14</v>
      </c>
      <c r="U405" s="49">
        <v>35</v>
      </c>
      <c r="V405" s="50">
        <v>25</v>
      </c>
      <c r="W405" s="51" t="str">
        <f t="shared" si="194"/>
        <v>35:25</v>
      </c>
      <c r="X405" s="52" t="s">
        <v>63</v>
      </c>
      <c r="Y405" s="124" t="s">
        <v>82</v>
      </c>
      <c r="Z405" s="124"/>
      <c r="AA405" s="47" t="s">
        <v>59</v>
      </c>
      <c r="AB405" s="47" t="str">
        <f t="shared" si="195"/>
        <v>NA</v>
      </c>
      <c r="AC405" s="53">
        <f t="shared" si="196"/>
        <v>0</v>
      </c>
      <c r="AD405" s="54">
        <f t="shared" si="197"/>
        <v>1</v>
      </c>
      <c r="AE405" s="54"/>
      <c r="AF405" s="54"/>
      <c r="AG405" s="55">
        <v>1</v>
      </c>
      <c r="AH405" s="56">
        <v>5</v>
      </c>
      <c r="AI405" s="55"/>
      <c r="AJ405" s="56" t="str">
        <f t="shared" si="200"/>
        <v/>
      </c>
      <c r="AK405" s="55"/>
      <c r="AL405" s="56" t="str">
        <f t="shared" si="201"/>
        <v/>
      </c>
      <c r="AM405" s="55">
        <v>1</v>
      </c>
      <c r="AN405" s="56">
        <v>11</v>
      </c>
      <c r="AO405" s="55"/>
      <c r="AP405" s="56" t="str">
        <f t="shared" si="203"/>
        <v/>
      </c>
      <c r="AQ405" s="55"/>
      <c r="AR405" s="56" t="str">
        <f t="shared" si="204"/>
        <v/>
      </c>
      <c r="AS405" s="57"/>
      <c r="AT405" s="58"/>
      <c r="AU405" s="58"/>
      <c r="AV405" s="59"/>
      <c r="AW405" s="60">
        <v>1</v>
      </c>
      <c r="AX405" s="61">
        <f t="shared" si="183"/>
        <v>1</v>
      </c>
      <c r="AY405" s="60">
        <v>1</v>
      </c>
      <c r="AZ405" s="61">
        <f t="shared" si="185"/>
        <v>1</v>
      </c>
    </row>
    <row r="406" spans="1:52" s="3" customFormat="1" hidden="1" x14ac:dyDescent="0.35">
      <c r="A406" s="72">
        <f t="shared" si="186"/>
        <v>2019</v>
      </c>
      <c r="B406" s="72" t="str">
        <f t="shared" si="187"/>
        <v>Nov</v>
      </c>
      <c r="C406" s="73">
        <f t="shared" si="205"/>
        <v>18</v>
      </c>
      <c r="D406" s="74">
        <f t="shared" si="188"/>
        <v>14</v>
      </c>
      <c r="E406" s="75">
        <v>35</v>
      </c>
      <c r="F406" s="79">
        <v>13</v>
      </c>
      <c r="G406" s="82"/>
      <c r="H406" s="68" t="str">
        <f t="shared" si="206"/>
        <v>Senbur0_20191118_14_00</v>
      </c>
      <c r="I406" s="69">
        <f t="shared" si="208"/>
        <v>1</v>
      </c>
      <c r="J406" s="76" t="str">
        <f t="shared" si="208"/>
        <v>Senecio</v>
      </c>
      <c r="K406" s="76" t="str">
        <f t="shared" si="208"/>
        <v>burtoni</v>
      </c>
      <c r="L406" s="77">
        <f t="shared" si="208"/>
        <v>0</v>
      </c>
      <c r="M406" s="77">
        <f t="shared" si="208"/>
        <v>7</v>
      </c>
      <c r="N406" s="71">
        <f t="shared" si="208"/>
        <v>0</v>
      </c>
      <c r="O406" s="44"/>
      <c r="P406" s="45">
        <f t="shared" si="190"/>
        <v>1</v>
      </c>
      <c r="Q406" s="46" t="str">
        <f t="shared" si="191"/>
        <v>14:35:13</v>
      </c>
      <c r="R406" s="47" t="str">
        <f t="shared" si="192"/>
        <v>35:13</v>
      </c>
      <c r="S406" s="48">
        <f t="shared" si="181"/>
        <v>13</v>
      </c>
      <c r="T406" s="47" t="str">
        <f t="shared" si="193"/>
        <v>14</v>
      </c>
      <c r="U406" s="49">
        <v>35</v>
      </c>
      <c r="V406" s="50">
        <v>26</v>
      </c>
      <c r="W406" s="51" t="str">
        <f t="shared" si="194"/>
        <v>35:26</v>
      </c>
      <c r="X406" s="52" t="s">
        <v>63</v>
      </c>
      <c r="Y406" s="124" t="s">
        <v>82</v>
      </c>
      <c r="Z406" s="124"/>
      <c r="AA406" s="47" t="s">
        <v>59</v>
      </c>
      <c r="AB406" s="47" t="str">
        <f t="shared" si="195"/>
        <v>NA</v>
      </c>
      <c r="AC406" s="53">
        <f t="shared" si="196"/>
        <v>0</v>
      </c>
      <c r="AD406" s="54">
        <v>2</v>
      </c>
      <c r="AE406" s="54"/>
      <c r="AF406" s="54"/>
      <c r="AG406" s="55">
        <v>1</v>
      </c>
      <c r="AH406" s="56">
        <v>7</v>
      </c>
      <c r="AI406" s="55"/>
      <c r="AJ406" s="56" t="str">
        <f t="shared" si="200"/>
        <v/>
      </c>
      <c r="AK406" s="55"/>
      <c r="AL406" s="56" t="str">
        <f t="shared" si="201"/>
        <v/>
      </c>
      <c r="AM406" s="55">
        <v>1</v>
      </c>
      <c r="AN406" s="56">
        <v>6</v>
      </c>
      <c r="AO406" s="55"/>
      <c r="AP406" s="56" t="str">
        <f t="shared" si="203"/>
        <v/>
      </c>
      <c r="AQ406" s="55"/>
      <c r="AR406" s="56" t="str">
        <f t="shared" si="204"/>
        <v/>
      </c>
      <c r="AS406" s="57"/>
      <c r="AT406" s="58"/>
      <c r="AU406" s="58"/>
      <c r="AV406" s="59"/>
      <c r="AW406" s="60">
        <v>1</v>
      </c>
      <c r="AX406" s="61">
        <f t="shared" si="183"/>
        <v>2</v>
      </c>
      <c r="AY406" s="60">
        <f t="shared" si="184"/>
        <v>0</v>
      </c>
      <c r="AZ406" s="61" t="str">
        <f t="shared" si="185"/>
        <v/>
      </c>
    </row>
    <row r="407" spans="1:52" s="3" customFormat="1" hidden="1" x14ac:dyDescent="0.35">
      <c r="A407" s="72">
        <f t="shared" si="186"/>
        <v>2019</v>
      </c>
      <c r="B407" s="72" t="str">
        <f t="shared" si="187"/>
        <v>Nov</v>
      </c>
      <c r="C407" s="73">
        <f t="shared" si="205"/>
        <v>18</v>
      </c>
      <c r="D407" s="74">
        <f t="shared" si="188"/>
        <v>14</v>
      </c>
      <c r="E407" s="75">
        <f t="shared" si="189"/>
        <v>36</v>
      </c>
      <c r="F407" s="79">
        <v>36</v>
      </c>
      <c r="G407" s="82"/>
      <c r="H407" s="68" t="str">
        <f t="shared" si="206"/>
        <v>Senbur0_20191118_14_00</v>
      </c>
      <c r="I407" s="69">
        <f t="shared" si="208"/>
        <v>1</v>
      </c>
      <c r="J407" s="76" t="str">
        <f t="shared" si="208"/>
        <v>Senecio</v>
      </c>
      <c r="K407" s="76" t="str">
        <f t="shared" si="208"/>
        <v>burtoni</v>
      </c>
      <c r="L407" s="77">
        <f t="shared" si="208"/>
        <v>0</v>
      </c>
      <c r="M407" s="77">
        <f t="shared" si="208"/>
        <v>7</v>
      </c>
      <c r="N407" s="71">
        <f t="shared" si="208"/>
        <v>0</v>
      </c>
      <c r="O407" s="44"/>
      <c r="P407" s="45">
        <f t="shared" si="190"/>
        <v>1</v>
      </c>
      <c r="Q407" s="46" t="str">
        <f t="shared" si="191"/>
        <v>14:36:36</v>
      </c>
      <c r="R407" s="47" t="str">
        <f t="shared" si="192"/>
        <v>36:36</v>
      </c>
      <c r="S407" s="48">
        <f t="shared" si="181"/>
        <v>4</v>
      </c>
      <c r="T407" s="47" t="str">
        <f t="shared" si="193"/>
        <v>14</v>
      </c>
      <c r="U407" s="49">
        <v>36</v>
      </c>
      <c r="V407" s="50">
        <v>40</v>
      </c>
      <c r="W407" s="51" t="str">
        <f t="shared" si="194"/>
        <v>36:40</v>
      </c>
      <c r="X407" s="52" t="s">
        <v>63</v>
      </c>
      <c r="Y407" s="124" t="s">
        <v>86</v>
      </c>
      <c r="Z407" s="124"/>
      <c r="AA407" s="47" t="s">
        <v>59</v>
      </c>
      <c r="AB407" s="47" t="str">
        <f t="shared" si="195"/>
        <v>NA</v>
      </c>
      <c r="AC407" s="53">
        <f t="shared" si="196"/>
        <v>0</v>
      </c>
      <c r="AD407" s="54">
        <v>2</v>
      </c>
      <c r="AE407" s="54"/>
      <c r="AF407" s="54"/>
      <c r="AG407" s="55">
        <v>1</v>
      </c>
      <c r="AH407" s="56">
        <f t="shared" si="199"/>
        <v>4</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v>1</v>
      </c>
      <c r="AX407" s="61">
        <f t="shared" si="183"/>
        <v>2</v>
      </c>
      <c r="AY407" s="60">
        <f t="shared" si="184"/>
        <v>0</v>
      </c>
      <c r="AZ407" s="61" t="str">
        <f t="shared" si="185"/>
        <v/>
      </c>
    </row>
    <row r="408" spans="1:52" s="3" customFormat="1" hidden="1" x14ac:dyDescent="0.35">
      <c r="A408" s="72">
        <f t="shared" si="186"/>
        <v>2019</v>
      </c>
      <c r="B408" s="72" t="str">
        <f t="shared" si="187"/>
        <v>Nov</v>
      </c>
      <c r="C408" s="73">
        <f t="shared" si="205"/>
        <v>18</v>
      </c>
      <c r="D408" s="74">
        <f t="shared" si="188"/>
        <v>14</v>
      </c>
      <c r="E408" s="75">
        <v>36</v>
      </c>
      <c r="F408" s="79">
        <v>52</v>
      </c>
      <c r="G408" s="82"/>
      <c r="H408" s="68" t="str">
        <f t="shared" si="206"/>
        <v>Senbur0_20191118_14_00</v>
      </c>
      <c r="I408" s="69">
        <f t="shared" si="208"/>
        <v>1</v>
      </c>
      <c r="J408" s="76" t="str">
        <f t="shared" si="208"/>
        <v>Senecio</v>
      </c>
      <c r="K408" s="76" t="str">
        <f t="shared" si="208"/>
        <v>burtoni</v>
      </c>
      <c r="L408" s="77">
        <f t="shared" si="208"/>
        <v>0</v>
      </c>
      <c r="M408" s="77">
        <f t="shared" si="208"/>
        <v>7</v>
      </c>
      <c r="N408" s="71">
        <f t="shared" si="208"/>
        <v>0</v>
      </c>
      <c r="O408" s="44"/>
      <c r="P408" s="45">
        <f t="shared" si="190"/>
        <v>1</v>
      </c>
      <c r="Q408" s="46" t="str">
        <f t="shared" si="191"/>
        <v>14:36:52</v>
      </c>
      <c r="R408" s="47" t="str">
        <f t="shared" si="192"/>
        <v>36:52</v>
      </c>
      <c r="S408" s="48">
        <f t="shared" si="181"/>
        <v>124</v>
      </c>
      <c r="T408" s="47" t="str">
        <f t="shared" si="193"/>
        <v>14</v>
      </c>
      <c r="U408" s="49">
        <v>38</v>
      </c>
      <c r="V408" s="50">
        <v>56</v>
      </c>
      <c r="W408" s="51" t="str">
        <f t="shared" si="194"/>
        <v>38:56</v>
      </c>
      <c r="X408" s="52" t="s">
        <v>63</v>
      </c>
      <c r="Y408" s="124" t="s">
        <v>82</v>
      </c>
      <c r="Z408" s="124"/>
      <c r="AA408" s="47" t="s">
        <v>59</v>
      </c>
      <c r="AB408" s="47" t="str">
        <f t="shared" si="195"/>
        <v>NA</v>
      </c>
      <c r="AC408" s="53">
        <f t="shared" si="196"/>
        <v>0</v>
      </c>
      <c r="AD408" s="54">
        <v>2</v>
      </c>
      <c r="AE408" s="54"/>
      <c r="AF408" s="54"/>
      <c r="AG408" s="55">
        <v>1</v>
      </c>
      <c r="AH408" s="56">
        <v>24</v>
      </c>
      <c r="AI408" s="55"/>
      <c r="AJ408" s="56" t="str">
        <f t="shared" si="200"/>
        <v/>
      </c>
      <c r="AK408" s="55"/>
      <c r="AL408" s="56" t="str">
        <f t="shared" si="201"/>
        <v/>
      </c>
      <c r="AM408" s="55">
        <v>1</v>
      </c>
      <c r="AN408" s="56">
        <v>100</v>
      </c>
      <c r="AO408" s="55"/>
      <c r="AP408" s="56" t="str">
        <f t="shared" si="203"/>
        <v/>
      </c>
      <c r="AQ408" s="55"/>
      <c r="AR408" s="56" t="str">
        <f t="shared" si="204"/>
        <v/>
      </c>
      <c r="AS408" s="57"/>
      <c r="AT408" s="58"/>
      <c r="AU408" s="58"/>
      <c r="AV408" s="59"/>
      <c r="AW408" s="60">
        <v>1</v>
      </c>
      <c r="AX408" s="61">
        <f t="shared" si="183"/>
        <v>2</v>
      </c>
      <c r="AY408" s="60">
        <v>1</v>
      </c>
      <c r="AZ408" s="61">
        <f t="shared" si="185"/>
        <v>2</v>
      </c>
    </row>
    <row r="409" spans="1:52" s="3" customFormat="1" hidden="1" x14ac:dyDescent="0.35">
      <c r="A409" s="72">
        <f t="shared" si="186"/>
        <v>2019</v>
      </c>
      <c r="B409" s="72" t="str">
        <f t="shared" si="187"/>
        <v>Nov</v>
      </c>
      <c r="C409" s="73">
        <f t="shared" si="205"/>
        <v>18</v>
      </c>
      <c r="D409" s="74">
        <f t="shared" si="188"/>
        <v>14</v>
      </c>
      <c r="E409" s="75">
        <f t="shared" si="189"/>
        <v>37</v>
      </c>
      <c r="F409" s="79">
        <v>19</v>
      </c>
      <c r="G409" s="82"/>
      <c r="H409" s="68" t="str">
        <f t="shared" si="206"/>
        <v>Senbur0_20191118_14_00</v>
      </c>
      <c r="I409" s="69">
        <f t="shared" si="208"/>
        <v>1</v>
      </c>
      <c r="J409" s="76" t="str">
        <f t="shared" si="208"/>
        <v>Senecio</v>
      </c>
      <c r="K409" s="76" t="str">
        <f t="shared" si="208"/>
        <v>burtoni</v>
      </c>
      <c r="L409" s="77">
        <f t="shared" si="208"/>
        <v>0</v>
      </c>
      <c r="M409" s="77">
        <f t="shared" si="208"/>
        <v>7</v>
      </c>
      <c r="N409" s="71">
        <f t="shared" si="208"/>
        <v>0</v>
      </c>
      <c r="O409" s="44"/>
      <c r="P409" s="45">
        <f t="shared" si="190"/>
        <v>1</v>
      </c>
      <c r="Q409" s="46" t="str">
        <f t="shared" si="191"/>
        <v>14:37:19</v>
      </c>
      <c r="R409" s="47" t="str">
        <f t="shared" si="192"/>
        <v>37:19</v>
      </c>
      <c r="S409" s="48">
        <f t="shared" si="181"/>
        <v>25</v>
      </c>
      <c r="T409" s="47" t="str">
        <f t="shared" si="193"/>
        <v>14</v>
      </c>
      <c r="U409" s="49">
        <v>37</v>
      </c>
      <c r="V409" s="50">
        <v>44</v>
      </c>
      <c r="W409" s="51" t="str">
        <f t="shared" si="194"/>
        <v>37:44</v>
      </c>
      <c r="X409" s="52" t="s">
        <v>63</v>
      </c>
      <c r="Y409" s="124" t="s">
        <v>82</v>
      </c>
      <c r="Z409" s="124"/>
      <c r="AA409" s="47" t="s">
        <v>59</v>
      </c>
      <c r="AB409" s="47" t="str">
        <f t="shared" si="195"/>
        <v>NA</v>
      </c>
      <c r="AC409" s="53">
        <f t="shared" si="196"/>
        <v>0</v>
      </c>
      <c r="AD409" s="54">
        <f t="shared" si="197"/>
        <v>1</v>
      </c>
      <c r="AE409" s="54"/>
      <c r="AF409" s="54"/>
      <c r="AG409" s="55">
        <v>1</v>
      </c>
      <c r="AH409" s="56">
        <v>13</v>
      </c>
      <c r="AI409" s="55"/>
      <c r="AJ409" s="56" t="str">
        <f t="shared" si="200"/>
        <v/>
      </c>
      <c r="AK409" s="55"/>
      <c r="AL409" s="56" t="str">
        <f t="shared" si="201"/>
        <v/>
      </c>
      <c r="AM409" s="55">
        <v>1</v>
      </c>
      <c r="AN409" s="56">
        <v>12</v>
      </c>
      <c r="AO409" s="55"/>
      <c r="AP409" s="56" t="str">
        <f t="shared" si="203"/>
        <v/>
      </c>
      <c r="AQ409" s="55"/>
      <c r="AR409" s="56" t="str">
        <f t="shared" si="204"/>
        <v/>
      </c>
      <c r="AS409" s="57"/>
      <c r="AT409" s="58"/>
      <c r="AU409" s="58"/>
      <c r="AV409" s="59"/>
      <c r="AW409" s="60">
        <v>1</v>
      </c>
      <c r="AX409" s="61">
        <f t="shared" si="183"/>
        <v>1</v>
      </c>
      <c r="AY409" s="60">
        <v>1</v>
      </c>
      <c r="AZ409" s="61">
        <f t="shared" si="185"/>
        <v>1</v>
      </c>
    </row>
    <row r="410" spans="1:52" s="3" customFormat="1" hidden="1" x14ac:dyDescent="0.35">
      <c r="A410" s="72">
        <f t="shared" si="186"/>
        <v>2019</v>
      </c>
      <c r="B410" s="72" t="str">
        <f t="shared" si="187"/>
        <v>Nov</v>
      </c>
      <c r="C410" s="73">
        <f t="shared" si="205"/>
        <v>18</v>
      </c>
      <c r="D410" s="74">
        <f t="shared" si="188"/>
        <v>14</v>
      </c>
      <c r="E410" s="75">
        <f t="shared" si="189"/>
        <v>38</v>
      </c>
      <c r="F410" s="79">
        <v>58</v>
      </c>
      <c r="G410" s="82"/>
      <c r="H410" s="68" t="str">
        <f t="shared" si="206"/>
        <v>Senbur0_20191118_14_00</v>
      </c>
      <c r="I410" s="69">
        <f t="shared" si="208"/>
        <v>1</v>
      </c>
      <c r="J410" s="76" t="str">
        <f t="shared" si="208"/>
        <v>Senecio</v>
      </c>
      <c r="K410" s="76" t="str">
        <f t="shared" si="208"/>
        <v>burtoni</v>
      </c>
      <c r="L410" s="77">
        <f t="shared" si="208"/>
        <v>0</v>
      </c>
      <c r="M410" s="77">
        <f t="shared" si="208"/>
        <v>7</v>
      </c>
      <c r="N410" s="71">
        <f t="shared" si="208"/>
        <v>0</v>
      </c>
      <c r="O410" s="44"/>
      <c r="P410" s="45">
        <f t="shared" si="190"/>
        <v>1</v>
      </c>
      <c r="Q410" s="46" t="str">
        <f t="shared" si="191"/>
        <v>14:38:58</v>
      </c>
      <c r="R410" s="47" t="str">
        <f t="shared" si="192"/>
        <v>38:58</v>
      </c>
      <c r="S410" s="48">
        <f t="shared" si="181"/>
        <v>8</v>
      </c>
      <c r="T410" s="47" t="str">
        <f t="shared" si="193"/>
        <v>14</v>
      </c>
      <c r="U410" s="49">
        <v>39</v>
      </c>
      <c r="V410" s="50">
        <v>6</v>
      </c>
      <c r="W410" s="51" t="str">
        <f t="shared" si="194"/>
        <v>39:06</v>
      </c>
      <c r="X410" s="52" t="s">
        <v>63</v>
      </c>
      <c r="Y410" s="124" t="s">
        <v>82</v>
      </c>
      <c r="Z410" s="124"/>
      <c r="AA410" s="47" t="s">
        <v>59</v>
      </c>
      <c r="AB410" s="47" t="str">
        <f t="shared" si="195"/>
        <v>NA</v>
      </c>
      <c r="AC410" s="53">
        <f t="shared" si="196"/>
        <v>0</v>
      </c>
      <c r="AD410" s="54">
        <f t="shared" si="197"/>
        <v>1</v>
      </c>
      <c r="AE410" s="54"/>
      <c r="AF410" s="54"/>
      <c r="AG410" s="55" t="str">
        <f t="shared" si="198"/>
        <v/>
      </c>
      <c r="AH410" s="56" t="str">
        <f t="shared" si="199"/>
        <v/>
      </c>
      <c r="AI410" s="55"/>
      <c r="AJ410" s="56" t="str">
        <f t="shared" si="200"/>
        <v/>
      </c>
      <c r="AK410" s="55"/>
      <c r="AL410" s="56" t="str">
        <f t="shared" si="201"/>
        <v/>
      </c>
      <c r="AM410" s="55">
        <v>1</v>
      </c>
      <c r="AN410" s="56">
        <f t="shared" si="202"/>
        <v>8</v>
      </c>
      <c r="AO410" s="55"/>
      <c r="AP410" s="56" t="str">
        <f t="shared" si="203"/>
        <v/>
      </c>
      <c r="AQ410" s="55"/>
      <c r="AR410" s="56" t="str">
        <f t="shared" si="204"/>
        <v/>
      </c>
      <c r="AS410" s="57"/>
      <c r="AT410" s="58"/>
      <c r="AU410" s="58"/>
      <c r="AV410" s="59"/>
      <c r="AW410" s="60">
        <v>1</v>
      </c>
      <c r="AX410" s="61">
        <f t="shared" si="183"/>
        <v>1</v>
      </c>
      <c r="AY410" s="60">
        <v>1</v>
      </c>
      <c r="AZ410" s="61">
        <f t="shared" si="185"/>
        <v>1</v>
      </c>
    </row>
    <row r="411" spans="1:52" s="3" customFormat="1" hidden="1" x14ac:dyDescent="0.35">
      <c r="A411" s="72">
        <f t="shared" si="186"/>
        <v>2019</v>
      </c>
      <c r="B411" s="72" t="str">
        <f t="shared" si="187"/>
        <v>Nov</v>
      </c>
      <c r="C411" s="73">
        <f t="shared" si="205"/>
        <v>18</v>
      </c>
      <c r="D411" s="74">
        <f t="shared" si="188"/>
        <v>14</v>
      </c>
      <c r="E411" s="75">
        <f t="shared" si="189"/>
        <v>39</v>
      </c>
      <c r="F411" s="79"/>
      <c r="G411" s="82"/>
      <c r="H411" s="68" t="str">
        <f t="shared" si="206"/>
        <v>Senbur0_20191118_14_00</v>
      </c>
      <c r="I411" s="69">
        <f t="shared" si="208"/>
        <v>1</v>
      </c>
      <c r="J411" s="76" t="str">
        <f t="shared" si="208"/>
        <v>Senecio</v>
      </c>
      <c r="K411" s="76" t="str">
        <f t="shared" si="208"/>
        <v>burtoni</v>
      </c>
      <c r="L411" s="77">
        <f t="shared" si="208"/>
        <v>0</v>
      </c>
      <c r="M411" s="77">
        <f t="shared" si="208"/>
        <v>7</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18</v>
      </c>
      <c r="D412" s="74">
        <f t="shared" si="188"/>
        <v>14</v>
      </c>
      <c r="E412" s="75">
        <f t="shared" si="189"/>
        <v>40</v>
      </c>
      <c r="F412" s="79">
        <v>27</v>
      </c>
      <c r="G412" s="82"/>
      <c r="H412" s="68" t="str">
        <f t="shared" si="206"/>
        <v>Senbur0_20191118_14_00</v>
      </c>
      <c r="I412" s="69">
        <f t="shared" si="208"/>
        <v>1</v>
      </c>
      <c r="J412" s="76" t="str">
        <f t="shared" si="208"/>
        <v>Senecio</v>
      </c>
      <c r="K412" s="76" t="str">
        <f t="shared" si="208"/>
        <v>burtoni</v>
      </c>
      <c r="L412" s="77">
        <f t="shared" si="208"/>
        <v>0</v>
      </c>
      <c r="M412" s="77">
        <f t="shared" si="208"/>
        <v>7</v>
      </c>
      <c r="N412" s="71">
        <f t="shared" si="208"/>
        <v>0</v>
      </c>
      <c r="O412" s="44"/>
      <c r="P412" s="45">
        <f t="shared" si="190"/>
        <v>1</v>
      </c>
      <c r="Q412" s="46" t="str">
        <f t="shared" si="191"/>
        <v>14:40:27</v>
      </c>
      <c r="R412" s="47" t="str">
        <f t="shared" si="192"/>
        <v>40:27</v>
      </c>
      <c r="S412" s="48">
        <f t="shared" si="181"/>
        <v>19</v>
      </c>
      <c r="T412" s="47" t="str">
        <f t="shared" si="193"/>
        <v>14</v>
      </c>
      <c r="U412" s="49">
        <v>40</v>
      </c>
      <c r="V412" s="50">
        <v>46</v>
      </c>
      <c r="W412" s="51" t="str">
        <f t="shared" si="194"/>
        <v>40:46</v>
      </c>
      <c r="X412" s="52" t="s">
        <v>63</v>
      </c>
      <c r="Y412" s="124" t="s">
        <v>82</v>
      </c>
      <c r="Z412" s="124"/>
      <c r="AA412" s="47" t="s">
        <v>59</v>
      </c>
      <c r="AB412" s="47" t="str">
        <f t="shared" si="195"/>
        <v>NA</v>
      </c>
      <c r="AC412" s="53">
        <f t="shared" si="196"/>
        <v>0</v>
      </c>
      <c r="AD412" s="54">
        <f t="shared" si="197"/>
        <v>1</v>
      </c>
      <c r="AE412" s="54"/>
      <c r="AF412" s="54"/>
      <c r="AG412" s="55" t="str">
        <f t="shared" si="198"/>
        <v/>
      </c>
      <c r="AH412" s="56" t="str">
        <f t="shared" si="199"/>
        <v/>
      </c>
      <c r="AI412" s="55"/>
      <c r="AJ412" s="56" t="str">
        <f t="shared" si="200"/>
        <v/>
      </c>
      <c r="AK412" s="55"/>
      <c r="AL412" s="56" t="str">
        <f t="shared" si="201"/>
        <v/>
      </c>
      <c r="AM412" s="55">
        <v>1</v>
      </c>
      <c r="AN412" s="56">
        <f t="shared" si="202"/>
        <v>19</v>
      </c>
      <c r="AO412" s="55"/>
      <c r="AP412" s="56" t="str">
        <f t="shared" si="203"/>
        <v/>
      </c>
      <c r="AQ412" s="55"/>
      <c r="AR412" s="56" t="str">
        <f t="shared" si="204"/>
        <v/>
      </c>
      <c r="AS412" s="57"/>
      <c r="AT412" s="58"/>
      <c r="AU412" s="58"/>
      <c r="AV412" s="59"/>
      <c r="AW412" s="60">
        <v>1</v>
      </c>
      <c r="AX412" s="61">
        <f t="shared" si="183"/>
        <v>1</v>
      </c>
      <c r="AY412" s="60">
        <v>1</v>
      </c>
      <c r="AZ412" s="61">
        <f t="shared" si="185"/>
        <v>1</v>
      </c>
    </row>
    <row r="413" spans="1:52" s="3" customFormat="1" hidden="1" x14ac:dyDescent="0.35">
      <c r="A413" s="72">
        <f t="shared" si="186"/>
        <v>2019</v>
      </c>
      <c r="B413" s="72" t="str">
        <f t="shared" si="187"/>
        <v>Nov</v>
      </c>
      <c r="C413" s="73">
        <f t="shared" si="205"/>
        <v>18</v>
      </c>
      <c r="D413" s="74">
        <f t="shared" si="188"/>
        <v>14</v>
      </c>
      <c r="E413" s="75">
        <f t="shared" si="189"/>
        <v>41</v>
      </c>
      <c r="F413" s="79"/>
      <c r="G413" s="82"/>
      <c r="H413" s="68" t="str">
        <f t="shared" si="206"/>
        <v>Senbur0_20191118_14_00</v>
      </c>
      <c r="I413" s="69">
        <f t="shared" si="208"/>
        <v>1</v>
      </c>
      <c r="J413" s="76" t="str">
        <f t="shared" si="208"/>
        <v>Senecio</v>
      </c>
      <c r="K413" s="76" t="str">
        <f t="shared" si="208"/>
        <v>burtoni</v>
      </c>
      <c r="L413" s="77">
        <f t="shared" si="208"/>
        <v>0</v>
      </c>
      <c r="M413" s="77">
        <f t="shared" si="208"/>
        <v>7</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18</v>
      </c>
      <c r="D414" s="74">
        <f t="shared" si="188"/>
        <v>14</v>
      </c>
      <c r="E414" s="75">
        <f t="shared" si="189"/>
        <v>42</v>
      </c>
      <c r="F414" s="79"/>
      <c r="G414" s="82"/>
      <c r="H414" s="68" t="str">
        <f t="shared" si="206"/>
        <v>Senbur0_20191118_14_00</v>
      </c>
      <c r="I414" s="69">
        <f t="shared" si="208"/>
        <v>1</v>
      </c>
      <c r="J414" s="76" t="str">
        <f t="shared" si="208"/>
        <v>Senecio</v>
      </c>
      <c r="K414" s="76" t="str">
        <f t="shared" si="208"/>
        <v>burtoni</v>
      </c>
      <c r="L414" s="77">
        <f t="shared" si="208"/>
        <v>0</v>
      </c>
      <c r="M414" s="77">
        <f t="shared" si="208"/>
        <v>7</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18</v>
      </c>
      <c r="D415" s="74">
        <f t="shared" si="188"/>
        <v>14</v>
      </c>
      <c r="E415" s="75">
        <f t="shared" si="189"/>
        <v>43</v>
      </c>
      <c r="F415" s="79"/>
      <c r="G415" s="82"/>
      <c r="H415" s="68" t="str">
        <f t="shared" si="206"/>
        <v>Senbur0_20191118_14_00</v>
      </c>
      <c r="I415" s="69">
        <f t="shared" si="208"/>
        <v>1</v>
      </c>
      <c r="J415" s="76" t="str">
        <f t="shared" si="208"/>
        <v>Senecio</v>
      </c>
      <c r="K415" s="76" t="str">
        <f t="shared" si="208"/>
        <v>burtoni</v>
      </c>
      <c r="L415" s="77">
        <f t="shared" si="208"/>
        <v>0</v>
      </c>
      <c r="M415" s="77">
        <f t="shared" si="208"/>
        <v>7</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18</v>
      </c>
      <c r="D416" s="74">
        <f t="shared" si="188"/>
        <v>14</v>
      </c>
      <c r="E416" s="75">
        <f t="shared" si="189"/>
        <v>44</v>
      </c>
      <c r="F416" s="79">
        <v>40</v>
      </c>
      <c r="G416" s="82"/>
      <c r="H416" s="68" t="str">
        <f t="shared" si="206"/>
        <v>Senbur0_20191118_14_00</v>
      </c>
      <c r="I416" s="69">
        <f t="shared" si="208"/>
        <v>1</v>
      </c>
      <c r="J416" s="76" t="str">
        <f t="shared" si="208"/>
        <v>Senecio</v>
      </c>
      <c r="K416" s="76" t="str">
        <f t="shared" si="208"/>
        <v>burtoni</v>
      </c>
      <c r="L416" s="77">
        <f t="shared" si="208"/>
        <v>0</v>
      </c>
      <c r="M416" s="77">
        <f t="shared" si="208"/>
        <v>7</v>
      </c>
      <c r="N416" s="71">
        <f t="shared" si="208"/>
        <v>0</v>
      </c>
      <c r="O416" s="44"/>
      <c r="P416" s="45">
        <f t="shared" si="190"/>
        <v>1</v>
      </c>
      <c r="Q416" s="46" t="str">
        <f t="shared" si="191"/>
        <v>14:44:40</v>
      </c>
      <c r="R416" s="47" t="str">
        <f t="shared" si="192"/>
        <v>44:40</v>
      </c>
      <c r="S416" s="48">
        <f t="shared" si="181"/>
        <v>36</v>
      </c>
      <c r="T416" s="47" t="str">
        <f t="shared" si="193"/>
        <v>14</v>
      </c>
      <c r="U416" s="49">
        <v>45</v>
      </c>
      <c r="V416" s="50">
        <v>16</v>
      </c>
      <c r="W416" s="51" t="str">
        <f t="shared" si="194"/>
        <v>45:16</v>
      </c>
      <c r="X416" s="52" t="s">
        <v>73</v>
      </c>
      <c r="Y416" s="124" t="s">
        <v>94</v>
      </c>
      <c r="Z416" s="124"/>
      <c r="AA416" s="47" t="s">
        <v>59</v>
      </c>
      <c r="AB416" s="47" t="str">
        <f t="shared" si="195"/>
        <v>NA</v>
      </c>
      <c r="AC416" s="53">
        <f t="shared" si="196"/>
        <v>0</v>
      </c>
      <c r="AD416" s="54">
        <f t="shared" si="197"/>
        <v>1</v>
      </c>
      <c r="AE416" s="54"/>
      <c r="AF416" s="54"/>
      <c r="AG416" s="55">
        <v>1</v>
      </c>
      <c r="AH416" s="56">
        <f t="shared" si="199"/>
        <v>36</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f t="shared" si="182"/>
        <v>0</v>
      </c>
      <c r="AX416" s="61" t="str">
        <f t="shared" si="183"/>
        <v/>
      </c>
      <c r="AY416" s="60">
        <f t="shared" si="184"/>
        <v>0</v>
      </c>
      <c r="AZ416" s="61" t="str">
        <f t="shared" si="185"/>
        <v/>
      </c>
    </row>
    <row r="417" spans="1:52" s="3" customFormat="1" hidden="1" x14ac:dyDescent="0.35">
      <c r="A417" s="72">
        <f t="shared" si="186"/>
        <v>2019</v>
      </c>
      <c r="B417" s="72" t="str">
        <f t="shared" si="187"/>
        <v>Nov</v>
      </c>
      <c r="C417" s="73">
        <f t="shared" si="205"/>
        <v>18</v>
      </c>
      <c r="D417" s="74">
        <f t="shared" si="188"/>
        <v>14</v>
      </c>
      <c r="E417" s="75">
        <f t="shared" si="189"/>
        <v>45</v>
      </c>
      <c r="F417" s="79"/>
      <c r="G417" s="82"/>
      <c r="H417" s="68" t="str">
        <f t="shared" si="206"/>
        <v>Senbur0_20191118_14_00</v>
      </c>
      <c r="I417" s="69">
        <f t="shared" si="208"/>
        <v>1</v>
      </c>
      <c r="J417" s="76" t="str">
        <f t="shared" si="208"/>
        <v>Senecio</v>
      </c>
      <c r="K417" s="76" t="str">
        <f t="shared" si="208"/>
        <v>burtoni</v>
      </c>
      <c r="L417" s="77">
        <f t="shared" si="208"/>
        <v>0</v>
      </c>
      <c r="M417" s="77">
        <f t="shared" si="208"/>
        <v>7</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18</v>
      </c>
      <c r="D418" s="74">
        <f t="shared" si="188"/>
        <v>14</v>
      </c>
      <c r="E418" s="75">
        <f t="shared" si="189"/>
        <v>46</v>
      </c>
      <c r="F418" s="79"/>
      <c r="G418" s="82"/>
      <c r="H418" s="68" t="str">
        <f t="shared" si="206"/>
        <v>Senbur0_20191118_14_00</v>
      </c>
      <c r="I418" s="69">
        <f t="shared" si="208"/>
        <v>1</v>
      </c>
      <c r="J418" s="76" t="str">
        <f t="shared" si="208"/>
        <v>Senecio</v>
      </c>
      <c r="K418" s="76" t="str">
        <f t="shared" si="208"/>
        <v>burtoni</v>
      </c>
      <c r="L418" s="77">
        <f t="shared" si="208"/>
        <v>0</v>
      </c>
      <c r="M418" s="77">
        <f t="shared" si="208"/>
        <v>7</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18</v>
      </c>
      <c r="D419" s="74">
        <f t="shared" si="188"/>
        <v>14</v>
      </c>
      <c r="E419" s="75">
        <f t="shared" si="189"/>
        <v>47</v>
      </c>
      <c r="F419" s="79"/>
      <c r="G419" s="82"/>
      <c r="H419" s="68" t="str">
        <f t="shared" si="206"/>
        <v>Senbur0_20191118_14_00</v>
      </c>
      <c r="I419" s="69">
        <f t="shared" si="208"/>
        <v>1</v>
      </c>
      <c r="J419" s="76" t="str">
        <f t="shared" si="208"/>
        <v>Senecio</v>
      </c>
      <c r="K419" s="76" t="str">
        <f t="shared" si="208"/>
        <v>burtoni</v>
      </c>
      <c r="L419" s="77">
        <f t="shared" si="208"/>
        <v>0</v>
      </c>
      <c r="M419" s="77">
        <f t="shared" si="208"/>
        <v>7</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18</v>
      </c>
      <c r="D420" s="74">
        <f t="shared" si="188"/>
        <v>14</v>
      </c>
      <c r="E420" s="75">
        <f t="shared" si="189"/>
        <v>48</v>
      </c>
      <c r="F420" s="79"/>
      <c r="G420" s="82"/>
      <c r="H420" s="68" t="str">
        <f t="shared" si="206"/>
        <v>Senbur0_20191118_14_00</v>
      </c>
      <c r="I420" s="69">
        <f t="shared" si="208"/>
        <v>1</v>
      </c>
      <c r="J420" s="76" t="str">
        <f t="shared" si="208"/>
        <v>Senecio</v>
      </c>
      <c r="K420" s="76" t="str">
        <f t="shared" si="208"/>
        <v>burtoni</v>
      </c>
      <c r="L420" s="77">
        <f t="shared" si="208"/>
        <v>0</v>
      </c>
      <c r="M420" s="77">
        <f t="shared" si="208"/>
        <v>7</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18</v>
      </c>
      <c r="D421" s="74">
        <f t="shared" si="188"/>
        <v>14</v>
      </c>
      <c r="E421" s="75">
        <f t="shared" si="189"/>
        <v>49</v>
      </c>
      <c r="F421" s="79"/>
      <c r="G421" s="82"/>
      <c r="H421" s="68" t="str">
        <f t="shared" si="206"/>
        <v>Senbur0_20191118_14_00</v>
      </c>
      <c r="I421" s="69">
        <f t="shared" ref="I421:N436" si="209">I420</f>
        <v>1</v>
      </c>
      <c r="J421" s="76" t="str">
        <f t="shared" si="209"/>
        <v>Senecio</v>
      </c>
      <c r="K421" s="76" t="str">
        <f t="shared" si="209"/>
        <v>burtoni</v>
      </c>
      <c r="L421" s="77">
        <f t="shared" si="209"/>
        <v>0</v>
      </c>
      <c r="M421" s="77">
        <f t="shared" si="209"/>
        <v>7</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18</v>
      </c>
      <c r="D422" s="74">
        <f t="shared" si="188"/>
        <v>14</v>
      </c>
      <c r="E422" s="75">
        <f t="shared" si="189"/>
        <v>50</v>
      </c>
      <c r="F422" s="79">
        <v>36</v>
      </c>
      <c r="G422" s="82"/>
      <c r="H422" s="68" t="str">
        <f t="shared" si="206"/>
        <v>Senbur0_20191118_14_00</v>
      </c>
      <c r="I422" s="69">
        <f t="shared" si="209"/>
        <v>1</v>
      </c>
      <c r="J422" s="76" t="str">
        <f t="shared" si="209"/>
        <v>Senecio</v>
      </c>
      <c r="K422" s="76" t="str">
        <f t="shared" si="209"/>
        <v>burtoni</v>
      </c>
      <c r="L422" s="77">
        <f t="shared" si="209"/>
        <v>0</v>
      </c>
      <c r="M422" s="77">
        <f t="shared" si="209"/>
        <v>7</v>
      </c>
      <c r="N422" s="71">
        <f t="shared" si="209"/>
        <v>0</v>
      </c>
      <c r="O422" s="44"/>
      <c r="P422" s="45">
        <f t="shared" si="190"/>
        <v>1</v>
      </c>
      <c r="Q422" s="46" t="str">
        <f t="shared" si="191"/>
        <v>14:50:36</v>
      </c>
      <c r="R422" s="47" t="str">
        <f t="shared" si="192"/>
        <v>50:36</v>
      </c>
      <c r="S422" s="48">
        <f t="shared" si="181"/>
        <v>181</v>
      </c>
      <c r="T422" s="47" t="str">
        <f t="shared" si="193"/>
        <v>14</v>
      </c>
      <c r="U422" s="49">
        <v>53</v>
      </c>
      <c r="V422" s="50">
        <v>37</v>
      </c>
      <c r="W422" s="51" t="str">
        <f t="shared" si="194"/>
        <v>53:37</v>
      </c>
      <c r="X422" s="52" t="s">
        <v>63</v>
      </c>
      <c r="Y422" s="124" t="s">
        <v>82</v>
      </c>
      <c r="Z422" s="124"/>
      <c r="AA422" s="47" t="s">
        <v>59</v>
      </c>
      <c r="AB422" s="47" t="str">
        <f t="shared" si="195"/>
        <v>NA</v>
      </c>
      <c r="AC422" s="53">
        <f t="shared" si="196"/>
        <v>0</v>
      </c>
      <c r="AD422" s="54">
        <v>2</v>
      </c>
      <c r="AE422" s="54"/>
      <c r="AF422" s="54"/>
      <c r="AG422" s="55">
        <v>1</v>
      </c>
      <c r="AH422" s="56">
        <v>21</v>
      </c>
      <c r="AI422" s="55"/>
      <c r="AJ422" s="56" t="str">
        <f t="shared" si="200"/>
        <v/>
      </c>
      <c r="AK422" s="55"/>
      <c r="AL422" s="56" t="str">
        <f t="shared" si="201"/>
        <v/>
      </c>
      <c r="AM422" s="55">
        <v>1</v>
      </c>
      <c r="AN422" s="56">
        <v>160</v>
      </c>
      <c r="AO422" s="55"/>
      <c r="AP422" s="56" t="str">
        <f t="shared" si="203"/>
        <v/>
      </c>
      <c r="AQ422" s="55"/>
      <c r="AR422" s="56" t="str">
        <f t="shared" si="204"/>
        <v/>
      </c>
      <c r="AS422" s="57"/>
      <c r="AT422" s="58"/>
      <c r="AU422" s="58"/>
      <c r="AV422" s="59"/>
      <c r="AW422" s="60">
        <v>1</v>
      </c>
      <c r="AX422" s="61">
        <f t="shared" si="183"/>
        <v>2</v>
      </c>
      <c r="AY422" s="60">
        <v>1</v>
      </c>
      <c r="AZ422" s="61">
        <f t="shared" si="185"/>
        <v>2</v>
      </c>
    </row>
    <row r="423" spans="1:52" s="3" customFormat="1" hidden="1" x14ac:dyDescent="0.35">
      <c r="A423" s="72">
        <f t="shared" si="186"/>
        <v>2019</v>
      </c>
      <c r="B423" s="72" t="str">
        <f t="shared" si="187"/>
        <v>Nov</v>
      </c>
      <c r="C423" s="73">
        <f t="shared" si="205"/>
        <v>18</v>
      </c>
      <c r="D423" s="74">
        <f t="shared" si="188"/>
        <v>14</v>
      </c>
      <c r="E423" s="75">
        <f t="shared" si="189"/>
        <v>51</v>
      </c>
      <c r="F423" s="79"/>
      <c r="G423" s="82"/>
      <c r="H423" s="68" t="str">
        <f t="shared" si="206"/>
        <v>Senbur0_20191118_14_00</v>
      </c>
      <c r="I423" s="69">
        <f t="shared" si="209"/>
        <v>1</v>
      </c>
      <c r="J423" s="76" t="str">
        <f t="shared" si="209"/>
        <v>Senecio</v>
      </c>
      <c r="K423" s="76" t="str">
        <f t="shared" si="209"/>
        <v>burtoni</v>
      </c>
      <c r="L423" s="77">
        <f t="shared" si="209"/>
        <v>0</v>
      </c>
      <c r="M423" s="77">
        <f t="shared" si="209"/>
        <v>7</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18</v>
      </c>
      <c r="D424" s="74">
        <f t="shared" si="188"/>
        <v>14</v>
      </c>
      <c r="E424" s="75">
        <f t="shared" si="189"/>
        <v>52</v>
      </c>
      <c r="F424" s="79"/>
      <c r="G424" s="82"/>
      <c r="H424" s="68" t="str">
        <f t="shared" si="206"/>
        <v>Senbur0_20191118_14_00</v>
      </c>
      <c r="I424" s="69">
        <f t="shared" si="209"/>
        <v>1</v>
      </c>
      <c r="J424" s="76" t="str">
        <f t="shared" si="209"/>
        <v>Senecio</v>
      </c>
      <c r="K424" s="76" t="str">
        <f t="shared" si="209"/>
        <v>burtoni</v>
      </c>
      <c r="L424" s="77">
        <f t="shared" si="209"/>
        <v>0</v>
      </c>
      <c r="M424" s="77">
        <f t="shared" si="209"/>
        <v>7</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18</v>
      </c>
      <c r="D425" s="74">
        <f t="shared" si="188"/>
        <v>14</v>
      </c>
      <c r="E425" s="75">
        <f t="shared" si="189"/>
        <v>53</v>
      </c>
      <c r="F425" s="79"/>
      <c r="G425" s="82"/>
      <c r="H425" s="68" t="str">
        <f t="shared" si="206"/>
        <v>Senbur0_20191118_14_00</v>
      </c>
      <c r="I425" s="69">
        <f t="shared" si="209"/>
        <v>1</v>
      </c>
      <c r="J425" s="76" t="str">
        <f t="shared" si="209"/>
        <v>Senecio</v>
      </c>
      <c r="K425" s="76" t="str">
        <f t="shared" si="209"/>
        <v>burtoni</v>
      </c>
      <c r="L425" s="77">
        <f t="shared" si="209"/>
        <v>0</v>
      </c>
      <c r="M425" s="77">
        <f t="shared" si="209"/>
        <v>7</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18</v>
      </c>
      <c r="D426" s="74">
        <f t="shared" si="188"/>
        <v>14</v>
      </c>
      <c r="E426" s="75">
        <f t="shared" si="189"/>
        <v>54</v>
      </c>
      <c r="F426" s="79">
        <v>1</v>
      </c>
      <c r="G426" s="82"/>
      <c r="H426" s="68" t="str">
        <f t="shared" si="206"/>
        <v>Senbur0_20191118_14_00</v>
      </c>
      <c r="I426" s="69">
        <f t="shared" si="209"/>
        <v>1</v>
      </c>
      <c r="J426" s="76" t="str">
        <f t="shared" si="209"/>
        <v>Senecio</v>
      </c>
      <c r="K426" s="76" t="str">
        <f t="shared" si="209"/>
        <v>burtoni</v>
      </c>
      <c r="L426" s="77">
        <f t="shared" si="209"/>
        <v>0</v>
      </c>
      <c r="M426" s="77">
        <f t="shared" si="209"/>
        <v>7</v>
      </c>
      <c r="N426" s="71">
        <f t="shared" si="209"/>
        <v>0</v>
      </c>
      <c r="O426" s="44"/>
      <c r="P426" s="45">
        <f t="shared" si="190"/>
        <v>1</v>
      </c>
      <c r="Q426" s="46" t="str">
        <f t="shared" si="191"/>
        <v>14:54:01</v>
      </c>
      <c r="R426" s="47" t="str">
        <f t="shared" si="192"/>
        <v>54:01</v>
      </c>
      <c r="S426" s="48">
        <f t="shared" si="181"/>
        <v>132</v>
      </c>
      <c r="T426" s="47" t="str">
        <f t="shared" si="193"/>
        <v>14</v>
      </c>
      <c r="U426" s="49">
        <v>56</v>
      </c>
      <c r="V426" s="50">
        <v>13</v>
      </c>
      <c r="W426" s="51" t="str">
        <f t="shared" si="194"/>
        <v>56:13</v>
      </c>
      <c r="X426" s="52" t="s">
        <v>63</v>
      </c>
      <c r="Y426" s="124" t="s">
        <v>82</v>
      </c>
      <c r="Z426" s="124"/>
      <c r="AA426" s="47" t="s">
        <v>59</v>
      </c>
      <c r="AB426" s="47" t="str">
        <f t="shared" si="195"/>
        <v>NA</v>
      </c>
      <c r="AC426" s="53">
        <f t="shared" si="196"/>
        <v>0</v>
      </c>
      <c r="AD426" s="54">
        <f t="shared" si="197"/>
        <v>1</v>
      </c>
      <c r="AE426" s="54"/>
      <c r="AF426" s="54"/>
      <c r="AG426" s="55">
        <v>1</v>
      </c>
      <c r="AH426" s="56">
        <v>32</v>
      </c>
      <c r="AI426" s="55"/>
      <c r="AJ426" s="56" t="str">
        <f t="shared" si="200"/>
        <v/>
      </c>
      <c r="AK426" s="55"/>
      <c r="AL426" s="56" t="str">
        <f t="shared" si="201"/>
        <v/>
      </c>
      <c r="AM426" s="55">
        <v>1</v>
      </c>
      <c r="AN426" s="56">
        <v>100</v>
      </c>
      <c r="AO426" s="55"/>
      <c r="AP426" s="56" t="str">
        <f t="shared" si="203"/>
        <v/>
      </c>
      <c r="AQ426" s="55"/>
      <c r="AR426" s="56" t="str">
        <f t="shared" si="204"/>
        <v/>
      </c>
      <c r="AS426" s="57"/>
      <c r="AT426" s="58"/>
      <c r="AU426" s="58"/>
      <c r="AV426" s="59"/>
      <c r="AW426" s="60">
        <v>1</v>
      </c>
      <c r="AX426" s="61">
        <f t="shared" si="183"/>
        <v>1</v>
      </c>
      <c r="AY426" s="60">
        <v>1</v>
      </c>
      <c r="AZ426" s="61">
        <f t="shared" si="185"/>
        <v>1</v>
      </c>
    </row>
    <row r="427" spans="1:52" s="3" customFormat="1" hidden="1" x14ac:dyDescent="0.35">
      <c r="A427" s="72">
        <f t="shared" si="186"/>
        <v>2019</v>
      </c>
      <c r="B427" s="72" t="str">
        <f t="shared" si="187"/>
        <v>Nov</v>
      </c>
      <c r="C427" s="73">
        <f t="shared" si="205"/>
        <v>18</v>
      </c>
      <c r="D427" s="74">
        <f t="shared" si="188"/>
        <v>14</v>
      </c>
      <c r="E427" s="75">
        <f t="shared" si="189"/>
        <v>55</v>
      </c>
      <c r="F427" s="79"/>
      <c r="G427" s="82"/>
      <c r="H427" s="68" t="str">
        <f t="shared" si="206"/>
        <v>Senbur0_20191118_14_00</v>
      </c>
      <c r="I427" s="69">
        <f t="shared" si="209"/>
        <v>1</v>
      </c>
      <c r="J427" s="76" t="str">
        <f t="shared" si="209"/>
        <v>Senecio</v>
      </c>
      <c r="K427" s="76" t="str">
        <f t="shared" si="209"/>
        <v>burtoni</v>
      </c>
      <c r="L427" s="77">
        <f t="shared" si="209"/>
        <v>0</v>
      </c>
      <c r="M427" s="77">
        <f t="shared" si="209"/>
        <v>7</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18</v>
      </c>
      <c r="D428" s="74">
        <f t="shared" si="188"/>
        <v>14</v>
      </c>
      <c r="E428" s="75">
        <f t="shared" si="189"/>
        <v>56</v>
      </c>
      <c r="F428" s="79"/>
      <c r="G428" s="82"/>
      <c r="H428" s="68" t="str">
        <f t="shared" si="206"/>
        <v>Senbur0_20191118_14_00</v>
      </c>
      <c r="I428" s="69">
        <f t="shared" si="209"/>
        <v>1</v>
      </c>
      <c r="J428" s="76" t="str">
        <f t="shared" si="209"/>
        <v>Senecio</v>
      </c>
      <c r="K428" s="76" t="str">
        <f t="shared" si="209"/>
        <v>burtoni</v>
      </c>
      <c r="L428" s="77">
        <f t="shared" si="209"/>
        <v>0</v>
      </c>
      <c r="M428" s="77">
        <f t="shared" si="209"/>
        <v>7</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18</v>
      </c>
      <c r="D429" s="74">
        <f t="shared" si="188"/>
        <v>14</v>
      </c>
      <c r="E429" s="75">
        <f t="shared" si="189"/>
        <v>57</v>
      </c>
      <c r="F429" s="79"/>
      <c r="G429" s="82"/>
      <c r="H429" s="68" t="str">
        <f t="shared" si="206"/>
        <v>Senbur0_20191118_14_00</v>
      </c>
      <c r="I429" s="69">
        <f t="shared" si="209"/>
        <v>1</v>
      </c>
      <c r="J429" s="76" t="str">
        <f t="shared" si="209"/>
        <v>Senecio</v>
      </c>
      <c r="K429" s="76" t="str">
        <f t="shared" si="209"/>
        <v>burtoni</v>
      </c>
      <c r="L429" s="77">
        <f t="shared" si="209"/>
        <v>0</v>
      </c>
      <c r="M429" s="77">
        <f t="shared" si="209"/>
        <v>7</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18</v>
      </c>
      <c r="D430" s="74">
        <f t="shared" si="188"/>
        <v>14</v>
      </c>
      <c r="E430" s="75">
        <f t="shared" si="189"/>
        <v>58</v>
      </c>
      <c r="F430" s="79">
        <v>12</v>
      </c>
      <c r="G430" s="82"/>
      <c r="H430" s="68" t="str">
        <f t="shared" si="206"/>
        <v>Senbur0_20191118_14_00</v>
      </c>
      <c r="I430" s="69">
        <f t="shared" si="209"/>
        <v>1</v>
      </c>
      <c r="J430" s="76" t="str">
        <f t="shared" si="209"/>
        <v>Senecio</v>
      </c>
      <c r="K430" s="76" t="str">
        <f t="shared" si="209"/>
        <v>burtoni</v>
      </c>
      <c r="L430" s="77">
        <f t="shared" si="209"/>
        <v>0</v>
      </c>
      <c r="M430" s="77">
        <f t="shared" si="209"/>
        <v>7</v>
      </c>
      <c r="N430" s="71">
        <f t="shared" si="209"/>
        <v>0</v>
      </c>
      <c r="O430" s="44"/>
      <c r="P430" s="45">
        <f t="shared" si="190"/>
        <v>1</v>
      </c>
      <c r="Q430" s="46" t="str">
        <f t="shared" si="191"/>
        <v>14:58:12</v>
      </c>
      <c r="R430" s="47" t="str">
        <f t="shared" si="192"/>
        <v>58:12</v>
      </c>
      <c r="S430" s="48">
        <f t="shared" si="181"/>
        <v>168</v>
      </c>
      <c r="T430" s="47">
        <v>15</v>
      </c>
      <c r="U430" s="49">
        <v>1</v>
      </c>
      <c r="V430" s="50">
        <v>0</v>
      </c>
      <c r="W430" s="51" t="str">
        <f t="shared" si="194"/>
        <v>01:00</v>
      </c>
      <c r="X430" s="52" t="s">
        <v>63</v>
      </c>
      <c r="Y430" s="124" t="s">
        <v>82</v>
      </c>
      <c r="Z430" s="124"/>
      <c r="AA430" s="47" t="s">
        <v>59</v>
      </c>
      <c r="AB430" s="47" t="str">
        <f t="shared" si="195"/>
        <v>NA</v>
      </c>
      <c r="AC430" s="53">
        <f t="shared" si="196"/>
        <v>0</v>
      </c>
      <c r="AD430" s="54">
        <v>2</v>
      </c>
      <c r="AE430" s="54"/>
      <c r="AF430" s="54"/>
      <c r="AG430" s="55">
        <v>1</v>
      </c>
      <c r="AH430" s="56">
        <v>38</v>
      </c>
      <c r="AI430" s="55"/>
      <c r="AJ430" s="56" t="str">
        <f t="shared" si="200"/>
        <v/>
      </c>
      <c r="AK430" s="55"/>
      <c r="AL430" s="56" t="str">
        <f t="shared" si="201"/>
        <v/>
      </c>
      <c r="AM430" s="55">
        <v>1</v>
      </c>
      <c r="AN430" s="56">
        <v>130</v>
      </c>
      <c r="AO430" s="55"/>
      <c r="AP430" s="56" t="str">
        <f t="shared" si="203"/>
        <v/>
      </c>
      <c r="AQ430" s="55"/>
      <c r="AR430" s="56" t="str">
        <f t="shared" si="204"/>
        <v/>
      </c>
      <c r="AS430" s="57"/>
      <c r="AT430" s="58"/>
      <c r="AU430" s="58"/>
      <c r="AV430" s="59"/>
      <c r="AW430" s="60">
        <v>1</v>
      </c>
      <c r="AX430" s="61">
        <f t="shared" si="183"/>
        <v>2</v>
      </c>
      <c r="AY430" s="60">
        <v>1</v>
      </c>
      <c r="AZ430" s="61">
        <f t="shared" si="185"/>
        <v>2</v>
      </c>
    </row>
    <row r="431" spans="1:52" s="3" customFormat="1" hidden="1" x14ac:dyDescent="0.35">
      <c r="A431" s="72">
        <f t="shared" si="186"/>
        <v>2019</v>
      </c>
      <c r="B431" s="72" t="str">
        <f t="shared" si="187"/>
        <v>Nov</v>
      </c>
      <c r="C431" s="73">
        <f t="shared" si="205"/>
        <v>18</v>
      </c>
      <c r="D431" s="74">
        <f t="shared" si="188"/>
        <v>14</v>
      </c>
      <c r="E431" s="75">
        <f t="shared" si="189"/>
        <v>59</v>
      </c>
      <c r="F431" s="79"/>
      <c r="G431" s="82"/>
      <c r="H431" s="68" t="str">
        <f t="shared" si="206"/>
        <v>Senbur0_20191118_14_00</v>
      </c>
      <c r="I431" s="69">
        <f t="shared" si="209"/>
        <v>1</v>
      </c>
      <c r="J431" s="76" t="str">
        <f t="shared" si="209"/>
        <v>Senecio</v>
      </c>
      <c r="K431" s="76" t="str">
        <f t="shared" si="209"/>
        <v>burtoni</v>
      </c>
      <c r="L431" s="77">
        <f t="shared" si="209"/>
        <v>0</v>
      </c>
      <c r="M431" s="77">
        <f t="shared" si="209"/>
        <v>7</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18</v>
      </c>
      <c r="D432" s="74">
        <f t="shared" si="188"/>
        <v>15</v>
      </c>
      <c r="E432" s="75">
        <f t="shared" si="189"/>
        <v>0</v>
      </c>
      <c r="F432" s="79">
        <v>3</v>
      </c>
      <c r="G432" s="82"/>
      <c r="H432" s="68" t="str">
        <f t="shared" si="206"/>
        <v>Senbur0_20191118_15_00</v>
      </c>
      <c r="I432" s="69">
        <f t="shared" si="209"/>
        <v>1</v>
      </c>
      <c r="J432" s="76" t="str">
        <f t="shared" si="209"/>
        <v>Senecio</v>
      </c>
      <c r="K432" s="76" t="str">
        <f t="shared" si="209"/>
        <v>burtoni</v>
      </c>
      <c r="L432" s="77">
        <f t="shared" si="209"/>
        <v>0</v>
      </c>
      <c r="M432" s="77">
        <f t="shared" si="209"/>
        <v>7</v>
      </c>
      <c r="N432" s="71">
        <f t="shared" si="209"/>
        <v>0</v>
      </c>
      <c r="O432" s="44"/>
      <c r="P432" s="45">
        <f t="shared" si="190"/>
        <v>1</v>
      </c>
      <c r="Q432" s="46" t="str">
        <f t="shared" si="191"/>
        <v>15:00:03</v>
      </c>
      <c r="R432" s="47" t="str">
        <f t="shared" si="192"/>
        <v>00:03</v>
      </c>
      <c r="S432" s="48">
        <f t="shared" si="181"/>
        <v>38</v>
      </c>
      <c r="T432" s="47" t="str">
        <f t="shared" si="193"/>
        <v>15</v>
      </c>
      <c r="U432" s="49">
        <v>0</v>
      </c>
      <c r="V432" s="50">
        <v>41</v>
      </c>
      <c r="W432" s="51" t="str">
        <f t="shared" si="194"/>
        <v>00:41</v>
      </c>
      <c r="X432" s="52" t="s">
        <v>63</v>
      </c>
      <c r="Y432" s="124" t="s">
        <v>82</v>
      </c>
      <c r="Z432" s="124"/>
      <c r="AA432" s="47" t="s">
        <v>59</v>
      </c>
      <c r="AB432" s="47" t="str">
        <f t="shared" si="195"/>
        <v>NA</v>
      </c>
      <c r="AC432" s="53">
        <f t="shared" si="196"/>
        <v>0</v>
      </c>
      <c r="AD432" s="54">
        <f t="shared" si="197"/>
        <v>1</v>
      </c>
      <c r="AE432" s="54"/>
      <c r="AF432" s="54"/>
      <c r="AG432" s="55" t="str">
        <f t="shared" si="198"/>
        <v/>
      </c>
      <c r="AH432" s="56" t="str">
        <f t="shared" si="199"/>
        <v/>
      </c>
      <c r="AI432" s="55"/>
      <c r="AJ432" s="56" t="str">
        <f t="shared" si="200"/>
        <v/>
      </c>
      <c r="AK432" s="55"/>
      <c r="AL432" s="56" t="str">
        <f t="shared" si="201"/>
        <v/>
      </c>
      <c r="AM432" s="55">
        <v>1</v>
      </c>
      <c r="AN432" s="56">
        <f t="shared" si="202"/>
        <v>38</v>
      </c>
      <c r="AO432" s="55"/>
      <c r="AP432" s="56" t="str">
        <f t="shared" si="203"/>
        <v/>
      </c>
      <c r="AQ432" s="55"/>
      <c r="AR432" s="56" t="str">
        <f t="shared" si="204"/>
        <v/>
      </c>
      <c r="AS432" s="57"/>
      <c r="AT432" s="58"/>
      <c r="AU432" s="58"/>
      <c r="AV432" s="59"/>
      <c r="AW432" s="60">
        <v>1</v>
      </c>
      <c r="AX432" s="61">
        <f t="shared" si="183"/>
        <v>1</v>
      </c>
      <c r="AY432" s="60">
        <v>1</v>
      </c>
      <c r="AZ432" s="61">
        <f t="shared" si="185"/>
        <v>1</v>
      </c>
    </row>
    <row r="433" spans="1:52" s="3" customFormat="1" hidden="1" x14ac:dyDescent="0.35">
      <c r="A433" s="72">
        <f t="shared" si="186"/>
        <v>2019</v>
      </c>
      <c r="B433" s="72" t="str">
        <f t="shared" si="187"/>
        <v>Nov</v>
      </c>
      <c r="C433" s="73">
        <f t="shared" si="205"/>
        <v>18</v>
      </c>
      <c r="D433" s="74">
        <f t="shared" si="188"/>
        <v>15</v>
      </c>
      <c r="E433" s="75">
        <f t="shared" si="189"/>
        <v>1</v>
      </c>
      <c r="F433" s="79">
        <v>14</v>
      </c>
      <c r="G433" s="82"/>
      <c r="H433" s="68" t="str">
        <f t="shared" si="206"/>
        <v>Senbur0_20191118_15_00</v>
      </c>
      <c r="I433" s="69">
        <f t="shared" si="209"/>
        <v>1</v>
      </c>
      <c r="J433" s="76" t="str">
        <f t="shared" si="209"/>
        <v>Senecio</v>
      </c>
      <c r="K433" s="76" t="str">
        <f t="shared" si="209"/>
        <v>burtoni</v>
      </c>
      <c r="L433" s="77">
        <f t="shared" si="209"/>
        <v>0</v>
      </c>
      <c r="M433" s="77">
        <f t="shared" si="209"/>
        <v>7</v>
      </c>
      <c r="N433" s="71">
        <f t="shared" si="209"/>
        <v>0</v>
      </c>
      <c r="O433" s="44"/>
      <c r="P433" s="45">
        <f t="shared" si="190"/>
        <v>1</v>
      </c>
      <c r="Q433" s="46" t="str">
        <f t="shared" si="191"/>
        <v>15:01:14</v>
      </c>
      <c r="R433" s="47" t="str">
        <f t="shared" si="192"/>
        <v>01:14</v>
      </c>
      <c r="S433" s="48">
        <f t="shared" si="181"/>
        <v>228</v>
      </c>
      <c r="T433" s="47" t="str">
        <f t="shared" si="193"/>
        <v>15</v>
      </c>
      <c r="U433" s="49">
        <v>5</v>
      </c>
      <c r="V433" s="50">
        <v>2</v>
      </c>
      <c r="W433" s="51" t="str">
        <f t="shared" si="194"/>
        <v>05:02</v>
      </c>
      <c r="X433" s="52" t="s">
        <v>63</v>
      </c>
      <c r="Y433" s="124" t="s">
        <v>82</v>
      </c>
      <c r="Z433" s="124"/>
      <c r="AA433" s="47" t="s">
        <v>59</v>
      </c>
      <c r="AB433" s="47" t="str">
        <f t="shared" si="195"/>
        <v>NA</v>
      </c>
      <c r="AC433" s="53">
        <f t="shared" si="196"/>
        <v>0</v>
      </c>
      <c r="AD433" s="54">
        <v>2</v>
      </c>
      <c r="AE433" s="54"/>
      <c r="AF433" s="54"/>
      <c r="AG433" s="55">
        <v>1</v>
      </c>
      <c r="AH433" s="56">
        <v>28</v>
      </c>
      <c r="AI433" s="55"/>
      <c r="AJ433" s="56" t="str">
        <f t="shared" si="200"/>
        <v/>
      </c>
      <c r="AK433" s="55"/>
      <c r="AL433" s="56" t="str">
        <f t="shared" si="201"/>
        <v/>
      </c>
      <c r="AM433" s="55">
        <v>1</v>
      </c>
      <c r="AN433" s="56">
        <v>200</v>
      </c>
      <c r="AO433" s="55"/>
      <c r="AP433" s="56" t="str">
        <f t="shared" si="203"/>
        <v/>
      </c>
      <c r="AQ433" s="55"/>
      <c r="AR433" s="56" t="str">
        <f t="shared" si="204"/>
        <v/>
      </c>
      <c r="AS433" s="57"/>
      <c r="AT433" s="58"/>
      <c r="AU433" s="58"/>
      <c r="AV433" s="59"/>
      <c r="AW433" s="60">
        <v>1</v>
      </c>
      <c r="AX433" s="61">
        <f t="shared" si="183"/>
        <v>2</v>
      </c>
      <c r="AY433" s="60">
        <v>1</v>
      </c>
      <c r="AZ433" s="61">
        <f t="shared" si="185"/>
        <v>2</v>
      </c>
    </row>
    <row r="434" spans="1:52" s="3" customFormat="1" hidden="1" x14ac:dyDescent="0.35">
      <c r="A434" s="72">
        <f t="shared" si="186"/>
        <v>2019</v>
      </c>
      <c r="B434" s="72" t="str">
        <f t="shared" si="187"/>
        <v>Nov</v>
      </c>
      <c r="C434" s="73">
        <f t="shared" si="205"/>
        <v>18</v>
      </c>
      <c r="D434" s="74">
        <f t="shared" si="188"/>
        <v>15</v>
      </c>
      <c r="E434" s="75">
        <v>1</v>
      </c>
      <c r="F434" s="79">
        <v>33</v>
      </c>
      <c r="G434" s="82"/>
      <c r="H434" s="68" t="str">
        <f t="shared" si="206"/>
        <v>Senbur0_20191118_15_00</v>
      </c>
      <c r="I434" s="69">
        <f t="shared" si="209"/>
        <v>1</v>
      </c>
      <c r="J434" s="76" t="str">
        <f t="shared" si="209"/>
        <v>Senecio</v>
      </c>
      <c r="K434" s="76" t="str">
        <f t="shared" si="209"/>
        <v>burtoni</v>
      </c>
      <c r="L434" s="77">
        <f t="shared" si="209"/>
        <v>0</v>
      </c>
      <c r="M434" s="77">
        <f t="shared" si="209"/>
        <v>7</v>
      </c>
      <c r="N434" s="71">
        <f t="shared" si="209"/>
        <v>0</v>
      </c>
      <c r="O434" s="44"/>
      <c r="P434" s="45">
        <f t="shared" si="190"/>
        <v>1</v>
      </c>
      <c r="Q434" s="46" t="str">
        <f t="shared" si="191"/>
        <v>15:01:33</v>
      </c>
      <c r="R434" s="47" t="str">
        <f t="shared" si="192"/>
        <v>01:33</v>
      </c>
      <c r="S434" s="48">
        <f t="shared" si="181"/>
        <v>24</v>
      </c>
      <c r="T434" s="47" t="str">
        <f t="shared" si="193"/>
        <v>15</v>
      </c>
      <c r="U434" s="49">
        <v>1</v>
      </c>
      <c r="V434" s="50">
        <v>57</v>
      </c>
      <c r="W434" s="51" t="str">
        <f t="shared" si="194"/>
        <v>01:57</v>
      </c>
      <c r="X434" s="52" t="s">
        <v>63</v>
      </c>
      <c r="Y434" s="124" t="s">
        <v>82</v>
      </c>
      <c r="Z434" s="124"/>
      <c r="AA434" s="47" t="s">
        <v>68</v>
      </c>
      <c r="AB434" s="47" t="str">
        <f t="shared" si="195"/>
        <v>NA</v>
      </c>
      <c r="AC434" s="53">
        <f t="shared" si="196"/>
        <v>0</v>
      </c>
      <c r="AD434" s="54">
        <f t="shared" si="197"/>
        <v>1</v>
      </c>
      <c r="AE434" s="54"/>
      <c r="AF434" s="54"/>
      <c r="AG434" s="55" t="str">
        <f t="shared" si="198"/>
        <v/>
      </c>
      <c r="AH434" s="56" t="str">
        <f t="shared" si="199"/>
        <v/>
      </c>
      <c r="AI434" s="55"/>
      <c r="AJ434" s="56" t="str">
        <f t="shared" si="200"/>
        <v/>
      </c>
      <c r="AK434" s="55"/>
      <c r="AL434" s="56" t="str">
        <f t="shared" si="201"/>
        <v/>
      </c>
      <c r="AM434" s="55">
        <v>1</v>
      </c>
      <c r="AN434" s="56">
        <f t="shared" si="202"/>
        <v>24</v>
      </c>
      <c r="AO434" s="55"/>
      <c r="AP434" s="56" t="str">
        <f t="shared" si="203"/>
        <v/>
      </c>
      <c r="AQ434" s="55"/>
      <c r="AR434" s="56" t="str">
        <f t="shared" si="204"/>
        <v/>
      </c>
      <c r="AS434" s="57"/>
      <c r="AT434" s="58"/>
      <c r="AU434" s="58"/>
      <c r="AV434" s="59"/>
      <c r="AW434" s="60">
        <v>1</v>
      </c>
      <c r="AX434" s="61">
        <v>1</v>
      </c>
      <c r="AY434" s="60">
        <v>1</v>
      </c>
      <c r="AZ434" s="61">
        <f t="shared" si="185"/>
        <v>1</v>
      </c>
    </row>
    <row r="435" spans="1:52" s="3" customFormat="1" hidden="1" x14ac:dyDescent="0.35">
      <c r="A435" s="72">
        <f t="shared" si="186"/>
        <v>2019</v>
      </c>
      <c r="B435" s="72" t="str">
        <f t="shared" si="187"/>
        <v>Nov</v>
      </c>
      <c r="C435" s="73">
        <f t="shared" si="205"/>
        <v>18</v>
      </c>
      <c r="D435" s="74">
        <f t="shared" si="188"/>
        <v>15</v>
      </c>
      <c r="E435" s="75">
        <f t="shared" si="189"/>
        <v>2</v>
      </c>
      <c r="F435" s="79">
        <v>3</v>
      </c>
      <c r="G435" s="82"/>
      <c r="H435" s="68" t="str">
        <f t="shared" si="206"/>
        <v>Senbur0_20191118_15_00</v>
      </c>
      <c r="I435" s="69">
        <f t="shared" si="209"/>
        <v>1</v>
      </c>
      <c r="J435" s="76" t="str">
        <f t="shared" si="209"/>
        <v>Senecio</v>
      </c>
      <c r="K435" s="76" t="str">
        <f t="shared" si="209"/>
        <v>burtoni</v>
      </c>
      <c r="L435" s="77">
        <f t="shared" si="209"/>
        <v>0</v>
      </c>
      <c r="M435" s="77">
        <f t="shared" si="209"/>
        <v>7</v>
      </c>
      <c r="N435" s="71">
        <f t="shared" si="209"/>
        <v>0</v>
      </c>
      <c r="O435" s="44"/>
      <c r="P435" s="45">
        <f t="shared" si="190"/>
        <v>1</v>
      </c>
      <c r="Q435" s="46" t="str">
        <f t="shared" si="191"/>
        <v>15:02:03</v>
      </c>
      <c r="R435" s="47" t="str">
        <f t="shared" si="192"/>
        <v>02:03</v>
      </c>
      <c r="S435" s="48">
        <f t="shared" si="181"/>
        <v>37</v>
      </c>
      <c r="T435" s="47" t="str">
        <f t="shared" si="193"/>
        <v>15</v>
      </c>
      <c r="U435" s="49">
        <v>2</v>
      </c>
      <c r="V435" s="50">
        <v>40</v>
      </c>
      <c r="W435" s="51" t="str">
        <f t="shared" si="194"/>
        <v>02:40</v>
      </c>
      <c r="X435" s="52" t="s">
        <v>63</v>
      </c>
      <c r="Y435" s="124" t="s">
        <v>83</v>
      </c>
      <c r="Z435" s="124"/>
      <c r="AA435" s="47" t="s">
        <v>59</v>
      </c>
      <c r="AB435" s="47" t="str">
        <f t="shared" si="195"/>
        <v>NA</v>
      </c>
      <c r="AC435" s="53">
        <f t="shared" si="196"/>
        <v>0</v>
      </c>
      <c r="AD435" s="54">
        <v>4</v>
      </c>
      <c r="AE435" s="54"/>
      <c r="AF435" s="54"/>
      <c r="AG435" s="55">
        <v>1</v>
      </c>
      <c r="AH435" s="56">
        <v>7</v>
      </c>
      <c r="AI435" s="55"/>
      <c r="AJ435" s="56" t="str">
        <f t="shared" si="200"/>
        <v/>
      </c>
      <c r="AK435" s="55"/>
      <c r="AL435" s="56" t="str">
        <f t="shared" si="201"/>
        <v/>
      </c>
      <c r="AM435" s="55">
        <v>1</v>
      </c>
      <c r="AN435" s="56">
        <v>30</v>
      </c>
      <c r="AO435" s="55"/>
      <c r="AP435" s="56" t="str">
        <f t="shared" si="203"/>
        <v/>
      </c>
      <c r="AQ435" s="55"/>
      <c r="AR435" s="56" t="str">
        <f t="shared" si="204"/>
        <v/>
      </c>
      <c r="AS435" s="57"/>
      <c r="AT435" s="58"/>
      <c r="AU435" s="58"/>
      <c r="AV435" s="59"/>
      <c r="AW435" s="60">
        <v>1</v>
      </c>
      <c r="AX435" s="61">
        <v>3</v>
      </c>
      <c r="AY435" s="60">
        <v>1</v>
      </c>
      <c r="AZ435" s="61">
        <v>3</v>
      </c>
    </row>
    <row r="436" spans="1:52" s="3" customFormat="1" hidden="1" x14ac:dyDescent="0.35">
      <c r="A436" s="72">
        <f t="shared" si="186"/>
        <v>2019</v>
      </c>
      <c r="B436" s="72" t="str">
        <f t="shared" si="187"/>
        <v>Nov</v>
      </c>
      <c r="C436" s="73">
        <f t="shared" si="205"/>
        <v>18</v>
      </c>
      <c r="D436" s="74">
        <f t="shared" si="188"/>
        <v>15</v>
      </c>
      <c r="E436" s="75">
        <f t="shared" si="189"/>
        <v>3</v>
      </c>
      <c r="F436" s="79"/>
      <c r="G436" s="82"/>
      <c r="H436" s="68" t="str">
        <f t="shared" si="206"/>
        <v>Senbur0_20191118_15_00</v>
      </c>
      <c r="I436" s="69">
        <f t="shared" si="209"/>
        <v>1</v>
      </c>
      <c r="J436" s="76" t="str">
        <f t="shared" si="209"/>
        <v>Senecio</v>
      </c>
      <c r="K436" s="76" t="str">
        <f t="shared" si="209"/>
        <v>burtoni</v>
      </c>
      <c r="L436" s="77">
        <f t="shared" si="209"/>
        <v>0</v>
      </c>
      <c r="M436" s="77">
        <f t="shared" si="209"/>
        <v>7</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18</v>
      </c>
      <c r="D437" s="74">
        <f t="shared" si="188"/>
        <v>15</v>
      </c>
      <c r="E437" s="75">
        <f t="shared" si="189"/>
        <v>4</v>
      </c>
      <c r="F437" s="79"/>
      <c r="G437" s="82"/>
      <c r="H437" s="68" t="str">
        <f t="shared" si="206"/>
        <v>Senbur0_20191118_15_00</v>
      </c>
      <c r="I437" s="69">
        <f t="shared" ref="I437:N452" si="210">I436</f>
        <v>1</v>
      </c>
      <c r="J437" s="76" t="str">
        <f t="shared" si="210"/>
        <v>Senecio</v>
      </c>
      <c r="K437" s="76" t="str">
        <f t="shared" si="210"/>
        <v>burtoni</v>
      </c>
      <c r="L437" s="77">
        <f t="shared" si="210"/>
        <v>0</v>
      </c>
      <c r="M437" s="77">
        <f t="shared" si="210"/>
        <v>7</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18</v>
      </c>
      <c r="D438" s="74">
        <f t="shared" si="188"/>
        <v>15</v>
      </c>
      <c r="E438" s="75">
        <f t="shared" si="189"/>
        <v>5</v>
      </c>
      <c r="F438" s="79"/>
      <c r="G438" s="82"/>
      <c r="H438" s="68" t="str">
        <f t="shared" si="206"/>
        <v>Senbur0_20191118_15_00</v>
      </c>
      <c r="I438" s="69">
        <f t="shared" si="210"/>
        <v>1</v>
      </c>
      <c r="J438" s="76" t="str">
        <f t="shared" si="210"/>
        <v>Senecio</v>
      </c>
      <c r="K438" s="76" t="str">
        <f t="shared" si="210"/>
        <v>burtoni</v>
      </c>
      <c r="L438" s="77">
        <f t="shared" si="210"/>
        <v>0</v>
      </c>
      <c r="M438" s="77">
        <f t="shared" si="210"/>
        <v>7</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18</v>
      </c>
      <c r="D439" s="74">
        <f t="shared" si="188"/>
        <v>15</v>
      </c>
      <c r="E439" s="75">
        <f t="shared" si="189"/>
        <v>6</v>
      </c>
      <c r="F439" s="79">
        <v>18</v>
      </c>
      <c r="G439" s="82"/>
      <c r="H439" s="68" t="str">
        <f t="shared" si="206"/>
        <v>Senbur0_20191118_15_00</v>
      </c>
      <c r="I439" s="69">
        <f t="shared" si="210"/>
        <v>1</v>
      </c>
      <c r="J439" s="76" t="str">
        <f t="shared" si="210"/>
        <v>Senecio</v>
      </c>
      <c r="K439" s="76" t="str">
        <f t="shared" si="210"/>
        <v>burtoni</v>
      </c>
      <c r="L439" s="77">
        <f t="shared" si="210"/>
        <v>0</v>
      </c>
      <c r="M439" s="77">
        <f t="shared" si="210"/>
        <v>7</v>
      </c>
      <c r="N439" s="71">
        <f t="shared" si="210"/>
        <v>0</v>
      </c>
      <c r="O439" s="44"/>
      <c r="P439" s="45">
        <f t="shared" si="190"/>
        <v>1</v>
      </c>
      <c r="Q439" s="46" t="str">
        <f t="shared" si="191"/>
        <v>15:06:18</v>
      </c>
      <c r="R439" s="47" t="str">
        <f t="shared" si="192"/>
        <v>06:18</v>
      </c>
      <c r="S439" s="48">
        <f t="shared" si="181"/>
        <v>25</v>
      </c>
      <c r="T439" s="47" t="str">
        <f t="shared" si="193"/>
        <v>15</v>
      </c>
      <c r="U439" s="49">
        <v>6</v>
      </c>
      <c r="V439" s="50">
        <v>43</v>
      </c>
      <c r="W439" s="51" t="str">
        <f t="shared" si="194"/>
        <v>06:43</v>
      </c>
      <c r="X439" s="52" t="s">
        <v>63</v>
      </c>
      <c r="Y439" s="124" t="s">
        <v>83</v>
      </c>
      <c r="Z439" s="124"/>
      <c r="AA439" s="47" t="s">
        <v>59</v>
      </c>
      <c r="AB439" s="47" t="str">
        <f t="shared" si="195"/>
        <v>NA</v>
      </c>
      <c r="AC439" s="53">
        <f t="shared" si="196"/>
        <v>0</v>
      </c>
      <c r="AD439" s="54">
        <f t="shared" si="197"/>
        <v>1</v>
      </c>
      <c r="AE439" s="54"/>
      <c r="AF439" s="54"/>
      <c r="AG439" s="55">
        <v>1</v>
      </c>
      <c r="AH439" s="56">
        <v>5</v>
      </c>
      <c r="AI439" s="55"/>
      <c r="AJ439" s="56" t="str">
        <f t="shared" si="200"/>
        <v/>
      </c>
      <c r="AK439" s="55"/>
      <c r="AL439" s="56" t="str">
        <f t="shared" si="201"/>
        <v/>
      </c>
      <c r="AM439" s="55">
        <v>1</v>
      </c>
      <c r="AN439" s="56">
        <v>20</v>
      </c>
      <c r="AO439" s="55"/>
      <c r="AP439" s="56" t="str">
        <f t="shared" si="203"/>
        <v/>
      </c>
      <c r="AQ439" s="55"/>
      <c r="AR439" s="56" t="str">
        <f t="shared" si="204"/>
        <v/>
      </c>
      <c r="AS439" s="57"/>
      <c r="AT439" s="58"/>
      <c r="AU439" s="58"/>
      <c r="AV439" s="59"/>
      <c r="AW439" s="60">
        <v>1</v>
      </c>
      <c r="AX439" s="61">
        <f t="shared" si="183"/>
        <v>1</v>
      </c>
      <c r="AY439" s="60">
        <v>1</v>
      </c>
      <c r="AZ439" s="61">
        <f t="shared" si="185"/>
        <v>1</v>
      </c>
    </row>
    <row r="440" spans="1:52" s="3" customFormat="1" hidden="1" x14ac:dyDescent="0.35">
      <c r="A440" s="72">
        <f t="shared" si="186"/>
        <v>2019</v>
      </c>
      <c r="B440" s="72" t="str">
        <f t="shared" si="187"/>
        <v>Nov</v>
      </c>
      <c r="C440" s="73">
        <f t="shared" si="205"/>
        <v>18</v>
      </c>
      <c r="D440" s="74">
        <f t="shared" si="188"/>
        <v>15</v>
      </c>
      <c r="E440" s="75">
        <f t="shared" si="189"/>
        <v>7</v>
      </c>
      <c r="F440" s="79"/>
      <c r="G440" s="82"/>
      <c r="H440" s="68" t="str">
        <f t="shared" si="206"/>
        <v>Senbur0_20191118_15_00</v>
      </c>
      <c r="I440" s="69">
        <f t="shared" si="210"/>
        <v>1</v>
      </c>
      <c r="J440" s="76" t="str">
        <f t="shared" si="210"/>
        <v>Senecio</v>
      </c>
      <c r="K440" s="76" t="str">
        <f t="shared" si="210"/>
        <v>burtoni</v>
      </c>
      <c r="L440" s="77">
        <f t="shared" si="210"/>
        <v>0</v>
      </c>
      <c r="M440" s="77">
        <f t="shared" si="210"/>
        <v>7</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18</v>
      </c>
      <c r="D441" s="74">
        <f t="shared" si="188"/>
        <v>15</v>
      </c>
      <c r="E441" s="75">
        <f t="shared" si="189"/>
        <v>8</v>
      </c>
      <c r="F441" s="79"/>
      <c r="G441" s="82"/>
      <c r="H441" s="68" t="str">
        <f t="shared" si="206"/>
        <v>Senbur0_20191118_15_00</v>
      </c>
      <c r="I441" s="69">
        <f t="shared" si="210"/>
        <v>1</v>
      </c>
      <c r="J441" s="76" t="str">
        <f t="shared" si="210"/>
        <v>Senecio</v>
      </c>
      <c r="K441" s="76" t="str">
        <f t="shared" si="210"/>
        <v>burtoni</v>
      </c>
      <c r="L441" s="77">
        <f t="shared" si="210"/>
        <v>0</v>
      </c>
      <c r="M441" s="77">
        <f t="shared" si="210"/>
        <v>7</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18</v>
      </c>
      <c r="D442" s="74">
        <f t="shared" si="188"/>
        <v>15</v>
      </c>
      <c r="E442" s="75">
        <f t="shared" si="189"/>
        <v>9</v>
      </c>
      <c r="F442" s="79"/>
      <c r="G442" s="82"/>
      <c r="H442" s="68" t="str">
        <f t="shared" si="206"/>
        <v>Senbur0_20191118_15_00</v>
      </c>
      <c r="I442" s="69">
        <f t="shared" si="210"/>
        <v>1</v>
      </c>
      <c r="J442" s="76" t="str">
        <f t="shared" si="210"/>
        <v>Senecio</v>
      </c>
      <c r="K442" s="76" t="str">
        <f t="shared" si="210"/>
        <v>burtoni</v>
      </c>
      <c r="L442" s="77">
        <f t="shared" si="210"/>
        <v>0</v>
      </c>
      <c r="M442" s="77">
        <f t="shared" si="210"/>
        <v>7</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18</v>
      </c>
      <c r="D443" s="74">
        <f t="shared" si="188"/>
        <v>15</v>
      </c>
      <c r="E443" s="75">
        <f t="shared" si="189"/>
        <v>10</v>
      </c>
      <c r="F443" s="79"/>
      <c r="G443" s="82"/>
      <c r="H443" s="68" t="str">
        <f t="shared" si="206"/>
        <v>Senbur0_20191118_15_00</v>
      </c>
      <c r="I443" s="69">
        <f t="shared" si="210"/>
        <v>1</v>
      </c>
      <c r="J443" s="76" t="str">
        <f t="shared" si="210"/>
        <v>Senecio</v>
      </c>
      <c r="K443" s="76" t="str">
        <f t="shared" si="210"/>
        <v>burtoni</v>
      </c>
      <c r="L443" s="77">
        <f t="shared" si="210"/>
        <v>0</v>
      </c>
      <c r="M443" s="77">
        <f t="shared" si="210"/>
        <v>7</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18</v>
      </c>
      <c r="D444" s="74">
        <f t="shared" si="188"/>
        <v>15</v>
      </c>
      <c r="E444" s="75">
        <f t="shared" si="189"/>
        <v>11</v>
      </c>
      <c r="F444" s="79"/>
      <c r="G444" s="82"/>
      <c r="H444" s="68" t="str">
        <f t="shared" si="206"/>
        <v>Senbur0_20191118_15_00</v>
      </c>
      <c r="I444" s="69">
        <f t="shared" si="210"/>
        <v>1</v>
      </c>
      <c r="J444" s="76" t="str">
        <f t="shared" si="210"/>
        <v>Senecio</v>
      </c>
      <c r="K444" s="76" t="str">
        <f t="shared" si="210"/>
        <v>burtoni</v>
      </c>
      <c r="L444" s="77">
        <f t="shared" si="210"/>
        <v>0</v>
      </c>
      <c r="M444" s="77">
        <f t="shared" si="210"/>
        <v>7</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18</v>
      </c>
      <c r="D445" s="74">
        <f t="shared" si="188"/>
        <v>15</v>
      </c>
      <c r="E445" s="75">
        <f t="shared" si="189"/>
        <v>12</v>
      </c>
      <c r="F445" s="79">
        <v>41</v>
      </c>
      <c r="G445" s="82"/>
      <c r="H445" s="68" t="str">
        <f t="shared" si="206"/>
        <v>Senbur0_20191118_15_00</v>
      </c>
      <c r="I445" s="69">
        <f t="shared" si="210"/>
        <v>1</v>
      </c>
      <c r="J445" s="76" t="str">
        <f t="shared" si="210"/>
        <v>Senecio</v>
      </c>
      <c r="K445" s="76" t="str">
        <f t="shared" si="210"/>
        <v>burtoni</v>
      </c>
      <c r="L445" s="77">
        <f t="shared" si="210"/>
        <v>0</v>
      </c>
      <c r="M445" s="77">
        <f t="shared" si="210"/>
        <v>7</v>
      </c>
      <c r="N445" s="71">
        <f t="shared" si="210"/>
        <v>0</v>
      </c>
      <c r="O445" s="44"/>
      <c r="P445" s="45">
        <f t="shared" si="190"/>
        <v>1</v>
      </c>
      <c r="Q445" s="46" t="str">
        <f t="shared" si="191"/>
        <v>15:12:41</v>
      </c>
      <c r="R445" s="47" t="str">
        <f t="shared" si="192"/>
        <v>12:41</v>
      </c>
      <c r="S445" s="48">
        <f t="shared" si="181"/>
        <v>20</v>
      </c>
      <c r="T445" s="47" t="str">
        <f t="shared" si="193"/>
        <v>15</v>
      </c>
      <c r="U445" s="49">
        <v>13</v>
      </c>
      <c r="V445" s="50">
        <v>1</v>
      </c>
      <c r="W445" s="51" t="str">
        <f t="shared" si="194"/>
        <v>13:01</v>
      </c>
      <c r="X445" s="52" t="s">
        <v>63</v>
      </c>
      <c r="Y445" s="124" t="s">
        <v>83</v>
      </c>
      <c r="Z445" s="124"/>
      <c r="AA445" s="47" t="s">
        <v>59</v>
      </c>
      <c r="AB445" s="47" t="str">
        <f t="shared" si="195"/>
        <v>NA</v>
      </c>
      <c r="AC445" s="53">
        <f t="shared" si="196"/>
        <v>0</v>
      </c>
      <c r="AD445" s="54">
        <v>2</v>
      </c>
      <c r="AE445" s="54"/>
      <c r="AF445" s="54"/>
      <c r="AG445" s="55">
        <v>1</v>
      </c>
      <c r="AH445" s="56">
        <v>5</v>
      </c>
      <c r="AI445" s="55"/>
      <c r="AJ445" s="56" t="str">
        <f t="shared" si="200"/>
        <v/>
      </c>
      <c r="AK445" s="55"/>
      <c r="AL445" s="56" t="str">
        <f t="shared" si="201"/>
        <v/>
      </c>
      <c r="AM445" s="55">
        <v>1</v>
      </c>
      <c r="AN445" s="56">
        <v>15</v>
      </c>
      <c r="AO445" s="55"/>
      <c r="AP445" s="56" t="str">
        <f t="shared" si="203"/>
        <v/>
      </c>
      <c r="AQ445" s="55"/>
      <c r="AR445" s="56" t="str">
        <f t="shared" si="204"/>
        <v/>
      </c>
      <c r="AS445" s="57"/>
      <c r="AT445" s="58"/>
      <c r="AU445" s="58"/>
      <c r="AV445" s="59"/>
      <c r="AW445" s="60">
        <v>1</v>
      </c>
      <c r="AX445" s="61">
        <v>1</v>
      </c>
      <c r="AY445" s="60">
        <v>1</v>
      </c>
      <c r="AZ445" s="61">
        <v>1</v>
      </c>
    </row>
    <row r="446" spans="1:52" s="3" customFormat="1" hidden="1" x14ac:dyDescent="0.35">
      <c r="A446" s="72">
        <f t="shared" si="186"/>
        <v>2019</v>
      </c>
      <c r="B446" s="72" t="str">
        <f t="shared" si="187"/>
        <v>Nov</v>
      </c>
      <c r="C446" s="73">
        <f t="shared" si="205"/>
        <v>18</v>
      </c>
      <c r="D446" s="74">
        <f t="shared" si="188"/>
        <v>15</v>
      </c>
      <c r="E446" s="75">
        <f t="shared" si="189"/>
        <v>13</v>
      </c>
      <c r="F446" s="79"/>
      <c r="G446" s="82"/>
      <c r="H446" s="68" t="str">
        <f t="shared" si="206"/>
        <v>Senbur0_20191118_15_00</v>
      </c>
      <c r="I446" s="69">
        <f t="shared" si="210"/>
        <v>1</v>
      </c>
      <c r="J446" s="76" t="str">
        <f t="shared" si="210"/>
        <v>Senecio</v>
      </c>
      <c r="K446" s="76" t="str">
        <f t="shared" si="210"/>
        <v>burtoni</v>
      </c>
      <c r="L446" s="77">
        <f t="shared" si="210"/>
        <v>0</v>
      </c>
      <c r="M446" s="77">
        <f t="shared" si="210"/>
        <v>7</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18</v>
      </c>
      <c r="D447" s="74">
        <f t="shared" si="188"/>
        <v>15</v>
      </c>
      <c r="E447" s="75">
        <f t="shared" si="189"/>
        <v>14</v>
      </c>
      <c r="F447" s="79"/>
      <c r="G447" s="82"/>
      <c r="H447" s="68" t="str">
        <f t="shared" si="206"/>
        <v>Senbur0_20191118_15_00</v>
      </c>
      <c r="I447" s="69">
        <f t="shared" si="210"/>
        <v>1</v>
      </c>
      <c r="J447" s="76" t="str">
        <f t="shared" si="210"/>
        <v>Senecio</v>
      </c>
      <c r="K447" s="76" t="str">
        <f t="shared" si="210"/>
        <v>burtoni</v>
      </c>
      <c r="L447" s="77">
        <f t="shared" si="210"/>
        <v>0</v>
      </c>
      <c r="M447" s="77">
        <f t="shared" si="210"/>
        <v>7</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18</v>
      </c>
      <c r="D448" s="74">
        <f t="shared" si="188"/>
        <v>15</v>
      </c>
      <c r="E448" s="75">
        <f t="shared" si="189"/>
        <v>15</v>
      </c>
      <c r="F448" s="79"/>
      <c r="G448" s="82"/>
      <c r="H448" s="68" t="str">
        <f t="shared" si="206"/>
        <v>Senbur0_20191118_15_00</v>
      </c>
      <c r="I448" s="69">
        <f t="shared" si="210"/>
        <v>1</v>
      </c>
      <c r="J448" s="76" t="str">
        <f t="shared" si="210"/>
        <v>Senecio</v>
      </c>
      <c r="K448" s="76" t="str">
        <f t="shared" si="210"/>
        <v>burtoni</v>
      </c>
      <c r="L448" s="77">
        <f t="shared" si="210"/>
        <v>0</v>
      </c>
      <c r="M448" s="77">
        <f t="shared" si="210"/>
        <v>7</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18</v>
      </c>
      <c r="D449" s="74">
        <f t="shared" si="188"/>
        <v>15</v>
      </c>
      <c r="E449" s="75">
        <f t="shared" si="189"/>
        <v>16</v>
      </c>
      <c r="F449" s="79"/>
      <c r="G449" s="82"/>
      <c r="H449" s="68" t="str">
        <f t="shared" si="206"/>
        <v>Senbur0_20191118_15_00</v>
      </c>
      <c r="I449" s="69">
        <f t="shared" si="210"/>
        <v>1</v>
      </c>
      <c r="J449" s="76" t="str">
        <f t="shared" si="210"/>
        <v>Senecio</v>
      </c>
      <c r="K449" s="76" t="str">
        <f t="shared" si="210"/>
        <v>burtoni</v>
      </c>
      <c r="L449" s="77">
        <f t="shared" si="210"/>
        <v>0</v>
      </c>
      <c r="M449" s="77">
        <f t="shared" si="210"/>
        <v>7</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18</v>
      </c>
      <c r="D450" s="74">
        <f t="shared" si="188"/>
        <v>15</v>
      </c>
      <c r="E450" s="75">
        <f t="shared" si="189"/>
        <v>17</v>
      </c>
      <c r="F450" s="79"/>
      <c r="G450" s="82"/>
      <c r="H450" s="68" t="str">
        <f t="shared" si="206"/>
        <v>Senbur0_20191118_15_00</v>
      </c>
      <c r="I450" s="69">
        <f t="shared" si="210"/>
        <v>1</v>
      </c>
      <c r="J450" s="76" t="str">
        <f t="shared" si="210"/>
        <v>Senecio</v>
      </c>
      <c r="K450" s="76" t="str">
        <f t="shared" si="210"/>
        <v>burtoni</v>
      </c>
      <c r="L450" s="77">
        <f t="shared" si="210"/>
        <v>0</v>
      </c>
      <c r="M450" s="77">
        <f t="shared" si="210"/>
        <v>7</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18</v>
      </c>
      <c r="D451" s="74">
        <f t="shared" si="188"/>
        <v>15</v>
      </c>
      <c r="E451" s="75">
        <f t="shared" si="189"/>
        <v>18</v>
      </c>
      <c r="F451" s="79"/>
      <c r="G451" s="82"/>
      <c r="H451" s="68" t="str">
        <f t="shared" si="206"/>
        <v>Senbur0_20191118_15_00</v>
      </c>
      <c r="I451" s="69">
        <f t="shared" si="210"/>
        <v>1</v>
      </c>
      <c r="J451" s="76" t="str">
        <f t="shared" si="210"/>
        <v>Senecio</v>
      </c>
      <c r="K451" s="76" t="str">
        <f t="shared" si="210"/>
        <v>burtoni</v>
      </c>
      <c r="L451" s="77">
        <f t="shared" si="210"/>
        <v>0</v>
      </c>
      <c r="M451" s="77">
        <f t="shared" si="210"/>
        <v>7</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18</v>
      </c>
      <c r="D452" s="74">
        <f t="shared" ref="D452:D515" si="218">IF(IF(E451=59,D451+1,D451)=24,0,IF(E451=59,D451+1,D451))</f>
        <v>15</v>
      </c>
      <c r="E452" s="75">
        <f t="shared" ref="E452:E515" si="219">IF(E451&lt;59,E451+1,0)</f>
        <v>19</v>
      </c>
      <c r="F452" s="79"/>
      <c r="G452" s="82"/>
      <c r="H452" s="68" t="str">
        <f t="shared" si="206"/>
        <v>Senbur0_20191118_15_00</v>
      </c>
      <c r="I452" s="69">
        <f t="shared" si="210"/>
        <v>1</v>
      </c>
      <c r="J452" s="76" t="str">
        <f t="shared" si="210"/>
        <v>Senecio</v>
      </c>
      <c r="K452" s="76" t="str">
        <f t="shared" si="210"/>
        <v>burtoni</v>
      </c>
      <c r="L452" s="77">
        <f t="shared" si="210"/>
        <v>0</v>
      </c>
      <c r="M452" s="77">
        <f t="shared" si="210"/>
        <v>7</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18</v>
      </c>
      <c r="D453" s="74">
        <f t="shared" si="218"/>
        <v>15</v>
      </c>
      <c r="E453" s="75">
        <f t="shared" si="219"/>
        <v>20</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Senbur0_20191118_15_00</v>
      </c>
      <c r="I453" s="69">
        <f t="shared" ref="I453:N468" si="237">I452</f>
        <v>1</v>
      </c>
      <c r="J453" s="76" t="str">
        <f t="shared" si="237"/>
        <v>Senecio</v>
      </c>
      <c r="K453" s="76" t="str">
        <f t="shared" si="237"/>
        <v>burtoni</v>
      </c>
      <c r="L453" s="77">
        <f t="shared" si="237"/>
        <v>0</v>
      </c>
      <c r="M453" s="77">
        <f t="shared" si="237"/>
        <v>7</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18</v>
      </c>
      <c r="D454" s="74">
        <f t="shared" si="218"/>
        <v>15</v>
      </c>
      <c r="E454" s="75">
        <f t="shared" si="219"/>
        <v>21</v>
      </c>
      <c r="F454" s="79">
        <v>5</v>
      </c>
      <c r="G454" s="82"/>
      <c r="H454" s="68" t="str">
        <f t="shared" si="236"/>
        <v>Senbur0_20191118_15_00</v>
      </c>
      <c r="I454" s="69">
        <f t="shared" si="237"/>
        <v>1</v>
      </c>
      <c r="J454" s="76" t="str">
        <f t="shared" si="237"/>
        <v>Senecio</v>
      </c>
      <c r="K454" s="76" t="str">
        <f t="shared" si="237"/>
        <v>burtoni</v>
      </c>
      <c r="L454" s="77">
        <f t="shared" si="237"/>
        <v>0</v>
      </c>
      <c r="M454" s="77">
        <f t="shared" si="237"/>
        <v>7</v>
      </c>
      <c r="N454" s="71">
        <f t="shared" si="237"/>
        <v>0</v>
      </c>
      <c r="O454" s="44"/>
      <c r="P454" s="45">
        <f t="shared" si="220"/>
        <v>1</v>
      </c>
      <c r="Q454" s="46" t="str">
        <f t="shared" si="221"/>
        <v>15:21:05</v>
      </c>
      <c r="R454" s="47" t="str">
        <f t="shared" si="222"/>
        <v>21:05</v>
      </c>
      <c r="S454" s="48">
        <f t="shared" si="211"/>
        <v>29</v>
      </c>
      <c r="T454" s="47" t="str">
        <f t="shared" si="223"/>
        <v>15</v>
      </c>
      <c r="U454" s="49">
        <v>21</v>
      </c>
      <c r="V454" s="50">
        <v>34</v>
      </c>
      <c r="W454" s="51" t="str">
        <f t="shared" si="224"/>
        <v>21:34</v>
      </c>
      <c r="X454" s="52" t="s">
        <v>63</v>
      </c>
      <c r="Y454" s="124" t="s">
        <v>82</v>
      </c>
      <c r="Z454" s="124"/>
      <c r="AA454" s="47" t="s">
        <v>59</v>
      </c>
      <c r="AB454" s="47" t="str">
        <f t="shared" si="225"/>
        <v>NA</v>
      </c>
      <c r="AC454" s="53">
        <f t="shared" si="226"/>
        <v>0</v>
      </c>
      <c r="AD454" s="54">
        <f t="shared" si="227"/>
        <v>1</v>
      </c>
      <c r="AE454" s="54"/>
      <c r="AF454" s="54"/>
      <c r="AG454" s="55">
        <v>1</v>
      </c>
      <c r="AH454" s="56">
        <v>10</v>
      </c>
      <c r="AI454" s="55"/>
      <c r="AJ454" s="56" t="str">
        <f t="shared" si="230"/>
        <v/>
      </c>
      <c r="AK454" s="55"/>
      <c r="AL454" s="56" t="str">
        <f t="shared" si="231"/>
        <v/>
      </c>
      <c r="AM454" s="55">
        <v>1</v>
      </c>
      <c r="AN454" s="56">
        <v>19</v>
      </c>
      <c r="AO454" s="55"/>
      <c r="AP454" s="56" t="str">
        <f t="shared" si="233"/>
        <v/>
      </c>
      <c r="AQ454" s="55"/>
      <c r="AR454" s="56" t="str">
        <f t="shared" si="234"/>
        <v/>
      </c>
      <c r="AS454" s="57"/>
      <c r="AT454" s="58"/>
      <c r="AU454" s="58"/>
      <c r="AV454" s="59"/>
      <c r="AW454" s="60">
        <v>1</v>
      </c>
      <c r="AX454" s="61">
        <f t="shared" si="213"/>
        <v>1</v>
      </c>
      <c r="AY454" s="60">
        <v>1</v>
      </c>
      <c r="AZ454" s="61">
        <f t="shared" si="215"/>
        <v>1</v>
      </c>
    </row>
    <row r="455" spans="1:52" s="3" customFormat="1" hidden="1" x14ac:dyDescent="0.35">
      <c r="A455" s="72">
        <f t="shared" si="216"/>
        <v>2019</v>
      </c>
      <c r="B455" s="72" t="str">
        <f t="shared" si="217"/>
        <v>Nov</v>
      </c>
      <c r="C455" s="73">
        <f t="shared" si="235"/>
        <v>18</v>
      </c>
      <c r="D455" s="74">
        <f t="shared" si="218"/>
        <v>15</v>
      </c>
      <c r="E455" s="75">
        <f t="shared" si="219"/>
        <v>22</v>
      </c>
      <c r="F455" s="79">
        <v>37</v>
      </c>
      <c r="G455" s="82"/>
      <c r="H455" s="68" t="str">
        <f t="shared" si="236"/>
        <v>Senbur0_20191118_15_00</v>
      </c>
      <c r="I455" s="69">
        <f t="shared" si="237"/>
        <v>1</v>
      </c>
      <c r="J455" s="76" t="str">
        <f t="shared" si="237"/>
        <v>Senecio</v>
      </c>
      <c r="K455" s="76" t="str">
        <f t="shared" si="237"/>
        <v>burtoni</v>
      </c>
      <c r="L455" s="77">
        <f t="shared" si="237"/>
        <v>0</v>
      </c>
      <c r="M455" s="77">
        <f t="shared" si="237"/>
        <v>7</v>
      </c>
      <c r="N455" s="71">
        <f t="shared" si="237"/>
        <v>0</v>
      </c>
      <c r="O455" s="44"/>
      <c r="P455" s="45">
        <f t="shared" si="220"/>
        <v>1</v>
      </c>
      <c r="Q455" s="46" t="str">
        <f t="shared" si="221"/>
        <v>15:22:37</v>
      </c>
      <c r="R455" s="47" t="str">
        <f t="shared" si="222"/>
        <v>22:37</v>
      </c>
      <c r="S455" s="48">
        <f t="shared" si="211"/>
        <v>21</v>
      </c>
      <c r="T455" s="47" t="str">
        <f t="shared" si="223"/>
        <v>15</v>
      </c>
      <c r="U455" s="49">
        <v>22</v>
      </c>
      <c r="V455" s="50">
        <v>58</v>
      </c>
      <c r="W455" s="51" t="str">
        <f t="shared" si="224"/>
        <v>22:58</v>
      </c>
      <c r="X455" s="52" t="s">
        <v>63</v>
      </c>
      <c r="Y455" s="124" t="s">
        <v>80</v>
      </c>
      <c r="Z455" s="124"/>
      <c r="AA455" s="47" t="s">
        <v>59</v>
      </c>
      <c r="AB455" s="47" t="str">
        <f t="shared" si="225"/>
        <v>NA</v>
      </c>
      <c r="AC455" s="53">
        <f t="shared" si="226"/>
        <v>0</v>
      </c>
      <c r="AD455" s="54">
        <f t="shared" si="227"/>
        <v>1</v>
      </c>
      <c r="AE455" s="54"/>
      <c r="AF455" s="54"/>
      <c r="AG455" s="55">
        <v>1</v>
      </c>
      <c r="AH455" s="56">
        <v>5</v>
      </c>
      <c r="AI455" s="55"/>
      <c r="AJ455" s="56" t="str">
        <f t="shared" si="230"/>
        <v/>
      </c>
      <c r="AK455" s="55"/>
      <c r="AL455" s="56" t="str">
        <f t="shared" si="231"/>
        <v/>
      </c>
      <c r="AM455" s="55">
        <v>1</v>
      </c>
      <c r="AN455" s="56">
        <v>16</v>
      </c>
      <c r="AO455" s="55"/>
      <c r="AP455" s="56" t="str">
        <f t="shared" si="233"/>
        <v/>
      </c>
      <c r="AQ455" s="55"/>
      <c r="AR455" s="56" t="str">
        <f t="shared" si="234"/>
        <v/>
      </c>
      <c r="AS455" s="57"/>
      <c r="AT455" s="58"/>
      <c r="AU455" s="58"/>
      <c r="AV455" s="59"/>
      <c r="AW455" s="60">
        <v>1</v>
      </c>
      <c r="AX455" s="61">
        <f t="shared" si="213"/>
        <v>1</v>
      </c>
      <c r="AY455" s="60">
        <v>1</v>
      </c>
      <c r="AZ455" s="61">
        <f t="shared" si="215"/>
        <v>1</v>
      </c>
    </row>
    <row r="456" spans="1:52" s="3" customFormat="1" hidden="1" x14ac:dyDescent="0.35">
      <c r="A456" s="72">
        <f t="shared" si="216"/>
        <v>2019</v>
      </c>
      <c r="B456" s="72" t="str">
        <f t="shared" si="217"/>
        <v>Nov</v>
      </c>
      <c r="C456" s="73">
        <f t="shared" si="235"/>
        <v>18</v>
      </c>
      <c r="D456" s="74">
        <f t="shared" si="218"/>
        <v>15</v>
      </c>
      <c r="E456" s="75">
        <f t="shared" si="219"/>
        <v>23</v>
      </c>
      <c r="F456" s="79">
        <v>40</v>
      </c>
      <c r="G456" s="82"/>
      <c r="H456" s="68" t="str">
        <f t="shared" si="236"/>
        <v>Senbur0_20191118_15_00</v>
      </c>
      <c r="I456" s="69">
        <f t="shared" si="237"/>
        <v>1</v>
      </c>
      <c r="J456" s="76" t="str">
        <f t="shared" si="237"/>
        <v>Senecio</v>
      </c>
      <c r="K456" s="76" t="str">
        <f t="shared" si="237"/>
        <v>burtoni</v>
      </c>
      <c r="L456" s="77">
        <f t="shared" si="237"/>
        <v>0</v>
      </c>
      <c r="M456" s="77">
        <f t="shared" si="237"/>
        <v>7</v>
      </c>
      <c r="N456" s="71">
        <f t="shared" si="237"/>
        <v>0</v>
      </c>
      <c r="O456" s="44"/>
      <c r="P456" s="45">
        <f t="shared" si="220"/>
        <v>1</v>
      </c>
      <c r="Q456" s="46" t="str">
        <f t="shared" si="221"/>
        <v>15:23:40</v>
      </c>
      <c r="R456" s="47" t="str">
        <f t="shared" si="222"/>
        <v>23:40</v>
      </c>
      <c r="S456" s="48">
        <f t="shared" si="211"/>
        <v>118</v>
      </c>
      <c r="T456" s="47" t="str">
        <f t="shared" si="223"/>
        <v>15</v>
      </c>
      <c r="U456" s="49">
        <v>25</v>
      </c>
      <c r="V456" s="50">
        <v>38</v>
      </c>
      <c r="W456" s="51" t="str">
        <f t="shared" si="224"/>
        <v>25:38</v>
      </c>
      <c r="X456" s="52" t="s">
        <v>63</v>
      </c>
      <c r="Y456" s="124" t="s">
        <v>82</v>
      </c>
      <c r="Z456" s="124"/>
      <c r="AA456" s="47" t="s">
        <v>59</v>
      </c>
      <c r="AB456" s="47" t="str">
        <f t="shared" si="225"/>
        <v>NA</v>
      </c>
      <c r="AC456" s="53">
        <f t="shared" si="226"/>
        <v>0</v>
      </c>
      <c r="AD456" s="54">
        <v>3</v>
      </c>
      <c r="AE456" s="54"/>
      <c r="AF456" s="54"/>
      <c r="AG456" s="55">
        <v>1</v>
      </c>
      <c r="AH456" s="56">
        <v>28</v>
      </c>
      <c r="AI456" s="55"/>
      <c r="AJ456" s="56" t="str">
        <f t="shared" si="230"/>
        <v/>
      </c>
      <c r="AK456" s="55"/>
      <c r="AL456" s="56" t="str">
        <f t="shared" si="231"/>
        <v/>
      </c>
      <c r="AM456" s="55">
        <v>1</v>
      </c>
      <c r="AN456" s="56">
        <v>90</v>
      </c>
      <c r="AO456" s="55"/>
      <c r="AP456" s="56" t="str">
        <f t="shared" si="233"/>
        <v/>
      </c>
      <c r="AQ456" s="55"/>
      <c r="AR456" s="56" t="str">
        <f t="shared" si="234"/>
        <v/>
      </c>
      <c r="AS456" s="57"/>
      <c r="AT456" s="58"/>
      <c r="AU456" s="58"/>
      <c r="AV456" s="59"/>
      <c r="AW456" s="60">
        <v>1</v>
      </c>
      <c r="AX456" s="61">
        <f t="shared" si="213"/>
        <v>3</v>
      </c>
      <c r="AY456" s="60">
        <v>1</v>
      </c>
      <c r="AZ456" s="61">
        <f t="shared" si="215"/>
        <v>3</v>
      </c>
    </row>
    <row r="457" spans="1:52" s="3" customFormat="1" hidden="1" x14ac:dyDescent="0.35">
      <c r="A457" s="72">
        <f t="shared" si="216"/>
        <v>2019</v>
      </c>
      <c r="B457" s="72" t="str">
        <f t="shared" si="217"/>
        <v>Nov</v>
      </c>
      <c r="C457" s="73">
        <f t="shared" si="235"/>
        <v>18</v>
      </c>
      <c r="D457" s="74">
        <f t="shared" si="218"/>
        <v>15</v>
      </c>
      <c r="E457" s="75">
        <f t="shared" si="219"/>
        <v>24</v>
      </c>
      <c r="F457" s="79"/>
      <c r="G457" s="82"/>
      <c r="H457" s="68" t="str">
        <f t="shared" si="236"/>
        <v>Senbur0_20191118_15_00</v>
      </c>
      <c r="I457" s="69">
        <f t="shared" si="237"/>
        <v>1</v>
      </c>
      <c r="J457" s="76" t="str">
        <f t="shared" si="237"/>
        <v>Senecio</v>
      </c>
      <c r="K457" s="76" t="str">
        <f t="shared" si="237"/>
        <v>burtoni</v>
      </c>
      <c r="L457" s="77">
        <f t="shared" si="237"/>
        <v>0</v>
      </c>
      <c r="M457" s="77">
        <f t="shared" si="237"/>
        <v>7</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18</v>
      </c>
      <c r="D458" s="74">
        <f t="shared" si="218"/>
        <v>15</v>
      </c>
      <c r="E458" s="75">
        <f t="shared" si="219"/>
        <v>25</v>
      </c>
      <c r="F458" s="79"/>
      <c r="G458" s="82"/>
      <c r="H458" s="68" t="str">
        <f t="shared" si="236"/>
        <v>Senbur0_20191118_15_00</v>
      </c>
      <c r="I458" s="69">
        <f t="shared" si="237"/>
        <v>1</v>
      </c>
      <c r="J458" s="76" t="str">
        <f t="shared" si="237"/>
        <v>Senecio</v>
      </c>
      <c r="K458" s="76" t="str">
        <f t="shared" si="237"/>
        <v>burtoni</v>
      </c>
      <c r="L458" s="77">
        <f t="shared" si="237"/>
        <v>0</v>
      </c>
      <c r="M458" s="77">
        <f t="shared" si="237"/>
        <v>7</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18</v>
      </c>
      <c r="D459" s="74">
        <f t="shared" si="218"/>
        <v>15</v>
      </c>
      <c r="E459" s="75">
        <f t="shared" si="219"/>
        <v>26</v>
      </c>
      <c r="F459" s="79">
        <v>27</v>
      </c>
      <c r="G459" s="82"/>
      <c r="H459" s="68" t="str">
        <f t="shared" si="236"/>
        <v>Senbur0_20191118_15_00</v>
      </c>
      <c r="I459" s="69">
        <f t="shared" si="237"/>
        <v>1</v>
      </c>
      <c r="J459" s="76" t="str">
        <f t="shared" si="237"/>
        <v>Senecio</v>
      </c>
      <c r="K459" s="76" t="str">
        <f t="shared" si="237"/>
        <v>burtoni</v>
      </c>
      <c r="L459" s="77">
        <f t="shared" si="237"/>
        <v>0</v>
      </c>
      <c r="M459" s="77">
        <f t="shared" si="237"/>
        <v>7</v>
      </c>
      <c r="N459" s="71">
        <f t="shared" si="237"/>
        <v>0</v>
      </c>
      <c r="O459" s="44"/>
      <c r="P459" s="45">
        <f t="shared" si="220"/>
        <v>1</v>
      </c>
      <c r="Q459" s="46" t="str">
        <f t="shared" si="221"/>
        <v>15:26:27</v>
      </c>
      <c r="R459" s="47" t="str">
        <f t="shared" si="222"/>
        <v>26:27</v>
      </c>
      <c r="S459" s="48">
        <f t="shared" si="211"/>
        <v>45</v>
      </c>
      <c r="T459" s="47" t="str">
        <f t="shared" si="223"/>
        <v>15</v>
      </c>
      <c r="U459" s="49">
        <v>27</v>
      </c>
      <c r="V459" s="50">
        <v>12</v>
      </c>
      <c r="W459" s="51" t="str">
        <f t="shared" si="224"/>
        <v>27:12</v>
      </c>
      <c r="X459" s="52" t="s">
        <v>63</v>
      </c>
      <c r="Y459" s="124" t="s">
        <v>83</v>
      </c>
      <c r="Z459" s="124"/>
      <c r="AA459" s="47" t="s">
        <v>59</v>
      </c>
      <c r="AB459" s="47" t="str">
        <f t="shared" si="225"/>
        <v>NA</v>
      </c>
      <c r="AC459" s="53">
        <f t="shared" si="226"/>
        <v>0</v>
      </c>
      <c r="AD459" s="54">
        <f t="shared" si="227"/>
        <v>1</v>
      </c>
      <c r="AE459" s="54"/>
      <c r="AF459" s="54"/>
      <c r="AG459" s="55">
        <v>1</v>
      </c>
      <c r="AH459" s="56">
        <v>15</v>
      </c>
      <c r="AI459" s="55"/>
      <c r="AJ459" s="56" t="str">
        <f t="shared" si="230"/>
        <v/>
      </c>
      <c r="AK459" s="55"/>
      <c r="AL459" s="56" t="str">
        <f t="shared" si="231"/>
        <v/>
      </c>
      <c r="AM459" s="55">
        <v>1</v>
      </c>
      <c r="AN459" s="56">
        <v>30</v>
      </c>
      <c r="AO459" s="55"/>
      <c r="AP459" s="56" t="str">
        <f t="shared" si="233"/>
        <v/>
      </c>
      <c r="AQ459" s="55"/>
      <c r="AR459" s="56" t="str">
        <f t="shared" si="234"/>
        <v/>
      </c>
      <c r="AS459" s="57"/>
      <c r="AT459" s="58"/>
      <c r="AU459" s="58"/>
      <c r="AV459" s="59"/>
      <c r="AW459" s="60">
        <v>1</v>
      </c>
      <c r="AX459" s="61">
        <f t="shared" si="213"/>
        <v>1</v>
      </c>
      <c r="AY459" s="60">
        <v>1</v>
      </c>
      <c r="AZ459" s="61">
        <f t="shared" si="215"/>
        <v>1</v>
      </c>
    </row>
    <row r="460" spans="1:52" s="3" customFormat="1" hidden="1" x14ac:dyDescent="0.35">
      <c r="A460" s="72">
        <f t="shared" si="216"/>
        <v>2019</v>
      </c>
      <c r="B460" s="72" t="str">
        <f t="shared" si="217"/>
        <v>Nov</v>
      </c>
      <c r="C460" s="73">
        <f t="shared" si="235"/>
        <v>18</v>
      </c>
      <c r="D460" s="74">
        <f t="shared" si="218"/>
        <v>15</v>
      </c>
      <c r="E460" s="75">
        <f t="shared" si="219"/>
        <v>27</v>
      </c>
      <c r="F460" s="79">
        <v>7</v>
      </c>
      <c r="G460" s="82"/>
      <c r="H460" s="68" t="str">
        <f t="shared" si="236"/>
        <v>Senbur0_20191118_15_00</v>
      </c>
      <c r="I460" s="69">
        <f t="shared" si="237"/>
        <v>1</v>
      </c>
      <c r="J460" s="76" t="str">
        <f t="shared" si="237"/>
        <v>Senecio</v>
      </c>
      <c r="K460" s="76" t="str">
        <f t="shared" si="237"/>
        <v>burtoni</v>
      </c>
      <c r="L460" s="77">
        <f t="shared" si="237"/>
        <v>0</v>
      </c>
      <c r="M460" s="77">
        <f t="shared" si="237"/>
        <v>7</v>
      </c>
      <c r="N460" s="71">
        <f t="shared" si="237"/>
        <v>0</v>
      </c>
      <c r="O460" s="44"/>
      <c r="P460" s="45">
        <f t="shared" si="220"/>
        <v>1</v>
      </c>
      <c r="Q460" s="46" t="str">
        <f t="shared" si="221"/>
        <v>15:27:07</v>
      </c>
      <c r="R460" s="47" t="str">
        <f t="shared" si="222"/>
        <v>27:07</v>
      </c>
      <c r="S460" s="48">
        <f t="shared" si="211"/>
        <v>35</v>
      </c>
      <c r="T460" s="47" t="str">
        <f t="shared" si="223"/>
        <v>15</v>
      </c>
      <c r="U460" s="49">
        <v>27</v>
      </c>
      <c r="V460" s="50">
        <v>42</v>
      </c>
      <c r="W460" s="51" t="str">
        <f t="shared" si="224"/>
        <v>27:42</v>
      </c>
      <c r="X460" s="52" t="s">
        <v>63</v>
      </c>
      <c r="Y460" s="124" t="s">
        <v>82</v>
      </c>
      <c r="Z460" s="124"/>
      <c r="AA460" s="47" t="s">
        <v>59</v>
      </c>
      <c r="AB460" s="47" t="str">
        <f t="shared" si="225"/>
        <v>NA</v>
      </c>
      <c r="AC460" s="53">
        <f t="shared" si="226"/>
        <v>0</v>
      </c>
      <c r="AD460" s="54">
        <f t="shared" si="227"/>
        <v>1</v>
      </c>
      <c r="AE460" s="54"/>
      <c r="AF460" s="54"/>
      <c r="AG460" s="55">
        <v>1</v>
      </c>
      <c r="AH460" s="56">
        <v>15</v>
      </c>
      <c r="AI460" s="55"/>
      <c r="AJ460" s="56" t="str">
        <f t="shared" si="230"/>
        <v/>
      </c>
      <c r="AK460" s="55"/>
      <c r="AL460" s="56" t="str">
        <f t="shared" si="231"/>
        <v/>
      </c>
      <c r="AM460" s="55">
        <v>1</v>
      </c>
      <c r="AN460" s="56">
        <v>20</v>
      </c>
      <c r="AO460" s="55"/>
      <c r="AP460" s="56" t="str">
        <f t="shared" si="233"/>
        <v/>
      </c>
      <c r="AQ460" s="55"/>
      <c r="AR460" s="56" t="str">
        <f t="shared" si="234"/>
        <v/>
      </c>
      <c r="AS460" s="57"/>
      <c r="AT460" s="58"/>
      <c r="AU460" s="58"/>
      <c r="AV460" s="59"/>
      <c r="AW460" s="60">
        <v>1</v>
      </c>
      <c r="AX460" s="61">
        <f t="shared" si="213"/>
        <v>1</v>
      </c>
      <c r="AY460" s="60">
        <v>1</v>
      </c>
      <c r="AZ460" s="61">
        <f t="shared" si="215"/>
        <v>1</v>
      </c>
    </row>
    <row r="461" spans="1:52" s="3" customFormat="1" hidden="1" x14ac:dyDescent="0.35">
      <c r="A461" s="72">
        <f t="shared" si="216"/>
        <v>2019</v>
      </c>
      <c r="B461" s="72" t="str">
        <f t="shared" si="217"/>
        <v>Nov</v>
      </c>
      <c r="C461" s="73">
        <f t="shared" si="235"/>
        <v>18</v>
      </c>
      <c r="D461" s="74">
        <f t="shared" si="218"/>
        <v>15</v>
      </c>
      <c r="E461" s="75">
        <f t="shared" si="219"/>
        <v>28</v>
      </c>
      <c r="F461" s="79"/>
      <c r="G461" s="82"/>
      <c r="H461" s="68" t="str">
        <f t="shared" si="236"/>
        <v>Senbur0_20191118_15_00</v>
      </c>
      <c r="I461" s="69">
        <f t="shared" si="237"/>
        <v>1</v>
      </c>
      <c r="J461" s="76" t="str">
        <f t="shared" si="237"/>
        <v>Senecio</v>
      </c>
      <c r="K461" s="76" t="str">
        <f t="shared" si="237"/>
        <v>burtoni</v>
      </c>
      <c r="L461" s="77">
        <f t="shared" si="237"/>
        <v>0</v>
      </c>
      <c r="M461" s="77">
        <f t="shared" si="237"/>
        <v>7</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18</v>
      </c>
      <c r="D462" s="74">
        <f t="shared" si="218"/>
        <v>15</v>
      </c>
      <c r="E462" s="75">
        <f t="shared" si="219"/>
        <v>29</v>
      </c>
      <c r="F462" s="79"/>
      <c r="G462" s="82"/>
      <c r="H462" s="68" t="str">
        <f t="shared" si="236"/>
        <v>Senbur0_20191118_15_00</v>
      </c>
      <c r="I462" s="69">
        <f t="shared" si="237"/>
        <v>1</v>
      </c>
      <c r="J462" s="76" t="str">
        <f t="shared" si="237"/>
        <v>Senecio</v>
      </c>
      <c r="K462" s="76" t="str">
        <f t="shared" si="237"/>
        <v>burtoni</v>
      </c>
      <c r="L462" s="77">
        <f t="shared" si="237"/>
        <v>0</v>
      </c>
      <c r="M462" s="77">
        <f t="shared" si="237"/>
        <v>7</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18</v>
      </c>
      <c r="D463" s="74">
        <f t="shared" si="218"/>
        <v>15</v>
      </c>
      <c r="E463" s="75">
        <f t="shared" si="219"/>
        <v>30</v>
      </c>
      <c r="F463" s="79"/>
      <c r="G463" s="82"/>
      <c r="H463" s="68" t="str">
        <f t="shared" si="236"/>
        <v>Senbur0_20191118_15_00</v>
      </c>
      <c r="I463" s="69">
        <f t="shared" si="237"/>
        <v>1</v>
      </c>
      <c r="J463" s="76" t="str">
        <f t="shared" si="237"/>
        <v>Senecio</v>
      </c>
      <c r="K463" s="76" t="str">
        <f t="shared" si="237"/>
        <v>burtoni</v>
      </c>
      <c r="L463" s="77">
        <f t="shared" si="237"/>
        <v>0</v>
      </c>
      <c r="M463" s="77">
        <f t="shared" si="237"/>
        <v>7</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18</v>
      </c>
      <c r="D464" s="74">
        <f t="shared" si="218"/>
        <v>15</v>
      </c>
      <c r="E464" s="75">
        <f t="shared" si="219"/>
        <v>31</v>
      </c>
      <c r="F464" s="79"/>
      <c r="G464" s="82"/>
      <c r="H464" s="68" t="str">
        <f t="shared" si="236"/>
        <v>Senbur0_20191118_15_00</v>
      </c>
      <c r="I464" s="69">
        <f t="shared" si="237"/>
        <v>1</v>
      </c>
      <c r="J464" s="76" t="str">
        <f t="shared" si="237"/>
        <v>Senecio</v>
      </c>
      <c r="K464" s="76" t="str">
        <f t="shared" si="237"/>
        <v>burtoni</v>
      </c>
      <c r="L464" s="77">
        <f t="shared" si="237"/>
        <v>0</v>
      </c>
      <c r="M464" s="77">
        <f t="shared" si="237"/>
        <v>7</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18</v>
      </c>
      <c r="D465" s="74">
        <f t="shared" si="218"/>
        <v>15</v>
      </c>
      <c r="E465" s="75">
        <f t="shared" si="219"/>
        <v>32</v>
      </c>
      <c r="F465" s="79"/>
      <c r="G465" s="82"/>
      <c r="H465" s="68" t="str">
        <f t="shared" si="236"/>
        <v>Senbur0_20191118_15_00</v>
      </c>
      <c r="I465" s="69">
        <f t="shared" si="237"/>
        <v>1</v>
      </c>
      <c r="J465" s="76" t="str">
        <f t="shared" si="237"/>
        <v>Senecio</v>
      </c>
      <c r="K465" s="76" t="str">
        <f t="shared" si="237"/>
        <v>burtoni</v>
      </c>
      <c r="L465" s="77">
        <f t="shared" si="237"/>
        <v>0</v>
      </c>
      <c r="M465" s="77">
        <f t="shared" si="237"/>
        <v>7</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18</v>
      </c>
      <c r="D466" s="74">
        <f t="shared" si="218"/>
        <v>15</v>
      </c>
      <c r="E466" s="75">
        <f t="shared" si="219"/>
        <v>33</v>
      </c>
      <c r="F466" s="79"/>
      <c r="G466" s="82"/>
      <c r="H466" s="68" t="str">
        <f t="shared" si="236"/>
        <v>Senbur0_20191118_15_00</v>
      </c>
      <c r="I466" s="69">
        <f t="shared" si="237"/>
        <v>1</v>
      </c>
      <c r="J466" s="76" t="str">
        <f t="shared" si="237"/>
        <v>Senecio</v>
      </c>
      <c r="K466" s="76" t="str">
        <f t="shared" si="237"/>
        <v>burtoni</v>
      </c>
      <c r="L466" s="77">
        <f t="shared" si="237"/>
        <v>0</v>
      </c>
      <c r="M466" s="77">
        <f t="shared" si="237"/>
        <v>7</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18</v>
      </c>
      <c r="D467" s="74">
        <f t="shared" si="218"/>
        <v>15</v>
      </c>
      <c r="E467" s="75">
        <f t="shared" si="219"/>
        <v>34</v>
      </c>
      <c r="F467" s="79"/>
      <c r="G467" s="82"/>
      <c r="H467" s="68" t="str">
        <f t="shared" si="236"/>
        <v>Senbur0_20191118_15_00</v>
      </c>
      <c r="I467" s="69">
        <f t="shared" si="237"/>
        <v>1</v>
      </c>
      <c r="J467" s="76" t="str">
        <f t="shared" si="237"/>
        <v>Senecio</v>
      </c>
      <c r="K467" s="76" t="str">
        <f t="shared" si="237"/>
        <v>burtoni</v>
      </c>
      <c r="L467" s="77">
        <f t="shared" si="237"/>
        <v>0</v>
      </c>
      <c r="M467" s="77">
        <f t="shared" si="237"/>
        <v>7</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18</v>
      </c>
      <c r="D468" s="74">
        <f t="shared" si="218"/>
        <v>15</v>
      </c>
      <c r="E468" s="75">
        <f t="shared" si="219"/>
        <v>35</v>
      </c>
      <c r="F468" s="79">
        <v>20</v>
      </c>
      <c r="G468" s="82"/>
      <c r="H468" s="68" t="str">
        <f t="shared" si="236"/>
        <v>Senbur0_20191118_15_00</v>
      </c>
      <c r="I468" s="69">
        <f t="shared" si="237"/>
        <v>1</v>
      </c>
      <c r="J468" s="76" t="str">
        <f t="shared" si="237"/>
        <v>Senecio</v>
      </c>
      <c r="K468" s="76" t="str">
        <f t="shared" si="237"/>
        <v>burtoni</v>
      </c>
      <c r="L468" s="77">
        <f t="shared" si="237"/>
        <v>0</v>
      </c>
      <c r="M468" s="77">
        <f t="shared" si="237"/>
        <v>7</v>
      </c>
      <c r="N468" s="71">
        <f t="shared" si="237"/>
        <v>0</v>
      </c>
      <c r="O468" s="44"/>
      <c r="P468" s="45">
        <f t="shared" si="220"/>
        <v>1</v>
      </c>
      <c r="Q468" s="46" t="str">
        <f t="shared" si="221"/>
        <v>15:35:20</v>
      </c>
      <c r="R468" s="47" t="str">
        <f t="shared" si="222"/>
        <v>35:20</v>
      </c>
      <c r="S468" s="48">
        <f t="shared" si="211"/>
        <v>37</v>
      </c>
      <c r="T468" s="47" t="str">
        <f t="shared" si="223"/>
        <v>15</v>
      </c>
      <c r="U468" s="49">
        <v>35</v>
      </c>
      <c r="V468" s="50">
        <v>57</v>
      </c>
      <c r="W468" s="51" t="str">
        <f t="shared" si="224"/>
        <v>35:57</v>
      </c>
      <c r="X468" s="52" t="s">
        <v>63</v>
      </c>
      <c r="Y468" s="124" t="s">
        <v>82</v>
      </c>
      <c r="Z468" s="124"/>
      <c r="AA468" s="47" t="s">
        <v>59</v>
      </c>
      <c r="AB468" s="47" t="str">
        <f t="shared" si="225"/>
        <v>NA</v>
      </c>
      <c r="AC468" s="53">
        <f t="shared" si="226"/>
        <v>0</v>
      </c>
      <c r="AD468" s="54">
        <f t="shared" si="227"/>
        <v>1</v>
      </c>
      <c r="AE468" s="54"/>
      <c r="AF468" s="54"/>
      <c r="AG468" s="55">
        <v>1</v>
      </c>
      <c r="AH468" s="56">
        <f t="shared" si="229"/>
        <v>37</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v>1</v>
      </c>
      <c r="AX468" s="61">
        <f t="shared" si="213"/>
        <v>1</v>
      </c>
      <c r="AY468" s="60">
        <f t="shared" si="214"/>
        <v>0</v>
      </c>
      <c r="AZ468" s="61" t="str">
        <f t="shared" si="215"/>
        <v/>
      </c>
    </row>
    <row r="469" spans="1:52" s="3" customFormat="1" hidden="1" x14ac:dyDescent="0.35">
      <c r="A469" s="72">
        <f t="shared" si="216"/>
        <v>2019</v>
      </c>
      <c r="B469" s="72" t="str">
        <f t="shared" si="217"/>
        <v>Nov</v>
      </c>
      <c r="C469" s="73">
        <f t="shared" si="235"/>
        <v>18</v>
      </c>
      <c r="D469" s="74">
        <f t="shared" si="218"/>
        <v>15</v>
      </c>
      <c r="E469" s="75">
        <f t="shared" si="219"/>
        <v>36</v>
      </c>
      <c r="F469" s="79"/>
      <c r="G469" s="82"/>
      <c r="H469" s="68" t="str">
        <f t="shared" si="236"/>
        <v>Senbur0_20191118_15_00</v>
      </c>
      <c r="I469" s="69">
        <f t="shared" ref="I469:N484" si="238">I468</f>
        <v>1</v>
      </c>
      <c r="J469" s="76" t="str">
        <f t="shared" si="238"/>
        <v>Senecio</v>
      </c>
      <c r="K469" s="76" t="str">
        <f t="shared" si="238"/>
        <v>burtoni</v>
      </c>
      <c r="L469" s="77">
        <f t="shared" si="238"/>
        <v>0</v>
      </c>
      <c r="M469" s="77">
        <f t="shared" si="238"/>
        <v>7</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18</v>
      </c>
      <c r="D470" s="74">
        <f t="shared" si="218"/>
        <v>15</v>
      </c>
      <c r="E470" s="75">
        <f t="shared" si="219"/>
        <v>37</v>
      </c>
      <c r="F470" s="79"/>
      <c r="G470" s="82"/>
      <c r="H470" s="68" t="str">
        <f t="shared" si="236"/>
        <v>Senbur0_20191118_15_00</v>
      </c>
      <c r="I470" s="69">
        <f t="shared" si="238"/>
        <v>1</v>
      </c>
      <c r="J470" s="76" t="str">
        <f t="shared" si="238"/>
        <v>Senecio</v>
      </c>
      <c r="K470" s="76" t="str">
        <f t="shared" si="238"/>
        <v>burtoni</v>
      </c>
      <c r="L470" s="77">
        <f t="shared" si="238"/>
        <v>0</v>
      </c>
      <c r="M470" s="77">
        <f t="shared" si="238"/>
        <v>7</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18</v>
      </c>
      <c r="D471" s="74">
        <f t="shared" si="218"/>
        <v>15</v>
      </c>
      <c r="E471" s="75">
        <f t="shared" si="219"/>
        <v>38</v>
      </c>
      <c r="F471" s="79"/>
      <c r="G471" s="82"/>
      <c r="H471" s="68" t="str">
        <f t="shared" si="236"/>
        <v>Senbur0_20191118_15_00</v>
      </c>
      <c r="I471" s="69">
        <f t="shared" si="238"/>
        <v>1</v>
      </c>
      <c r="J471" s="76" t="str">
        <f t="shared" si="238"/>
        <v>Senecio</v>
      </c>
      <c r="K471" s="76" t="str">
        <f t="shared" si="238"/>
        <v>burtoni</v>
      </c>
      <c r="L471" s="77">
        <f t="shared" si="238"/>
        <v>0</v>
      </c>
      <c r="M471" s="77">
        <f t="shared" si="238"/>
        <v>7</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18</v>
      </c>
      <c r="D472" s="74">
        <f t="shared" si="218"/>
        <v>15</v>
      </c>
      <c r="E472" s="75">
        <f t="shared" si="219"/>
        <v>39</v>
      </c>
      <c r="F472" s="79"/>
      <c r="G472" s="82"/>
      <c r="H472" s="68" t="str">
        <f t="shared" si="236"/>
        <v>Senbur0_20191118_15_00</v>
      </c>
      <c r="I472" s="69">
        <f t="shared" si="238"/>
        <v>1</v>
      </c>
      <c r="J472" s="76" t="str">
        <f t="shared" si="238"/>
        <v>Senecio</v>
      </c>
      <c r="K472" s="76" t="str">
        <f t="shared" si="238"/>
        <v>burtoni</v>
      </c>
      <c r="L472" s="77">
        <f t="shared" si="238"/>
        <v>0</v>
      </c>
      <c r="M472" s="77">
        <f t="shared" si="238"/>
        <v>7</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18</v>
      </c>
      <c r="D473" s="74">
        <f t="shared" si="218"/>
        <v>15</v>
      </c>
      <c r="E473" s="75">
        <f t="shared" si="219"/>
        <v>40</v>
      </c>
      <c r="F473" s="79"/>
      <c r="G473" s="82"/>
      <c r="H473" s="68" t="str">
        <f t="shared" si="236"/>
        <v>Senbur0_20191118_15_00</v>
      </c>
      <c r="I473" s="69">
        <f t="shared" si="238"/>
        <v>1</v>
      </c>
      <c r="J473" s="76" t="str">
        <f t="shared" si="238"/>
        <v>Senecio</v>
      </c>
      <c r="K473" s="76" t="str">
        <f t="shared" si="238"/>
        <v>burtoni</v>
      </c>
      <c r="L473" s="77">
        <f t="shared" si="238"/>
        <v>0</v>
      </c>
      <c r="M473" s="77">
        <f t="shared" si="238"/>
        <v>7</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18</v>
      </c>
      <c r="D474" s="74">
        <f t="shared" si="218"/>
        <v>15</v>
      </c>
      <c r="E474" s="75">
        <f t="shared" si="219"/>
        <v>41</v>
      </c>
      <c r="F474" s="79">
        <v>6</v>
      </c>
      <c r="G474" s="82"/>
      <c r="H474" s="68" t="str">
        <f t="shared" si="236"/>
        <v>Senbur0_20191118_15_00</v>
      </c>
      <c r="I474" s="69">
        <f t="shared" si="238"/>
        <v>1</v>
      </c>
      <c r="J474" s="76" t="str">
        <f t="shared" si="238"/>
        <v>Senecio</v>
      </c>
      <c r="K474" s="76" t="str">
        <f t="shared" si="238"/>
        <v>burtoni</v>
      </c>
      <c r="L474" s="77">
        <f t="shared" si="238"/>
        <v>0</v>
      </c>
      <c r="M474" s="77">
        <f t="shared" si="238"/>
        <v>7</v>
      </c>
      <c r="N474" s="71">
        <f t="shared" si="238"/>
        <v>0</v>
      </c>
      <c r="O474" s="44"/>
      <c r="P474" s="45">
        <f t="shared" si="220"/>
        <v>1</v>
      </c>
      <c r="Q474" s="46" t="str">
        <f t="shared" si="221"/>
        <v>15:41:06</v>
      </c>
      <c r="R474" s="47" t="str">
        <f t="shared" si="222"/>
        <v>41:06</v>
      </c>
      <c r="S474" s="48">
        <f t="shared" si="211"/>
        <v>16</v>
      </c>
      <c r="T474" s="47" t="str">
        <f t="shared" si="223"/>
        <v>15</v>
      </c>
      <c r="U474" s="49">
        <v>41</v>
      </c>
      <c r="V474" s="50">
        <v>22</v>
      </c>
      <c r="W474" s="51" t="str">
        <f t="shared" si="224"/>
        <v>41:22</v>
      </c>
      <c r="X474" s="52" t="s">
        <v>63</v>
      </c>
      <c r="Y474" s="124" t="s">
        <v>82</v>
      </c>
      <c r="Z474" s="124"/>
      <c r="AA474" s="47" t="s">
        <v>59</v>
      </c>
      <c r="AB474" s="47" t="str">
        <f t="shared" si="225"/>
        <v>NA</v>
      </c>
      <c r="AC474" s="53">
        <f t="shared" si="226"/>
        <v>0</v>
      </c>
      <c r="AD474" s="54">
        <f t="shared" si="227"/>
        <v>1</v>
      </c>
      <c r="AE474" s="54"/>
      <c r="AF474" s="54"/>
      <c r="AG474" s="55">
        <v>1</v>
      </c>
      <c r="AH474" s="56">
        <v>4</v>
      </c>
      <c r="AI474" s="55"/>
      <c r="AJ474" s="56" t="str">
        <f t="shared" si="230"/>
        <v/>
      </c>
      <c r="AK474" s="55"/>
      <c r="AL474" s="56" t="str">
        <f t="shared" si="231"/>
        <v/>
      </c>
      <c r="AM474" s="55">
        <v>1</v>
      </c>
      <c r="AN474" s="56">
        <v>12</v>
      </c>
      <c r="AO474" s="55"/>
      <c r="AP474" s="56" t="str">
        <f t="shared" si="233"/>
        <v/>
      </c>
      <c r="AQ474" s="55"/>
      <c r="AR474" s="56" t="str">
        <f t="shared" si="234"/>
        <v/>
      </c>
      <c r="AS474" s="57"/>
      <c r="AT474" s="58"/>
      <c r="AU474" s="58"/>
      <c r="AV474" s="59"/>
      <c r="AW474" s="60">
        <v>1</v>
      </c>
      <c r="AX474" s="61">
        <f t="shared" si="213"/>
        <v>1</v>
      </c>
      <c r="AY474" s="60">
        <v>1</v>
      </c>
      <c r="AZ474" s="61">
        <f t="shared" si="215"/>
        <v>1</v>
      </c>
    </row>
    <row r="475" spans="1:52" s="3" customFormat="1" hidden="1" x14ac:dyDescent="0.35">
      <c r="A475" s="72">
        <f t="shared" si="216"/>
        <v>2019</v>
      </c>
      <c r="B475" s="72" t="str">
        <f t="shared" si="217"/>
        <v>Nov</v>
      </c>
      <c r="C475" s="73">
        <f t="shared" si="235"/>
        <v>18</v>
      </c>
      <c r="D475" s="74">
        <f t="shared" si="218"/>
        <v>15</v>
      </c>
      <c r="E475" s="75">
        <f t="shared" si="219"/>
        <v>42</v>
      </c>
      <c r="F475" s="79"/>
      <c r="G475" s="82"/>
      <c r="H475" s="68" t="str">
        <f t="shared" si="236"/>
        <v>Senbur0_20191118_15_00</v>
      </c>
      <c r="I475" s="69">
        <f t="shared" si="238"/>
        <v>1</v>
      </c>
      <c r="J475" s="76" t="str">
        <f t="shared" si="238"/>
        <v>Senecio</v>
      </c>
      <c r="K475" s="76" t="str">
        <f t="shared" si="238"/>
        <v>burtoni</v>
      </c>
      <c r="L475" s="77">
        <f t="shared" si="238"/>
        <v>0</v>
      </c>
      <c r="M475" s="77">
        <f t="shared" si="238"/>
        <v>7</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18</v>
      </c>
      <c r="D476" s="74">
        <f t="shared" si="218"/>
        <v>15</v>
      </c>
      <c r="E476" s="75">
        <f t="shared" si="219"/>
        <v>43</v>
      </c>
      <c r="F476" s="79"/>
      <c r="G476" s="82"/>
      <c r="H476" s="68" t="str">
        <f t="shared" si="236"/>
        <v>Senbur0_20191118_15_00</v>
      </c>
      <c r="I476" s="69">
        <f t="shared" si="238"/>
        <v>1</v>
      </c>
      <c r="J476" s="76" t="str">
        <f t="shared" si="238"/>
        <v>Senecio</v>
      </c>
      <c r="K476" s="76" t="str">
        <f t="shared" si="238"/>
        <v>burtoni</v>
      </c>
      <c r="L476" s="77">
        <f t="shared" si="238"/>
        <v>0</v>
      </c>
      <c r="M476" s="77">
        <f t="shared" si="238"/>
        <v>7</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18</v>
      </c>
      <c r="D477" s="74">
        <f t="shared" si="218"/>
        <v>15</v>
      </c>
      <c r="E477" s="75">
        <f t="shared" si="219"/>
        <v>44</v>
      </c>
      <c r="F477" s="79"/>
      <c r="G477" s="82"/>
      <c r="H477" s="68" t="str">
        <f t="shared" si="236"/>
        <v>Senbur0_20191118_15_00</v>
      </c>
      <c r="I477" s="69">
        <f t="shared" si="238"/>
        <v>1</v>
      </c>
      <c r="J477" s="76" t="str">
        <f t="shared" si="238"/>
        <v>Senecio</v>
      </c>
      <c r="K477" s="76" t="str">
        <f t="shared" si="238"/>
        <v>burtoni</v>
      </c>
      <c r="L477" s="77">
        <f t="shared" si="238"/>
        <v>0</v>
      </c>
      <c r="M477" s="77">
        <f t="shared" si="238"/>
        <v>7</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18</v>
      </c>
      <c r="D478" s="74">
        <f t="shared" si="218"/>
        <v>15</v>
      </c>
      <c r="E478" s="75">
        <f t="shared" si="219"/>
        <v>45</v>
      </c>
      <c r="F478" s="79"/>
      <c r="G478" s="82"/>
      <c r="H478" s="68" t="str">
        <f t="shared" si="236"/>
        <v>Senbur0_20191118_15_00</v>
      </c>
      <c r="I478" s="69">
        <f t="shared" si="238"/>
        <v>1</v>
      </c>
      <c r="J478" s="76" t="str">
        <f t="shared" si="238"/>
        <v>Senecio</v>
      </c>
      <c r="K478" s="76" t="str">
        <f t="shared" si="238"/>
        <v>burtoni</v>
      </c>
      <c r="L478" s="77">
        <f t="shared" si="238"/>
        <v>0</v>
      </c>
      <c r="M478" s="77">
        <f t="shared" si="238"/>
        <v>7</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18</v>
      </c>
      <c r="D479" s="74">
        <f t="shared" si="218"/>
        <v>15</v>
      </c>
      <c r="E479" s="75">
        <f t="shared" si="219"/>
        <v>46</v>
      </c>
      <c r="F479" s="79"/>
      <c r="G479" s="82"/>
      <c r="H479" s="68" t="str">
        <f t="shared" si="236"/>
        <v>Senbur0_20191118_15_00</v>
      </c>
      <c r="I479" s="69">
        <f t="shared" si="238"/>
        <v>1</v>
      </c>
      <c r="J479" s="76" t="str">
        <f t="shared" si="238"/>
        <v>Senecio</v>
      </c>
      <c r="K479" s="76" t="str">
        <f t="shared" si="238"/>
        <v>burtoni</v>
      </c>
      <c r="L479" s="77">
        <f t="shared" si="238"/>
        <v>0</v>
      </c>
      <c r="M479" s="77">
        <f t="shared" si="238"/>
        <v>7</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18</v>
      </c>
      <c r="D480" s="74">
        <f t="shared" si="218"/>
        <v>15</v>
      </c>
      <c r="E480" s="75">
        <f t="shared" si="219"/>
        <v>47</v>
      </c>
      <c r="F480" s="79"/>
      <c r="G480" s="82"/>
      <c r="H480" s="68" t="str">
        <f t="shared" si="236"/>
        <v>Senbur0_20191118_15_00</v>
      </c>
      <c r="I480" s="69">
        <f t="shared" si="238"/>
        <v>1</v>
      </c>
      <c r="J480" s="76" t="str">
        <f t="shared" si="238"/>
        <v>Senecio</v>
      </c>
      <c r="K480" s="76" t="str">
        <f t="shared" si="238"/>
        <v>burtoni</v>
      </c>
      <c r="L480" s="77">
        <f t="shared" si="238"/>
        <v>0</v>
      </c>
      <c r="M480" s="77">
        <f t="shared" si="238"/>
        <v>7</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18</v>
      </c>
      <c r="D481" s="74">
        <f t="shared" si="218"/>
        <v>15</v>
      </c>
      <c r="E481" s="75">
        <f t="shared" si="219"/>
        <v>48</v>
      </c>
      <c r="F481" s="79"/>
      <c r="G481" s="82"/>
      <c r="H481" s="68" t="str">
        <f t="shared" si="236"/>
        <v>Senbur0_20191118_15_00</v>
      </c>
      <c r="I481" s="69">
        <f t="shared" si="238"/>
        <v>1</v>
      </c>
      <c r="J481" s="76" t="str">
        <f t="shared" si="238"/>
        <v>Senecio</v>
      </c>
      <c r="K481" s="76" t="str">
        <f t="shared" si="238"/>
        <v>burtoni</v>
      </c>
      <c r="L481" s="77">
        <f t="shared" si="238"/>
        <v>0</v>
      </c>
      <c r="M481" s="77">
        <f t="shared" si="238"/>
        <v>7</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18</v>
      </c>
      <c r="D482" s="74">
        <f t="shared" si="218"/>
        <v>15</v>
      </c>
      <c r="E482" s="75">
        <f t="shared" si="219"/>
        <v>49</v>
      </c>
      <c r="F482" s="79"/>
      <c r="G482" s="82"/>
      <c r="H482" s="68" t="str">
        <f t="shared" si="236"/>
        <v>Senbur0_20191118_15_00</v>
      </c>
      <c r="I482" s="69">
        <f t="shared" si="238"/>
        <v>1</v>
      </c>
      <c r="J482" s="76" t="str">
        <f t="shared" si="238"/>
        <v>Senecio</v>
      </c>
      <c r="K482" s="76" t="str">
        <f t="shared" si="238"/>
        <v>burtoni</v>
      </c>
      <c r="L482" s="77">
        <f t="shared" si="238"/>
        <v>0</v>
      </c>
      <c r="M482" s="77">
        <f t="shared" si="238"/>
        <v>7</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18</v>
      </c>
      <c r="D483" s="74">
        <f t="shared" si="218"/>
        <v>15</v>
      </c>
      <c r="E483" s="75">
        <f t="shared" si="219"/>
        <v>50</v>
      </c>
      <c r="F483" s="79"/>
      <c r="G483" s="82"/>
      <c r="H483" s="68" t="str">
        <f t="shared" si="236"/>
        <v>Senbur0_20191118_15_00</v>
      </c>
      <c r="I483" s="69">
        <f t="shared" si="238"/>
        <v>1</v>
      </c>
      <c r="J483" s="76" t="str">
        <f t="shared" si="238"/>
        <v>Senecio</v>
      </c>
      <c r="K483" s="76" t="str">
        <f t="shared" si="238"/>
        <v>burtoni</v>
      </c>
      <c r="L483" s="77">
        <f t="shared" si="238"/>
        <v>0</v>
      </c>
      <c r="M483" s="77">
        <f t="shared" si="238"/>
        <v>7</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18</v>
      </c>
      <c r="D484" s="74">
        <f t="shared" si="218"/>
        <v>15</v>
      </c>
      <c r="E484" s="75">
        <f t="shared" si="219"/>
        <v>51</v>
      </c>
      <c r="F484" s="79"/>
      <c r="G484" s="82"/>
      <c r="H484" s="68" t="str">
        <f t="shared" si="236"/>
        <v>Senbur0_20191118_15_00</v>
      </c>
      <c r="I484" s="69">
        <f t="shared" si="238"/>
        <v>1</v>
      </c>
      <c r="J484" s="76" t="str">
        <f t="shared" si="238"/>
        <v>Senecio</v>
      </c>
      <c r="K484" s="76" t="str">
        <f t="shared" si="238"/>
        <v>burtoni</v>
      </c>
      <c r="L484" s="77">
        <f t="shared" si="238"/>
        <v>0</v>
      </c>
      <c r="M484" s="77">
        <f t="shared" si="238"/>
        <v>7</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18</v>
      </c>
      <c r="D485" s="74">
        <f t="shared" si="218"/>
        <v>15</v>
      </c>
      <c r="E485" s="75">
        <f t="shared" si="219"/>
        <v>52</v>
      </c>
      <c r="F485" s="79"/>
      <c r="G485" s="82"/>
      <c r="H485" s="68" t="str">
        <f t="shared" si="236"/>
        <v>Senbur0_20191118_15_00</v>
      </c>
      <c r="I485" s="69">
        <f t="shared" ref="I485:N500" si="239">I484</f>
        <v>1</v>
      </c>
      <c r="J485" s="76" t="str">
        <f t="shared" si="239"/>
        <v>Senecio</v>
      </c>
      <c r="K485" s="76" t="str">
        <f t="shared" si="239"/>
        <v>burtoni</v>
      </c>
      <c r="L485" s="77">
        <f t="shared" si="239"/>
        <v>0</v>
      </c>
      <c r="M485" s="77">
        <f t="shared" si="239"/>
        <v>7</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18</v>
      </c>
      <c r="D486" s="74">
        <f t="shared" si="218"/>
        <v>15</v>
      </c>
      <c r="E486" s="75">
        <f t="shared" si="219"/>
        <v>53</v>
      </c>
      <c r="F486" s="79"/>
      <c r="G486" s="82"/>
      <c r="H486" s="68" t="str">
        <f t="shared" si="236"/>
        <v>Senbur0_20191118_15_00</v>
      </c>
      <c r="I486" s="69">
        <f t="shared" si="239"/>
        <v>1</v>
      </c>
      <c r="J486" s="76" t="str">
        <f t="shared" si="239"/>
        <v>Senecio</v>
      </c>
      <c r="K486" s="76" t="str">
        <f t="shared" si="239"/>
        <v>burtoni</v>
      </c>
      <c r="L486" s="77">
        <f t="shared" si="239"/>
        <v>0</v>
      </c>
      <c r="M486" s="77">
        <f t="shared" si="239"/>
        <v>7</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18</v>
      </c>
      <c r="D487" s="74">
        <f t="shared" si="218"/>
        <v>15</v>
      </c>
      <c r="E487" s="75">
        <f t="shared" si="219"/>
        <v>54</v>
      </c>
      <c r="F487" s="79"/>
      <c r="G487" s="82"/>
      <c r="H487" s="68" t="str">
        <f t="shared" si="236"/>
        <v>Senbur0_20191118_15_00</v>
      </c>
      <c r="I487" s="69">
        <f t="shared" si="239"/>
        <v>1</v>
      </c>
      <c r="J487" s="76" t="str">
        <f t="shared" si="239"/>
        <v>Senecio</v>
      </c>
      <c r="K487" s="76" t="str">
        <f t="shared" si="239"/>
        <v>burtoni</v>
      </c>
      <c r="L487" s="77">
        <f t="shared" si="239"/>
        <v>0</v>
      </c>
      <c r="M487" s="77">
        <f t="shared" si="239"/>
        <v>7</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18</v>
      </c>
      <c r="D488" s="74">
        <f t="shared" si="218"/>
        <v>15</v>
      </c>
      <c r="E488" s="75">
        <f t="shared" si="219"/>
        <v>55</v>
      </c>
      <c r="F488" s="79"/>
      <c r="G488" s="82"/>
      <c r="H488" s="68" t="str">
        <f t="shared" si="236"/>
        <v>Senbur0_20191118_15_00</v>
      </c>
      <c r="I488" s="69">
        <f t="shared" si="239"/>
        <v>1</v>
      </c>
      <c r="J488" s="76" t="str">
        <f t="shared" si="239"/>
        <v>Senecio</v>
      </c>
      <c r="K488" s="76" t="str">
        <f t="shared" si="239"/>
        <v>burtoni</v>
      </c>
      <c r="L488" s="77">
        <f t="shared" si="239"/>
        <v>0</v>
      </c>
      <c r="M488" s="77">
        <f t="shared" si="239"/>
        <v>7</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18</v>
      </c>
      <c r="D489" s="74">
        <f t="shared" si="218"/>
        <v>15</v>
      </c>
      <c r="E489" s="75">
        <f t="shared" si="219"/>
        <v>56</v>
      </c>
      <c r="F489" s="79"/>
      <c r="G489" s="82"/>
      <c r="H489" s="68" t="str">
        <f t="shared" si="236"/>
        <v>Senbur0_20191118_15_00</v>
      </c>
      <c r="I489" s="69">
        <f t="shared" si="239"/>
        <v>1</v>
      </c>
      <c r="J489" s="76" t="str">
        <f t="shared" si="239"/>
        <v>Senecio</v>
      </c>
      <c r="K489" s="76" t="str">
        <f t="shared" si="239"/>
        <v>burtoni</v>
      </c>
      <c r="L489" s="77">
        <f t="shared" si="239"/>
        <v>0</v>
      </c>
      <c r="M489" s="77">
        <f t="shared" si="239"/>
        <v>7</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18</v>
      </c>
      <c r="D490" s="74">
        <f t="shared" si="218"/>
        <v>15</v>
      </c>
      <c r="E490" s="75">
        <f t="shared" si="219"/>
        <v>57</v>
      </c>
      <c r="F490" s="79"/>
      <c r="G490" s="82"/>
      <c r="H490" s="68" t="str">
        <f t="shared" si="236"/>
        <v>Senbur0_20191118_15_00</v>
      </c>
      <c r="I490" s="69">
        <f t="shared" si="239"/>
        <v>1</v>
      </c>
      <c r="J490" s="76" t="str">
        <f t="shared" si="239"/>
        <v>Senecio</v>
      </c>
      <c r="K490" s="76" t="str">
        <f t="shared" si="239"/>
        <v>burtoni</v>
      </c>
      <c r="L490" s="77">
        <f t="shared" si="239"/>
        <v>0</v>
      </c>
      <c r="M490" s="77">
        <f t="shared" si="239"/>
        <v>7</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18</v>
      </c>
      <c r="D491" s="74">
        <f t="shared" si="218"/>
        <v>15</v>
      </c>
      <c r="E491" s="75">
        <f t="shared" si="219"/>
        <v>58</v>
      </c>
      <c r="F491" s="79"/>
      <c r="G491" s="82"/>
      <c r="H491" s="68" t="str">
        <f t="shared" si="236"/>
        <v>Senbur0_20191118_15_00</v>
      </c>
      <c r="I491" s="69">
        <f t="shared" si="239"/>
        <v>1</v>
      </c>
      <c r="J491" s="76" t="str">
        <f t="shared" si="239"/>
        <v>Senecio</v>
      </c>
      <c r="K491" s="76" t="str">
        <f t="shared" si="239"/>
        <v>burtoni</v>
      </c>
      <c r="L491" s="77">
        <f t="shared" si="239"/>
        <v>0</v>
      </c>
      <c r="M491" s="77">
        <f t="shared" si="239"/>
        <v>7</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18</v>
      </c>
      <c r="D492" s="74">
        <f t="shared" si="218"/>
        <v>15</v>
      </c>
      <c r="E492" s="75">
        <f t="shared" si="219"/>
        <v>59</v>
      </c>
      <c r="F492" s="79"/>
      <c r="G492" s="82"/>
      <c r="H492" s="68" t="str">
        <f t="shared" si="236"/>
        <v>Senbur0_20191118_15_00</v>
      </c>
      <c r="I492" s="69">
        <f t="shared" si="239"/>
        <v>1</v>
      </c>
      <c r="J492" s="76" t="str">
        <f t="shared" si="239"/>
        <v>Senecio</v>
      </c>
      <c r="K492" s="76" t="str">
        <f t="shared" si="239"/>
        <v>burtoni</v>
      </c>
      <c r="L492" s="77">
        <f t="shared" si="239"/>
        <v>0</v>
      </c>
      <c r="M492" s="77">
        <f t="shared" si="239"/>
        <v>7</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18</v>
      </c>
      <c r="D493" s="74">
        <f t="shared" si="218"/>
        <v>16</v>
      </c>
      <c r="E493" s="75">
        <f t="shared" si="219"/>
        <v>0</v>
      </c>
      <c r="F493" s="79"/>
      <c r="G493" s="82"/>
      <c r="H493" s="68" t="str">
        <f t="shared" si="236"/>
        <v>Senbur0_20191118_16_00</v>
      </c>
      <c r="I493" s="69">
        <f t="shared" si="239"/>
        <v>1</v>
      </c>
      <c r="J493" s="76" t="str">
        <f t="shared" si="239"/>
        <v>Senecio</v>
      </c>
      <c r="K493" s="76" t="str">
        <f t="shared" si="239"/>
        <v>burtoni</v>
      </c>
      <c r="L493" s="77">
        <f t="shared" si="239"/>
        <v>0</v>
      </c>
      <c r="M493" s="77">
        <f t="shared" si="239"/>
        <v>7</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18</v>
      </c>
      <c r="D494" s="74">
        <f t="shared" si="218"/>
        <v>16</v>
      </c>
      <c r="E494" s="75">
        <f t="shared" si="219"/>
        <v>1</v>
      </c>
      <c r="F494" s="79"/>
      <c r="G494" s="82"/>
      <c r="H494" s="68" t="str">
        <f t="shared" si="236"/>
        <v>Senbur0_20191118_16_00</v>
      </c>
      <c r="I494" s="69">
        <f t="shared" si="239"/>
        <v>1</v>
      </c>
      <c r="J494" s="76" t="str">
        <f t="shared" si="239"/>
        <v>Senecio</v>
      </c>
      <c r="K494" s="76" t="str">
        <f t="shared" si="239"/>
        <v>burtoni</v>
      </c>
      <c r="L494" s="77">
        <f t="shared" si="239"/>
        <v>0</v>
      </c>
      <c r="M494" s="77">
        <f t="shared" si="239"/>
        <v>7</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18</v>
      </c>
      <c r="D495" s="74">
        <f t="shared" si="218"/>
        <v>16</v>
      </c>
      <c r="E495" s="75">
        <f t="shared" si="219"/>
        <v>2</v>
      </c>
      <c r="F495" s="79"/>
      <c r="G495" s="82"/>
      <c r="H495" s="68" t="str">
        <f t="shared" si="236"/>
        <v>Senbur0_20191118_16_00</v>
      </c>
      <c r="I495" s="69">
        <f t="shared" si="239"/>
        <v>1</v>
      </c>
      <c r="J495" s="76" t="str">
        <f t="shared" si="239"/>
        <v>Senecio</v>
      </c>
      <c r="K495" s="76" t="str">
        <f t="shared" si="239"/>
        <v>burtoni</v>
      </c>
      <c r="L495" s="77">
        <f t="shared" si="239"/>
        <v>0</v>
      </c>
      <c r="M495" s="77">
        <f t="shared" si="239"/>
        <v>7</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18</v>
      </c>
      <c r="D496" s="74">
        <f t="shared" si="218"/>
        <v>16</v>
      </c>
      <c r="E496" s="75">
        <f t="shared" si="219"/>
        <v>3</v>
      </c>
      <c r="F496" s="79">
        <v>47</v>
      </c>
      <c r="G496" s="82"/>
      <c r="H496" s="68" t="str">
        <f t="shared" si="236"/>
        <v>Senbur0_20191118_16_00</v>
      </c>
      <c r="I496" s="69">
        <f t="shared" si="239"/>
        <v>1</v>
      </c>
      <c r="J496" s="76" t="str">
        <f t="shared" si="239"/>
        <v>Senecio</v>
      </c>
      <c r="K496" s="76" t="str">
        <f t="shared" si="239"/>
        <v>burtoni</v>
      </c>
      <c r="L496" s="77">
        <f t="shared" si="239"/>
        <v>0</v>
      </c>
      <c r="M496" s="77">
        <f t="shared" si="239"/>
        <v>7</v>
      </c>
      <c r="N496" s="71">
        <f t="shared" si="239"/>
        <v>0</v>
      </c>
      <c r="O496" s="44"/>
      <c r="P496" s="45">
        <f t="shared" si="220"/>
        <v>1</v>
      </c>
      <c r="Q496" s="46" t="str">
        <f t="shared" si="221"/>
        <v>16:03:47</v>
      </c>
      <c r="R496" s="47" t="str">
        <f t="shared" si="222"/>
        <v>03:47</v>
      </c>
      <c r="S496" s="48">
        <f t="shared" si="211"/>
        <v>125</v>
      </c>
      <c r="T496" s="47" t="str">
        <f t="shared" si="223"/>
        <v>16</v>
      </c>
      <c r="U496" s="49">
        <v>5</v>
      </c>
      <c r="V496" s="50">
        <v>52</v>
      </c>
      <c r="W496" s="51" t="str">
        <f t="shared" si="224"/>
        <v>05:52</v>
      </c>
      <c r="X496" s="52" t="s">
        <v>73</v>
      </c>
      <c r="Y496" s="124" t="s">
        <v>95</v>
      </c>
      <c r="Z496" s="124"/>
      <c r="AA496" s="47" t="s">
        <v>59</v>
      </c>
      <c r="AB496" s="47" t="str">
        <f t="shared" si="225"/>
        <v>NA</v>
      </c>
      <c r="AC496" s="53">
        <f t="shared" si="226"/>
        <v>0</v>
      </c>
      <c r="AD496" s="54">
        <f t="shared" si="227"/>
        <v>1</v>
      </c>
      <c r="AE496" s="54"/>
      <c r="AF496" s="54"/>
      <c r="AG496" s="55">
        <v>1</v>
      </c>
      <c r="AH496" s="56">
        <v>100</v>
      </c>
      <c r="AI496" s="55"/>
      <c r="AJ496" s="56" t="str">
        <f t="shared" si="230"/>
        <v/>
      </c>
      <c r="AK496" s="55"/>
      <c r="AL496" s="56" t="str">
        <f t="shared" si="231"/>
        <v/>
      </c>
      <c r="AM496" s="55">
        <v>1</v>
      </c>
      <c r="AN496" s="56">
        <v>25</v>
      </c>
      <c r="AO496" s="55"/>
      <c r="AP496" s="56" t="str">
        <f t="shared" si="233"/>
        <v/>
      </c>
      <c r="AQ496" s="55"/>
      <c r="AR496" s="56" t="str">
        <f t="shared" si="234"/>
        <v/>
      </c>
      <c r="AS496" s="57"/>
      <c r="AT496" s="58"/>
      <c r="AU496" s="58"/>
      <c r="AV496" s="59"/>
      <c r="AW496" s="60">
        <v>1</v>
      </c>
      <c r="AX496" s="61">
        <f t="shared" si="213"/>
        <v>1</v>
      </c>
      <c r="AY496" s="60">
        <f t="shared" si="214"/>
        <v>0</v>
      </c>
      <c r="AZ496" s="61" t="str">
        <f t="shared" si="215"/>
        <v/>
      </c>
    </row>
    <row r="497" spans="1:52" s="3" customFormat="1" hidden="1" x14ac:dyDescent="0.35">
      <c r="A497" s="72">
        <f t="shared" si="216"/>
        <v>2019</v>
      </c>
      <c r="B497" s="72" t="str">
        <f t="shared" si="217"/>
        <v>Nov</v>
      </c>
      <c r="C497" s="73">
        <f t="shared" si="235"/>
        <v>18</v>
      </c>
      <c r="D497" s="74">
        <f t="shared" si="218"/>
        <v>16</v>
      </c>
      <c r="E497" s="75">
        <f t="shared" si="219"/>
        <v>4</v>
      </c>
      <c r="F497" s="79"/>
      <c r="G497" s="82"/>
      <c r="H497" s="68" t="str">
        <f t="shared" si="236"/>
        <v>Senbur0_20191118_16_00</v>
      </c>
      <c r="I497" s="69">
        <f t="shared" si="239"/>
        <v>1</v>
      </c>
      <c r="J497" s="76" t="str">
        <f t="shared" si="239"/>
        <v>Senecio</v>
      </c>
      <c r="K497" s="76" t="str">
        <f t="shared" si="239"/>
        <v>burtoni</v>
      </c>
      <c r="L497" s="77">
        <f t="shared" si="239"/>
        <v>0</v>
      </c>
      <c r="M497" s="77">
        <f t="shared" si="239"/>
        <v>7</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18</v>
      </c>
      <c r="D498" s="74">
        <f t="shared" si="218"/>
        <v>16</v>
      </c>
      <c r="E498" s="75">
        <f t="shared" si="219"/>
        <v>5</v>
      </c>
      <c r="F498" s="79"/>
      <c r="G498" s="82"/>
      <c r="H498" s="68" t="str">
        <f t="shared" si="236"/>
        <v>Senbur0_20191118_16_00</v>
      </c>
      <c r="I498" s="69">
        <f t="shared" si="239"/>
        <v>1</v>
      </c>
      <c r="J498" s="76" t="str">
        <f t="shared" si="239"/>
        <v>Senecio</v>
      </c>
      <c r="K498" s="76" t="str">
        <f t="shared" si="239"/>
        <v>burtoni</v>
      </c>
      <c r="L498" s="77">
        <f t="shared" si="239"/>
        <v>0</v>
      </c>
      <c r="M498" s="77">
        <f t="shared" si="239"/>
        <v>7</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18</v>
      </c>
      <c r="D499" s="74">
        <f t="shared" si="218"/>
        <v>16</v>
      </c>
      <c r="E499" s="75">
        <f t="shared" si="219"/>
        <v>6</v>
      </c>
      <c r="F499" s="79"/>
      <c r="G499" s="82"/>
      <c r="H499" s="68" t="str">
        <f t="shared" si="236"/>
        <v>Senbur0_20191118_16_00</v>
      </c>
      <c r="I499" s="69">
        <f t="shared" si="239"/>
        <v>1</v>
      </c>
      <c r="J499" s="76" t="str">
        <f t="shared" si="239"/>
        <v>Senecio</v>
      </c>
      <c r="K499" s="76" t="str">
        <f t="shared" si="239"/>
        <v>burtoni</v>
      </c>
      <c r="L499" s="77">
        <f t="shared" si="239"/>
        <v>0</v>
      </c>
      <c r="M499" s="77">
        <f t="shared" si="239"/>
        <v>7</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18</v>
      </c>
      <c r="D500" s="74">
        <f t="shared" si="218"/>
        <v>16</v>
      </c>
      <c r="E500" s="75">
        <f t="shared" si="219"/>
        <v>7</v>
      </c>
      <c r="F500" s="79"/>
      <c r="G500" s="82"/>
      <c r="H500" s="68" t="str">
        <f t="shared" si="236"/>
        <v>Senbur0_20191118_16_00</v>
      </c>
      <c r="I500" s="69">
        <f t="shared" si="239"/>
        <v>1</v>
      </c>
      <c r="J500" s="76" t="str">
        <f t="shared" si="239"/>
        <v>Senecio</v>
      </c>
      <c r="K500" s="76" t="str">
        <f t="shared" si="239"/>
        <v>burtoni</v>
      </c>
      <c r="L500" s="77">
        <f t="shared" si="239"/>
        <v>0</v>
      </c>
      <c r="M500" s="77">
        <f t="shared" si="239"/>
        <v>7</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18</v>
      </c>
      <c r="D501" s="74">
        <f t="shared" si="218"/>
        <v>16</v>
      </c>
      <c r="E501" s="75">
        <f t="shared" si="219"/>
        <v>8</v>
      </c>
      <c r="F501" s="79"/>
      <c r="G501" s="82"/>
      <c r="H501" s="68" t="str">
        <f t="shared" si="236"/>
        <v>Senbur0_20191118_16_00</v>
      </c>
      <c r="I501" s="69">
        <f t="shared" ref="I501:N516" si="240">I500</f>
        <v>1</v>
      </c>
      <c r="J501" s="76" t="str">
        <f t="shared" si="240"/>
        <v>Senecio</v>
      </c>
      <c r="K501" s="76" t="str">
        <f t="shared" si="240"/>
        <v>burtoni</v>
      </c>
      <c r="L501" s="77">
        <f t="shared" si="240"/>
        <v>0</v>
      </c>
      <c r="M501" s="77">
        <f t="shared" si="240"/>
        <v>7</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18</v>
      </c>
      <c r="D502" s="74">
        <f t="shared" si="218"/>
        <v>16</v>
      </c>
      <c r="E502" s="75">
        <f t="shared" si="219"/>
        <v>9</v>
      </c>
      <c r="F502" s="79">
        <v>18</v>
      </c>
      <c r="G502" s="82"/>
      <c r="H502" s="68" t="str">
        <f t="shared" si="236"/>
        <v>Senbur0_20191118_16_00</v>
      </c>
      <c r="I502" s="69">
        <f t="shared" si="240"/>
        <v>1</v>
      </c>
      <c r="J502" s="76" t="str">
        <f t="shared" si="240"/>
        <v>Senecio</v>
      </c>
      <c r="K502" s="76" t="str">
        <f t="shared" si="240"/>
        <v>burtoni</v>
      </c>
      <c r="L502" s="77">
        <f t="shared" si="240"/>
        <v>0</v>
      </c>
      <c r="M502" s="77">
        <f t="shared" si="240"/>
        <v>7</v>
      </c>
      <c r="N502" s="71">
        <f t="shared" si="240"/>
        <v>0</v>
      </c>
      <c r="O502" s="44"/>
      <c r="P502" s="45">
        <f t="shared" si="220"/>
        <v>1</v>
      </c>
      <c r="Q502" s="46" t="str">
        <f t="shared" si="221"/>
        <v>16:09:18</v>
      </c>
      <c r="R502" s="47" t="str">
        <f t="shared" si="222"/>
        <v>09:18</v>
      </c>
      <c r="S502" s="48">
        <f t="shared" si="211"/>
        <v>13</v>
      </c>
      <c r="T502" s="47" t="str">
        <f t="shared" si="223"/>
        <v>16</v>
      </c>
      <c r="U502" s="49">
        <v>9</v>
      </c>
      <c r="V502" s="50">
        <v>31</v>
      </c>
      <c r="W502" s="51" t="str">
        <f t="shared" si="224"/>
        <v>09:31</v>
      </c>
      <c r="X502" s="52" t="s">
        <v>63</v>
      </c>
      <c r="Y502" s="124" t="s">
        <v>80</v>
      </c>
      <c r="Z502" s="124"/>
      <c r="AA502" s="47" t="s">
        <v>59</v>
      </c>
      <c r="AB502" s="47" t="str">
        <f t="shared" si="225"/>
        <v>NA</v>
      </c>
      <c r="AC502" s="53">
        <f t="shared" si="226"/>
        <v>0</v>
      </c>
      <c r="AD502" s="54">
        <f t="shared" si="227"/>
        <v>1</v>
      </c>
      <c r="AE502" s="54"/>
      <c r="AF502" s="54"/>
      <c r="AG502" s="55">
        <v>1</v>
      </c>
      <c r="AH502" s="56">
        <v>10</v>
      </c>
      <c r="AI502" s="55"/>
      <c r="AJ502" s="56" t="str">
        <f t="shared" si="230"/>
        <v/>
      </c>
      <c r="AK502" s="55"/>
      <c r="AL502" s="56" t="str">
        <f t="shared" si="231"/>
        <v/>
      </c>
      <c r="AM502" s="55">
        <v>1</v>
      </c>
      <c r="AN502" s="56">
        <v>3</v>
      </c>
      <c r="AO502" s="55"/>
      <c r="AP502" s="56" t="str">
        <f t="shared" si="233"/>
        <v/>
      </c>
      <c r="AQ502" s="55"/>
      <c r="AR502" s="56" t="str">
        <f t="shared" si="234"/>
        <v/>
      </c>
      <c r="AS502" s="57"/>
      <c r="AT502" s="58"/>
      <c r="AU502" s="58"/>
      <c r="AV502" s="59"/>
      <c r="AW502" s="60">
        <v>1</v>
      </c>
      <c r="AX502" s="61">
        <f t="shared" si="213"/>
        <v>1</v>
      </c>
      <c r="AY502" s="60">
        <f t="shared" si="214"/>
        <v>0</v>
      </c>
      <c r="AZ502" s="61" t="str">
        <f t="shared" si="215"/>
        <v/>
      </c>
    </row>
    <row r="503" spans="1:52" s="3" customFormat="1" hidden="1" x14ac:dyDescent="0.35">
      <c r="A503" s="72">
        <f t="shared" si="216"/>
        <v>2019</v>
      </c>
      <c r="B503" s="72" t="str">
        <f t="shared" si="217"/>
        <v>Nov</v>
      </c>
      <c r="C503" s="73">
        <f t="shared" si="235"/>
        <v>18</v>
      </c>
      <c r="D503" s="74">
        <f t="shared" si="218"/>
        <v>16</v>
      </c>
      <c r="E503" s="75">
        <f t="shared" si="219"/>
        <v>10</v>
      </c>
      <c r="F503" s="79"/>
      <c r="G503" s="82"/>
      <c r="H503" s="68" t="str">
        <f t="shared" si="236"/>
        <v>Senbur0_20191118_16_00</v>
      </c>
      <c r="I503" s="69">
        <f t="shared" si="240"/>
        <v>1</v>
      </c>
      <c r="J503" s="76" t="str">
        <f t="shared" si="240"/>
        <v>Senecio</v>
      </c>
      <c r="K503" s="76" t="str">
        <f t="shared" si="240"/>
        <v>burtoni</v>
      </c>
      <c r="L503" s="77">
        <f t="shared" si="240"/>
        <v>0</v>
      </c>
      <c r="M503" s="77">
        <f t="shared" si="240"/>
        <v>7</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18</v>
      </c>
      <c r="D504" s="74">
        <f t="shared" si="218"/>
        <v>16</v>
      </c>
      <c r="E504" s="75">
        <f t="shared" si="219"/>
        <v>11</v>
      </c>
      <c r="F504" s="79"/>
      <c r="G504" s="82"/>
      <c r="H504" s="68" t="str">
        <f t="shared" si="236"/>
        <v>Senbur0_20191118_16_00</v>
      </c>
      <c r="I504" s="69">
        <f t="shared" si="240"/>
        <v>1</v>
      </c>
      <c r="J504" s="76" t="str">
        <f t="shared" si="240"/>
        <v>Senecio</v>
      </c>
      <c r="K504" s="76" t="str">
        <f t="shared" si="240"/>
        <v>burtoni</v>
      </c>
      <c r="L504" s="77">
        <f t="shared" si="240"/>
        <v>0</v>
      </c>
      <c r="M504" s="77">
        <f t="shared" si="240"/>
        <v>7</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18</v>
      </c>
      <c r="D505" s="74">
        <f t="shared" si="218"/>
        <v>16</v>
      </c>
      <c r="E505" s="75">
        <f t="shared" si="219"/>
        <v>12</v>
      </c>
      <c r="F505" s="79"/>
      <c r="G505" s="82"/>
      <c r="H505" s="68" t="str">
        <f t="shared" si="236"/>
        <v>Senbur0_20191118_16_00</v>
      </c>
      <c r="I505" s="69">
        <f t="shared" si="240"/>
        <v>1</v>
      </c>
      <c r="J505" s="76" t="str">
        <f t="shared" si="240"/>
        <v>Senecio</v>
      </c>
      <c r="K505" s="76" t="str">
        <f t="shared" si="240"/>
        <v>burtoni</v>
      </c>
      <c r="L505" s="77">
        <f t="shared" si="240"/>
        <v>0</v>
      </c>
      <c r="M505" s="77">
        <f t="shared" si="240"/>
        <v>7</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18</v>
      </c>
      <c r="D506" s="74">
        <f t="shared" si="218"/>
        <v>16</v>
      </c>
      <c r="E506" s="75">
        <f t="shared" si="219"/>
        <v>13</v>
      </c>
      <c r="F506" s="79"/>
      <c r="G506" s="82"/>
      <c r="H506" s="68" t="str">
        <f t="shared" si="236"/>
        <v>Senbur0_20191118_16_00</v>
      </c>
      <c r="I506" s="69">
        <f t="shared" si="240"/>
        <v>1</v>
      </c>
      <c r="J506" s="76" t="str">
        <f t="shared" si="240"/>
        <v>Senecio</v>
      </c>
      <c r="K506" s="76" t="str">
        <f t="shared" si="240"/>
        <v>burtoni</v>
      </c>
      <c r="L506" s="77">
        <f t="shared" si="240"/>
        <v>0</v>
      </c>
      <c r="M506" s="77">
        <f t="shared" si="240"/>
        <v>7</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18</v>
      </c>
      <c r="D507" s="74">
        <f t="shared" si="218"/>
        <v>16</v>
      </c>
      <c r="E507" s="75">
        <f t="shared" si="219"/>
        <v>14</v>
      </c>
      <c r="F507" s="79"/>
      <c r="G507" s="82"/>
      <c r="H507" s="68" t="str">
        <f t="shared" si="236"/>
        <v>Senbur0_20191118_16_00</v>
      </c>
      <c r="I507" s="69">
        <f t="shared" si="240"/>
        <v>1</v>
      </c>
      <c r="J507" s="76" t="str">
        <f t="shared" si="240"/>
        <v>Senecio</v>
      </c>
      <c r="K507" s="76" t="str">
        <f t="shared" si="240"/>
        <v>burtoni</v>
      </c>
      <c r="L507" s="77">
        <f t="shared" si="240"/>
        <v>0</v>
      </c>
      <c r="M507" s="77">
        <f t="shared" si="240"/>
        <v>7</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18</v>
      </c>
      <c r="D508" s="74">
        <f t="shared" si="218"/>
        <v>16</v>
      </c>
      <c r="E508" s="75">
        <f t="shared" si="219"/>
        <v>15</v>
      </c>
      <c r="F508" s="79"/>
      <c r="G508" s="82"/>
      <c r="H508" s="68" t="str">
        <f t="shared" si="236"/>
        <v>Senbur0_20191118_16_00</v>
      </c>
      <c r="I508" s="69">
        <f t="shared" si="240"/>
        <v>1</v>
      </c>
      <c r="J508" s="76" t="str">
        <f t="shared" si="240"/>
        <v>Senecio</v>
      </c>
      <c r="K508" s="76" t="str">
        <f t="shared" si="240"/>
        <v>burtoni</v>
      </c>
      <c r="L508" s="77">
        <f t="shared" si="240"/>
        <v>0</v>
      </c>
      <c r="M508" s="77">
        <f t="shared" si="240"/>
        <v>7</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18</v>
      </c>
      <c r="D509" s="74">
        <f t="shared" si="218"/>
        <v>16</v>
      </c>
      <c r="E509" s="75">
        <f t="shared" si="219"/>
        <v>16</v>
      </c>
      <c r="F509" s="79"/>
      <c r="G509" s="82"/>
      <c r="H509" s="68" t="str">
        <f t="shared" si="236"/>
        <v>Senbur0_20191118_16_00</v>
      </c>
      <c r="I509" s="69">
        <f t="shared" si="240"/>
        <v>1</v>
      </c>
      <c r="J509" s="76" t="str">
        <f t="shared" si="240"/>
        <v>Senecio</v>
      </c>
      <c r="K509" s="76" t="str">
        <f t="shared" si="240"/>
        <v>burtoni</v>
      </c>
      <c r="L509" s="77">
        <f t="shared" si="240"/>
        <v>0</v>
      </c>
      <c r="M509" s="77">
        <f t="shared" si="240"/>
        <v>7</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18</v>
      </c>
      <c r="D510" s="74">
        <f t="shared" si="218"/>
        <v>16</v>
      </c>
      <c r="E510" s="75">
        <f t="shared" si="219"/>
        <v>17</v>
      </c>
      <c r="F510" s="79"/>
      <c r="G510" s="82"/>
      <c r="H510" s="68" t="str">
        <f t="shared" si="236"/>
        <v>Senbur0_20191118_16_00</v>
      </c>
      <c r="I510" s="69">
        <f t="shared" si="240"/>
        <v>1</v>
      </c>
      <c r="J510" s="76" t="str">
        <f t="shared" si="240"/>
        <v>Senecio</v>
      </c>
      <c r="K510" s="76" t="str">
        <f t="shared" si="240"/>
        <v>burtoni</v>
      </c>
      <c r="L510" s="77">
        <f t="shared" si="240"/>
        <v>0</v>
      </c>
      <c r="M510" s="77">
        <f t="shared" si="240"/>
        <v>7</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18</v>
      </c>
      <c r="D511" s="74">
        <f t="shared" si="218"/>
        <v>16</v>
      </c>
      <c r="E511" s="75">
        <f t="shared" si="219"/>
        <v>18</v>
      </c>
      <c r="F511" s="79"/>
      <c r="G511" s="82"/>
      <c r="H511" s="68" t="str">
        <f t="shared" si="236"/>
        <v>Senbur0_20191118_16_00</v>
      </c>
      <c r="I511" s="69">
        <f t="shared" si="240"/>
        <v>1</v>
      </c>
      <c r="J511" s="76" t="str">
        <f t="shared" si="240"/>
        <v>Senecio</v>
      </c>
      <c r="K511" s="76" t="str">
        <f t="shared" si="240"/>
        <v>burtoni</v>
      </c>
      <c r="L511" s="77">
        <f t="shared" si="240"/>
        <v>0</v>
      </c>
      <c r="M511" s="77">
        <f t="shared" si="240"/>
        <v>7</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18</v>
      </c>
      <c r="D512" s="74">
        <f t="shared" si="218"/>
        <v>16</v>
      </c>
      <c r="E512" s="75">
        <f t="shared" si="219"/>
        <v>19</v>
      </c>
      <c r="F512" s="79">
        <v>18</v>
      </c>
      <c r="G512" s="82"/>
      <c r="H512" s="68" t="str">
        <f t="shared" si="236"/>
        <v>Senbur0_20191118_16_00</v>
      </c>
      <c r="I512" s="69">
        <f t="shared" si="240"/>
        <v>1</v>
      </c>
      <c r="J512" s="76" t="str">
        <f t="shared" si="240"/>
        <v>Senecio</v>
      </c>
      <c r="K512" s="76" t="str">
        <f t="shared" si="240"/>
        <v>burtoni</v>
      </c>
      <c r="L512" s="77">
        <f t="shared" si="240"/>
        <v>0</v>
      </c>
      <c r="M512" s="77">
        <f t="shared" si="240"/>
        <v>7</v>
      </c>
      <c r="N512" s="71">
        <f t="shared" si="240"/>
        <v>0</v>
      </c>
      <c r="O512" s="44"/>
      <c r="P512" s="45">
        <f t="shared" si="220"/>
        <v>1</v>
      </c>
      <c r="Q512" s="46" t="str">
        <f t="shared" si="221"/>
        <v>16:19:18</v>
      </c>
      <c r="R512" s="47" t="str">
        <f t="shared" si="222"/>
        <v>19:18</v>
      </c>
      <c r="S512" s="48">
        <f t="shared" si="211"/>
        <v>45</v>
      </c>
      <c r="T512" s="47" t="str">
        <f t="shared" si="223"/>
        <v>16</v>
      </c>
      <c r="U512" s="49">
        <v>20</v>
      </c>
      <c r="V512" s="50">
        <v>3</v>
      </c>
      <c r="W512" s="51" t="str">
        <f t="shared" si="224"/>
        <v>20:03</v>
      </c>
      <c r="X512" s="52" t="s">
        <v>63</v>
      </c>
      <c r="Y512" s="124" t="s">
        <v>83</v>
      </c>
      <c r="Z512" s="124"/>
      <c r="AA512" s="47" t="s">
        <v>59</v>
      </c>
      <c r="AB512" s="47" t="str">
        <f t="shared" si="225"/>
        <v>NA</v>
      </c>
      <c r="AC512" s="53">
        <f t="shared" si="226"/>
        <v>0</v>
      </c>
      <c r="AD512" s="54">
        <v>2</v>
      </c>
      <c r="AE512" s="54"/>
      <c r="AF512" s="54"/>
      <c r="AG512" s="55">
        <v>1</v>
      </c>
      <c r="AH512" s="56">
        <v>15</v>
      </c>
      <c r="AI512" s="55"/>
      <c r="AJ512" s="56" t="str">
        <f t="shared" si="230"/>
        <v/>
      </c>
      <c r="AK512" s="55"/>
      <c r="AL512" s="56" t="str">
        <f t="shared" si="231"/>
        <v/>
      </c>
      <c r="AM512" s="55">
        <v>1</v>
      </c>
      <c r="AN512" s="56">
        <v>30</v>
      </c>
      <c r="AO512" s="55"/>
      <c r="AP512" s="56" t="str">
        <f t="shared" si="233"/>
        <v/>
      </c>
      <c r="AQ512" s="55"/>
      <c r="AR512" s="56" t="str">
        <f t="shared" si="234"/>
        <v/>
      </c>
      <c r="AS512" s="57"/>
      <c r="AT512" s="58"/>
      <c r="AU512" s="58"/>
      <c r="AV512" s="59"/>
      <c r="AW512" s="60">
        <v>1</v>
      </c>
      <c r="AX512" s="61">
        <f t="shared" si="213"/>
        <v>2</v>
      </c>
      <c r="AY512" s="60">
        <v>1</v>
      </c>
      <c r="AZ512" s="61">
        <f t="shared" si="215"/>
        <v>2</v>
      </c>
    </row>
    <row r="513" spans="1:52" s="3" customFormat="1" hidden="1" x14ac:dyDescent="0.35">
      <c r="A513" s="72">
        <f t="shared" si="216"/>
        <v>2019</v>
      </c>
      <c r="B513" s="72" t="str">
        <f t="shared" si="217"/>
        <v>Nov</v>
      </c>
      <c r="C513" s="73">
        <f t="shared" si="235"/>
        <v>18</v>
      </c>
      <c r="D513" s="74">
        <f t="shared" si="218"/>
        <v>16</v>
      </c>
      <c r="E513" s="75">
        <f t="shared" si="219"/>
        <v>20</v>
      </c>
      <c r="F513" s="79">
        <v>33</v>
      </c>
      <c r="G513" s="82"/>
      <c r="H513" s="68" t="str">
        <f t="shared" si="236"/>
        <v>Senbur0_20191118_16_00</v>
      </c>
      <c r="I513" s="69">
        <f t="shared" si="240"/>
        <v>1</v>
      </c>
      <c r="J513" s="76" t="str">
        <f t="shared" si="240"/>
        <v>Senecio</v>
      </c>
      <c r="K513" s="76" t="str">
        <f t="shared" si="240"/>
        <v>burtoni</v>
      </c>
      <c r="L513" s="77">
        <f t="shared" si="240"/>
        <v>0</v>
      </c>
      <c r="M513" s="77">
        <f t="shared" si="240"/>
        <v>7</v>
      </c>
      <c r="N513" s="71">
        <f t="shared" si="240"/>
        <v>0</v>
      </c>
      <c r="O513" s="44"/>
      <c r="P513" s="45">
        <f t="shared" si="220"/>
        <v>1</v>
      </c>
      <c r="Q513" s="46" t="str">
        <f t="shared" si="221"/>
        <v>16:20:33</v>
      </c>
      <c r="R513" s="47" t="str">
        <f t="shared" si="222"/>
        <v>20:33</v>
      </c>
      <c r="S513" s="48">
        <f t="shared" si="211"/>
        <v>29</v>
      </c>
      <c r="T513" s="47" t="str">
        <f t="shared" si="223"/>
        <v>16</v>
      </c>
      <c r="U513" s="49">
        <v>21</v>
      </c>
      <c r="V513" s="50">
        <v>2</v>
      </c>
      <c r="W513" s="51" t="str">
        <f t="shared" si="224"/>
        <v>21:02</v>
      </c>
      <c r="X513" s="52" t="s">
        <v>63</v>
      </c>
      <c r="Y513" s="124" t="s">
        <v>83</v>
      </c>
      <c r="Z513" s="124"/>
      <c r="AA513" s="47" t="s">
        <v>59</v>
      </c>
      <c r="AB513" s="47" t="str">
        <f t="shared" si="225"/>
        <v>NA</v>
      </c>
      <c r="AC513" s="53">
        <f t="shared" si="226"/>
        <v>0</v>
      </c>
      <c r="AD513" s="54">
        <v>2</v>
      </c>
      <c r="AE513" s="54"/>
      <c r="AF513" s="54"/>
      <c r="AG513" s="55">
        <v>1</v>
      </c>
      <c r="AH513" s="56">
        <v>10</v>
      </c>
      <c r="AI513" s="55"/>
      <c r="AJ513" s="56" t="str">
        <f t="shared" si="230"/>
        <v/>
      </c>
      <c r="AK513" s="55"/>
      <c r="AL513" s="56" t="str">
        <f t="shared" si="231"/>
        <v/>
      </c>
      <c r="AM513" s="55">
        <v>1</v>
      </c>
      <c r="AN513" s="56">
        <v>19</v>
      </c>
      <c r="AO513" s="55"/>
      <c r="AP513" s="56" t="str">
        <f t="shared" si="233"/>
        <v/>
      </c>
      <c r="AQ513" s="55"/>
      <c r="AR513" s="56" t="str">
        <f t="shared" si="234"/>
        <v/>
      </c>
      <c r="AS513" s="57"/>
      <c r="AT513" s="58"/>
      <c r="AU513" s="58"/>
      <c r="AV513" s="59"/>
      <c r="AW513" s="60">
        <v>1</v>
      </c>
      <c r="AX513" s="61">
        <f t="shared" si="213"/>
        <v>2</v>
      </c>
      <c r="AY513" s="60">
        <v>1</v>
      </c>
      <c r="AZ513" s="61">
        <f t="shared" si="215"/>
        <v>2</v>
      </c>
    </row>
    <row r="514" spans="1:52" s="3" customFormat="1" hidden="1" x14ac:dyDescent="0.35">
      <c r="A514" s="72">
        <f t="shared" si="216"/>
        <v>2019</v>
      </c>
      <c r="B514" s="72" t="str">
        <f t="shared" si="217"/>
        <v>Nov</v>
      </c>
      <c r="C514" s="73">
        <f t="shared" si="235"/>
        <v>18</v>
      </c>
      <c r="D514" s="74">
        <f t="shared" si="218"/>
        <v>16</v>
      </c>
      <c r="E514" s="75">
        <f t="shared" si="219"/>
        <v>21</v>
      </c>
      <c r="F514" s="79"/>
      <c r="G514" s="82"/>
      <c r="H514" s="68" t="str">
        <f t="shared" si="236"/>
        <v>Senbur0_20191118_16_00</v>
      </c>
      <c r="I514" s="69">
        <f t="shared" si="240"/>
        <v>1</v>
      </c>
      <c r="J514" s="76" t="str">
        <f t="shared" si="240"/>
        <v>Senecio</v>
      </c>
      <c r="K514" s="76" t="str">
        <f t="shared" si="240"/>
        <v>burtoni</v>
      </c>
      <c r="L514" s="77">
        <f t="shared" si="240"/>
        <v>0</v>
      </c>
      <c r="M514" s="77">
        <f t="shared" si="240"/>
        <v>7</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18</v>
      </c>
      <c r="D515" s="74">
        <f t="shared" si="218"/>
        <v>16</v>
      </c>
      <c r="E515" s="75">
        <f t="shared" si="219"/>
        <v>22</v>
      </c>
      <c r="F515" s="79"/>
      <c r="G515" s="82"/>
      <c r="H515" s="68" t="str">
        <f t="shared" si="236"/>
        <v>Senbur0_20191118_16_00</v>
      </c>
      <c r="I515" s="69">
        <f t="shared" si="240"/>
        <v>1</v>
      </c>
      <c r="J515" s="76" t="str">
        <f t="shared" si="240"/>
        <v>Senecio</v>
      </c>
      <c r="K515" s="76" t="str">
        <f t="shared" si="240"/>
        <v>burtoni</v>
      </c>
      <c r="L515" s="77">
        <f t="shared" si="240"/>
        <v>0</v>
      </c>
      <c r="M515" s="77">
        <f t="shared" si="240"/>
        <v>7</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18</v>
      </c>
      <c r="D516" s="74">
        <f t="shared" ref="D516:D579" si="248">IF(IF(E515=59,D515+1,D515)=24,0,IF(E515=59,D515+1,D515))</f>
        <v>16</v>
      </c>
      <c r="E516" s="75">
        <f t="shared" ref="E516:E579" si="249">IF(E515&lt;59,E515+1,0)</f>
        <v>23</v>
      </c>
      <c r="F516" s="79"/>
      <c r="G516" s="82"/>
      <c r="H516" s="68" t="str">
        <f t="shared" si="236"/>
        <v>Senbur0_20191118_16_00</v>
      </c>
      <c r="I516" s="69">
        <f t="shared" si="240"/>
        <v>1</v>
      </c>
      <c r="J516" s="76" t="str">
        <f t="shared" si="240"/>
        <v>Senecio</v>
      </c>
      <c r="K516" s="76" t="str">
        <f t="shared" si="240"/>
        <v>burtoni</v>
      </c>
      <c r="L516" s="77">
        <f t="shared" si="240"/>
        <v>0</v>
      </c>
      <c r="M516" s="77">
        <f t="shared" si="240"/>
        <v>7</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18</v>
      </c>
      <c r="D517" s="74">
        <f t="shared" si="248"/>
        <v>16</v>
      </c>
      <c r="E517" s="75">
        <f t="shared" si="249"/>
        <v>24</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Senbur0_20191118_16_00</v>
      </c>
      <c r="I517" s="69">
        <f t="shared" ref="I517:N532" si="267">I516</f>
        <v>1</v>
      </c>
      <c r="J517" s="76" t="str">
        <f t="shared" si="267"/>
        <v>Senecio</v>
      </c>
      <c r="K517" s="76" t="str">
        <f t="shared" si="267"/>
        <v>burtoni</v>
      </c>
      <c r="L517" s="77">
        <f t="shared" si="267"/>
        <v>0</v>
      </c>
      <c r="M517" s="77">
        <f t="shared" si="267"/>
        <v>7</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18</v>
      </c>
      <c r="D518" s="74">
        <f t="shared" si="248"/>
        <v>16</v>
      </c>
      <c r="E518" s="75">
        <f t="shared" si="249"/>
        <v>25</v>
      </c>
      <c r="F518" s="79"/>
      <c r="G518" s="82"/>
      <c r="H518" s="68" t="str">
        <f t="shared" si="266"/>
        <v>Senbur0_20191118_16_00</v>
      </c>
      <c r="I518" s="69">
        <f t="shared" si="267"/>
        <v>1</v>
      </c>
      <c r="J518" s="76" t="str">
        <f t="shared" si="267"/>
        <v>Senecio</v>
      </c>
      <c r="K518" s="76" t="str">
        <f t="shared" si="267"/>
        <v>burtoni</v>
      </c>
      <c r="L518" s="77">
        <f t="shared" si="267"/>
        <v>0</v>
      </c>
      <c r="M518" s="77">
        <f t="shared" si="267"/>
        <v>7</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18</v>
      </c>
      <c r="D519" s="74">
        <f t="shared" si="248"/>
        <v>16</v>
      </c>
      <c r="E519" s="75">
        <f t="shared" si="249"/>
        <v>26</v>
      </c>
      <c r="F519" s="79"/>
      <c r="G519" s="82"/>
      <c r="H519" s="68" t="str">
        <f t="shared" si="266"/>
        <v>Senbur0_20191118_16_00</v>
      </c>
      <c r="I519" s="69">
        <f t="shared" si="267"/>
        <v>1</v>
      </c>
      <c r="J519" s="76" t="str">
        <f t="shared" si="267"/>
        <v>Senecio</v>
      </c>
      <c r="K519" s="76" t="str">
        <f t="shared" si="267"/>
        <v>burtoni</v>
      </c>
      <c r="L519" s="77">
        <f t="shared" si="267"/>
        <v>0</v>
      </c>
      <c r="M519" s="77">
        <f t="shared" si="267"/>
        <v>7</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18</v>
      </c>
      <c r="D520" s="74">
        <f t="shared" si="248"/>
        <v>16</v>
      </c>
      <c r="E520" s="75">
        <f t="shared" si="249"/>
        <v>27</v>
      </c>
      <c r="F520" s="79"/>
      <c r="G520" s="82"/>
      <c r="H520" s="68" t="str">
        <f t="shared" si="266"/>
        <v>Senbur0_20191118_16_00</v>
      </c>
      <c r="I520" s="69">
        <f t="shared" si="267"/>
        <v>1</v>
      </c>
      <c r="J520" s="76" t="str">
        <f t="shared" si="267"/>
        <v>Senecio</v>
      </c>
      <c r="K520" s="76" t="str">
        <f t="shared" si="267"/>
        <v>burtoni</v>
      </c>
      <c r="L520" s="77">
        <f t="shared" si="267"/>
        <v>0</v>
      </c>
      <c r="M520" s="77">
        <f t="shared" si="267"/>
        <v>7</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18</v>
      </c>
      <c r="D521" s="74">
        <f t="shared" si="248"/>
        <v>16</v>
      </c>
      <c r="E521" s="75">
        <f t="shared" si="249"/>
        <v>28</v>
      </c>
      <c r="F521" s="79"/>
      <c r="G521" s="82"/>
      <c r="H521" s="68" t="str">
        <f t="shared" si="266"/>
        <v>Senbur0_20191118_16_00</v>
      </c>
      <c r="I521" s="69">
        <f t="shared" si="267"/>
        <v>1</v>
      </c>
      <c r="J521" s="76" t="str">
        <f t="shared" si="267"/>
        <v>Senecio</v>
      </c>
      <c r="K521" s="76" t="str">
        <f t="shared" si="267"/>
        <v>burtoni</v>
      </c>
      <c r="L521" s="77">
        <f t="shared" si="267"/>
        <v>0</v>
      </c>
      <c r="M521" s="77">
        <f t="shared" si="267"/>
        <v>7</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18</v>
      </c>
      <c r="D522" s="74">
        <f t="shared" si="248"/>
        <v>16</v>
      </c>
      <c r="E522" s="75">
        <f t="shared" si="249"/>
        <v>29</v>
      </c>
      <c r="F522" s="79"/>
      <c r="G522" s="82"/>
      <c r="H522" s="68" t="str">
        <f t="shared" si="266"/>
        <v>Senbur0_20191118_16_00</v>
      </c>
      <c r="I522" s="69">
        <f t="shared" si="267"/>
        <v>1</v>
      </c>
      <c r="J522" s="76" t="str">
        <f t="shared" si="267"/>
        <v>Senecio</v>
      </c>
      <c r="K522" s="76" t="str">
        <f t="shared" si="267"/>
        <v>burtoni</v>
      </c>
      <c r="L522" s="77">
        <f t="shared" si="267"/>
        <v>0</v>
      </c>
      <c r="M522" s="77">
        <f t="shared" si="267"/>
        <v>7</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18</v>
      </c>
      <c r="D523" s="74">
        <f t="shared" si="248"/>
        <v>16</v>
      </c>
      <c r="E523" s="75">
        <f t="shared" si="249"/>
        <v>30</v>
      </c>
      <c r="F523" s="79"/>
      <c r="G523" s="82"/>
      <c r="H523" s="68" t="str">
        <f t="shared" si="266"/>
        <v>Senbur0_20191118_16_00</v>
      </c>
      <c r="I523" s="69">
        <f t="shared" si="267"/>
        <v>1</v>
      </c>
      <c r="J523" s="76" t="str">
        <f t="shared" si="267"/>
        <v>Senecio</v>
      </c>
      <c r="K523" s="76" t="str">
        <f t="shared" si="267"/>
        <v>burtoni</v>
      </c>
      <c r="L523" s="77">
        <f t="shared" si="267"/>
        <v>0</v>
      </c>
      <c r="M523" s="77">
        <f t="shared" si="267"/>
        <v>7</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18</v>
      </c>
      <c r="D524" s="74">
        <f t="shared" si="248"/>
        <v>16</v>
      </c>
      <c r="E524" s="75">
        <f t="shared" si="249"/>
        <v>31</v>
      </c>
      <c r="F524" s="79"/>
      <c r="G524" s="82"/>
      <c r="H524" s="68" t="str">
        <f t="shared" si="266"/>
        <v>Senbur0_20191118_16_00</v>
      </c>
      <c r="I524" s="69">
        <f t="shared" si="267"/>
        <v>1</v>
      </c>
      <c r="J524" s="76" t="str">
        <f t="shared" si="267"/>
        <v>Senecio</v>
      </c>
      <c r="K524" s="76" t="str">
        <f t="shared" si="267"/>
        <v>burtoni</v>
      </c>
      <c r="L524" s="77">
        <f t="shared" si="267"/>
        <v>0</v>
      </c>
      <c r="M524" s="77">
        <f t="shared" si="267"/>
        <v>7</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18</v>
      </c>
      <c r="D525" s="74">
        <f t="shared" si="248"/>
        <v>16</v>
      </c>
      <c r="E525" s="75">
        <f t="shared" si="249"/>
        <v>32</v>
      </c>
      <c r="F525" s="79"/>
      <c r="G525" s="82"/>
      <c r="H525" s="68" t="str">
        <f t="shared" si="266"/>
        <v>Senbur0_20191118_16_00</v>
      </c>
      <c r="I525" s="69">
        <f t="shared" si="267"/>
        <v>1</v>
      </c>
      <c r="J525" s="76" t="str">
        <f t="shared" si="267"/>
        <v>Senecio</v>
      </c>
      <c r="K525" s="76" t="str">
        <f t="shared" si="267"/>
        <v>burtoni</v>
      </c>
      <c r="L525" s="77">
        <f t="shared" si="267"/>
        <v>0</v>
      </c>
      <c r="M525" s="77">
        <f t="shared" si="267"/>
        <v>7</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18</v>
      </c>
      <c r="D526" s="74">
        <f t="shared" si="248"/>
        <v>16</v>
      </c>
      <c r="E526" s="75">
        <f t="shared" si="249"/>
        <v>33</v>
      </c>
      <c r="F526" s="79"/>
      <c r="G526" s="82"/>
      <c r="H526" s="68" t="str">
        <f t="shared" si="266"/>
        <v>Senbur0_20191118_16_00</v>
      </c>
      <c r="I526" s="69">
        <f t="shared" si="267"/>
        <v>1</v>
      </c>
      <c r="J526" s="76" t="str">
        <f t="shared" si="267"/>
        <v>Senecio</v>
      </c>
      <c r="K526" s="76" t="str">
        <f t="shared" si="267"/>
        <v>burtoni</v>
      </c>
      <c r="L526" s="77">
        <f t="shared" si="267"/>
        <v>0</v>
      </c>
      <c r="M526" s="77">
        <f t="shared" si="267"/>
        <v>7</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18</v>
      </c>
      <c r="D527" s="74">
        <f t="shared" si="248"/>
        <v>16</v>
      </c>
      <c r="E527" s="75">
        <f t="shared" si="249"/>
        <v>34</v>
      </c>
      <c r="F527" s="79"/>
      <c r="G527" s="82"/>
      <c r="H527" s="68" t="str">
        <f t="shared" si="266"/>
        <v>Senbur0_20191118_16_00</v>
      </c>
      <c r="I527" s="69">
        <f t="shared" si="267"/>
        <v>1</v>
      </c>
      <c r="J527" s="76" t="str">
        <f t="shared" si="267"/>
        <v>Senecio</v>
      </c>
      <c r="K527" s="76" t="str">
        <f t="shared" si="267"/>
        <v>burtoni</v>
      </c>
      <c r="L527" s="77">
        <f t="shared" si="267"/>
        <v>0</v>
      </c>
      <c r="M527" s="77">
        <f t="shared" si="267"/>
        <v>7</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18</v>
      </c>
      <c r="D528" s="74">
        <f t="shared" si="248"/>
        <v>16</v>
      </c>
      <c r="E528" s="75">
        <f t="shared" si="249"/>
        <v>35</v>
      </c>
      <c r="F528" s="79"/>
      <c r="G528" s="82"/>
      <c r="H528" s="68" t="str">
        <f t="shared" si="266"/>
        <v>Senbur0_20191118_16_00</v>
      </c>
      <c r="I528" s="69">
        <f t="shared" si="267"/>
        <v>1</v>
      </c>
      <c r="J528" s="76" t="str">
        <f t="shared" si="267"/>
        <v>Senecio</v>
      </c>
      <c r="K528" s="76" t="str">
        <f t="shared" si="267"/>
        <v>burtoni</v>
      </c>
      <c r="L528" s="77">
        <f t="shared" si="267"/>
        <v>0</v>
      </c>
      <c r="M528" s="77">
        <f t="shared" si="267"/>
        <v>7</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18</v>
      </c>
      <c r="D529" s="74">
        <f t="shared" si="248"/>
        <v>16</v>
      </c>
      <c r="E529" s="75">
        <f t="shared" si="249"/>
        <v>36</v>
      </c>
      <c r="F529" s="79"/>
      <c r="G529" s="82"/>
      <c r="H529" s="68" t="str">
        <f t="shared" si="266"/>
        <v>Senbur0_20191118_16_00</v>
      </c>
      <c r="I529" s="69">
        <f t="shared" si="267"/>
        <v>1</v>
      </c>
      <c r="J529" s="76" t="str">
        <f t="shared" si="267"/>
        <v>Senecio</v>
      </c>
      <c r="K529" s="76" t="str">
        <f t="shared" si="267"/>
        <v>burtoni</v>
      </c>
      <c r="L529" s="77">
        <f t="shared" si="267"/>
        <v>0</v>
      </c>
      <c r="M529" s="77">
        <f t="shared" si="267"/>
        <v>7</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18</v>
      </c>
      <c r="D530" s="74">
        <f t="shared" si="248"/>
        <v>16</v>
      </c>
      <c r="E530" s="75">
        <f t="shared" si="249"/>
        <v>37</v>
      </c>
      <c r="F530" s="79">
        <v>29</v>
      </c>
      <c r="G530" s="82"/>
      <c r="H530" s="68" t="str">
        <f t="shared" si="266"/>
        <v>Senbur0_20191118_16_00</v>
      </c>
      <c r="I530" s="69">
        <f t="shared" si="267"/>
        <v>1</v>
      </c>
      <c r="J530" s="76" t="str">
        <f t="shared" si="267"/>
        <v>Senecio</v>
      </c>
      <c r="K530" s="76" t="str">
        <f t="shared" si="267"/>
        <v>burtoni</v>
      </c>
      <c r="L530" s="77">
        <f t="shared" si="267"/>
        <v>0</v>
      </c>
      <c r="M530" s="77">
        <f t="shared" si="267"/>
        <v>7</v>
      </c>
      <c r="N530" s="71">
        <f t="shared" si="267"/>
        <v>0</v>
      </c>
      <c r="O530" s="44"/>
      <c r="P530" s="45">
        <f t="shared" si="250"/>
        <v>1</v>
      </c>
      <c r="Q530" s="46" t="str">
        <f t="shared" si="251"/>
        <v>16:37:29</v>
      </c>
      <c r="R530" s="47" t="str">
        <f t="shared" si="252"/>
        <v>37:29</v>
      </c>
      <c r="S530" s="48">
        <f t="shared" si="241"/>
        <v>320</v>
      </c>
      <c r="T530" s="47" t="str">
        <f t="shared" si="253"/>
        <v>16</v>
      </c>
      <c r="U530" s="49">
        <v>42</v>
      </c>
      <c r="V530" s="50">
        <v>49</v>
      </c>
      <c r="W530" s="51" t="str">
        <f t="shared" si="254"/>
        <v>42:49</v>
      </c>
      <c r="X530" s="52" t="s">
        <v>73</v>
      </c>
      <c r="Y530" s="124" t="s">
        <v>95</v>
      </c>
      <c r="Z530" s="124"/>
      <c r="AA530" s="47" t="s">
        <v>59</v>
      </c>
      <c r="AB530" s="47" t="str">
        <f t="shared" si="255"/>
        <v>NA</v>
      </c>
      <c r="AC530" s="53">
        <f t="shared" si="256"/>
        <v>0</v>
      </c>
      <c r="AD530" s="54">
        <f t="shared" si="257"/>
        <v>1</v>
      </c>
      <c r="AE530" s="54"/>
      <c r="AF530" s="54"/>
      <c r="AG530" s="55">
        <v>1</v>
      </c>
      <c r="AH530" s="56">
        <v>300</v>
      </c>
      <c r="AI530" s="55"/>
      <c r="AJ530" s="56" t="str">
        <f t="shared" si="260"/>
        <v/>
      </c>
      <c r="AK530" s="55"/>
      <c r="AL530" s="56" t="str">
        <f t="shared" si="261"/>
        <v/>
      </c>
      <c r="AM530" s="55">
        <v>1</v>
      </c>
      <c r="AN530" s="56">
        <v>20</v>
      </c>
      <c r="AO530" s="55"/>
      <c r="AP530" s="56" t="str">
        <f t="shared" si="263"/>
        <v/>
      </c>
      <c r="AQ530" s="55"/>
      <c r="AR530" s="56" t="str">
        <f t="shared" si="264"/>
        <v/>
      </c>
      <c r="AS530" s="57"/>
      <c r="AT530" s="58"/>
      <c r="AU530" s="58"/>
      <c r="AV530" s="59"/>
      <c r="AW530" s="60">
        <v>1</v>
      </c>
      <c r="AX530" s="61">
        <f t="shared" si="243"/>
        <v>1</v>
      </c>
      <c r="AY530" s="60">
        <v>1</v>
      </c>
      <c r="AZ530" s="61">
        <f t="shared" si="245"/>
        <v>1</v>
      </c>
    </row>
    <row r="531" spans="1:52" s="3" customFormat="1" hidden="1" x14ac:dyDescent="0.35">
      <c r="A531" s="72">
        <f t="shared" si="246"/>
        <v>2019</v>
      </c>
      <c r="B531" s="72" t="str">
        <f t="shared" si="247"/>
        <v>Nov</v>
      </c>
      <c r="C531" s="73">
        <f t="shared" si="265"/>
        <v>18</v>
      </c>
      <c r="D531" s="74">
        <f t="shared" si="248"/>
        <v>16</v>
      </c>
      <c r="E531" s="75">
        <f t="shared" si="249"/>
        <v>38</v>
      </c>
      <c r="F531" s="79"/>
      <c r="G531" s="82"/>
      <c r="H531" s="68" t="str">
        <f t="shared" si="266"/>
        <v>Senbur0_20191118_16_00</v>
      </c>
      <c r="I531" s="69">
        <f t="shared" si="267"/>
        <v>1</v>
      </c>
      <c r="J531" s="76" t="str">
        <f t="shared" si="267"/>
        <v>Senecio</v>
      </c>
      <c r="K531" s="76" t="str">
        <f t="shared" si="267"/>
        <v>burtoni</v>
      </c>
      <c r="L531" s="77">
        <f t="shared" si="267"/>
        <v>0</v>
      </c>
      <c r="M531" s="77">
        <f t="shared" si="267"/>
        <v>7</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18</v>
      </c>
      <c r="D532" s="74">
        <f t="shared" si="248"/>
        <v>16</v>
      </c>
      <c r="E532" s="75">
        <f t="shared" si="249"/>
        <v>39</v>
      </c>
      <c r="F532" s="79"/>
      <c r="G532" s="82"/>
      <c r="H532" s="68" t="str">
        <f t="shared" si="266"/>
        <v>Senbur0_20191118_16_00</v>
      </c>
      <c r="I532" s="69">
        <f t="shared" si="267"/>
        <v>1</v>
      </c>
      <c r="J532" s="76" t="str">
        <f t="shared" si="267"/>
        <v>Senecio</v>
      </c>
      <c r="K532" s="76" t="str">
        <f t="shared" si="267"/>
        <v>burtoni</v>
      </c>
      <c r="L532" s="77">
        <f t="shared" si="267"/>
        <v>0</v>
      </c>
      <c r="M532" s="77">
        <f t="shared" si="267"/>
        <v>7</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18</v>
      </c>
      <c r="D533" s="74">
        <f t="shared" si="248"/>
        <v>16</v>
      </c>
      <c r="E533" s="75">
        <f t="shared" si="249"/>
        <v>40</v>
      </c>
      <c r="F533" s="79"/>
      <c r="G533" s="82"/>
      <c r="H533" s="68" t="str">
        <f t="shared" si="266"/>
        <v>Senbur0_20191118_16_00</v>
      </c>
      <c r="I533" s="69">
        <f t="shared" ref="I533:N548" si="268">I532</f>
        <v>1</v>
      </c>
      <c r="J533" s="76" t="str">
        <f t="shared" si="268"/>
        <v>Senecio</v>
      </c>
      <c r="K533" s="76" t="str">
        <f t="shared" si="268"/>
        <v>burtoni</v>
      </c>
      <c r="L533" s="77">
        <f t="shared" si="268"/>
        <v>0</v>
      </c>
      <c r="M533" s="77">
        <f t="shared" si="268"/>
        <v>7</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18</v>
      </c>
      <c r="D534" s="74">
        <f t="shared" si="248"/>
        <v>16</v>
      </c>
      <c r="E534" s="75">
        <f t="shared" si="249"/>
        <v>41</v>
      </c>
      <c r="F534" s="79"/>
      <c r="G534" s="82"/>
      <c r="H534" s="68" t="str">
        <f t="shared" si="266"/>
        <v>Senbur0_20191118_16_00</v>
      </c>
      <c r="I534" s="69">
        <f t="shared" si="268"/>
        <v>1</v>
      </c>
      <c r="J534" s="76" t="str">
        <f t="shared" si="268"/>
        <v>Senecio</v>
      </c>
      <c r="K534" s="76" t="str">
        <f t="shared" si="268"/>
        <v>burtoni</v>
      </c>
      <c r="L534" s="77">
        <f t="shared" si="268"/>
        <v>0</v>
      </c>
      <c r="M534" s="77">
        <f t="shared" si="268"/>
        <v>7</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18</v>
      </c>
      <c r="D535" s="74">
        <f t="shared" si="248"/>
        <v>16</v>
      </c>
      <c r="E535" s="75">
        <f t="shared" si="249"/>
        <v>42</v>
      </c>
      <c r="F535" s="79"/>
      <c r="G535" s="82"/>
      <c r="H535" s="68" t="str">
        <f t="shared" si="266"/>
        <v>Senbur0_20191118_16_00</v>
      </c>
      <c r="I535" s="69">
        <f t="shared" si="268"/>
        <v>1</v>
      </c>
      <c r="J535" s="76" t="str">
        <f t="shared" si="268"/>
        <v>Senecio</v>
      </c>
      <c r="K535" s="76" t="str">
        <f t="shared" si="268"/>
        <v>burtoni</v>
      </c>
      <c r="L535" s="77">
        <f t="shared" si="268"/>
        <v>0</v>
      </c>
      <c r="M535" s="77">
        <f t="shared" si="268"/>
        <v>7</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18</v>
      </c>
      <c r="D536" s="74">
        <f t="shared" si="248"/>
        <v>16</v>
      </c>
      <c r="E536" s="75">
        <f t="shared" si="249"/>
        <v>43</v>
      </c>
      <c r="F536" s="79"/>
      <c r="G536" s="82"/>
      <c r="H536" s="68" t="str">
        <f t="shared" si="266"/>
        <v>Senbur0_20191118_16_00</v>
      </c>
      <c r="I536" s="69">
        <f t="shared" si="268"/>
        <v>1</v>
      </c>
      <c r="J536" s="76" t="str">
        <f t="shared" si="268"/>
        <v>Senecio</v>
      </c>
      <c r="K536" s="76" t="str">
        <f t="shared" si="268"/>
        <v>burtoni</v>
      </c>
      <c r="L536" s="77">
        <f t="shared" si="268"/>
        <v>0</v>
      </c>
      <c r="M536" s="77">
        <f t="shared" si="268"/>
        <v>7</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18</v>
      </c>
      <c r="D537" s="74">
        <f t="shared" si="248"/>
        <v>16</v>
      </c>
      <c r="E537" s="75">
        <f t="shared" si="249"/>
        <v>44</v>
      </c>
      <c r="F537" s="79"/>
      <c r="G537" s="82"/>
      <c r="H537" s="68" t="str">
        <f t="shared" si="266"/>
        <v>Senbur0_20191118_16_00</v>
      </c>
      <c r="I537" s="69">
        <f t="shared" si="268"/>
        <v>1</v>
      </c>
      <c r="J537" s="76" t="str">
        <f t="shared" si="268"/>
        <v>Senecio</v>
      </c>
      <c r="K537" s="76" t="str">
        <f t="shared" si="268"/>
        <v>burtoni</v>
      </c>
      <c r="L537" s="77">
        <f t="shared" si="268"/>
        <v>0</v>
      </c>
      <c r="M537" s="77">
        <f t="shared" si="268"/>
        <v>7</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18</v>
      </c>
      <c r="D538" s="74">
        <f t="shared" si="248"/>
        <v>16</v>
      </c>
      <c r="E538" s="75">
        <f t="shared" si="249"/>
        <v>45</v>
      </c>
      <c r="F538" s="79"/>
      <c r="G538" s="82"/>
      <c r="H538" s="68" t="str">
        <f t="shared" si="266"/>
        <v>Senbur0_20191118_16_00</v>
      </c>
      <c r="I538" s="69">
        <f t="shared" si="268"/>
        <v>1</v>
      </c>
      <c r="J538" s="76" t="str">
        <f t="shared" si="268"/>
        <v>Senecio</v>
      </c>
      <c r="K538" s="76" t="str">
        <f t="shared" si="268"/>
        <v>burtoni</v>
      </c>
      <c r="L538" s="77">
        <f t="shared" si="268"/>
        <v>0</v>
      </c>
      <c r="M538" s="77">
        <f t="shared" si="268"/>
        <v>7</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18</v>
      </c>
      <c r="D539" s="74">
        <f t="shared" si="248"/>
        <v>16</v>
      </c>
      <c r="E539" s="75">
        <f t="shared" si="249"/>
        <v>46</v>
      </c>
      <c r="F539" s="79"/>
      <c r="G539" s="82"/>
      <c r="H539" s="68" t="str">
        <f t="shared" si="266"/>
        <v>Senbur0_20191118_16_00</v>
      </c>
      <c r="I539" s="69">
        <f t="shared" si="268"/>
        <v>1</v>
      </c>
      <c r="J539" s="76" t="str">
        <f t="shared" si="268"/>
        <v>Senecio</v>
      </c>
      <c r="K539" s="76" t="str">
        <f t="shared" si="268"/>
        <v>burtoni</v>
      </c>
      <c r="L539" s="77">
        <f t="shared" si="268"/>
        <v>0</v>
      </c>
      <c r="M539" s="77">
        <f t="shared" si="268"/>
        <v>7</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18</v>
      </c>
      <c r="D540" s="74">
        <f t="shared" si="248"/>
        <v>16</v>
      </c>
      <c r="E540" s="75">
        <f t="shared" si="249"/>
        <v>47</v>
      </c>
      <c r="F540" s="79"/>
      <c r="G540" s="82"/>
      <c r="H540" s="68" t="str">
        <f t="shared" si="266"/>
        <v>Senbur0_20191118_16_00</v>
      </c>
      <c r="I540" s="69">
        <f t="shared" si="268"/>
        <v>1</v>
      </c>
      <c r="J540" s="76" t="str">
        <f t="shared" si="268"/>
        <v>Senecio</v>
      </c>
      <c r="K540" s="76" t="str">
        <f t="shared" si="268"/>
        <v>burtoni</v>
      </c>
      <c r="L540" s="77">
        <f t="shared" si="268"/>
        <v>0</v>
      </c>
      <c r="M540" s="77">
        <f t="shared" si="268"/>
        <v>7</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18</v>
      </c>
      <c r="D541" s="74">
        <f t="shared" si="248"/>
        <v>16</v>
      </c>
      <c r="E541" s="75">
        <f t="shared" si="249"/>
        <v>48</v>
      </c>
      <c r="F541" s="79"/>
      <c r="G541" s="82"/>
      <c r="H541" s="68" t="str">
        <f t="shared" si="266"/>
        <v>Senbur0_20191118_16_00</v>
      </c>
      <c r="I541" s="69">
        <f t="shared" si="268"/>
        <v>1</v>
      </c>
      <c r="J541" s="76" t="str">
        <f t="shared" si="268"/>
        <v>Senecio</v>
      </c>
      <c r="K541" s="76" t="str">
        <f t="shared" si="268"/>
        <v>burtoni</v>
      </c>
      <c r="L541" s="77">
        <f t="shared" si="268"/>
        <v>0</v>
      </c>
      <c r="M541" s="77">
        <f t="shared" si="268"/>
        <v>7</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18</v>
      </c>
      <c r="D542" s="74">
        <f t="shared" si="248"/>
        <v>16</v>
      </c>
      <c r="E542" s="75">
        <f t="shared" si="249"/>
        <v>49</v>
      </c>
      <c r="F542" s="79"/>
      <c r="G542" s="82"/>
      <c r="H542" s="68" t="str">
        <f t="shared" si="266"/>
        <v>Senbur0_20191118_16_00</v>
      </c>
      <c r="I542" s="69">
        <f t="shared" si="268"/>
        <v>1</v>
      </c>
      <c r="J542" s="76" t="str">
        <f t="shared" si="268"/>
        <v>Senecio</v>
      </c>
      <c r="K542" s="76" t="str">
        <f t="shared" si="268"/>
        <v>burtoni</v>
      </c>
      <c r="L542" s="77">
        <f t="shared" si="268"/>
        <v>0</v>
      </c>
      <c r="M542" s="77">
        <f t="shared" si="268"/>
        <v>7</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18</v>
      </c>
      <c r="D543" s="74">
        <f t="shared" si="248"/>
        <v>16</v>
      </c>
      <c r="E543" s="75">
        <f t="shared" si="249"/>
        <v>50</v>
      </c>
      <c r="F543" s="79"/>
      <c r="G543" s="82"/>
      <c r="H543" s="68" t="str">
        <f t="shared" si="266"/>
        <v>Senbur0_20191118_16_00</v>
      </c>
      <c r="I543" s="69">
        <f t="shared" si="268"/>
        <v>1</v>
      </c>
      <c r="J543" s="76" t="str">
        <f t="shared" si="268"/>
        <v>Senecio</v>
      </c>
      <c r="K543" s="76" t="str">
        <f t="shared" si="268"/>
        <v>burtoni</v>
      </c>
      <c r="L543" s="77">
        <f t="shared" si="268"/>
        <v>0</v>
      </c>
      <c r="M543" s="77">
        <f t="shared" si="268"/>
        <v>7</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18</v>
      </c>
      <c r="D544" s="74">
        <f t="shared" si="248"/>
        <v>16</v>
      </c>
      <c r="E544" s="75">
        <f t="shared" si="249"/>
        <v>51</v>
      </c>
      <c r="F544" s="79">
        <v>22</v>
      </c>
      <c r="G544" s="82"/>
      <c r="H544" s="68" t="str">
        <f t="shared" si="266"/>
        <v>Senbur0_20191118_16_00</v>
      </c>
      <c r="I544" s="69">
        <f t="shared" si="268"/>
        <v>1</v>
      </c>
      <c r="J544" s="76" t="str">
        <f t="shared" si="268"/>
        <v>Senecio</v>
      </c>
      <c r="K544" s="76" t="str">
        <f t="shared" si="268"/>
        <v>burtoni</v>
      </c>
      <c r="L544" s="77">
        <f t="shared" si="268"/>
        <v>0</v>
      </c>
      <c r="M544" s="77">
        <f t="shared" si="268"/>
        <v>7</v>
      </c>
      <c r="N544" s="71">
        <f t="shared" si="268"/>
        <v>0</v>
      </c>
      <c r="O544" s="44"/>
      <c r="P544" s="45">
        <f t="shared" si="250"/>
        <v>1</v>
      </c>
      <c r="Q544" s="46" t="str">
        <f t="shared" si="251"/>
        <v>16:51:22</v>
      </c>
      <c r="R544" s="47" t="str">
        <f t="shared" si="252"/>
        <v>51:22</v>
      </c>
      <c r="S544" s="48">
        <f t="shared" si="241"/>
        <v>142</v>
      </c>
      <c r="T544" s="47" t="str">
        <f t="shared" si="253"/>
        <v>16</v>
      </c>
      <c r="U544" s="49">
        <v>53</v>
      </c>
      <c r="V544" s="50">
        <v>44</v>
      </c>
      <c r="W544" s="51" t="str">
        <f t="shared" si="254"/>
        <v>53:44</v>
      </c>
      <c r="X544" s="52" t="s">
        <v>73</v>
      </c>
      <c r="Y544" s="124" t="s">
        <v>95</v>
      </c>
      <c r="Z544" s="124"/>
      <c r="AA544" s="47" t="s">
        <v>59</v>
      </c>
      <c r="AB544" s="47" t="str">
        <f t="shared" si="255"/>
        <v>NA</v>
      </c>
      <c r="AC544" s="53">
        <f t="shared" si="256"/>
        <v>0</v>
      </c>
      <c r="AD544" s="54">
        <f t="shared" si="257"/>
        <v>1</v>
      </c>
      <c r="AE544" s="54"/>
      <c r="AF544" s="54"/>
      <c r="AG544" s="55">
        <v>1</v>
      </c>
      <c r="AH544" s="56">
        <v>120</v>
      </c>
      <c r="AI544" s="55"/>
      <c r="AJ544" s="56" t="str">
        <f t="shared" si="260"/>
        <v/>
      </c>
      <c r="AK544" s="55"/>
      <c r="AL544" s="56" t="str">
        <f t="shared" si="261"/>
        <v/>
      </c>
      <c r="AM544" s="55">
        <v>1</v>
      </c>
      <c r="AN544" s="56">
        <v>22</v>
      </c>
      <c r="AO544" s="55"/>
      <c r="AP544" s="56" t="str">
        <f t="shared" si="263"/>
        <v/>
      </c>
      <c r="AQ544" s="55"/>
      <c r="AR544" s="56" t="str">
        <f t="shared" si="264"/>
        <v/>
      </c>
      <c r="AS544" s="57"/>
      <c r="AT544" s="58"/>
      <c r="AU544" s="58"/>
      <c r="AV544" s="59"/>
      <c r="AW544" s="60">
        <v>1</v>
      </c>
      <c r="AX544" s="61">
        <f t="shared" si="243"/>
        <v>1</v>
      </c>
      <c r="AY544" s="60">
        <v>1</v>
      </c>
      <c r="AZ544" s="61">
        <f t="shared" si="245"/>
        <v>1</v>
      </c>
    </row>
    <row r="545" spans="1:52" s="3" customFormat="1" hidden="1" x14ac:dyDescent="0.35">
      <c r="A545" s="72">
        <f t="shared" si="246"/>
        <v>2019</v>
      </c>
      <c r="B545" s="72" t="str">
        <f t="shared" si="247"/>
        <v>Nov</v>
      </c>
      <c r="C545" s="73">
        <f t="shared" si="265"/>
        <v>18</v>
      </c>
      <c r="D545" s="74">
        <f t="shared" si="248"/>
        <v>16</v>
      </c>
      <c r="E545" s="75">
        <f t="shared" si="249"/>
        <v>52</v>
      </c>
      <c r="F545" s="79"/>
      <c r="G545" s="82"/>
      <c r="H545" s="68" t="str">
        <f t="shared" si="266"/>
        <v>Senbur0_20191118_16_00</v>
      </c>
      <c r="I545" s="69">
        <f t="shared" si="268"/>
        <v>1</v>
      </c>
      <c r="J545" s="76" t="str">
        <f t="shared" si="268"/>
        <v>Senecio</v>
      </c>
      <c r="K545" s="76" t="str">
        <f t="shared" si="268"/>
        <v>burtoni</v>
      </c>
      <c r="L545" s="77">
        <f t="shared" si="268"/>
        <v>0</v>
      </c>
      <c r="M545" s="77">
        <f t="shared" si="268"/>
        <v>7</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18</v>
      </c>
      <c r="D546" s="74">
        <f t="shared" si="248"/>
        <v>16</v>
      </c>
      <c r="E546" s="75">
        <f t="shared" si="249"/>
        <v>53</v>
      </c>
      <c r="F546" s="79">
        <v>7</v>
      </c>
      <c r="G546" s="82"/>
      <c r="H546" s="68" t="str">
        <f t="shared" si="266"/>
        <v>Senbur0_20191118_16_00</v>
      </c>
      <c r="I546" s="69">
        <f t="shared" si="268"/>
        <v>1</v>
      </c>
      <c r="J546" s="76" t="str">
        <f t="shared" si="268"/>
        <v>Senecio</v>
      </c>
      <c r="K546" s="76" t="str">
        <f t="shared" si="268"/>
        <v>burtoni</v>
      </c>
      <c r="L546" s="77">
        <f t="shared" si="268"/>
        <v>0</v>
      </c>
      <c r="M546" s="77">
        <f t="shared" si="268"/>
        <v>7</v>
      </c>
      <c r="N546" s="71">
        <f t="shared" si="268"/>
        <v>0</v>
      </c>
      <c r="O546" s="44"/>
      <c r="P546" s="45">
        <f t="shared" si="250"/>
        <v>1</v>
      </c>
      <c r="Q546" s="46" t="str">
        <f t="shared" si="251"/>
        <v>16:53:07</v>
      </c>
      <c r="R546" s="47" t="str">
        <f t="shared" si="252"/>
        <v>53:07</v>
      </c>
      <c r="S546" s="48">
        <f t="shared" si="241"/>
        <v>447</v>
      </c>
      <c r="T546" s="47">
        <v>17</v>
      </c>
      <c r="U546" s="49">
        <v>0</v>
      </c>
      <c r="V546" s="50">
        <v>34</v>
      </c>
      <c r="W546" s="51" t="str">
        <f t="shared" si="254"/>
        <v>00:34</v>
      </c>
      <c r="X546" s="52" t="s">
        <v>63</v>
      </c>
      <c r="Y546" s="124" t="s">
        <v>80</v>
      </c>
      <c r="Z546" s="124"/>
      <c r="AA546" s="47" t="s">
        <v>59</v>
      </c>
      <c r="AB546" s="47" t="str">
        <f t="shared" si="255"/>
        <v>NA</v>
      </c>
      <c r="AC546" s="53">
        <f t="shared" si="256"/>
        <v>0</v>
      </c>
      <c r="AD546" s="54">
        <v>5</v>
      </c>
      <c r="AE546" s="54"/>
      <c r="AF546" s="54"/>
      <c r="AG546" s="55">
        <v>1</v>
      </c>
      <c r="AH546" s="56">
        <v>300</v>
      </c>
      <c r="AI546" s="55"/>
      <c r="AJ546" s="56" t="str">
        <f t="shared" si="260"/>
        <v/>
      </c>
      <c r="AK546" s="55"/>
      <c r="AL546" s="56" t="str">
        <f t="shared" si="261"/>
        <v/>
      </c>
      <c r="AM546" s="55">
        <v>1</v>
      </c>
      <c r="AN546" s="56">
        <v>147</v>
      </c>
      <c r="AO546" s="55"/>
      <c r="AP546" s="56" t="str">
        <f t="shared" si="263"/>
        <v/>
      </c>
      <c r="AQ546" s="55"/>
      <c r="AR546" s="56" t="str">
        <f t="shared" si="264"/>
        <v/>
      </c>
      <c r="AS546" s="57"/>
      <c r="AT546" s="58"/>
      <c r="AU546" s="58"/>
      <c r="AV546" s="59"/>
      <c r="AW546" s="60">
        <v>1</v>
      </c>
      <c r="AX546" s="61">
        <v>3</v>
      </c>
      <c r="AY546" s="60">
        <v>1</v>
      </c>
      <c r="AZ546" s="61">
        <v>3</v>
      </c>
    </row>
    <row r="547" spans="1:52" s="3" customFormat="1" hidden="1" x14ac:dyDescent="0.35">
      <c r="A547" s="72">
        <f t="shared" si="246"/>
        <v>2019</v>
      </c>
      <c r="B547" s="72" t="str">
        <f t="shared" si="247"/>
        <v>Nov</v>
      </c>
      <c r="C547" s="73">
        <f t="shared" si="265"/>
        <v>18</v>
      </c>
      <c r="D547" s="74">
        <f t="shared" si="248"/>
        <v>16</v>
      </c>
      <c r="E547" s="75">
        <f t="shared" si="249"/>
        <v>54</v>
      </c>
      <c r="F547" s="79"/>
      <c r="G547" s="82"/>
      <c r="H547" s="68" t="str">
        <f t="shared" si="266"/>
        <v>Senbur0_20191118_16_00</v>
      </c>
      <c r="I547" s="69">
        <f t="shared" si="268"/>
        <v>1</v>
      </c>
      <c r="J547" s="76" t="str">
        <f t="shared" si="268"/>
        <v>Senecio</v>
      </c>
      <c r="K547" s="76" t="str">
        <f t="shared" si="268"/>
        <v>burtoni</v>
      </c>
      <c r="L547" s="77">
        <f t="shared" si="268"/>
        <v>0</v>
      </c>
      <c r="M547" s="77">
        <f t="shared" si="268"/>
        <v>7</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18</v>
      </c>
      <c r="D548" s="74">
        <f t="shared" si="248"/>
        <v>16</v>
      </c>
      <c r="E548" s="75">
        <f t="shared" si="249"/>
        <v>55</v>
      </c>
      <c r="F548" s="79"/>
      <c r="G548" s="82"/>
      <c r="H548" s="68" t="str">
        <f t="shared" si="266"/>
        <v>Senbur0_20191118_16_00</v>
      </c>
      <c r="I548" s="69">
        <f t="shared" si="268"/>
        <v>1</v>
      </c>
      <c r="J548" s="76" t="str">
        <f t="shared" si="268"/>
        <v>Senecio</v>
      </c>
      <c r="K548" s="76" t="str">
        <f t="shared" si="268"/>
        <v>burtoni</v>
      </c>
      <c r="L548" s="77">
        <f t="shared" si="268"/>
        <v>0</v>
      </c>
      <c r="M548" s="77">
        <f t="shared" si="268"/>
        <v>7</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18</v>
      </c>
      <c r="D549" s="74">
        <f t="shared" si="248"/>
        <v>16</v>
      </c>
      <c r="E549" s="75">
        <f t="shared" si="249"/>
        <v>56</v>
      </c>
      <c r="F549" s="79"/>
      <c r="G549" s="82"/>
      <c r="H549" s="68" t="str">
        <f t="shared" si="266"/>
        <v>Senbur0_20191118_16_00</v>
      </c>
      <c r="I549" s="69">
        <f t="shared" ref="I549:N564" si="269">I548</f>
        <v>1</v>
      </c>
      <c r="J549" s="76" t="str">
        <f t="shared" si="269"/>
        <v>Senecio</v>
      </c>
      <c r="K549" s="76" t="str">
        <f t="shared" si="269"/>
        <v>burtoni</v>
      </c>
      <c r="L549" s="77">
        <f t="shared" si="269"/>
        <v>0</v>
      </c>
      <c r="M549" s="77">
        <f t="shared" si="269"/>
        <v>7</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18</v>
      </c>
      <c r="D550" s="74">
        <f t="shared" si="248"/>
        <v>16</v>
      </c>
      <c r="E550" s="75">
        <f t="shared" si="249"/>
        <v>57</v>
      </c>
      <c r="F550" s="79"/>
      <c r="G550" s="82"/>
      <c r="H550" s="68" t="str">
        <f t="shared" si="266"/>
        <v>Senbur0_20191118_16_00</v>
      </c>
      <c r="I550" s="69">
        <f t="shared" si="269"/>
        <v>1</v>
      </c>
      <c r="J550" s="76" t="str">
        <f t="shared" si="269"/>
        <v>Senecio</v>
      </c>
      <c r="K550" s="76" t="str">
        <f t="shared" si="269"/>
        <v>burtoni</v>
      </c>
      <c r="L550" s="77">
        <f t="shared" si="269"/>
        <v>0</v>
      </c>
      <c r="M550" s="77">
        <f t="shared" si="269"/>
        <v>7</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18</v>
      </c>
      <c r="D551" s="74">
        <f t="shared" si="248"/>
        <v>16</v>
      </c>
      <c r="E551" s="75">
        <f t="shared" si="249"/>
        <v>58</v>
      </c>
      <c r="F551" s="79"/>
      <c r="G551" s="82"/>
      <c r="H551" s="68" t="str">
        <f t="shared" si="266"/>
        <v>Senbur0_20191118_16_00</v>
      </c>
      <c r="I551" s="69">
        <f t="shared" si="269"/>
        <v>1</v>
      </c>
      <c r="J551" s="76" t="str">
        <f t="shared" si="269"/>
        <v>Senecio</v>
      </c>
      <c r="K551" s="76" t="str">
        <f t="shared" si="269"/>
        <v>burtoni</v>
      </c>
      <c r="L551" s="77">
        <f t="shared" si="269"/>
        <v>0</v>
      </c>
      <c r="M551" s="77">
        <f t="shared" si="269"/>
        <v>7</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18</v>
      </c>
      <c r="D552" s="74">
        <f t="shared" si="248"/>
        <v>16</v>
      </c>
      <c r="E552" s="75">
        <f t="shared" si="249"/>
        <v>59</v>
      </c>
      <c r="F552" s="79"/>
      <c r="G552" s="82"/>
      <c r="H552" s="68" t="str">
        <f t="shared" si="266"/>
        <v>Senbur0_20191118_16_00</v>
      </c>
      <c r="I552" s="69">
        <f t="shared" si="269"/>
        <v>1</v>
      </c>
      <c r="J552" s="76" t="str">
        <f t="shared" si="269"/>
        <v>Senecio</v>
      </c>
      <c r="K552" s="76" t="str">
        <f t="shared" si="269"/>
        <v>burtoni</v>
      </c>
      <c r="L552" s="77">
        <f t="shared" si="269"/>
        <v>0</v>
      </c>
      <c r="M552" s="77">
        <f t="shared" si="269"/>
        <v>7</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18</v>
      </c>
      <c r="D553" s="74">
        <f t="shared" si="248"/>
        <v>17</v>
      </c>
      <c r="E553" s="75">
        <f t="shared" si="249"/>
        <v>0</v>
      </c>
      <c r="F553" s="79"/>
      <c r="G553" s="82"/>
      <c r="H553" s="68" t="str">
        <f t="shared" si="266"/>
        <v>Senbur0_20191118_17_00</v>
      </c>
      <c r="I553" s="69">
        <f t="shared" si="269"/>
        <v>1</v>
      </c>
      <c r="J553" s="76" t="str">
        <f t="shared" si="269"/>
        <v>Senecio</v>
      </c>
      <c r="K553" s="76" t="str">
        <f t="shared" si="269"/>
        <v>burtoni</v>
      </c>
      <c r="L553" s="77">
        <f t="shared" si="269"/>
        <v>0</v>
      </c>
      <c r="M553" s="77">
        <f t="shared" si="269"/>
        <v>7</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18</v>
      </c>
      <c r="D554" s="74">
        <f t="shared" si="248"/>
        <v>17</v>
      </c>
      <c r="E554" s="75">
        <f t="shared" si="249"/>
        <v>1</v>
      </c>
      <c r="F554" s="79"/>
      <c r="G554" s="82"/>
      <c r="H554" s="68" t="str">
        <f t="shared" si="266"/>
        <v>Senbur0_20191118_17_00</v>
      </c>
      <c r="I554" s="69">
        <f t="shared" si="269"/>
        <v>1</v>
      </c>
      <c r="J554" s="76" t="str">
        <f t="shared" si="269"/>
        <v>Senecio</v>
      </c>
      <c r="K554" s="76" t="str">
        <f t="shared" si="269"/>
        <v>burtoni</v>
      </c>
      <c r="L554" s="77">
        <f t="shared" si="269"/>
        <v>0</v>
      </c>
      <c r="M554" s="77">
        <f t="shared" si="269"/>
        <v>7</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18</v>
      </c>
      <c r="D555" s="74">
        <f t="shared" si="248"/>
        <v>17</v>
      </c>
      <c r="E555" s="75">
        <f t="shared" si="249"/>
        <v>2</v>
      </c>
      <c r="F555" s="79"/>
      <c r="G555" s="82"/>
      <c r="H555" s="68" t="str">
        <f t="shared" si="266"/>
        <v>Senbur0_20191118_17_00</v>
      </c>
      <c r="I555" s="69">
        <f t="shared" si="269"/>
        <v>1</v>
      </c>
      <c r="J555" s="76" t="str">
        <f t="shared" si="269"/>
        <v>Senecio</v>
      </c>
      <c r="K555" s="76" t="str">
        <f t="shared" si="269"/>
        <v>burtoni</v>
      </c>
      <c r="L555" s="77">
        <f t="shared" si="269"/>
        <v>0</v>
      </c>
      <c r="M555" s="77">
        <f t="shared" si="269"/>
        <v>7</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18</v>
      </c>
      <c r="D556" s="74">
        <f t="shared" si="248"/>
        <v>17</v>
      </c>
      <c r="E556" s="75">
        <f t="shared" si="249"/>
        <v>3</v>
      </c>
      <c r="F556" s="79"/>
      <c r="G556" s="82"/>
      <c r="H556" s="68" t="str">
        <f t="shared" si="266"/>
        <v>Senbur0_20191118_17_00</v>
      </c>
      <c r="I556" s="69">
        <f t="shared" si="269"/>
        <v>1</v>
      </c>
      <c r="J556" s="76" t="str">
        <f t="shared" si="269"/>
        <v>Senecio</v>
      </c>
      <c r="K556" s="76" t="str">
        <f t="shared" si="269"/>
        <v>burtoni</v>
      </c>
      <c r="L556" s="77">
        <f t="shared" si="269"/>
        <v>0</v>
      </c>
      <c r="M556" s="77">
        <f t="shared" si="269"/>
        <v>7</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18</v>
      </c>
      <c r="D557" s="74">
        <f t="shared" si="248"/>
        <v>17</v>
      </c>
      <c r="E557" s="75">
        <f t="shared" si="249"/>
        <v>4</v>
      </c>
      <c r="F557" s="79"/>
      <c r="G557" s="82"/>
      <c r="H557" s="68" t="str">
        <f t="shared" si="266"/>
        <v>Senbur0_20191118_17_00</v>
      </c>
      <c r="I557" s="69">
        <f t="shared" si="269"/>
        <v>1</v>
      </c>
      <c r="J557" s="76" t="str">
        <f t="shared" si="269"/>
        <v>Senecio</v>
      </c>
      <c r="K557" s="76" t="str">
        <f t="shared" si="269"/>
        <v>burtoni</v>
      </c>
      <c r="L557" s="77">
        <f t="shared" si="269"/>
        <v>0</v>
      </c>
      <c r="M557" s="77">
        <f t="shared" si="269"/>
        <v>7</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18</v>
      </c>
      <c r="D558" s="74">
        <f t="shared" si="248"/>
        <v>17</v>
      </c>
      <c r="E558" s="75">
        <f t="shared" si="249"/>
        <v>5</v>
      </c>
      <c r="F558" s="79"/>
      <c r="G558" s="82"/>
      <c r="H558" s="68" t="str">
        <f t="shared" si="266"/>
        <v>Senbur0_20191118_17_00</v>
      </c>
      <c r="I558" s="69">
        <f t="shared" si="269"/>
        <v>1</v>
      </c>
      <c r="J558" s="76" t="str">
        <f t="shared" si="269"/>
        <v>Senecio</v>
      </c>
      <c r="K558" s="76" t="str">
        <f t="shared" si="269"/>
        <v>burtoni</v>
      </c>
      <c r="L558" s="77">
        <f t="shared" si="269"/>
        <v>0</v>
      </c>
      <c r="M558" s="77">
        <f t="shared" si="269"/>
        <v>7</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18</v>
      </c>
      <c r="D559" s="74">
        <f t="shared" si="248"/>
        <v>17</v>
      </c>
      <c r="E559" s="75">
        <f t="shared" si="249"/>
        <v>6</v>
      </c>
      <c r="F559" s="79"/>
      <c r="G559" s="82"/>
      <c r="H559" s="68" t="str">
        <f t="shared" si="266"/>
        <v>Senbur0_20191118_17_00</v>
      </c>
      <c r="I559" s="69">
        <f t="shared" si="269"/>
        <v>1</v>
      </c>
      <c r="J559" s="76" t="str">
        <f t="shared" si="269"/>
        <v>Senecio</v>
      </c>
      <c r="K559" s="76" t="str">
        <f t="shared" si="269"/>
        <v>burtoni</v>
      </c>
      <c r="L559" s="77">
        <f t="shared" si="269"/>
        <v>0</v>
      </c>
      <c r="M559" s="77">
        <f t="shared" si="269"/>
        <v>7</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18</v>
      </c>
      <c r="D560" s="74">
        <f t="shared" si="248"/>
        <v>17</v>
      </c>
      <c r="E560" s="75">
        <f t="shared" si="249"/>
        <v>7</v>
      </c>
      <c r="F560" s="79"/>
      <c r="G560" s="82"/>
      <c r="H560" s="68" t="str">
        <f t="shared" si="266"/>
        <v>Senbur0_20191118_17_00</v>
      </c>
      <c r="I560" s="69">
        <f t="shared" si="269"/>
        <v>1</v>
      </c>
      <c r="J560" s="76" t="str">
        <f t="shared" si="269"/>
        <v>Senecio</v>
      </c>
      <c r="K560" s="76" t="str">
        <f t="shared" si="269"/>
        <v>burtoni</v>
      </c>
      <c r="L560" s="77">
        <f t="shared" si="269"/>
        <v>0</v>
      </c>
      <c r="M560" s="77">
        <f t="shared" si="269"/>
        <v>7</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18</v>
      </c>
      <c r="D561" s="74">
        <f t="shared" si="248"/>
        <v>17</v>
      </c>
      <c r="E561" s="75">
        <f t="shared" si="249"/>
        <v>8</v>
      </c>
      <c r="F561" s="79"/>
      <c r="G561" s="82"/>
      <c r="H561" s="68" t="str">
        <f t="shared" si="266"/>
        <v>Senbur0_20191118_17_00</v>
      </c>
      <c r="I561" s="69">
        <f t="shared" si="269"/>
        <v>1</v>
      </c>
      <c r="J561" s="76" t="str">
        <f t="shared" si="269"/>
        <v>Senecio</v>
      </c>
      <c r="K561" s="76" t="str">
        <f t="shared" si="269"/>
        <v>burtoni</v>
      </c>
      <c r="L561" s="77">
        <f t="shared" si="269"/>
        <v>0</v>
      </c>
      <c r="M561" s="77">
        <f t="shared" si="269"/>
        <v>7</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18</v>
      </c>
      <c r="D562" s="74">
        <f t="shared" si="248"/>
        <v>17</v>
      </c>
      <c r="E562" s="75">
        <f t="shared" si="249"/>
        <v>9</v>
      </c>
      <c r="F562" s="79"/>
      <c r="G562" s="82"/>
      <c r="H562" s="68" t="str">
        <f t="shared" si="266"/>
        <v>Senbur0_20191118_17_00</v>
      </c>
      <c r="I562" s="69">
        <f t="shared" si="269"/>
        <v>1</v>
      </c>
      <c r="J562" s="76" t="str">
        <f t="shared" si="269"/>
        <v>Senecio</v>
      </c>
      <c r="K562" s="76" t="str">
        <f t="shared" si="269"/>
        <v>burtoni</v>
      </c>
      <c r="L562" s="77">
        <f t="shared" si="269"/>
        <v>0</v>
      </c>
      <c r="M562" s="77">
        <f t="shared" si="269"/>
        <v>7</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18</v>
      </c>
      <c r="D563" s="74">
        <f t="shared" si="248"/>
        <v>17</v>
      </c>
      <c r="E563" s="75">
        <f t="shared" si="249"/>
        <v>10</v>
      </c>
      <c r="F563" s="79"/>
      <c r="G563" s="82"/>
      <c r="H563" s="68" t="str">
        <f t="shared" si="266"/>
        <v>Senbur0_20191118_17_00</v>
      </c>
      <c r="I563" s="69">
        <f t="shared" si="269"/>
        <v>1</v>
      </c>
      <c r="J563" s="76" t="str">
        <f t="shared" si="269"/>
        <v>Senecio</v>
      </c>
      <c r="K563" s="76" t="str">
        <f t="shared" si="269"/>
        <v>burtoni</v>
      </c>
      <c r="L563" s="77">
        <f t="shared" si="269"/>
        <v>0</v>
      </c>
      <c r="M563" s="77">
        <f t="shared" si="269"/>
        <v>7</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18</v>
      </c>
      <c r="D564" s="74">
        <f t="shared" si="248"/>
        <v>17</v>
      </c>
      <c r="E564" s="75">
        <f t="shared" si="249"/>
        <v>11</v>
      </c>
      <c r="F564" s="79"/>
      <c r="G564" s="82"/>
      <c r="H564" s="68" t="str">
        <f t="shared" si="266"/>
        <v>Senbur0_20191118_17_00</v>
      </c>
      <c r="I564" s="69">
        <f t="shared" si="269"/>
        <v>1</v>
      </c>
      <c r="J564" s="76" t="str">
        <f t="shared" si="269"/>
        <v>Senecio</v>
      </c>
      <c r="K564" s="76" t="str">
        <f t="shared" si="269"/>
        <v>burtoni</v>
      </c>
      <c r="L564" s="77">
        <f t="shared" si="269"/>
        <v>0</v>
      </c>
      <c r="M564" s="77">
        <f t="shared" si="269"/>
        <v>7</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18</v>
      </c>
      <c r="D565" s="74">
        <f t="shared" si="248"/>
        <v>17</v>
      </c>
      <c r="E565" s="75">
        <f t="shared" si="249"/>
        <v>12</v>
      </c>
      <c r="F565" s="79"/>
      <c r="G565" s="82"/>
      <c r="H565" s="68" t="str">
        <f t="shared" si="266"/>
        <v>Senbur0_20191118_17_00</v>
      </c>
      <c r="I565" s="69">
        <f t="shared" ref="I565:N580" si="270">I564</f>
        <v>1</v>
      </c>
      <c r="J565" s="76" t="str">
        <f t="shared" si="270"/>
        <v>Senecio</v>
      </c>
      <c r="K565" s="76" t="str">
        <f t="shared" si="270"/>
        <v>burtoni</v>
      </c>
      <c r="L565" s="77">
        <f t="shared" si="270"/>
        <v>0</v>
      </c>
      <c r="M565" s="77">
        <f t="shared" si="270"/>
        <v>7</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18</v>
      </c>
      <c r="D566" s="74">
        <f t="shared" si="248"/>
        <v>17</v>
      </c>
      <c r="E566" s="75">
        <f t="shared" si="249"/>
        <v>13</v>
      </c>
      <c r="F566" s="79"/>
      <c r="G566" s="82"/>
      <c r="H566" s="68" t="str">
        <f t="shared" si="266"/>
        <v>Senbur0_20191118_17_00</v>
      </c>
      <c r="I566" s="69">
        <f t="shared" si="270"/>
        <v>1</v>
      </c>
      <c r="J566" s="76" t="str">
        <f t="shared" si="270"/>
        <v>Senecio</v>
      </c>
      <c r="K566" s="76" t="str">
        <f t="shared" si="270"/>
        <v>burtoni</v>
      </c>
      <c r="L566" s="77">
        <f t="shared" si="270"/>
        <v>0</v>
      </c>
      <c r="M566" s="77">
        <f t="shared" si="270"/>
        <v>7</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18</v>
      </c>
      <c r="D567" s="74">
        <f t="shared" si="248"/>
        <v>17</v>
      </c>
      <c r="E567" s="75">
        <f t="shared" si="249"/>
        <v>14</v>
      </c>
      <c r="F567" s="79"/>
      <c r="G567" s="82"/>
      <c r="H567" s="68" t="str">
        <f t="shared" si="266"/>
        <v>Senbur0_20191118_17_00</v>
      </c>
      <c r="I567" s="69">
        <f t="shared" si="270"/>
        <v>1</v>
      </c>
      <c r="J567" s="76" t="str">
        <f t="shared" si="270"/>
        <v>Senecio</v>
      </c>
      <c r="K567" s="76" t="str">
        <f t="shared" si="270"/>
        <v>burtoni</v>
      </c>
      <c r="L567" s="77">
        <f t="shared" si="270"/>
        <v>0</v>
      </c>
      <c r="M567" s="77">
        <f t="shared" si="270"/>
        <v>7</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18</v>
      </c>
      <c r="D568" s="74">
        <f t="shared" si="248"/>
        <v>17</v>
      </c>
      <c r="E568" s="75">
        <f t="shared" si="249"/>
        <v>15</v>
      </c>
      <c r="F568" s="79"/>
      <c r="G568" s="82"/>
      <c r="H568" s="68" t="str">
        <f t="shared" si="266"/>
        <v>Senbur0_20191118_17_00</v>
      </c>
      <c r="I568" s="69">
        <f t="shared" si="270"/>
        <v>1</v>
      </c>
      <c r="J568" s="76" t="str">
        <f t="shared" si="270"/>
        <v>Senecio</v>
      </c>
      <c r="K568" s="76" t="str">
        <f t="shared" si="270"/>
        <v>burtoni</v>
      </c>
      <c r="L568" s="77">
        <f t="shared" si="270"/>
        <v>0</v>
      </c>
      <c r="M568" s="77">
        <f t="shared" si="270"/>
        <v>7</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18</v>
      </c>
      <c r="D569" s="74">
        <f t="shared" si="248"/>
        <v>17</v>
      </c>
      <c r="E569" s="75">
        <f t="shared" si="249"/>
        <v>16</v>
      </c>
      <c r="F569" s="79"/>
      <c r="G569" s="82"/>
      <c r="H569" s="68" t="str">
        <f t="shared" si="266"/>
        <v>Senbur0_20191118_17_00</v>
      </c>
      <c r="I569" s="69">
        <f t="shared" si="270"/>
        <v>1</v>
      </c>
      <c r="J569" s="76" t="str">
        <f t="shared" si="270"/>
        <v>Senecio</v>
      </c>
      <c r="K569" s="76" t="str">
        <f t="shared" si="270"/>
        <v>burtoni</v>
      </c>
      <c r="L569" s="77">
        <f t="shared" si="270"/>
        <v>0</v>
      </c>
      <c r="M569" s="77">
        <f t="shared" si="270"/>
        <v>7</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18</v>
      </c>
      <c r="D570" s="74">
        <f t="shared" si="248"/>
        <v>17</v>
      </c>
      <c r="E570" s="75">
        <f t="shared" si="249"/>
        <v>17</v>
      </c>
      <c r="F570" s="79"/>
      <c r="G570" s="82"/>
      <c r="H570" s="68" t="str">
        <f t="shared" si="266"/>
        <v>Senbur0_20191118_17_00</v>
      </c>
      <c r="I570" s="69">
        <f t="shared" si="270"/>
        <v>1</v>
      </c>
      <c r="J570" s="76" t="str">
        <f t="shared" si="270"/>
        <v>Senecio</v>
      </c>
      <c r="K570" s="76" t="str">
        <f t="shared" si="270"/>
        <v>burtoni</v>
      </c>
      <c r="L570" s="77">
        <f t="shared" si="270"/>
        <v>0</v>
      </c>
      <c r="M570" s="77">
        <f t="shared" si="270"/>
        <v>7</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18</v>
      </c>
      <c r="D571" s="74">
        <f t="shared" si="248"/>
        <v>17</v>
      </c>
      <c r="E571" s="75">
        <f t="shared" si="249"/>
        <v>18</v>
      </c>
      <c r="F571" s="79"/>
      <c r="G571" s="82"/>
      <c r="H571" s="68" t="str">
        <f t="shared" si="266"/>
        <v>Senbur0_20191118_17_00</v>
      </c>
      <c r="I571" s="69">
        <f t="shared" si="270"/>
        <v>1</v>
      </c>
      <c r="J571" s="76" t="str">
        <f t="shared" si="270"/>
        <v>Senecio</v>
      </c>
      <c r="K571" s="76" t="str">
        <f t="shared" si="270"/>
        <v>burtoni</v>
      </c>
      <c r="L571" s="77">
        <f t="shared" si="270"/>
        <v>0</v>
      </c>
      <c r="M571" s="77">
        <f t="shared" si="270"/>
        <v>7</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18</v>
      </c>
      <c r="D572" s="74">
        <f t="shared" si="248"/>
        <v>17</v>
      </c>
      <c r="E572" s="75">
        <f t="shared" si="249"/>
        <v>19</v>
      </c>
      <c r="F572" s="79"/>
      <c r="G572" s="82"/>
      <c r="H572" s="68" t="str">
        <f t="shared" si="266"/>
        <v>Senbur0_20191118_17_00</v>
      </c>
      <c r="I572" s="69">
        <f t="shared" si="270"/>
        <v>1</v>
      </c>
      <c r="J572" s="76" t="str">
        <f t="shared" si="270"/>
        <v>Senecio</v>
      </c>
      <c r="K572" s="76" t="str">
        <f t="shared" si="270"/>
        <v>burtoni</v>
      </c>
      <c r="L572" s="77">
        <f t="shared" si="270"/>
        <v>0</v>
      </c>
      <c r="M572" s="77">
        <f t="shared" si="270"/>
        <v>7</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18</v>
      </c>
      <c r="D573" s="74">
        <f t="shared" si="248"/>
        <v>17</v>
      </c>
      <c r="E573" s="75">
        <f t="shared" si="249"/>
        <v>20</v>
      </c>
      <c r="F573" s="79"/>
      <c r="G573" s="82"/>
      <c r="H573" s="68" t="str">
        <f t="shared" si="266"/>
        <v>Senbur0_20191118_17_00</v>
      </c>
      <c r="I573" s="69">
        <f t="shared" si="270"/>
        <v>1</v>
      </c>
      <c r="J573" s="76" t="str">
        <f t="shared" si="270"/>
        <v>Senecio</v>
      </c>
      <c r="K573" s="76" t="str">
        <f t="shared" si="270"/>
        <v>burtoni</v>
      </c>
      <c r="L573" s="77">
        <f t="shared" si="270"/>
        <v>0</v>
      </c>
      <c r="M573" s="77">
        <f t="shared" si="270"/>
        <v>7</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18</v>
      </c>
      <c r="D574" s="74">
        <f t="shared" si="248"/>
        <v>17</v>
      </c>
      <c r="E574" s="75">
        <f t="shared" si="249"/>
        <v>21</v>
      </c>
      <c r="F574" s="79"/>
      <c r="G574" s="82"/>
      <c r="H574" s="68" t="str">
        <f t="shared" si="266"/>
        <v>Senbur0_20191118_17_00</v>
      </c>
      <c r="I574" s="69">
        <f t="shared" si="270"/>
        <v>1</v>
      </c>
      <c r="J574" s="76" t="str">
        <f t="shared" si="270"/>
        <v>Senecio</v>
      </c>
      <c r="K574" s="76" t="str">
        <f t="shared" si="270"/>
        <v>burtoni</v>
      </c>
      <c r="L574" s="77">
        <f t="shared" si="270"/>
        <v>0</v>
      </c>
      <c r="M574" s="77">
        <f t="shared" si="270"/>
        <v>7</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18</v>
      </c>
      <c r="D575" s="74">
        <f t="shared" si="248"/>
        <v>17</v>
      </c>
      <c r="E575" s="75">
        <f t="shared" si="249"/>
        <v>22</v>
      </c>
      <c r="F575" s="79"/>
      <c r="G575" s="82"/>
      <c r="H575" s="68" t="str">
        <f t="shared" si="266"/>
        <v>Senbur0_20191118_17_00</v>
      </c>
      <c r="I575" s="69">
        <f t="shared" si="270"/>
        <v>1</v>
      </c>
      <c r="J575" s="76" t="str">
        <f t="shared" si="270"/>
        <v>Senecio</v>
      </c>
      <c r="K575" s="76" t="str">
        <f t="shared" si="270"/>
        <v>burtoni</v>
      </c>
      <c r="L575" s="77">
        <f t="shared" si="270"/>
        <v>0</v>
      </c>
      <c r="M575" s="77">
        <f t="shared" si="270"/>
        <v>7</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18</v>
      </c>
      <c r="D576" s="74">
        <f t="shared" si="248"/>
        <v>17</v>
      </c>
      <c r="E576" s="75">
        <f t="shared" si="249"/>
        <v>23</v>
      </c>
      <c r="F576" s="79"/>
      <c r="G576" s="82"/>
      <c r="H576" s="68" t="str">
        <f t="shared" si="266"/>
        <v>Senbur0_20191118_17_00</v>
      </c>
      <c r="I576" s="69">
        <f t="shared" si="270"/>
        <v>1</v>
      </c>
      <c r="J576" s="76" t="str">
        <f t="shared" si="270"/>
        <v>Senecio</v>
      </c>
      <c r="K576" s="76" t="str">
        <f t="shared" si="270"/>
        <v>burtoni</v>
      </c>
      <c r="L576" s="77">
        <f t="shared" si="270"/>
        <v>0</v>
      </c>
      <c r="M576" s="77">
        <f t="shared" si="270"/>
        <v>7</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18</v>
      </c>
      <c r="D577" s="74">
        <f t="shared" si="248"/>
        <v>17</v>
      </c>
      <c r="E577" s="75">
        <f t="shared" si="249"/>
        <v>24</v>
      </c>
      <c r="F577" s="79"/>
      <c r="G577" s="82"/>
      <c r="H577" s="68" t="str">
        <f t="shared" si="266"/>
        <v>Senbur0_20191118_17_00</v>
      </c>
      <c r="I577" s="69">
        <f t="shared" si="270"/>
        <v>1</v>
      </c>
      <c r="J577" s="76" t="str">
        <f t="shared" si="270"/>
        <v>Senecio</v>
      </c>
      <c r="K577" s="76" t="str">
        <f t="shared" si="270"/>
        <v>burtoni</v>
      </c>
      <c r="L577" s="77">
        <f t="shared" si="270"/>
        <v>0</v>
      </c>
      <c r="M577" s="77">
        <f t="shared" si="270"/>
        <v>7</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18</v>
      </c>
      <c r="D578" s="74">
        <f t="shared" si="248"/>
        <v>17</v>
      </c>
      <c r="E578" s="75">
        <f t="shared" si="249"/>
        <v>25</v>
      </c>
      <c r="F578" s="79"/>
      <c r="G578" s="82"/>
      <c r="H578" s="68" t="str">
        <f t="shared" si="266"/>
        <v>Senbur0_20191118_17_00</v>
      </c>
      <c r="I578" s="69">
        <f t="shared" si="270"/>
        <v>1</v>
      </c>
      <c r="J578" s="76" t="str">
        <f t="shared" si="270"/>
        <v>Senecio</v>
      </c>
      <c r="K578" s="76" t="str">
        <f t="shared" si="270"/>
        <v>burtoni</v>
      </c>
      <c r="L578" s="77">
        <f t="shared" si="270"/>
        <v>0</v>
      </c>
      <c r="M578" s="77">
        <f t="shared" si="270"/>
        <v>7</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18</v>
      </c>
      <c r="D579" s="74">
        <f t="shared" si="248"/>
        <v>17</v>
      </c>
      <c r="E579" s="75">
        <f t="shared" si="249"/>
        <v>26</v>
      </c>
      <c r="F579" s="79"/>
      <c r="G579" s="82"/>
      <c r="H579" s="68" t="str">
        <f t="shared" si="266"/>
        <v>Senbur0_20191118_17_00</v>
      </c>
      <c r="I579" s="69">
        <f t="shared" si="270"/>
        <v>1</v>
      </c>
      <c r="J579" s="76" t="str">
        <f t="shared" si="270"/>
        <v>Senecio</v>
      </c>
      <c r="K579" s="76" t="str">
        <f t="shared" si="270"/>
        <v>burtoni</v>
      </c>
      <c r="L579" s="77">
        <f t="shared" si="270"/>
        <v>0</v>
      </c>
      <c r="M579" s="77">
        <f t="shared" si="270"/>
        <v>7</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18</v>
      </c>
      <c r="D580" s="74">
        <f t="shared" ref="D580:D643" si="278">IF(IF(E579=59,D579+1,D579)=24,0,IF(E579=59,D579+1,D579))</f>
        <v>17</v>
      </c>
      <c r="E580" s="75">
        <f t="shared" ref="E580:E643" si="279">IF(E579&lt;59,E579+1,0)</f>
        <v>27</v>
      </c>
      <c r="F580" s="79"/>
      <c r="G580" s="82"/>
      <c r="H580" s="68" t="str">
        <f t="shared" si="266"/>
        <v>Senbur0_20191118_17_00</v>
      </c>
      <c r="I580" s="69">
        <f t="shared" si="270"/>
        <v>1</v>
      </c>
      <c r="J580" s="76" t="str">
        <f t="shared" si="270"/>
        <v>Senecio</v>
      </c>
      <c r="K580" s="76" t="str">
        <f t="shared" si="270"/>
        <v>burtoni</v>
      </c>
      <c r="L580" s="77">
        <f t="shared" si="270"/>
        <v>0</v>
      </c>
      <c r="M580" s="77">
        <f t="shared" si="270"/>
        <v>7</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18</v>
      </c>
      <c r="D581" s="74">
        <f t="shared" si="278"/>
        <v>17</v>
      </c>
      <c r="E581" s="75">
        <f t="shared" si="279"/>
        <v>28</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Senbur0_20191118_17_00</v>
      </c>
      <c r="I581" s="69">
        <f t="shared" ref="I581:N596" si="297">I580</f>
        <v>1</v>
      </c>
      <c r="J581" s="76" t="str">
        <f t="shared" si="297"/>
        <v>Senecio</v>
      </c>
      <c r="K581" s="76" t="str">
        <f t="shared" si="297"/>
        <v>burtoni</v>
      </c>
      <c r="L581" s="77">
        <f t="shared" si="297"/>
        <v>0</v>
      </c>
      <c r="M581" s="77">
        <f t="shared" si="297"/>
        <v>7</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18</v>
      </c>
      <c r="D582" s="74">
        <f t="shared" si="278"/>
        <v>17</v>
      </c>
      <c r="E582" s="75">
        <f t="shared" si="279"/>
        <v>29</v>
      </c>
      <c r="F582" s="79"/>
      <c r="G582" s="82"/>
      <c r="H582" s="68" t="str">
        <f t="shared" si="296"/>
        <v>Senbur0_20191118_17_00</v>
      </c>
      <c r="I582" s="69">
        <f t="shared" si="297"/>
        <v>1</v>
      </c>
      <c r="J582" s="76" t="str">
        <f t="shared" si="297"/>
        <v>Senecio</v>
      </c>
      <c r="K582" s="76" t="str">
        <f t="shared" si="297"/>
        <v>burtoni</v>
      </c>
      <c r="L582" s="77">
        <f t="shared" si="297"/>
        <v>0</v>
      </c>
      <c r="M582" s="77">
        <f t="shared" si="297"/>
        <v>7</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18</v>
      </c>
      <c r="D583" s="74">
        <f t="shared" si="278"/>
        <v>17</v>
      </c>
      <c r="E583" s="75">
        <f t="shared" si="279"/>
        <v>30</v>
      </c>
      <c r="F583" s="79"/>
      <c r="G583" s="82"/>
      <c r="H583" s="68" t="str">
        <f t="shared" si="296"/>
        <v>Senbur0_20191118_17_00</v>
      </c>
      <c r="I583" s="69">
        <f t="shared" si="297"/>
        <v>1</v>
      </c>
      <c r="J583" s="76" t="str">
        <f t="shared" si="297"/>
        <v>Senecio</v>
      </c>
      <c r="K583" s="76" t="str">
        <f t="shared" si="297"/>
        <v>burtoni</v>
      </c>
      <c r="L583" s="77">
        <f t="shared" si="297"/>
        <v>0</v>
      </c>
      <c r="M583" s="77">
        <f t="shared" si="297"/>
        <v>7</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18</v>
      </c>
      <c r="D584" s="74">
        <f t="shared" si="278"/>
        <v>17</v>
      </c>
      <c r="E584" s="75">
        <f t="shared" si="279"/>
        <v>31</v>
      </c>
      <c r="F584" s="79"/>
      <c r="G584" s="82"/>
      <c r="H584" s="68" t="str">
        <f t="shared" si="296"/>
        <v>Senbur0_20191118_17_00</v>
      </c>
      <c r="I584" s="69">
        <f t="shared" si="297"/>
        <v>1</v>
      </c>
      <c r="J584" s="76" t="str">
        <f t="shared" si="297"/>
        <v>Senecio</v>
      </c>
      <c r="K584" s="76" t="str">
        <f t="shared" si="297"/>
        <v>burtoni</v>
      </c>
      <c r="L584" s="77">
        <f t="shared" si="297"/>
        <v>0</v>
      </c>
      <c r="M584" s="77">
        <f t="shared" si="297"/>
        <v>7</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18</v>
      </c>
      <c r="D585" s="74">
        <f t="shared" si="278"/>
        <v>17</v>
      </c>
      <c r="E585" s="75">
        <f t="shared" si="279"/>
        <v>32</v>
      </c>
      <c r="F585" s="79"/>
      <c r="G585" s="82"/>
      <c r="H585" s="68" t="str">
        <f t="shared" si="296"/>
        <v>Senbur0_20191118_17_00</v>
      </c>
      <c r="I585" s="69">
        <f t="shared" si="297"/>
        <v>1</v>
      </c>
      <c r="J585" s="76" t="str">
        <f t="shared" si="297"/>
        <v>Senecio</v>
      </c>
      <c r="K585" s="76" t="str">
        <f t="shared" si="297"/>
        <v>burtoni</v>
      </c>
      <c r="L585" s="77">
        <f t="shared" si="297"/>
        <v>0</v>
      </c>
      <c r="M585" s="77">
        <f t="shared" si="297"/>
        <v>7</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18</v>
      </c>
      <c r="D586" s="74">
        <f t="shared" si="278"/>
        <v>17</v>
      </c>
      <c r="E586" s="75">
        <f t="shared" si="279"/>
        <v>33</v>
      </c>
      <c r="F586" s="79"/>
      <c r="G586" s="82"/>
      <c r="H586" s="68" t="str">
        <f t="shared" si="296"/>
        <v>Senbur0_20191118_17_00</v>
      </c>
      <c r="I586" s="69">
        <f t="shared" si="297"/>
        <v>1</v>
      </c>
      <c r="J586" s="76" t="str">
        <f t="shared" si="297"/>
        <v>Senecio</v>
      </c>
      <c r="K586" s="76" t="str">
        <f t="shared" si="297"/>
        <v>burtoni</v>
      </c>
      <c r="L586" s="77">
        <f t="shared" si="297"/>
        <v>0</v>
      </c>
      <c r="M586" s="77">
        <f t="shared" si="297"/>
        <v>7</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18</v>
      </c>
      <c r="D587" s="74">
        <f t="shared" si="278"/>
        <v>17</v>
      </c>
      <c r="E587" s="75">
        <f t="shared" si="279"/>
        <v>34</v>
      </c>
      <c r="F587" s="79"/>
      <c r="G587" s="82"/>
      <c r="H587" s="68" t="str">
        <f t="shared" si="296"/>
        <v>Senbur0_20191118_17_00</v>
      </c>
      <c r="I587" s="69">
        <f t="shared" si="297"/>
        <v>1</v>
      </c>
      <c r="J587" s="76" t="str">
        <f t="shared" si="297"/>
        <v>Senecio</v>
      </c>
      <c r="K587" s="76" t="str">
        <f t="shared" si="297"/>
        <v>burtoni</v>
      </c>
      <c r="L587" s="77">
        <f t="shared" si="297"/>
        <v>0</v>
      </c>
      <c r="M587" s="77">
        <f t="shared" si="297"/>
        <v>7</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18</v>
      </c>
      <c r="D588" s="74">
        <f t="shared" si="278"/>
        <v>17</v>
      </c>
      <c r="E588" s="75">
        <f t="shared" si="279"/>
        <v>35</v>
      </c>
      <c r="F588" s="79"/>
      <c r="G588" s="82"/>
      <c r="H588" s="68" t="str">
        <f t="shared" si="296"/>
        <v>Senbur0_20191118_17_00</v>
      </c>
      <c r="I588" s="69">
        <f t="shared" si="297"/>
        <v>1</v>
      </c>
      <c r="J588" s="76" t="str">
        <f t="shared" si="297"/>
        <v>Senecio</v>
      </c>
      <c r="K588" s="76" t="str">
        <f t="shared" si="297"/>
        <v>burtoni</v>
      </c>
      <c r="L588" s="77">
        <f t="shared" si="297"/>
        <v>0</v>
      </c>
      <c r="M588" s="77">
        <f t="shared" si="297"/>
        <v>7</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18</v>
      </c>
      <c r="D589" s="74">
        <f t="shared" si="278"/>
        <v>17</v>
      </c>
      <c r="E589" s="75">
        <f t="shared" si="279"/>
        <v>36</v>
      </c>
      <c r="F589" s="79"/>
      <c r="G589" s="82"/>
      <c r="H589" s="68" t="str">
        <f t="shared" si="296"/>
        <v>Senbur0_20191118_17_00</v>
      </c>
      <c r="I589" s="69">
        <f t="shared" si="297"/>
        <v>1</v>
      </c>
      <c r="J589" s="76" t="str">
        <f t="shared" si="297"/>
        <v>Senecio</v>
      </c>
      <c r="K589" s="76" t="str">
        <f t="shared" si="297"/>
        <v>burtoni</v>
      </c>
      <c r="L589" s="77">
        <f t="shared" si="297"/>
        <v>0</v>
      </c>
      <c r="M589" s="77">
        <f t="shared" si="297"/>
        <v>7</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18</v>
      </c>
      <c r="D590" s="74">
        <f t="shared" si="278"/>
        <v>17</v>
      </c>
      <c r="E590" s="75">
        <f t="shared" si="279"/>
        <v>37</v>
      </c>
      <c r="F590" s="79"/>
      <c r="G590" s="82"/>
      <c r="H590" s="68" t="str">
        <f t="shared" si="296"/>
        <v>Senbur0_20191118_17_00</v>
      </c>
      <c r="I590" s="69">
        <f t="shared" si="297"/>
        <v>1</v>
      </c>
      <c r="J590" s="76" t="str">
        <f t="shared" si="297"/>
        <v>Senecio</v>
      </c>
      <c r="K590" s="76" t="str">
        <f t="shared" si="297"/>
        <v>burtoni</v>
      </c>
      <c r="L590" s="77">
        <f t="shared" si="297"/>
        <v>0</v>
      </c>
      <c r="M590" s="77">
        <f t="shared" si="297"/>
        <v>7</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18</v>
      </c>
      <c r="D591" s="74">
        <f t="shared" si="278"/>
        <v>17</v>
      </c>
      <c r="E591" s="75">
        <f t="shared" si="279"/>
        <v>38</v>
      </c>
      <c r="F591" s="79"/>
      <c r="G591" s="82"/>
      <c r="H591" s="68" t="str">
        <f t="shared" si="296"/>
        <v>Senbur0_20191118_17_00</v>
      </c>
      <c r="I591" s="69">
        <f t="shared" si="297"/>
        <v>1</v>
      </c>
      <c r="J591" s="76" t="str">
        <f t="shared" si="297"/>
        <v>Senecio</v>
      </c>
      <c r="K591" s="76" t="str">
        <f t="shared" si="297"/>
        <v>burtoni</v>
      </c>
      <c r="L591" s="77">
        <f t="shared" si="297"/>
        <v>0</v>
      </c>
      <c r="M591" s="77">
        <f t="shared" si="297"/>
        <v>7</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18</v>
      </c>
      <c r="D592" s="74">
        <f t="shared" si="278"/>
        <v>17</v>
      </c>
      <c r="E592" s="75">
        <f t="shared" si="279"/>
        <v>39</v>
      </c>
      <c r="F592" s="79"/>
      <c r="G592" s="82"/>
      <c r="H592" s="68" t="str">
        <f t="shared" si="296"/>
        <v>Senbur0_20191118_17_00</v>
      </c>
      <c r="I592" s="69">
        <f t="shared" si="297"/>
        <v>1</v>
      </c>
      <c r="J592" s="76" t="str">
        <f t="shared" si="297"/>
        <v>Senecio</v>
      </c>
      <c r="K592" s="76" t="str">
        <f t="shared" si="297"/>
        <v>burtoni</v>
      </c>
      <c r="L592" s="77">
        <f t="shared" si="297"/>
        <v>0</v>
      </c>
      <c r="M592" s="77">
        <f t="shared" si="297"/>
        <v>7</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18</v>
      </c>
      <c r="D593" s="74">
        <f t="shared" si="278"/>
        <v>17</v>
      </c>
      <c r="E593" s="75">
        <f t="shared" si="279"/>
        <v>40</v>
      </c>
      <c r="F593" s="79"/>
      <c r="G593" s="82"/>
      <c r="H593" s="68" t="str">
        <f t="shared" si="296"/>
        <v>Senbur0_20191118_17_00</v>
      </c>
      <c r="I593" s="69">
        <f t="shared" si="297"/>
        <v>1</v>
      </c>
      <c r="J593" s="76" t="str">
        <f t="shared" si="297"/>
        <v>Senecio</v>
      </c>
      <c r="K593" s="76" t="str">
        <f t="shared" si="297"/>
        <v>burtoni</v>
      </c>
      <c r="L593" s="77">
        <f t="shared" si="297"/>
        <v>0</v>
      </c>
      <c r="M593" s="77">
        <f t="shared" si="297"/>
        <v>7</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18</v>
      </c>
      <c r="D594" s="74">
        <f t="shared" si="278"/>
        <v>17</v>
      </c>
      <c r="E594" s="75">
        <f t="shared" si="279"/>
        <v>41</v>
      </c>
      <c r="F594" s="79"/>
      <c r="G594" s="82"/>
      <c r="H594" s="68" t="str">
        <f t="shared" si="296"/>
        <v>Senbur0_20191118_17_00</v>
      </c>
      <c r="I594" s="69">
        <f t="shared" si="297"/>
        <v>1</v>
      </c>
      <c r="J594" s="76" t="str">
        <f t="shared" si="297"/>
        <v>Senecio</v>
      </c>
      <c r="K594" s="76" t="str">
        <f t="shared" si="297"/>
        <v>burtoni</v>
      </c>
      <c r="L594" s="77">
        <f t="shared" si="297"/>
        <v>0</v>
      </c>
      <c r="M594" s="77">
        <f t="shared" si="297"/>
        <v>7</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18</v>
      </c>
      <c r="D595" s="74">
        <f t="shared" si="278"/>
        <v>17</v>
      </c>
      <c r="E595" s="75">
        <f t="shared" si="279"/>
        <v>42</v>
      </c>
      <c r="F595" s="79"/>
      <c r="G595" s="82"/>
      <c r="H595" s="68" t="str">
        <f t="shared" si="296"/>
        <v>Senbur0_20191118_17_00</v>
      </c>
      <c r="I595" s="69">
        <f t="shared" si="297"/>
        <v>1</v>
      </c>
      <c r="J595" s="76" t="str">
        <f t="shared" si="297"/>
        <v>Senecio</v>
      </c>
      <c r="K595" s="76" t="str">
        <f t="shared" si="297"/>
        <v>burtoni</v>
      </c>
      <c r="L595" s="77">
        <f t="shared" si="297"/>
        <v>0</v>
      </c>
      <c r="M595" s="77">
        <f t="shared" si="297"/>
        <v>7</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18</v>
      </c>
      <c r="D596" s="74">
        <f t="shared" si="278"/>
        <v>17</v>
      </c>
      <c r="E596" s="75">
        <f t="shared" si="279"/>
        <v>43</v>
      </c>
      <c r="F596" s="79"/>
      <c r="G596" s="82"/>
      <c r="H596" s="68" t="str">
        <f t="shared" si="296"/>
        <v>Senbur0_20191118_17_00</v>
      </c>
      <c r="I596" s="69">
        <f t="shared" si="297"/>
        <v>1</v>
      </c>
      <c r="J596" s="76" t="str">
        <f t="shared" si="297"/>
        <v>Senecio</v>
      </c>
      <c r="K596" s="76" t="str">
        <f t="shared" si="297"/>
        <v>burtoni</v>
      </c>
      <c r="L596" s="77">
        <f t="shared" si="297"/>
        <v>0</v>
      </c>
      <c r="M596" s="77">
        <f t="shared" si="297"/>
        <v>7</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18</v>
      </c>
      <c r="D597" s="74">
        <f t="shared" si="278"/>
        <v>17</v>
      </c>
      <c r="E597" s="75">
        <f t="shared" si="279"/>
        <v>44</v>
      </c>
      <c r="F597" s="79"/>
      <c r="G597" s="82"/>
      <c r="H597" s="68" t="str">
        <f t="shared" si="296"/>
        <v>Senbur0_20191118_17_00</v>
      </c>
      <c r="I597" s="69">
        <f t="shared" ref="I597:N612" si="298">I596</f>
        <v>1</v>
      </c>
      <c r="J597" s="76" t="str">
        <f t="shared" si="298"/>
        <v>Senecio</v>
      </c>
      <c r="K597" s="76" t="str">
        <f t="shared" si="298"/>
        <v>burtoni</v>
      </c>
      <c r="L597" s="77">
        <f t="shared" si="298"/>
        <v>0</v>
      </c>
      <c r="M597" s="77">
        <f t="shared" si="298"/>
        <v>7</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18</v>
      </c>
      <c r="D598" s="74">
        <f t="shared" si="278"/>
        <v>17</v>
      </c>
      <c r="E598" s="75">
        <f t="shared" si="279"/>
        <v>45</v>
      </c>
      <c r="F598" s="79"/>
      <c r="G598" s="82"/>
      <c r="H598" s="68" t="str">
        <f t="shared" si="296"/>
        <v>Senbur0_20191118_17_00</v>
      </c>
      <c r="I598" s="69">
        <f t="shared" si="298"/>
        <v>1</v>
      </c>
      <c r="J598" s="76" t="str">
        <f t="shared" si="298"/>
        <v>Senecio</v>
      </c>
      <c r="K598" s="76" t="str">
        <f t="shared" si="298"/>
        <v>burtoni</v>
      </c>
      <c r="L598" s="77">
        <f t="shared" si="298"/>
        <v>0</v>
      </c>
      <c r="M598" s="77">
        <f t="shared" si="298"/>
        <v>7</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18</v>
      </c>
      <c r="D599" s="74">
        <f t="shared" si="278"/>
        <v>17</v>
      </c>
      <c r="E599" s="75">
        <f t="shared" si="279"/>
        <v>46</v>
      </c>
      <c r="F599" s="79"/>
      <c r="G599" s="82"/>
      <c r="H599" s="68" t="str">
        <f t="shared" si="296"/>
        <v>Senbur0_20191118_17_00</v>
      </c>
      <c r="I599" s="69">
        <f t="shared" si="298"/>
        <v>1</v>
      </c>
      <c r="J599" s="76" t="str">
        <f t="shared" si="298"/>
        <v>Senecio</v>
      </c>
      <c r="K599" s="76" t="str">
        <f t="shared" si="298"/>
        <v>burtoni</v>
      </c>
      <c r="L599" s="77">
        <f t="shared" si="298"/>
        <v>0</v>
      </c>
      <c r="M599" s="77">
        <f t="shared" si="298"/>
        <v>7</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18</v>
      </c>
      <c r="D600" s="74">
        <f t="shared" si="278"/>
        <v>17</v>
      </c>
      <c r="E600" s="75">
        <f t="shared" si="279"/>
        <v>47</v>
      </c>
      <c r="F600" s="79"/>
      <c r="G600" s="82"/>
      <c r="H600" s="68" t="str">
        <f t="shared" si="296"/>
        <v>Senbur0_20191118_17_00</v>
      </c>
      <c r="I600" s="69">
        <f t="shared" si="298"/>
        <v>1</v>
      </c>
      <c r="J600" s="76" t="str">
        <f t="shared" si="298"/>
        <v>Senecio</v>
      </c>
      <c r="K600" s="76" t="str">
        <f t="shared" si="298"/>
        <v>burtoni</v>
      </c>
      <c r="L600" s="77">
        <f t="shared" si="298"/>
        <v>0</v>
      </c>
      <c r="M600" s="77">
        <f t="shared" si="298"/>
        <v>7</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18</v>
      </c>
      <c r="D601" s="74">
        <f t="shared" si="278"/>
        <v>17</v>
      </c>
      <c r="E601" s="75">
        <f t="shared" si="279"/>
        <v>48</v>
      </c>
      <c r="F601" s="79"/>
      <c r="G601" s="82"/>
      <c r="H601" s="68" t="str">
        <f t="shared" si="296"/>
        <v>Senbur0_20191118_17_00</v>
      </c>
      <c r="I601" s="69">
        <f t="shared" si="298"/>
        <v>1</v>
      </c>
      <c r="J601" s="76" t="str">
        <f t="shared" si="298"/>
        <v>Senecio</v>
      </c>
      <c r="K601" s="76" t="str">
        <f t="shared" si="298"/>
        <v>burtoni</v>
      </c>
      <c r="L601" s="77">
        <f t="shared" si="298"/>
        <v>0</v>
      </c>
      <c r="M601" s="77">
        <f t="shared" si="298"/>
        <v>7</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18</v>
      </c>
      <c r="D602" s="74">
        <f t="shared" si="278"/>
        <v>17</v>
      </c>
      <c r="E602" s="75">
        <f t="shared" si="279"/>
        <v>49</v>
      </c>
      <c r="F602" s="79"/>
      <c r="G602" s="82"/>
      <c r="H602" s="68" t="str">
        <f t="shared" si="296"/>
        <v>Senbur0_20191118_17_00</v>
      </c>
      <c r="I602" s="69">
        <f t="shared" si="298"/>
        <v>1</v>
      </c>
      <c r="J602" s="76" t="str">
        <f t="shared" si="298"/>
        <v>Senecio</v>
      </c>
      <c r="K602" s="76" t="str">
        <f t="shared" si="298"/>
        <v>burtoni</v>
      </c>
      <c r="L602" s="77">
        <f t="shared" si="298"/>
        <v>0</v>
      </c>
      <c r="M602" s="77">
        <f t="shared" si="298"/>
        <v>7</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18</v>
      </c>
      <c r="D603" s="74">
        <f t="shared" si="278"/>
        <v>17</v>
      </c>
      <c r="E603" s="75">
        <f t="shared" si="279"/>
        <v>50</v>
      </c>
      <c r="F603" s="79"/>
      <c r="G603" s="82"/>
      <c r="H603" s="68" t="str">
        <f t="shared" si="296"/>
        <v>Senbur0_20191118_17_00</v>
      </c>
      <c r="I603" s="69">
        <f t="shared" si="298"/>
        <v>1</v>
      </c>
      <c r="J603" s="76" t="str">
        <f t="shared" si="298"/>
        <v>Senecio</v>
      </c>
      <c r="K603" s="76" t="str">
        <f t="shared" si="298"/>
        <v>burtoni</v>
      </c>
      <c r="L603" s="77">
        <f t="shared" si="298"/>
        <v>0</v>
      </c>
      <c r="M603" s="77">
        <f t="shared" si="298"/>
        <v>7</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18</v>
      </c>
      <c r="D604" s="74">
        <f t="shared" si="278"/>
        <v>17</v>
      </c>
      <c r="E604" s="75">
        <f t="shared" si="279"/>
        <v>51</v>
      </c>
      <c r="F604" s="79"/>
      <c r="G604" s="82"/>
      <c r="H604" s="68" t="str">
        <f t="shared" si="296"/>
        <v>Senbur0_20191118_17_00</v>
      </c>
      <c r="I604" s="69">
        <f t="shared" si="298"/>
        <v>1</v>
      </c>
      <c r="J604" s="76" t="str">
        <f t="shared" si="298"/>
        <v>Senecio</v>
      </c>
      <c r="K604" s="76" t="str">
        <f t="shared" si="298"/>
        <v>burtoni</v>
      </c>
      <c r="L604" s="77">
        <f t="shared" si="298"/>
        <v>0</v>
      </c>
      <c r="M604" s="77">
        <f t="shared" si="298"/>
        <v>7</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18</v>
      </c>
      <c r="D605" s="74">
        <f t="shared" si="278"/>
        <v>17</v>
      </c>
      <c r="E605" s="75">
        <f t="shared" si="279"/>
        <v>52</v>
      </c>
      <c r="F605" s="79"/>
      <c r="G605" s="82"/>
      <c r="H605" s="68" t="str">
        <f t="shared" si="296"/>
        <v>Senbur0_20191118_17_00</v>
      </c>
      <c r="I605" s="69">
        <f t="shared" si="298"/>
        <v>1</v>
      </c>
      <c r="J605" s="76" t="str">
        <f t="shared" si="298"/>
        <v>Senecio</v>
      </c>
      <c r="K605" s="76" t="str">
        <f t="shared" si="298"/>
        <v>burtoni</v>
      </c>
      <c r="L605" s="77">
        <f t="shared" si="298"/>
        <v>0</v>
      </c>
      <c r="M605" s="77">
        <f t="shared" si="298"/>
        <v>7</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18</v>
      </c>
      <c r="D606" s="74">
        <f t="shared" si="278"/>
        <v>17</v>
      </c>
      <c r="E606" s="75">
        <f t="shared" si="279"/>
        <v>53</v>
      </c>
      <c r="F606" s="79"/>
      <c r="G606" s="82"/>
      <c r="H606" s="68" t="str">
        <f t="shared" si="296"/>
        <v>Senbur0_20191118_17_00</v>
      </c>
      <c r="I606" s="69">
        <f t="shared" si="298"/>
        <v>1</v>
      </c>
      <c r="J606" s="76" t="str">
        <f t="shared" si="298"/>
        <v>Senecio</v>
      </c>
      <c r="K606" s="76" t="str">
        <f t="shared" si="298"/>
        <v>burtoni</v>
      </c>
      <c r="L606" s="77">
        <f t="shared" si="298"/>
        <v>0</v>
      </c>
      <c r="M606" s="77">
        <f t="shared" si="298"/>
        <v>7</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18</v>
      </c>
      <c r="D607" s="74">
        <f t="shared" si="278"/>
        <v>17</v>
      </c>
      <c r="E607" s="75">
        <f t="shared" si="279"/>
        <v>54</v>
      </c>
      <c r="F607" s="79"/>
      <c r="G607" s="82"/>
      <c r="H607" s="68" t="str">
        <f t="shared" si="296"/>
        <v>Senbur0_20191118_17_00</v>
      </c>
      <c r="I607" s="69">
        <f t="shared" si="298"/>
        <v>1</v>
      </c>
      <c r="J607" s="76" t="str">
        <f t="shared" si="298"/>
        <v>Senecio</v>
      </c>
      <c r="K607" s="76" t="str">
        <f t="shared" si="298"/>
        <v>burtoni</v>
      </c>
      <c r="L607" s="77">
        <f t="shared" si="298"/>
        <v>0</v>
      </c>
      <c r="M607" s="77">
        <f t="shared" si="298"/>
        <v>7</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18</v>
      </c>
      <c r="D608" s="74">
        <f t="shared" si="278"/>
        <v>17</v>
      </c>
      <c r="E608" s="75">
        <f t="shared" si="279"/>
        <v>55</v>
      </c>
      <c r="F608" s="79"/>
      <c r="G608" s="82"/>
      <c r="H608" s="68" t="str">
        <f t="shared" si="296"/>
        <v>Senbur0_20191118_17_00</v>
      </c>
      <c r="I608" s="69">
        <f t="shared" si="298"/>
        <v>1</v>
      </c>
      <c r="J608" s="76" t="str">
        <f t="shared" si="298"/>
        <v>Senecio</v>
      </c>
      <c r="K608" s="76" t="str">
        <f t="shared" si="298"/>
        <v>burtoni</v>
      </c>
      <c r="L608" s="77">
        <f t="shared" si="298"/>
        <v>0</v>
      </c>
      <c r="M608" s="77">
        <f t="shared" si="298"/>
        <v>7</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18</v>
      </c>
      <c r="D609" s="74">
        <f t="shared" si="278"/>
        <v>17</v>
      </c>
      <c r="E609" s="75">
        <f t="shared" si="279"/>
        <v>56</v>
      </c>
      <c r="F609" s="79"/>
      <c r="G609" s="82"/>
      <c r="H609" s="68" t="str">
        <f t="shared" si="296"/>
        <v>Senbur0_20191118_17_00</v>
      </c>
      <c r="I609" s="69">
        <f t="shared" si="298"/>
        <v>1</v>
      </c>
      <c r="J609" s="76" t="str">
        <f t="shared" si="298"/>
        <v>Senecio</v>
      </c>
      <c r="K609" s="76" t="str">
        <f t="shared" si="298"/>
        <v>burtoni</v>
      </c>
      <c r="L609" s="77">
        <f t="shared" si="298"/>
        <v>0</v>
      </c>
      <c r="M609" s="77">
        <f t="shared" si="298"/>
        <v>7</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18</v>
      </c>
      <c r="D610" s="74">
        <f t="shared" si="278"/>
        <v>17</v>
      </c>
      <c r="E610" s="75">
        <f t="shared" si="279"/>
        <v>57</v>
      </c>
      <c r="F610" s="79"/>
      <c r="G610" s="82"/>
      <c r="H610" s="68" t="str">
        <f t="shared" si="296"/>
        <v>Senbur0_20191118_17_00</v>
      </c>
      <c r="I610" s="69">
        <f t="shared" si="298"/>
        <v>1</v>
      </c>
      <c r="J610" s="76" t="str">
        <f t="shared" si="298"/>
        <v>Senecio</v>
      </c>
      <c r="K610" s="76" t="str">
        <f t="shared" si="298"/>
        <v>burtoni</v>
      </c>
      <c r="L610" s="77">
        <f t="shared" si="298"/>
        <v>0</v>
      </c>
      <c r="M610" s="77">
        <f t="shared" si="298"/>
        <v>7</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18</v>
      </c>
      <c r="D611" s="74">
        <f t="shared" si="278"/>
        <v>17</v>
      </c>
      <c r="E611" s="75">
        <f t="shared" si="279"/>
        <v>58</v>
      </c>
      <c r="F611" s="79"/>
      <c r="G611" s="82"/>
      <c r="H611" s="68" t="str">
        <f t="shared" si="296"/>
        <v>Senbur0_20191118_17_00</v>
      </c>
      <c r="I611" s="69">
        <f t="shared" si="298"/>
        <v>1</v>
      </c>
      <c r="J611" s="76" t="str">
        <f t="shared" si="298"/>
        <v>Senecio</v>
      </c>
      <c r="K611" s="76" t="str">
        <f t="shared" si="298"/>
        <v>burtoni</v>
      </c>
      <c r="L611" s="77">
        <f t="shared" si="298"/>
        <v>0</v>
      </c>
      <c r="M611" s="77">
        <f t="shared" si="298"/>
        <v>7</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18</v>
      </c>
      <c r="D612" s="74">
        <f t="shared" si="278"/>
        <v>17</v>
      </c>
      <c r="E612" s="75">
        <f t="shared" si="279"/>
        <v>59</v>
      </c>
      <c r="F612" s="79"/>
      <c r="G612" s="82"/>
      <c r="H612" s="68" t="str">
        <f t="shared" si="296"/>
        <v>Senbur0_20191118_17_00</v>
      </c>
      <c r="I612" s="69">
        <f t="shared" si="298"/>
        <v>1</v>
      </c>
      <c r="J612" s="76" t="str">
        <f t="shared" si="298"/>
        <v>Senecio</v>
      </c>
      <c r="K612" s="76" t="str">
        <f t="shared" si="298"/>
        <v>burtoni</v>
      </c>
      <c r="L612" s="77">
        <f t="shared" si="298"/>
        <v>0</v>
      </c>
      <c r="M612" s="77">
        <f t="shared" si="298"/>
        <v>7</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18</v>
      </c>
      <c r="D613" s="74">
        <f t="shared" si="278"/>
        <v>18</v>
      </c>
      <c r="E613" s="75">
        <f t="shared" si="279"/>
        <v>0</v>
      </c>
      <c r="F613" s="79"/>
      <c r="G613" s="82"/>
      <c r="H613" s="68" t="str">
        <f t="shared" si="296"/>
        <v>Senbur0_20191118_18_00</v>
      </c>
      <c r="I613" s="69">
        <f t="shared" ref="I613:N628" si="299">I612</f>
        <v>1</v>
      </c>
      <c r="J613" s="76" t="str">
        <f t="shared" si="299"/>
        <v>Senecio</v>
      </c>
      <c r="K613" s="76" t="str">
        <f t="shared" si="299"/>
        <v>burtoni</v>
      </c>
      <c r="L613" s="77">
        <f t="shared" si="299"/>
        <v>0</v>
      </c>
      <c r="M613" s="77">
        <f t="shared" si="299"/>
        <v>7</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18</v>
      </c>
      <c r="D614" s="74">
        <f t="shared" si="278"/>
        <v>18</v>
      </c>
      <c r="E614" s="75">
        <f t="shared" si="279"/>
        <v>1</v>
      </c>
      <c r="F614" s="79"/>
      <c r="G614" s="82"/>
      <c r="H614" s="68" t="str">
        <f t="shared" si="296"/>
        <v>Senbur0_20191118_18_00</v>
      </c>
      <c r="I614" s="69">
        <f t="shared" si="299"/>
        <v>1</v>
      </c>
      <c r="J614" s="76" t="str">
        <f t="shared" si="299"/>
        <v>Senecio</v>
      </c>
      <c r="K614" s="76" t="str">
        <f t="shared" si="299"/>
        <v>burtoni</v>
      </c>
      <c r="L614" s="77">
        <f t="shared" si="299"/>
        <v>0</v>
      </c>
      <c r="M614" s="77">
        <f t="shared" si="299"/>
        <v>7</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18</v>
      </c>
      <c r="D615" s="74">
        <f t="shared" si="278"/>
        <v>18</v>
      </c>
      <c r="E615" s="75">
        <f t="shared" si="279"/>
        <v>2</v>
      </c>
      <c r="F615" s="79"/>
      <c r="G615" s="82"/>
      <c r="H615" s="68" t="str">
        <f t="shared" si="296"/>
        <v>Senbur0_20191118_18_00</v>
      </c>
      <c r="I615" s="69">
        <f t="shared" si="299"/>
        <v>1</v>
      </c>
      <c r="J615" s="76" t="str">
        <f t="shared" si="299"/>
        <v>Senecio</v>
      </c>
      <c r="K615" s="76" t="str">
        <f t="shared" si="299"/>
        <v>burtoni</v>
      </c>
      <c r="L615" s="77">
        <f t="shared" si="299"/>
        <v>0</v>
      </c>
      <c r="M615" s="77">
        <f t="shared" si="299"/>
        <v>7</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18</v>
      </c>
      <c r="D616" s="74">
        <f t="shared" si="278"/>
        <v>18</v>
      </c>
      <c r="E616" s="75">
        <f t="shared" si="279"/>
        <v>3</v>
      </c>
      <c r="F616" s="79"/>
      <c r="G616" s="82"/>
      <c r="H616" s="68" t="str">
        <f t="shared" si="296"/>
        <v>Senbur0_20191118_18_00</v>
      </c>
      <c r="I616" s="69">
        <f t="shared" si="299"/>
        <v>1</v>
      </c>
      <c r="J616" s="76" t="str">
        <f t="shared" si="299"/>
        <v>Senecio</v>
      </c>
      <c r="K616" s="76" t="str">
        <f t="shared" si="299"/>
        <v>burtoni</v>
      </c>
      <c r="L616" s="77">
        <f t="shared" si="299"/>
        <v>0</v>
      </c>
      <c r="M616" s="77">
        <f t="shared" si="299"/>
        <v>7</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18</v>
      </c>
      <c r="D617" s="74">
        <f t="shared" si="278"/>
        <v>18</v>
      </c>
      <c r="E617" s="75">
        <f t="shared" si="279"/>
        <v>4</v>
      </c>
      <c r="F617" s="79"/>
      <c r="G617" s="82"/>
      <c r="H617" s="68" t="str">
        <f t="shared" si="296"/>
        <v>Senbur0_20191118_18_00</v>
      </c>
      <c r="I617" s="69">
        <f t="shared" si="299"/>
        <v>1</v>
      </c>
      <c r="J617" s="76" t="str">
        <f t="shared" si="299"/>
        <v>Senecio</v>
      </c>
      <c r="K617" s="76" t="str">
        <f t="shared" si="299"/>
        <v>burtoni</v>
      </c>
      <c r="L617" s="77">
        <f t="shared" si="299"/>
        <v>0</v>
      </c>
      <c r="M617" s="77">
        <f t="shared" si="299"/>
        <v>7</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18</v>
      </c>
      <c r="D618" s="74">
        <f t="shared" si="278"/>
        <v>18</v>
      </c>
      <c r="E618" s="75">
        <f t="shared" si="279"/>
        <v>5</v>
      </c>
      <c r="F618" s="79"/>
      <c r="G618" s="82"/>
      <c r="H618" s="68" t="str">
        <f t="shared" si="296"/>
        <v>Senbur0_20191118_18_00</v>
      </c>
      <c r="I618" s="69">
        <f t="shared" si="299"/>
        <v>1</v>
      </c>
      <c r="J618" s="76" t="str">
        <f t="shared" si="299"/>
        <v>Senecio</v>
      </c>
      <c r="K618" s="76" t="str">
        <f t="shared" si="299"/>
        <v>burtoni</v>
      </c>
      <c r="L618" s="77">
        <f t="shared" si="299"/>
        <v>0</v>
      </c>
      <c r="M618" s="77">
        <f t="shared" si="299"/>
        <v>7</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18</v>
      </c>
      <c r="D619" s="74">
        <f t="shared" si="278"/>
        <v>18</v>
      </c>
      <c r="E619" s="75">
        <f t="shared" si="279"/>
        <v>6</v>
      </c>
      <c r="F619" s="79"/>
      <c r="G619" s="82"/>
      <c r="H619" s="68" t="str">
        <f t="shared" si="296"/>
        <v>Senbur0_20191118_18_00</v>
      </c>
      <c r="I619" s="69">
        <f t="shared" si="299"/>
        <v>1</v>
      </c>
      <c r="J619" s="76" t="str">
        <f t="shared" si="299"/>
        <v>Senecio</v>
      </c>
      <c r="K619" s="76" t="str">
        <f t="shared" si="299"/>
        <v>burtoni</v>
      </c>
      <c r="L619" s="77">
        <f t="shared" si="299"/>
        <v>0</v>
      </c>
      <c r="M619" s="77">
        <f t="shared" si="299"/>
        <v>7</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18</v>
      </c>
      <c r="D620" s="74">
        <f t="shared" si="278"/>
        <v>18</v>
      </c>
      <c r="E620" s="75">
        <f t="shared" si="279"/>
        <v>7</v>
      </c>
      <c r="F620" s="79"/>
      <c r="G620" s="82"/>
      <c r="H620" s="68" t="str">
        <f t="shared" si="296"/>
        <v>Senbur0_20191118_18_00</v>
      </c>
      <c r="I620" s="69">
        <f t="shared" si="299"/>
        <v>1</v>
      </c>
      <c r="J620" s="76" t="str">
        <f t="shared" si="299"/>
        <v>Senecio</v>
      </c>
      <c r="K620" s="76" t="str">
        <f t="shared" si="299"/>
        <v>burtoni</v>
      </c>
      <c r="L620" s="77">
        <f t="shared" si="299"/>
        <v>0</v>
      </c>
      <c r="M620" s="77">
        <f t="shared" si="299"/>
        <v>7</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18</v>
      </c>
      <c r="D621" s="74">
        <f t="shared" si="278"/>
        <v>18</v>
      </c>
      <c r="E621" s="75">
        <f t="shared" si="279"/>
        <v>8</v>
      </c>
      <c r="F621" s="79"/>
      <c r="G621" s="82"/>
      <c r="H621" s="68" t="str">
        <f t="shared" si="296"/>
        <v>Senbur0_20191118_18_00</v>
      </c>
      <c r="I621" s="69">
        <f t="shared" si="299"/>
        <v>1</v>
      </c>
      <c r="J621" s="76" t="str">
        <f t="shared" si="299"/>
        <v>Senecio</v>
      </c>
      <c r="K621" s="76" t="str">
        <f t="shared" si="299"/>
        <v>burtoni</v>
      </c>
      <c r="L621" s="77">
        <f t="shared" si="299"/>
        <v>0</v>
      </c>
      <c r="M621" s="77">
        <f t="shared" si="299"/>
        <v>7</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18</v>
      </c>
      <c r="D622" s="74">
        <f t="shared" si="278"/>
        <v>18</v>
      </c>
      <c r="E622" s="75">
        <f t="shared" si="279"/>
        <v>9</v>
      </c>
      <c r="F622" s="79"/>
      <c r="G622" s="82"/>
      <c r="H622" s="68" t="str">
        <f t="shared" si="296"/>
        <v>Senbur0_20191118_18_00</v>
      </c>
      <c r="I622" s="69">
        <f t="shared" si="299"/>
        <v>1</v>
      </c>
      <c r="J622" s="76" t="str">
        <f t="shared" si="299"/>
        <v>Senecio</v>
      </c>
      <c r="K622" s="76" t="str">
        <f t="shared" si="299"/>
        <v>burtoni</v>
      </c>
      <c r="L622" s="77">
        <f t="shared" si="299"/>
        <v>0</v>
      </c>
      <c r="M622" s="77">
        <f t="shared" si="299"/>
        <v>7</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18</v>
      </c>
      <c r="D623" s="74">
        <f t="shared" si="278"/>
        <v>18</v>
      </c>
      <c r="E623" s="75">
        <f t="shared" si="279"/>
        <v>10</v>
      </c>
      <c r="F623" s="79"/>
      <c r="G623" s="82"/>
      <c r="H623" s="68" t="str">
        <f t="shared" si="296"/>
        <v>Senbur0_20191118_18_00</v>
      </c>
      <c r="I623" s="69">
        <f t="shared" si="299"/>
        <v>1</v>
      </c>
      <c r="J623" s="76" t="str">
        <f t="shared" si="299"/>
        <v>Senecio</v>
      </c>
      <c r="K623" s="76" t="str">
        <f t="shared" si="299"/>
        <v>burtoni</v>
      </c>
      <c r="L623" s="77">
        <f t="shared" si="299"/>
        <v>0</v>
      </c>
      <c r="M623" s="77">
        <f t="shared" si="299"/>
        <v>7</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18</v>
      </c>
      <c r="D624" s="74">
        <f t="shared" si="278"/>
        <v>18</v>
      </c>
      <c r="E624" s="75">
        <f t="shared" si="279"/>
        <v>11</v>
      </c>
      <c r="F624" s="79"/>
      <c r="G624" s="82"/>
      <c r="H624" s="68" t="str">
        <f t="shared" si="296"/>
        <v>Senbur0_20191118_18_00</v>
      </c>
      <c r="I624" s="69">
        <f t="shared" si="299"/>
        <v>1</v>
      </c>
      <c r="J624" s="76" t="str">
        <f t="shared" si="299"/>
        <v>Senecio</v>
      </c>
      <c r="K624" s="76" t="str">
        <f t="shared" si="299"/>
        <v>burtoni</v>
      </c>
      <c r="L624" s="77">
        <f t="shared" si="299"/>
        <v>0</v>
      </c>
      <c r="M624" s="77">
        <f t="shared" si="299"/>
        <v>7</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18</v>
      </c>
      <c r="D625" s="74">
        <f t="shared" si="278"/>
        <v>18</v>
      </c>
      <c r="E625" s="75">
        <f t="shared" si="279"/>
        <v>12</v>
      </c>
      <c r="F625" s="79"/>
      <c r="G625" s="82"/>
      <c r="H625" s="68" t="str">
        <f t="shared" si="296"/>
        <v>Senbur0_20191118_18_00</v>
      </c>
      <c r="I625" s="69">
        <f t="shared" si="299"/>
        <v>1</v>
      </c>
      <c r="J625" s="76" t="str">
        <f t="shared" si="299"/>
        <v>Senecio</v>
      </c>
      <c r="K625" s="76" t="str">
        <f t="shared" si="299"/>
        <v>burtoni</v>
      </c>
      <c r="L625" s="77">
        <f t="shared" si="299"/>
        <v>0</v>
      </c>
      <c r="M625" s="77">
        <f t="shared" si="299"/>
        <v>7</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18</v>
      </c>
      <c r="D626" s="74">
        <f t="shared" si="278"/>
        <v>18</v>
      </c>
      <c r="E626" s="75">
        <f t="shared" si="279"/>
        <v>13</v>
      </c>
      <c r="F626" s="79"/>
      <c r="G626" s="82"/>
      <c r="H626" s="68" t="str">
        <f t="shared" si="296"/>
        <v>Senbur0_20191118_18_00</v>
      </c>
      <c r="I626" s="69">
        <f t="shared" si="299"/>
        <v>1</v>
      </c>
      <c r="J626" s="76" t="str">
        <f t="shared" si="299"/>
        <v>Senecio</v>
      </c>
      <c r="K626" s="76" t="str">
        <f t="shared" si="299"/>
        <v>burtoni</v>
      </c>
      <c r="L626" s="77">
        <f t="shared" si="299"/>
        <v>0</v>
      </c>
      <c r="M626" s="77">
        <f t="shared" si="299"/>
        <v>7</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18</v>
      </c>
      <c r="D627" s="74">
        <f t="shared" si="278"/>
        <v>18</v>
      </c>
      <c r="E627" s="75">
        <f t="shared" si="279"/>
        <v>14</v>
      </c>
      <c r="F627" s="79"/>
      <c r="G627" s="82"/>
      <c r="H627" s="68" t="str">
        <f t="shared" si="296"/>
        <v>Senbur0_20191118_18_00</v>
      </c>
      <c r="I627" s="69">
        <f t="shared" si="299"/>
        <v>1</v>
      </c>
      <c r="J627" s="76" t="str">
        <f t="shared" si="299"/>
        <v>Senecio</v>
      </c>
      <c r="K627" s="76" t="str">
        <f t="shared" si="299"/>
        <v>burtoni</v>
      </c>
      <c r="L627" s="77">
        <f t="shared" si="299"/>
        <v>0</v>
      </c>
      <c r="M627" s="77">
        <f t="shared" si="299"/>
        <v>7</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18</v>
      </c>
      <c r="D628" s="74">
        <f t="shared" si="278"/>
        <v>18</v>
      </c>
      <c r="E628" s="75">
        <f t="shared" si="279"/>
        <v>15</v>
      </c>
      <c r="F628" s="79"/>
      <c r="G628" s="82"/>
      <c r="H628" s="68" t="str">
        <f t="shared" si="296"/>
        <v>Senbur0_20191118_18_00</v>
      </c>
      <c r="I628" s="69">
        <f t="shared" si="299"/>
        <v>1</v>
      </c>
      <c r="J628" s="76" t="str">
        <f t="shared" si="299"/>
        <v>Senecio</v>
      </c>
      <c r="K628" s="76" t="str">
        <f t="shared" si="299"/>
        <v>burtoni</v>
      </c>
      <c r="L628" s="77">
        <f t="shared" si="299"/>
        <v>0</v>
      </c>
      <c r="M628" s="77">
        <f t="shared" si="299"/>
        <v>7</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18</v>
      </c>
      <c r="D629" s="74">
        <f t="shared" si="278"/>
        <v>18</v>
      </c>
      <c r="E629" s="75">
        <f t="shared" si="279"/>
        <v>16</v>
      </c>
      <c r="F629" s="79"/>
      <c r="G629" s="82"/>
      <c r="H629" s="68" t="str">
        <f t="shared" si="296"/>
        <v>Senbur0_20191118_18_00</v>
      </c>
      <c r="I629" s="69">
        <f t="shared" ref="I629:N644" si="300">I628</f>
        <v>1</v>
      </c>
      <c r="J629" s="76" t="str">
        <f t="shared" si="300"/>
        <v>Senecio</v>
      </c>
      <c r="K629" s="76" t="str">
        <f t="shared" si="300"/>
        <v>burtoni</v>
      </c>
      <c r="L629" s="77">
        <f t="shared" si="300"/>
        <v>0</v>
      </c>
      <c r="M629" s="77">
        <f t="shared" si="300"/>
        <v>7</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18</v>
      </c>
      <c r="D630" s="74">
        <f t="shared" si="278"/>
        <v>18</v>
      </c>
      <c r="E630" s="75">
        <f t="shared" si="279"/>
        <v>17</v>
      </c>
      <c r="F630" s="79"/>
      <c r="G630" s="82"/>
      <c r="H630" s="68" t="str">
        <f t="shared" si="296"/>
        <v>Senbur0_20191118_18_00</v>
      </c>
      <c r="I630" s="69">
        <f t="shared" si="300"/>
        <v>1</v>
      </c>
      <c r="J630" s="76" t="str">
        <f t="shared" si="300"/>
        <v>Senecio</v>
      </c>
      <c r="K630" s="76" t="str">
        <f t="shared" si="300"/>
        <v>burtoni</v>
      </c>
      <c r="L630" s="77">
        <f t="shared" si="300"/>
        <v>0</v>
      </c>
      <c r="M630" s="77">
        <f t="shared" si="300"/>
        <v>7</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18</v>
      </c>
      <c r="D631" s="74">
        <f t="shared" si="278"/>
        <v>18</v>
      </c>
      <c r="E631" s="75">
        <f t="shared" si="279"/>
        <v>18</v>
      </c>
      <c r="F631" s="79"/>
      <c r="G631" s="82"/>
      <c r="H631" s="68" t="str">
        <f t="shared" si="296"/>
        <v>Senbur0_20191118_18_00</v>
      </c>
      <c r="I631" s="69">
        <f t="shared" si="300"/>
        <v>1</v>
      </c>
      <c r="J631" s="76" t="str">
        <f t="shared" si="300"/>
        <v>Senecio</v>
      </c>
      <c r="K631" s="76" t="str">
        <f t="shared" si="300"/>
        <v>burtoni</v>
      </c>
      <c r="L631" s="77">
        <f t="shared" si="300"/>
        <v>0</v>
      </c>
      <c r="M631" s="77">
        <f t="shared" si="300"/>
        <v>7</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18</v>
      </c>
      <c r="D632" s="74">
        <f t="shared" si="278"/>
        <v>18</v>
      </c>
      <c r="E632" s="75">
        <f t="shared" si="279"/>
        <v>19</v>
      </c>
      <c r="F632" s="79"/>
      <c r="G632" s="82"/>
      <c r="H632" s="68" t="str">
        <f t="shared" si="296"/>
        <v>Senbur0_20191118_18_00</v>
      </c>
      <c r="I632" s="69">
        <f t="shared" si="300"/>
        <v>1</v>
      </c>
      <c r="J632" s="76" t="str">
        <f t="shared" si="300"/>
        <v>Senecio</v>
      </c>
      <c r="K632" s="76" t="str">
        <f t="shared" si="300"/>
        <v>burtoni</v>
      </c>
      <c r="L632" s="77">
        <f t="shared" si="300"/>
        <v>0</v>
      </c>
      <c r="M632" s="77">
        <f t="shared" si="300"/>
        <v>7</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18</v>
      </c>
      <c r="D633" s="74">
        <f t="shared" si="278"/>
        <v>18</v>
      </c>
      <c r="E633" s="75">
        <f t="shared" si="279"/>
        <v>20</v>
      </c>
      <c r="F633" s="79"/>
      <c r="G633" s="82"/>
      <c r="H633" s="68" t="str">
        <f t="shared" si="296"/>
        <v>Senbur0_20191118_18_00</v>
      </c>
      <c r="I633" s="69">
        <f t="shared" si="300"/>
        <v>1</v>
      </c>
      <c r="J633" s="76" t="str">
        <f t="shared" si="300"/>
        <v>Senecio</v>
      </c>
      <c r="K633" s="76" t="str">
        <f t="shared" si="300"/>
        <v>burtoni</v>
      </c>
      <c r="L633" s="77">
        <f t="shared" si="300"/>
        <v>0</v>
      </c>
      <c r="M633" s="77">
        <f t="shared" si="300"/>
        <v>7</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18</v>
      </c>
      <c r="D634" s="74">
        <f t="shared" si="278"/>
        <v>18</v>
      </c>
      <c r="E634" s="75">
        <f t="shared" si="279"/>
        <v>21</v>
      </c>
      <c r="F634" s="79"/>
      <c r="G634" s="82"/>
      <c r="H634" s="68" t="str">
        <f t="shared" si="296"/>
        <v>Senbur0_20191118_18_00</v>
      </c>
      <c r="I634" s="69">
        <f t="shared" si="300"/>
        <v>1</v>
      </c>
      <c r="J634" s="76" t="str">
        <f t="shared" si="300"/>
        <v>Senecio</v>
      </c>
      <c r="K634" s="76" t="str">
        <f t="shared" si="300"/>
        <v>burtoni</v>
      </c>
      <c r="L634" s="77">
        <f t="shared" si="300"/>
        <v>0</v>
      </c>
      <c r="M634" s="77">
        <f t="shared" si="300"/>
        <v>7</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18</v>
      </c>
      <c r="D635" s="74">
        <f t="shared" si="278"/>
        <v>18</v>
      </c>
      <c r="E635" s="75">
        <f t="shared" si="279"/>
        <v>22</v>
      </c>
      <c r="F635" s="79"/>
      <c r="G635" s="82"/>
      <c r="H635" s="68" t="str">
        <f t="shared" si="296"/>
        <v>Senbur0_20191118_18_00</v>
      </c>
      <c r="I635" s="69">
        <f t="shared" si="300"/>
        <v>1</v>
      </c>
      <c r="J635" s="76" t="str">
        <f t="shared" si="300"/>
        <v>Senecio</v>
      </c>
      <c r="K635" s="76" t="str">
        <f t="shared" si="300"/>
        <v>burtoni</v>
      </c>
      <c r="L635" s="77">
        <f t="shared" si="300"/>
        <v>0</v>
      </c>
      <c r="M635" s="77">
        <f t="shared" si="300"/>
        <v>7</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18</v>
      </c>
      <c r="D636" s="74">
        <f t="shared" si="278"/>
        <v>18</v>
      </c>
      <c r="E636" s="75">
        <f t="shared" si="279"/>
        <v>23</v>
      </c>
      <c r="F636" s="79"/>
      <c r="G636" s="82"/>
      <c r="H636" s="68" t="str">
        <f t="shared" si="296"/>
        <v>Senbur0_20191118_18_00</v>
      </c>
      <c r="I636" s="69">
        <f t="shared" si="300"/>
        <v>1</v>
      </c>
      <c r="J636" s="76" t="str">
        <f t="shared" si="300"/>
        <v>Senecio</v>
      </c>
      <c r="K636" s="76" t="str">
        <f t="shared" si="300"/>
        <v>burtoni</v>
      </c>
      <c r="L636" s="77">
        <f t="shared" si="300"/>
        <v>0</v>
      </c>
      <c r="M636" s="77">
        <f t="shared" si="300"/>
        <v>7</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18</v>
      </c>
      <c r="D637" s="74">
        <f t="shared" si="278"/>
        <v>18</v>
      </c>
      <c r="E637" s="75">
        <f t="shared" si="279"/>
        <v>24</v>
      </c>
      <c r="F637" s="79"/>
      <c r="G637" s="82"/>
      <c r="H637" s="68" t="str">
        <f t="shared" si="296"/>
        <v>Senbur0_20191118_18_00</v>
      </c>
      <c r="I637" s="69">
        <f t="shared" si="300"/>
        <v>1</v>
      </c>
      <c r="J637" s="76" t="str">
        <f t="shared" si="300"/>
        <v>Senecio</v>
      </c>
      <c r="K637" s="76" t="str">
        <f t="shared" si="300"/>
        <v>burtoni</v>
      </c>
      <c r="L637" s="77">
        <f t="shared" si="300"/>
        <v>0</v>
      </c>
      <c r="M637" s="77">
        <f t="shared" si="300"/>
        <v>7</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18</v>
      </c>
      <c r="D638" s="74">
        <f t="shared" si="278"/>
        <v>18</v>
      </c>
      <c r="E638" s="75">
        <f t="shared" si="279"/>
        <v>25</v>
      </c>
      <c r="F638" s="79"/>
      <c r="G638" s="82"/>
      <c r="H638" s="68" t="str">
        <f t="shared" si="296"/>
        <v>Senbur0_20191118_18_00</v>
      </c>
      <c r="I638" s="69">
        <f t="shared" si="300"/>
        <v>1</v>
      </c>
      <c r="J638" s="76" t="str">
        <f t="shared" si="300"/>
        <v>Senecio</v>
      </c>
      <c r="K638" s="76" t="str">
        <f t="shared" si="300"/>
        <v>burtoni</v>
      </c>
      <c r="L638" s="77">
        <f t="shared" si="300"/>
        <v>0</v>
      </c>
      <c r="M638" s="77">
        <f t="shared" si="300"/>
        <v>7</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18</v>
      </c>
      <c r="D639" s="74">
        <f t="shared" si="278"/>
        <v>18</v>
      </c>
      <c r="E639" s="75">
        <f t="shared" si="279"/>
        <v>26</v>
      </c>
      <c r="F639" s="79"/>
      <c r="G639" s="82"/>
      <c r="H639" s="68" t="str">
        <f t="shared" si="296"/>
        <v>Senbur0_20191118_18_00</v>
      </c>
      <c r="I639" s="69">
        <f t="shared" si="300"/>
        <v>1</v>
      </c>
      <c r="J639" s="76" t="str">
        <f t="shared" si="300"/>
        <v>Senecio</v>
      </c>
      <c r="K639" s="76" t="str">
        <f t="shared" si="300"/>
        <v>burtoni</v>
      </c>
      <c r="L639" s="77">
        <f t="shared" si="300"/>
        <v>0</v>
      </c>
      <c r="M639" s="77">
        <f t="shared" si="300"/>
        <v>7</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18</v>
      </c>
      <c r="D640" s="74">
        <f t="shared" si="278"/>
        <v>18</v>
      </c>
      <c r="E640" s="75">
        <f t="shared" si="279"/>
        <v>27</v>
      </c>
      <c r="F640" s="79"/>
      <c r="G640" s="82"/>
      <c r="H640" s="68" t="str">
        <f t="shared" si="296"/>
        <v>Senbur0_20191118_18_00</v>
      </c>
      <c r="I640" s="69">
        <f t="shared" si="300"/>
        <v>1</v>
      </c>
      <c r="J640" s="76" t="str">
        <f t="shared" si="300"/>
        <v>Senecio</v>
      </c>
      <c r="K640" s="76" t="str">
        <f t="shared" si="300"/>
        <v>burtoni</v>
      </c>
      <c r="L640" s="77">
        <f t="shared" si="300"/>
        <v>0</v>
      </c>
      <c r="M640" s="77">
        <f t="shared" si="300"/>
        <v>7</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18</v>
      </c>
      <c r="D641" s="74">
        <f t="shared" si="278"/>
        <v>18</v>
      </c>
      <c r="E641" s="75">
        <f t="shared" si="279"/>
        <v>28</v>
      </c>
      <c r="F641" s="79"/>
      <c r="G641" s="82"/>
      <c r="H641" s="68" t="str">
        <f t="shared" si="296"/>
        <v>Senbur0_20191118_18_00</v>
      </c>
      <c r="I641" s="69">
        <f t="shared" si="300"/>
        <v>1</v>
      </c>
      <c r="J641" s="76" t="str">
        <f t="shared" si="300"/>
        <v>Senecio</v>
      </c>
      <c r="K641" s="76" t="str">
        <f t="shared" si="300"/>
        <v>burtoni</v>
      </c>
      <c r="L641" s="77">
        <f t="shared" si="300"/>
        <v>0</v>
      </c>
      <c r="M641" s="77">
        <f t="shared" si="300"/>
        <v>7</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18</v>
      </c>
      <c r="D642" s="74">
        <f t="shared" si="278"/>
        <v>18</v>
      </c>
      <c r="E642" s="75">
        <f t="shared" si="279"/>
        <v>29</v>
      </c>
      <c r="F642" s="79"/>
      <c r="G642" s="82"/>
      <c r="H642" s="68" t="str">
        <f t="shared" si="296"/>
        <v>Senbur0_20191118_18_00</v>
      </c>
      <c r="I642" s="69">
        <f t="shared" si="300"/>
        <v>1</v>
      </c>
      <c r="J642" s="76" t="str">
        <f t="shared" si="300"/>
        <v>Senecio</v>
      </c>
      <c r="K642" s="76" t="str">
        <f t="shared" si="300"/>
        <v>burtoni</v>
      </c>
      <c r="L642" s="77">
        <f t="shared" si="300"/>
        <v>0</v>
      </c>
      <c r="M642" s="77">
        <f t="shared" si="300"/>
        <v>7</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18</v>
      </c>
      <c r="D643" s="74">
        <f t="shared" si="278"/>
        <v>18</v>
      </c>
      <c r="E643" s="75">
        <f t="shared" si="279"/>
        <v>30</v>
      </c>
      <c r="F643" s="79"/>
      <c r="G643" s="82"/>
      <c r="H643" s="68" t="str">
        <f t="shared" si="296"/>
        <v>Senbur0_20191118_18_00</v>
      </c>
      <c r="I643" s="69">
        <f t="shared" si="300"/>
        <v>1</v>
      </c>
      <c r="J643" s="76" t="str">
        <f t="shared" si="300"/>
        <v>Senecio</v>
      </c>
      <c r="K643" s="76" t="str">
        <f t="shared" si="300"/>
        <v>burtoni</v>
      </c>
      <c r="L643" s="77">
        <f t="shared" si="300"/>
        <v>0</v>
      </c>
      <c r="M643" s="77">
        <f t="shared" si="300"/>
        <v>7</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18</v>
      </c>
      <c r="D644" s="74">
        <f t="shared" ref="D644:D707" si="308">IF(IF(E643=59,D643+1,D643)=24,0,IF(E643=59,D643+1,D643))</f>
        <v>18</v>
      </c>
      <c r="E644" s="75">
        <f t="shared" ref="E644:E707" si="309">IF(E643&lt;59,E643+1,0)</f>
        <v>31</v>
      </c>
      <c r="F644" s="79"/>
      <c r="G644" s="82"/>
      <c r="H644" s="68" t="str">
        <f t="shared" si="296"/>
        <v>Senbur0_20191118_18_00</v>
      </c>
      <c r="I644" s="69">
        <f t="shared" si="300"/>
        <v>1</v>
      </c>
      <c r="J644" s="76" t="str">
        <f t="shared" si="300"/>
        <v>Senecio</v>
      </c>
      <c r="K644" s="76" t="str">
        <f t="shared" si="300"/>
        <v>burtoni</v>
      </c>
      <c r="L644" s="77">
        <f t="shared" si="300"/>
        <v>0</v>
      </c>
      <c r="M644" s="77">
        <f t="shared" si="300"/>
        <v>7</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18</v>
      </c>
      <c r="D645" s="74">
        <f t="shared" si="308"/>
        <v>18</v>
      </c>
      <c r="E645" s="75">
        <f t="shared" si="309"/>
        <v>32</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Senbur0_20191118_18_00</v>
      </c>
      <c r="I645" s="69">
        <f t="shared" ref="I645:N660" si="327">I644</f>
        <v>1</v>
      </c>
      <c r="J645" s="76" t="str">
        <f t="shared" si="327"/>
        <v>Senecio</v>
      </c>
      <c r="K645" s="76" t="str">
        <f t="shared" si="327"/>
        <v>burtoni</v>
      </c>
      <c r="L645" s="77">
        <f t="shared" si="327"/>
        <v>0</v>
      </c>
      <c r="M645" s="77">
        <f t="shared" si="327"/>
        <v>7</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18</v>
      </c>
      <c r="D646" s="74">
        <f t="shared" si="308"/>
        <v>18</v>
      </c>
      <c r="E646" s="75">
        <f t="shared" si="309"/>
        <v>33</v>
      </c>
      <c r="F646" s="79"/>
      <c r="G646" s="82"/>
      <c r="H646" s="68" t="str">
        <f t="shared" si="326"/>
        <v>Senbur0_20191118_18_00</v>
      </c>
      <c r="I646" s="69">
        <f t="shared" si="327"/>
        <v>1</v>
      </c>
      <c r="J646" s="76" t="str">
        <f t="shared" si="327"/>
        <v>Senecio</v>
      </c>
      <c r="K646" s="76" t="str">
        <f t="shared" si="327"/>
        <v>burtoni</v>
      </c>
      <c r="L646" s="77">
        <f t="shared" si="327"/>
        <v>0</v>
      </c>
      <c r="M646" s="77">
        <f t="shared" si="327"/>
        <v>7</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18</v>
      </c>
      <c r="D647" s="74">
        <f t="shared" si="308"/>
        <v>18</v>
      </c>
      <c r="E647" s="75">
        <f t="shared" si="309"/>
        <v>34</v>
      </c>
      <c r="F647" s="79"/>
      <c r="G647" s="82"/>
      <c r="H647" s="68" t="str">
        <f t="shared" si="326"/>
        <v>Senbur0_20191118_18_00</v>
      </c>
      <c r="I647" s="69">
        <f t="shared" si="327"/>
        <v>1</v>
      </c>
      <c r="J647" s="76" t="str">
        <f t="shared" si="327"/>
        <v>Senecio</v>
      </c>
      <c r="K647" s="76" t="str">
        <f t="shared" si="327"/>
        <v>burtoni</v>
      </c>
      <c r="L647" s="77">
        <f t="shared" si="327"/>
        <v>0</v>
      </c>
      <c r="M647" s="77">
        <f t="shared" si="327"/>
        <v>7</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18</v>
      </c>
      <c r="D648" s="74">
        <f t="shared" si="308"/>
        <v>18</v>
      </c>
      <c r="E648" s="75">
        <f t="shared" si="309"/>
        <v>35</v>
      </c>
      <c r="F648" s="79">
        <v>5</v>
      </c>
      <c r="G648" s="82"/>
      <c r="H648" s="68" t="str">
        <f t="shared" si="326"/>
        <v>Senbur0_20191118_18_00</v>
      </c>
      <c r="I648" s="69">
        <f t="shared" si="327"/>
        <v>1</v>
      </c>
      <c r="J648" s="76" t="str">
        <f t="shared" si="327"/>
        <v>Senecio</v>
      </c>
      <c r="K648" s="76" t="str">
        <f t="shared" si="327"/>
        <v>burtoni</v>
      </c>
      <c r="L648" s="77">
        <f t="shared" si="327"/>
        <v>0</v>
      </c>
      <c r="M648" s="77">
        <f t="shared" si="327"/>
        <v>7</v>
      </c>
      <c r="N648" s="71">
        <f t="shared" si="327"/>
        <v>0</v>
      </c>
      <c r="O648" s="44"/>
      <c r="P648" s="45">
        <f t="shared" si="310"/>
        <v>1</v>
      </c>
      <c r="Q648" s="46" t="str">
        <f t="shared" si="311"/>
        <v>18:35:05</v>
      </c>
      <c r="R648" s="47" t="str">
        <f t="shared" si="312"/>
        <v>35:05</v>
      </c>
      <c r="S648" s="48">
        <f t="shared" si="301"/>
        <v>4</v>
      </c>
      <c r="T648" s="47" t="str">
        <f t="shared" si="313"/>
        <v>18</v>
      </c>
      <c r="U648" s="49">
        <v>35</v>
      </c>
      <c r="V648" s="50">
        <v>9</v>
      </c>
      <c r="W648" s="51" t="str">
        <f t="shared" si="314"/>
        <v>35:09</v>
      </c>
      <c r="X648" s="52" t="s">
        <v>74</v>
      </c>
      <c r="Y648" s="124" t="s">
        <v>96</v>
      </c>
      <c r="Z648" s="124"/>
      <c r="AA648" s="47" t="s">
        <v>75</v>
      </c>
      <c r="AB648" s="47" t="str">
        <f t="shared" si="315"/>
        <v>NA</v>
      </c>
      <c r="AC648" s="53">
        <f t="shared" si="316"/>
        <v>0</v>
      </c>
      <c r="AD648" s="54">
        <f t="shared" si="317"/>
        <v>1</v>
      </c>
      <c r="AE648" s="54"/>
      <c r="AF648" s="54"/>
      <c r="AG648" s="55" t="str">
        <f t="shared" si="318"/>
        <v/>
      </c>
      <c r="AH648" s="56" t="str">
        <f t="shared" si="319"/>
        <v/>
      </c>
      <c r="AI648" s="55"/>
      <c r="AJ648" s="56" t="str">
        <f t="shared" si="320"/>
        <v/>
      </c>
      <c r="AK648" s="55"/>
      <c r="AL648" s="56" t="str">
        <f t="shared" si="321"/>
        <v/>
      </c>
      <c r="AM648" s="55">
        <v>1</v>
      </c>
      <c r="AN648" s="56">
        <f t="shared" si="322"/>
        <v>4</v>
      </c>
      <c r="AO648" s="55"/>
      <c r="AP648" s="56" t="str">
        <f t="shared" si="323"/>
        <v/>
      </c>
      <c r="AQ648" s="55"/>
      <c r="AR648" s="56" t="str">
        <f t="shared" si="324"/>
        <v/>
      </c>
      <c r="AS648" s="57"/>
      <c r="AT648" s="58"/>
      <c r="AU648" s="58"/>
      <c r="AV648" s="59"/>
      <c r="AW648" s="60">
        <v>1</v>
      </c>
      <c r="AX648" s="61">
        <f t="shared" si="303"/>
        <v>1</v>
      </c>
      <c r="AY648" s="60">
        <v>1</v>
      </c>
      <c r="AZ648" s="61">
        <f t="shared" si="305"/>
        <v>1</v>
      </c>
    </row>
    <row r="649" spans="1:52" s="3" customFormat="1" hidden="1" x14ac:dyDescent="0.35">
      <c r="A649" s="72">
        <f t="shared" si="306"/>
        <v>2019</v>
      </c>
      <c r="B649" s="72" t="str">
        <f t="shared" si="307"/>
        <v>Nov</v>
      </c>
      <c r="C649" s="73">
        <f t="shared" si="325"/>
        <v>18</v>
      </c>
      <c r="D649" s="74">
        <f t="shared" si="308"/>
        <v>18</v>
      </c>
      <c r="E649" s="75">
        <f t="shared" si="309"/>
        <v>36</v>
      </c>
      <c r="F649" s="79">
        <v>9</v>
      </c>
      <c r="G649" s="82"/>
      <c r="H649" s="68" t="str">
        <f t="shared" si="326"/>
        <v>Senbur0_20191118_18_00</v>
      </c>
      <c r="I649" s="69">
        <f t="shared" si="327"/>
        <v>1</v>
      </c>
      <c r="J649" s="76" t="str">
        <f t="shared" si="327"/>
        <v>Senecio</v>
      </c>
      <c r="K649" s="76" t="str">
        <f t="shared" si="327"/>
        <v>burtoni</v>
      </c>
      <c r="L649" s="77">
        <f t="shared" si="327"/>
        <v>0</v>
      </c>
      <c r="M649" s="77">
        <f t="shared" si="327"/>
        <v>7</v>
      </c>
      <c r="N649" s="71">
        <f t="shared" si="327"/>
        <v>0</v>
      </c>
      <c r="O649" s="44"/>
      <c r="P649" s="45">
        <f t="shared" si="310"/>
        <v>1</v>
      </c>
      <c r="Q649" s="46" t="str">
        <f t="shared" si="311"/>
        <v>18:36:09</v>
      </c>
      <c r="R649" s="47" t="str">
        <f t="shared" si="312"/>
        <v>36:09</v>
      </c>
      <c r="S649" s="48">
        <f t="shared" si="301"/>
        <v>13</v>
      </c>
      <c r="T649" s="47" t="str">
        <f t="shared" si="313"/>
        <v>18</v>
      </c>
      <c r="U649" s="49">
        <v>36</v>
      </c>
      <c r="V649" s="50">
        <v>22</v>
      </c>
      <c r="W649" s="51" t="str">
        <f t="shared" si="314"/>
        <v>36:22</v>
      </c>
      <c r="X649" s="52" t="s">
        <v>74</v>
      </c>
      <c r="Y649" s="124" t="s">
        <v>97</v>
      </c>
      <c r="Z649" s="124"/>
      <c r="AA649" s="47" t="s">
        <v>75</v>
      </c>
      <c r="AB649" s="47" t="str">
        <f t="shared" si="315"/>
        <v>NA</v>
      </c>
      <c r="AC649" s="53">
        <f t="shared" si="316"/>
        <v>0</v>
      </c>
      <c r="AD649" s="54">
        <f t="shared" si="317"/>
        <v>1</v>
      </c>
      <c r="AE649" s="54"/>
      <c r="AF649" s="54"/>
      <c r="AG649" s="55" t="str">
        <f t="shared" si="318"/>
        <v/>
      </c>
      <c r="AH649" s="56" t="str">
        <f t="shared" si="319"/>
        <v/>
      </c>
      <c r="AI649" s="55"/>
      <c r="AJ649" s="56" t="str">
        <f t="shared" si="320"/>
        <v/>
      </c>
      <c r="AK649" s="55"/>
      <c r="AL649" s="56" t="str">
        <f t="shared" si="321"/>
        <v/>
      </c>
      <c r="AM649" s="55">
        <v>1</v>
      </c>
      <c r="AN649" s="56">
        <f t="shared" si="322"/>
        <v>13</v>
      </c>
      <c r="AO649" s="55"/>
      <c r="AP649" s="56" t="str">
        <f t="shared" si="323"/>
        <v/>
      </c>
      <c r="AQ649" s="55"/>
      <c r="AR649" s="56" t="str">
        <f t="shared" si="324"/>
        <v/>
      </c>
      <c r="AS649" s="57"/>
      <c r="AT649" s="58"/>
      <c r="AU649" s="58"/>
      <c r="AV649" s="59"/>
      <c r="AW649" s="60">
        <v>1</v>
      </c>
      <c r="AX649" s="61">
        <f t="shared" si="303"/>
        <v>1</v>
      </c>
      <c r="AY649" s="60">
        <v>1</v>
      </c>
      <c r="AZ649" s="61">
        <f t="shared" si="305"/>
        <v>1</v>
      </c>
    </row>
    <row r="650" spans="1:52" s="3" customFormat="1" hidden="1" x14ac:dyDescent="0.35">
      <c r="A650" s="72">
        <f t="shared" si="306"/>
        <v>2019</v>
      </c>
      <c r="B650" s="72" t="str">
        <f t="shared" si="307"/>
        <v>Nov</v>
      </c>
      <c r="C650" s="73">
        <f t="shared" si="325"/>
        <v>18</v>
      </c>
      <c r="D650" s="74">
        <f t="shared" si="308"/>
        <v>18</v>
      </c>
      <c r="E650" s="75">
        <f t="shared" si="309"/>
        <v>37</v>
      </c>
      <c r="F650" s="79"/>
      <c r="G650" s="82"/>
      <c r="H650" s="68" t="str">
        <f t="shared" si="326"/>
        <v>Senbur0_20191118_18_00</v>
      </c>
      <c r="I650" s="69">
        <f t="shared" si="327"/>
        <v>1</v>
      </c>
      <c r="J650" s="76" t="str">
        <f t="shared" si="327"/>
        <v>Senecio</v>
      </c>
      <c r="K650" s="76" t="str">
        <f t="shared" si="327"/>
        <v>burtoni</v>
      </c>
      <c r="L650" s="77">
        <f t="shared" si="327"/>
        <v>0</v>
      </c>
      <c r="M650" s="77">
        <f t="shared" si="327"/>
        <v>7</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18</v>
      </c>
      <c r="D651" s="74">
        <f t="shared" si="308"/>
        <v>18</v>
      </c>
      <c r="E651" s="75">
        <f t="shared" si="309"/>
        <v>38</v>
      </c>
      <c r="F651" s="79">
        <v>33</v>
      </c>
      <c r="G651" s="82"/>
      <c r="H651" s="68" t="str">
        <f t="shared" si="326"/>
        <v>Senbur0_20191118_18_00</v>
      </c>
      <c r="I651" s="69">
        <f t="shared" si="327"/>
        <v>1</v>
      </c>
      <c r="J651" s="76" t="str">
        <f t="shared" si="327"/>
        <v>Senecio</v>
      </c>
      <c r="K651" s="76" t="str">
        <f t="shared" si="327"/>
        <v>burtoni</v>
      </c>
      <c r="L651" s="77">
        <f t="shared" si="327"/>
        <v>0</v>
      </c>
      <c r="M651" s="77">
        <f t="shared" si="327"/>
        <v>7</v>
      </c>
      <c r="N651" s="71">
        <f t="shared" si="327"/>
        <v>0</v>
      </c>
      <c r="O651" s="44"/>
      <c r="P651" s="45">
        <f t="shared" si="310"/>
        <v>1</v>
      </c>
      <c r="Q651" s="46" t="str">
        <f t="shared" si="311"/>
        <v>18:38:33</v>
      </c>
      <c r="R651" s="47" t="str">
        <f t="shared" si="312"/>
        <v>38:33</v>
      </c>
      <c r="S651" s="48">
        <f t="shared" si="301"/>
        <v>5</v>
      </c>
      <c r="T651" s="47" t="str">
        <f t="shared" si="313"/>
        <v>18</v>
      </c>
      <c r="U651" s="49">
        <v>38</v>
      </c>
      <c r="V651" s="50">
        <v>38</v>
      </c>
      <c r="W651" s="51" t="str">
        <f t="shared" si="314"/>
        <v>38:38</v>
      </c>
      <c r="X651" s="52" t="s">
        <v>74</v>
      </c>
      <c r="Y651" s="124" t="s">
        <v>98</v>
      </c>
      <c r="Z651" s="124"/>
      <c r="AA651" s="47" t="s">
        <v>75</v>
      </c>
      <c r="AB651" s="47" t="str">
        <f t="shared" si="315"/>
        <v>NA</v>
      </c>
      <c r="AC651" s="53">
        <f t="shared" si="316"/>
        <v>0</v>
      </c>
      <c r="AD651" s="54">
        <f t="shared" si="317"/>
        <v>1</v>
      </c>
      <c r="AE651" s="54"/>
      <c r="AF651" s="54"/>
      <c r="AG651" s="55" t="str">
        <f t="shared" si="318"/>
        <v/>
      </c>
      <c r="AH651" s="56" t="str">
        <f t="shared" si="319"/>
        <v/>
      </c>
      <c r="AI651" s="55"/>
      <c r="AJ651" s="56" t="str">
        <f t="shared" si="320"/>
        <v/>
      </c>
      <c r="AK651" s="55"/>
      <c r="AL651" s="56" t="str">
        <f t="shared" si="321"/>
        <v/>
      </c>
      <c r="AM651" s="55">
        <v>1</v>
      </c>
      <c r="AN651" s="56">
        <f t="shared" si="322"/>
        <v>5</v>
      </c>
      <c r="AO651" s="55"/>
      <c r="AP651" s="56" t="str">
        <f t="shared" si="323"/>
        <v/>
      </c>
      <c r="AQ651" s="55"/>
      <c r="AR651" s="56" t="str">
        <f t="shared" si="324"/>
        <v/>
      </c>
      <c r="AS651" s="57"/>
      <c r="AT651" s="58"/>
      <c r="AU651" s="58"/>
      <c r="AV651" s="59"/>
      <c r="AW651" s="60">
        <v>1</v>
      </c>
      <c r="AX651" s="61">
        <f t="shared" si="303"/>
        <v>1</v>
      </c>
      <c r="AY651" s="60">
        <v>1</v>
      </c>
      <c r="AZ651" s="61">
        <f t="shared" si="305"/>
        <v>1</v>
      </c>
    </row>
    <row r="652" spans="1:52" s="3" customFormat="1" hidden="1" x14ac:dyDescent="0.35">
      <c r="A652" s="72">
        <f t="shared" si="306"/>
        <v>2019</v>
      </c>
      <c r="B652" s="72" t="str">
        <f t="shared" si="307"/>
        <v>Nov</v>
      </c>
      <c r="C652" s="73">
        <f t="shared" si="325"/>
        <v>18</v>
      </c>
      <c r="D652" s="74">
        <f t="shared" si="308"/>
        <v>18</v>
      </c>
      <c r="E652" s="75">
        <f t="shared" si="309"/>
        <v>39</v>
      </c>
      <c r="F652" s="79"/>
      <c r="G652" s="82"/>
      <c r="H652" s="68" t="str">
        <f t="shared" si="326"/>
        <v>Senbur0_20191118_18_00</v>
      </c>
      <c r="I652" s="69">
        <f t="shared" si="327"/>
        <v>1</v>
      </c>
      <c r="J652" s="76" t="str">
        <f t="shared" si="327"/>
        <v>Senecio</v>
      </c>
      <c r="K652" s="76" t="str">
        <f t="shared" si="327"/>
        <v>burtoni</v>
      </c>
      <c r="L652" s="77">
        <f t="shared" si="327"/>
        <v>0</v>
      </c>
      <c r="M652" s="77">
        <f t="shared" si="327"/>
        <v>7</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18</v>
      </c>
      <c r="D653" s="74">
        <f t="shared" si="308"/>
        <v>18</v>
      </c>
      <c r="E653" s="75">
        <f t="shared" si="309"/>
        <v>40</v>
      </c>
      <c r="F653" s="79">
        <v>27</v>
      </c>
      <c r="G653" s="82"/>
      <c r="H653" s="68" t="str">
        <f t="shared" si="326"/>
        <v>Senbur0_20191118_18_00</v>
      </c>
      <c r="I653" s="69">
        <f t="shared" si="327"/>
        <v>1</v>
      </c>
      <c r="J653" s="76" t="str">
        <f t="shared" si="327"/>
        <v>Senecio</v>
      </c>
      <c r="K653" s="76" t="str">
        <f t="shared" si="327"/>
        <v>burtoni</v>
      </c>
      <c r="L653" s="77">
        <f t="shared" si="327"/>
        <v>0</v>
      </c>
      <c r="M653" s="77">
        <f t="shared" si="327"/>
        <v>7</v>
      </c>
      <c r="N653" s="71">
        <f t="shared" si="327"/>
        <v>0</v>
      </c>
      <c r="O653" s="44"/>
      <c r="P653" s="45">
        <f t="shared" si="310"/>
        <v>1</v>
      </c>
      <c r="Q653" s="46" t="str">
        <f t="shared" si="311"/>
        <v>18:40:27</v>
      </c>
      <c r="R653" s="47" t="str">
        <f t="shared" si="312"/>
        <v>40:27</v>
      </c>
      <c r="S653" s="48">
        <f t="shared" si="301"/>
        <v>18</v>
      </c>
      <c r="T653" s="47" t="str">
        <f t="shared" si="313"/>
        <v>18</v>
      </c>
      <c r="U653" s="49">
        <v>40</v>
      </c>
      <c r="V653" s="50">
        <v>45</v>
      </c>
      <c r="W653" s="51"/>
      <c r="X653" s="52" t="s">
        <v>74</v>
      </c>
      <c r="Y653" s="124" t="s">
        <v>97</v>
      </c>
      <c r="Z653" s="124"/>
      <c r="AA653" s="47" t="s">
        <v>75</v>
      </c>
      <c r="AB653" s="47" t="str">
        <f t="shared" si="315"/>
        <v>NA</v>
      </c>
      <c r="AC653" s="53">
        <f t="shared" si="316"/>
        <v>0</v>
      </c>
      <c r="AD653" s="54">
        <v>2</v>
      </c>
      <c r="AE653" s="54"/>
      <c r="AF653" s="54"/>
      <c r="AG653" s="55" t="str">
        <f t="shared" si="318"/>
        <v/>
      </c>
      <c r="AH653" s="56" t="str">
        <f t="shared" si="319"/>
        <v/>
      </c>
      <c r="AI653" s="55"/>
      <c r="AJ653" s="56" t="str">
        <f t="shared" si="320"/>
        <v/>
      </c>
      <c r="AK653" s="55"/>
      <c r="AL653" s="56" t="str">
        <f t="shared" si="321"/>
        <v/>
      </c>
      <c r="AM653" s="55">
        <v>1</v>
      </c>
      <c r="AN653" s="56">
        <f t="shared" si="322"/>
        <v>18</v>
      </c>
      <c r="AO653" s="55"/>
      <c r="AP653" s="56" t="str">
        <f t="shared" si="323"/>
        <v/>
      </c>
      <c r="AQ653" s="55"/>
      <c r="AR653" s="56" t="str">
        <f t="shared" si="324"/>
        <v/>
      </c>
      <c r="AS653" s="57"/>
      <c r="AT653" s="58"/>
      <c r="AU653" s="58"/>
      <c r="AV653" s="59"/>
      <c r="AW653" s="60">
        <v>1</v>
      </c>
      <c r="AX653" s="61">
        <f t="shared" si="303"/>
        <v>2</v>
      </c>
      <c r="AY653" s="60">
        <v>1</v>
      </c>
      <c r="AZ653" s="61">
        <f t="shared" si="305"/>
        <v>2</v>
      </c>
    </row>
    <row r="654" spans="1:52" s="3" customFormat="1" hidden="1" x14ac:dyDescent="0.35">
      <c r="A654" s="72">
        <f t="shared" si="306"/>
        <v>2019</v>
      </c>
      <c r="B654" s="72" t="str">
        <f t="shared" si="307"/>
        <v>Nov</v>
      </c>
      <c r="C654" s="73">
        <f t="shared" si="325"/>
        <v>18</v>
      </c>
      <c r="D654" s="74">
        <f t="shared" si="308"/>
        <v>18</v>
      </c>
      <c r="E654" s="75">
        <v>40</v>
      </c>
      <c r="F654" s="79">
        <v>58</v>
      </c>
      <c r="G654" s="82"/>
      <c r="H654" s="68" t="str">
        <f t="shared" si="326"/>
        <v>Senbur0_20191118_18_00</v>
      </c>
      <c r="I654" s="69">
        <f t="shared" si="327"/>
        <v>1</v>
      </c>
      <c r="J654" s="76" t="str">
        <f t="shared" si="327"/>
        <v>Senecio</v>
      </c>
      <c r="K654" s="76" t="str">
        <f t="shared" si="327"/>
        <v>burtoni</v>
      </c>
      <c r="L654" s="77">
        <f t="shared" si="327"/>
        <v>0</v>
      </c>
      <c r="M654" s="77">
        <f t="shared" si="327"/>
        <v>7</v>
      </c>
      <c r="N654" s="71">
        <f t="shared" si="327"/>
        <v>0</v>
      </c>
      <c r="O654" s="44"/>
      <c r="P654" s="45">
        <f t="shared" si="310"/>
        <v>1</v>
      </c>
      <c r="Q654" s="46" t="str">
        <f t="shared" si="311"/>
        <v>18:40:58</v>
      </c>
      <c r="R654" s="47" t="str">
        <f t="shared" si="312"/>
        <v>40:58</v>
      </c>
      <c r="S654" s="48">
        <f t="shared" si="301"/>
        <v>17</v>
      </c>
      <c r="T654" s="47" t="str">
        <f t="shared" si="313"/>
        <v>18</v>
      </c>
      <c r="U654" s="49">
        <v>41</v>
      </c>
      <c r="V654" s="50">
        <v>15</v>
      </c>
      <c r="W654" s="51" t="str">
        <f t="shared" si="314"/>
        <v>41:15</v>
      </c>
      <c r="X654" s="52" t="s">
        <v>74</v>
      </c>
      <c r="Y654" s="124" t="s">
        <v>97</v>
      </c>
      <c r="Z654" s="124"/>
      <c r="AA654" s="47" t="s">
        <v>75</v>
      </c>
      <c r="AB654" s="47" t="str">
        <f t="shared" si="315"/>
        <v>NA</v>
      </c>
      <c r="AC654" s="53">
        <f t="shared" si="316"/>
        <v>0</v>
      </c>
      <c r="AD654" s="54">
        <f t="shared" si="317"/>
        <v>1</v>
      </c>
      <c r="AE654" s="54"/>
      <c r="AF654" s="54"/>
      <c r="AG654" s="55" t="str">
        <f t="shared" si="318"/>
        <v/>
      </c>
      <c r="AH654" s="56" t="str">
        <f t="shared" si="319"/>
        <v/>
      </c>
      <c r="AI654" s="55"/>
      <c r="AJ654" s="56" t="str">
        <f t="shared" si="320"/>
        <v/>
      </c>
      <c r="AK654" s="55"/>
      <c r="AL654" s="56" t="str">
        <f t="shared" si="321"/>
        <v/>
      </c>
      <c r="AM654" s="55">
        <v>1</v>
      </c>
      <c r="AN654" s="56">
        <f t="shared" si="322"/>
        <v>17</v>
      </c>
      <c r="AO654" s="55"/>
      <c r="AP654" s="56" t="str">
        <f t="shared" si="323"/>
        <v/>
      </c>
      <c r="AQ654" s="55"/>
      <c r="AR654" s="56" t="str">
        <f t="shared" si="324"/>
        <v/>
      </c>
      <c r="AS654" s="57"/>
      <c r="AT654" s="58"/>
      <c r="AU654" s="58"/>
      <c r="AV654" s="59"/>
      <c r="AW654" s="60">
        <v>1</v>
      </c>
      <c r="AX654" s="61">
        <v>1</v>
      </c>
      <c r="AY654" s="60">
        <v>1</v>
      </c>
      <c r="AZ654" s="61">
        <f t="shared" si="305"/>
        <v>1</v>
      </c>
    </row>
    <row r="655" spans="1:52" s="3" customFormat="1" hidden="1" x14ac:dyDescent="0.35">
      <c r="A655" s="72">
        <f t="shared" si="306"/>
        <v>2019</v>
      </c>
      <c r="B655" s="72" t="str">
        <f t="shared" si="307"/>
        <v>Nov</v>
      </c>
      <c r="C655" s="73">
        <f t="shared" si="325"/>
        <v>18</v>
      </c>
      <c r="D655" s="74">
        <f t="shared" si="308"/>
        <v>18</v>
      </c>
      <c r="E655" s="75">
        <f t="shared" si="309"/>
        <v>41</v>
      </c>
      <c r="F655" s="79"/>
      <c r="G655" s="82"/>
      <c r="H655" s="68" t="str">
        <f t="shared" si="326"/>
        <v>Senbur0_20191118_18_00</v>
      </c>
      <c r="I655" s="69">
        <f t="shared" si="327"/>
        <v>1</v>
      </c>
      <c r="J655" s="76" t="str">
        <f t="shared" si="327"/>
        <v>Senecio</v>
      </c>
      <c r="K655" s="76" t="str">
        <f t="shared" si="327"/>
        <v>burtoni</v>
      </c>
      <c r="L655" s="77">
        <f t="shared" si="327"/>
        <v>0</v>
      </c>
      <c r="M655" s="77">
        <f t="shared" si="327"/>
        <v>7</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18</v>
      </c>
      <c r="D656" s="74">
        <f t="shared" si="308"/>
        <v>18</v>
      </c>
      <c r="E656" s="75">
        <f t="shared" si="309"/>
        <v>42</v>
      </c>
      <c r="F656" s="79"/>
      <c r="G656" s="82"/>
      <c r="H656" s="68" t="str">
        <f t="shared" si="326"/>
        <v>Senbur0_20191118_18_00</v>
      </c>
      <c r="I656" s="69">
        <f t="shared" si="327"/>
        <v>1</v>
      </c>
      <c r="J656" s="76" t="str">
        <f t="shared" si="327"/>
        <v>Senecio</v>
      </c>
      <c r="K656" s="76" t="str">
        <f t="shared" si="327"/>
        <v>burtoni</v>
      </c>
      <c r="L656" s="77">
        <f t="shared" si="327"/>
        <v>0</v>
      </c>
      <c r="M656" s="77">
        <f t="shared" si="327"/>
        <v>7</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18</v>
      </c>
      <c r="D657" s="74">
        <f t="shared" si="308"/>
        <v>18</v>
      </c>
      <c r="E657" s="75">
        <f t="shared" si="309"/>
        <v>43</v>
      </c>
      <c r="F657" s="79">
        <v>5</v>
      </c>
      <c r="G657" s="82"/>
      <c r="H657" s="68" t="str">
        <f t="shared" si="326"/>
        <v>Senbur0_20191118_18_00</v>
      </c>
      <c r="I657" s="69">
        <f t="shared" si="327"/>
        <v>1</v>
      </c>
      <c r="J657" s="76" t="str">
        <f t="shared" si="327"/>
        <v>Senecio</v>
      </c>
      <c r="K657" s="76" t="str">
        <f t="shared" si="327"/>
        <v>burtoni</v>
      </c>
      <c r="L657" s="77">
        <f t="shared" si="327"/>
        <v>0</v>
      </c>
      <c r="M657" s="77">
        <f t="shared" si="327"/>
        <v>7</v>
      </c>
      <c r="N657" s="71">
        <f t="shared" si="327"/>
        <v>0</v>
      </c>
      <c r="O657" s="44"/>
      <c r="P657" s="45">
        <f t="shared" si="310"/>
        <v>1</v>
      </c>
      <c r="Q657" s="46" t="str">
        <f t="shared" si="311"/>
        <v>18:43:05</v>
      </c>
      <c r="R657" s="47" t="str">
        <f t="shared" si="312"/>
        <v>43:05</v>
      </c>
      <c r="S657" s="48">
        <f t="shared" si="301"/>
        <v>2</v>
      </c>
      <c r="T657" s="47" t="str">
        <f t="shared" si="313"/>
        <v>18</v>
      </c>
      <c r="U657" s="49">
        <v>43</v>
      </c>
      <c r="V657" s="50">
        <v>7</v>
      </c>
      <c r="W657" s="51" t="str">
        <f t="shared" si="314"/>
        <v>43:07</v>
      </c>
      <c r="X657" s="52" t="s">
        <v>74</v>
      </c>
      <c r="Y657" s="124" t="s">
        <v>97</v>
      </c>
      <c r="Z657" s="124"/>
      <c r="AA657" s="47" t="s">
        <v>75</v>
      </c>
      <c r="AB657" s="47" t="str">
        <f t="shared" si="315"/>
        <v>NA</v>
      </c>
      <c r="AC657" s="53">
        <f t="shared" si="316"/>
        <v>0</v>
      </c>
      <c r="AD657" s="54">
        <f t="shared" si="317"/>
        <v>1</v>
      </c>
      <c r="AE657" s="54"/>
      <c r="AF657" s="54"/>
      <c r="AG657" s="55" t="str">
        <f t="shared" si="318"/>
        <v/>
      </c>
      <c r="AH657" s="56" t="str">
        <f t="shared" si="319"/>
        <v/>
      </c>
      <c r="AI657" s="55"/>
      <c r="AJ657" s="56" t="str">
        <f t="shared" si="320"/>
        <v/>
      </c>
      <c r="AK657" s="55"/>
      <c r="AL657" s="56" t="str">
        <f t="shared" si="321"/>
        <v/>
      </c>
      <c r="AM657" s="55">
        <v>1</v>
      </c>
      <c r="AN657" s="56">
        <f t="shared" si="322"/>
        <v>2</v>
      </c>
      <c r="AO657" s="55"/>
      <c r="AP657" s="56" t="str">
        <f t="shared" si="323"/>
        <v/>
      </c>
      <c r="AQ657" s="55"/>
      <c r="AR657" s="56" t="str">
        <f t="shared" si="324"/>
        <v/>
      </c>
      <c r="AS657" s="57"/>
      <c r="AT657" s="58"/>
      <c r="AU657" s="58"/>
      <c r="AV657" s="59"/>
      <c r="AW657" s="60">
        <v>1</v>
      </c>
      <c r="AX657" s="61">
        <f t="shared" si="303"/>
        <v>1</v>
      </c>
      <c r="AY657" s="60">
        <v>1</v>
      </c>
      <c r="AZ657" s="61">
        <f t="shared" si="305"/>
        <v>1</v>
      </c>
    </row>
    <row r="658" spans="1:52" s="3" customFormat="1" hidden="1" x14ac:dyDescent="0.35">
      <c r="A658" s="72">
        <f t="shared" si="306"/>
        <v>2019</v>
      </c>
      <c r="B658" s="72" t="str">
        <f t="shared" si="307"/>
        <v>Nov</v>
      </c>
      <c r="C658" s="73">
        <f t="shared" si="325"/>
        <v>18</v>
      </c>
      <c r="D658" s="74">
        <f t="shared" si="308"/>
        <v>18</v>
      </c>
      <c r="E658" s="75">
        <v>43</v>
      </c>
      <c r="F658" s="79">
        <v>58</v>
      </c>
      <c r="G658" s="82"/>
      <c r="H658" s="68" t="str">
        <f t="shared" si="326"/>
        <v>Senbur0_20191118_18_00</v>
      </c>
      <c r="I658" s="69">
        <f t="shared" si="327"/>
        <v>1</v>
      </c>
      <c r="J658" s="76" t="str">
        <f t="shared" si="327"/>
        <v>Senecio</v>
      </c>
      <c r="K658" s="76" t="str">
        <f t="shared" si="327"/>
        <v>burtoni</v>
      </c>
      <c r="L658" s="77">
        <f t="shared" si="327"/>
        <v>0</v>
      </c>
      <c r="M658" s="77">
        <f t="shared" si="327"/>
        <v>7</v>
      </c>
      <c r="N658" s="71">
        <f t="shared" si="327"/>
        <v>0</v>
      </c>
      <c r="O658" s="44"/>
      <c r="P658" s="45">
        <f t="shared" si="310"/>
        <v>1</v>
      </c>
      <c r="Q658" s="46" t="str">
        <f t="shared" si="311"/>
        <v>18:43:58</v>
      </c>
      <c r="R658" s="47" t="str">
        <f t="shared" si="312"/>
        <v>43:58</v>
      </c>
      <c r="S658" s="48">
        <f t="shared" si="301"/>
        <v>17</v>
      </c>
      <c r="T658" s="47" t="str">
        <f t="shared" si="313"/>
        <v>18</v>
      </c>
      <c r="U658" s="49">
        <v>44</v>
      </c>
      <c r="V658" s="50">
        <v>15</v>
      </c>
      <c r="W658" s="51" t="str">
        <f t="shared" si="314"/>
        <v>44:15</v>
      </c>
      <c r="X658" s="52" t="s">
        <v>74</v>
      </c>
      <c r="Y658" s="124" t="s">
        <v>97</v>
      </c>
      <c r="Z658" s="124"/>
      <c r="AA658" s="47" t="s">
        <v>75</v>
      </c>
      <c r="AB658" s="47" t="str">
        <f t="shared" si="315"/>
        <v>NA</v>
      </c>
      <c r="AC658" s="53">
        <f t="shared" si="316"/>
        <v>0</v>
      </c>
      <c r="AD658" s="54">
        <v>2</v>
      </c>
      <c r="AE658" s="54"/>
      <c r="AF658" s="54"/>
      <c r="AG658" s="55" t="str">
        <f t="shared" si="318"/>
        <v/>
      </c>
      <c r="AH658" s="56" t="str">
        <f t="shared" si="319"/>
        <v/>
      </c>
      <c r="AI658" s="55"/>
      <c r="AJ658" s="56" t="str">
        <f t="shared" si="320"/>
        <v/>
      </c>
      <c r="AK658" s="55"/>
      <c r="AL658" s="56" t="str">
        <f t="shared" si="321"/>
        <v/>
      </c>
      <c r="AM658" s="55">
        <v>1</v>
      </c>
      <c r="AN658" s="56">
        <f t="shared" si="322"/>
        <v>17</v>
      </c>
      <c r="AO658" s="55"/>
      <c r="AP658" s="56" t="str">
        <f t="shared" si="323"/>
        <v/>
      </c>
      <c r="AQ658" s="55"/>
      <c r="AR658" s="56" t="str">
        <f t="shared" si="324"/>
        <v/>
      </c>
      <c r="AS658" s="57"/>
      <c r="AT658" s="58"/>
      <c r="AU658" s="58"/>
      <c r="AV658" s="59"/>
      <c r="AW658" s="60">
        <v>1</v>
      </c>
      <c r="AX658" s="61">
        <f t="shared" si="303"/>
        <v>2</v>
      </c>
      <c r="AY658" s="60">
        <v>1</v>
      </c>
      <c r="AZ658" s="61">
        <f t="shared" si="305"/>
        <v>2</v>
      </c>
    </row>
    <row r="659" spans="1:52" s="3" customFormat="1" hidden="1" x14ac:dyDescent="0.35">
      <c r="A659" s="72">
        <f t="shared" si="306"/>
        <v>2019</v>
      </c>
      <c r="B659" s="72" t="str">
        <f t="shared" si="307"/>
        <v>Nov</v>
      </c>
      <c r="C659" s="73">
        <f t="shared" si="325"/>
        <v>18</v>
      </c>
      <c r="D659" s="74">
        <f t="shared" si="308"/>
        <v>18</v>
      </c>
      <c r="E659" s="75">
        <f t="shared" si="309"/>
        <v>44</v>
      </c>
      <c r="F659" s="79">
        <v>48</v>
      </c>
      <c r="G659" s="82"/>
      <c r="H659" s="68" t="str">
        <f t="shared" si="326"/>
        <v>Senbur0_20191118_18_00</v>
      </c>
      <c r="I659" s="69">
        <f t="shared" si="327"/>
        <v>1</v>
      </c>
      <c r="J659" s="76" t="str">
        <f t="shared" si="327"/>
        <v>Senecio</v>
      </c>
      <c r="K659" s="76" t="str">
        <f t="shared" si="327"/>
        <v>burtoni</v>
      </c>
      <c r="L659" s="77">
        <f t="shared" si="327"/>
        <v>0</v>
      </c>
      <c r="M659" s="77">
        <f t="shared" si="327"/>
        <v>7</v>
      </c>
      <c r="N659" s="71">
        <f t="shared" si="327"/>
        <v>0</v>
      </c>
      <c r="O659" s="44"/>
      <c r="P659" s="45">
        <f t="shared" si="310"/>
        <v>1</v>
      </c>
      <c r="Q659" s="46" t="str">
        <f t="shared" si="311"/>
        <v>18:44:48</v>
      </c>
      <c r="R659" s="47" t="str">
        <f t="shared" si="312"/>
        <v>44:48</v>
      </c>
      <c r="S659" s="48">
        <f t="shared" si="301"/>
        <v>8</v>
      </c>
      <c r="T659" s="47" t="str">
        <f t="shared" si="313"/>
        <v>18</v>
      </c>
      <c r="U659" s="49">
        <v>44</v>
      </c>
      <c r="V659" s="50">
        <v>56</v>
      </c>
      <c r="W659" s="51" t="str">
        <f t="shared" si="314"/>
        <v>44:56</v>
      </c>
      <c r="X659" s="52" t="s">
        <v>74</v>
      </c>
      <c r="Y659" s="124" t="s">
        <v>97</v>
      </c>
      <c r="Z659" s="124"/>
      <c r="AA659" s="47" t="s">
        <v>75</v>
      </c>
      <c r="AB659" s="47" t="str">
        <f t="shared" si="315"/>
        <v>NA</v>
      </c>
      <c r="AC659" s="53">
        <f t="shared" si="316"/>
        <v>0</v>
      </c>
      <c r="AD659" s="54">
        <v>2</v>
      </c>
      <c r="AE659" s="54"/>
      <c r="AF659" s="54"/>
      <c r="AG659" s="55" t="str">
        <f t="shared" si="318"/>
        <v/>
      </c>
      <c r="AH659" s="56" t="str">
        <f t="shared" si="319"/>
        <v/>
      </c>
      <c r="AI659" s="55"/>
      <c r="AJ659" s="56" t="str">
        <f t="shared" si="320"/>
        <v/>
      </c>
      <c r="AK659" s="55"/>
      <c r="AL659" s="56" t="str">
        <f t="shared" si="321"/>
        <v/>
      </c>
      <c r="AM659" s="55">
        <v>1</v>
      </c>
      <c r="AN659" s="56">
        <f t="shared" si="322"/>
        <v>8</v>
      </c>
      <c r="AO659" s="55"/>
      <c r="AP659" s="56" t="str">
        <f t="shared" si="323"/>
        <v/>
      </c>
      <c r="AQ659" s="55"/>
      <c r="AR659" s="56" t="str">
        <f t="shared" si="324"/>
        <v/>
      </c>
      <c r="AS659" s="57"/>
      <c r="AT659" s="58"/>
      <c r="AU659" s="58"/>
      <c r="AV659" s="59"/>
      <c r="AW659" s="60">
        <v>1</v>
      </c>
      <c r="AX659" s="61">
        <f t="shared" si="303"/>
        <v>2</v>
      </c>
      <c r="AY659" s="60">
        <v>1</v>
      </c>
      <c r="AZ659" s="61">
        <f t="shared" si="305"/>
        <v>2</v>
      </c>
    </row>
    <row r="660" spans="1:52" s="3" customFormat="1" hidden="1" x14ac:dyDescent="0.35">
      <c r="A660" s="72">
        <f t="shared" si="306"/>
        <v>2019</v>
      </c>
      <c r="B660" s="72" t="str">
        <f t="shared" si="307"/>
        <v>Nov</v>
      </c>
      <c r="C660" s="73">
        <f t="shared" si="325"/>
        <v>18</v>
      </c>
      <c r="D660" s="74">
        <f t="shared" si="308"/>
        <v>18</v>
      </c>
      <c r="E660" s="75">
        <f t="shared" si="309"/>
        <v>45</v>
      </c>
      <c r="F660" s="79"/>
      <c r="G660" s="82"/>
      <c r="H660" s="68" t="str">
        <f t="shared" si="326"/>
        <v>Senbur0_20191118_18_00</v>
      </c>
      <c r="I660" s="69">
        <f t="shared" si="327"/>
        <v>1</v>
      </c>
      <c r="J660" s="76" t="str">
        <f t="shared" si="327"/>
        <v>Senecio</v>
      </c>
      <c r="K660" s="76" t="str">
        <f t="shared" si="327"/>
        <v>burtoni</v>
      </c>
      <c r="L660" s="77">
        <f t="shared" si="327"/>
        <v>0</v>
      </c>
      <c r="M660" s="77">
        <f t="shared" si="327"/>
        <v>7</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18</v>
      </c>
      <c r="D661" s="74">
        <f t="shared" si="308"/>
        <v>18</v>
      </c>
      <c r="E661" s="75">
        <f t="shared" si="309"/>
        <v>46</v>
      </c>
      <c r="F661" s="79"/>
      <c r="G661" s="82"/>
      <c r="H661" s="68" t="str">
        <f t="shared" si="326"/>
        <v>Senbur0_20191118_18_00</v>
      </c>
      <c r="I661" s="69">
        <f t="shared" ref="I661:N676" si="328">I660</f>
        <v>1</v>
      </c>
      <c r="J661" s="76" t="str">
        <f t="shared" si="328"/>
        <v>Senecio</v>
      </c>
      <c r="K661" s="76" t="str">
        <f t="shared" si="328"/>
        <v>burtoni</v>
      </c>
      <c r="L661" s="77">
        <f t="shared" si="328"/>
        <v>0</v>
      </c>
      <c r="M661" s="77">
        <f t="shared" si="328"/>
        <v>7</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18</v>
      </c>
      <c r="D662" s="74">
        <f t="shared" si="308"/>
        <v>18</v>
      </c>
      <c r="E662" s="75">
        <f t="shared" si="309"/>
        <v>47</v>
      </c>
      <c r="F662" s="79">
        <v>3</v>
      </c>
      <c r="G662" s="82"/>
      <c r="H662" s="68" t="str">
        <f t="shared" si="326"/>
        <v>Senbur0_20191118_18_00</v>
      </c>
      <c r="I662" s="69">
        <f t="shared" si="328"/>
        <v>1</v>
      </c>
      <c r="J662" s="76" t="str">
        <f t="shared" si="328"/>
        <v>Senecio</v>
      </c>
      <c r="K662" s="76" t="str">
        <f t="shared" si="328"/>
        <v>burtoni</v>
      </c>
      <c r="L662" s="77">
        <f t="shared" si="328"/>
        <v>0</v>
      </c>
      <c r="M662" s="77">
        <f t="shared" si="328"/>
        <v>7</v>
      </c>
      <c r="N662" s="71">
        <f t="shared" si="328"/>
        <v>0</v>
      </c>
      <c r="O662" s="44"/>
      <c r="P662" s="45">
        <f t="shared" si="310"/>
        <v>1</v>
      </c>
      <c r="Q662" s="46" t="str">
        <f t="shared" si="311"/>
        <v>18:47:03</v>
      </c>
      <c r="R662" s="47" t="str">
        <f t="shared" si="312"/>
        <v>47:03</v>
      </c>
      <c r="S662" s="48">
        <f t="shared" si="301"/>
        <v>4</v>
      </c>
      <c r="T662" s="47" t="str">
        <f t="shared" si="313"/>
        <v>18</v>
      </c>
      <c r="U662" s="49">
        <v>47</v>
      </c>
      <c r="V662" s="50">
        <v>7</v>
      </c>
      <c r="W662" s="51" t="str">
        <f t="shared" si="314"/>
        <v>47:07</v>
      </c>
      <c r="X662" s="52" t="s">
        <v>74</v>
      </c>
      <c r="Y662" s="124" t="s">
        <v>97</v>
      </c>
      <c r="Z662" s="124"/>
      <c r="AA662" s="47" t="s">
        <v>75</v>
      </c>
      <c r="AB662" s="47" t="str">
        <f t="shared" si="315"/>
        <v>NA</v>
      </c>
      <c r="AC662" s="53">
        <f t="shared" si="316"/>
        <v>0</v>
      </c>
      <c r="AD662" s="54">
        <f t="shared" si="317"/>
        <v>1</v>
      </c>
      <c r="AE662" s="54"/>
      <c r="AF662" s="54"/>
      <c r="AG662" s="55" t="str">
        <f t="shared" si="318"/>
        <v/>
      </c>
      <c r="AH662" s="56" t="str">
        <f t="shared" si="319"/>
        <v/>
      </c>
      <c r="AI662" s="55"/>
      <c r="AJ662" s="56" t="str">
        <f t="shared" si="320"/>
        <v/>
      </c>
      <c r="AK662" s="55"/>
      <c r="AL662" s="56" t="str">
        <f t="shared" si="321"/>
        <v/>
      </c>
      <c r="AM662" s="55">
        <v>1</v>
      </c>
      <c r="AN662" s="56">
        <f t="shared" si="322"/>
        <v>4</v>
      </c>
      <c r="AO662" s="55"/>
      <c r="AP662" s="56" t="str">
        <f t="shared" si="323"/>
        <v/>
      </c>
      <c r="AQ662" s="55"/>
      <c r="AR662" s="56" t="str">
        <f t="shared" si="324"/>
        <v/>
      </c>
      <c r="AS662" s="57"/>
      <c r="AT662" s="58"/>
      <c r="AU662" s="58"/>
      <c r="AV662" s="59"/>
      <c r="AW662" s="60">
        <v>1</v>
      </c>
      <c r="AX662" s="61">
        <f t="shared" si="303"/>
        <v>1</v>
      </c>
      <c r="AY662" s="60">
        <v>1</v>
      </c>
      <c r="AZ662" s="61">
        <f t="shared" si="305"/>
        <v>1</v>
      </c>
    </row>
    <row r="663" spans="1:52" s="3" customFormat="1" hidden="1" x14ac:dyDescent="0.35">
      <c r="A663" s="72">
        <f t="shared" si="306"/>
        <v>2019</v>
      </c>
      <c r="B663" s="72" t="str">
        <f t="shared" si="307"/>
        <v>Nov</v>
      </c>
      <c r="C663" s="73">
        <f t="shared" si="325"/>
        <v>18</v>
      </c>
      <c r="D663" s="74">
        <f t="shared" si="308"/>
        <v>18</v>
      </c>
      <c r="E663" s="75">
        <f t="shared" si="309"/>
        <v>48</v>
      </c>
      <c r="F663" s="79"/>
      <c r="G663" s="82"/>
      <c r="H663" s="68" t="str">
        <f t="shared" si="326"/>
        <v>Senbur0_20191118_18_00</v>
      </c>
      <c r="I663" s="69">
        <f t="shared" si="328"/>
        <v>1</v>
      </c>
      <c r="J663" s="76" t="str">
        <f t="shared" si="328"/>
        <v>Senecio</v>
      </c>
      <c r="K663" s="76" t="str">
        <f t="shared" si="328"/>
        <v>burtoni</v>
      </c>
      <c r="L663" s="77">
        <f t="shared" si="328"/>
        <v>0</v>
      </c>
      <c r="M663" s="77">
        <f t="shared" si="328"/>
        <v>7</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18</v>
      </c>
      <c r="D664" s="74">
        <f t="shared" si="308"/>
        <v>18</v>
      </c>
      <c r="E664" s="75">
        <f t="shared" si="309"/>
        <v>49</v>
      </c>
      <c r="F664" s="79">
        <v>42</v>
      </c>
      <c r="G664" s="82"/>
      <c r="H664" s="68" t="str">
        <f t="shared" si="326"/>
        <v>Senbur0_20191118_18_00</v>
      </c>
      <c r="I664" s="69">
        <f t="shared" si="328"/>
        <v>1</v>
      </c>
      <c r="J664" s="76" t="str">
        <f t="shared" si="328"/>
        <v>Senecio</v>
      </c>
      <c r="K664" s="76" t="str">
        <f t="shared" si="328"/>
        <v>burtoni</v>
      </c>
      <c r="L664" s="77">
        <f t="shared" si="328"/>
        <v>0</v>
      </c>
      <c r="M664" s="77">
        <f t="shared" si="328"/>
        <v>7</v>
      </c>
      <c r="N664" s="71">
        <f t="shared" si="328"/>
        <v>0</v>
      </c>
      <c r="O664" s="44"/>
      <c r="P664" s="45">
        <f t="shared" si="310"/>
        <v>1</v>
      </c>
      <c r="Q664" s="46" t="str">
        <f t="shared" si="311"/>
        <v>18:49:42</v>
      </c>
      <c r="R664" s="47" t="str">
        <f t="shared" si="312"/>
        <v>49:42</v>
      </c>
      <c r="S664" s="48">
        <f t="shared" si="301"/>
        <v>9</v>
      </c>
      <c r="T664" s="47" t="str">
        <f t="shared" si="313"/>
        <v>18</v>
      </c>
      <c r="U664" s="49">
        <v>49</v>
      </c>
      <c r="V664" s="50">
        <v>51</v>
      </c>
      <c r="W664" s="51" t="str">
        <f t="shared" si="314"/>
        <v>49:51</v>
      </c>
      <c r="X664" s="52" t="s">
        <v>74</v>
      </c>
      <c r="Y664" s="124" t="s">
        <v>97</v>
      </c>
      <c r="Z664" s="124"/>
      <c r="AA664" s="47" t="s">
        <v>75</v>
      </c>
      <c r="AB664" s="47" t="str">
        <f t="shared" si="315"/>
        <v>NA</v>
      </c>
      <c r="AC664" s="53">
        <f t="shared" si="316"/>
        <v>0</v>
      </c>
      <c r="AD664" s="54">
        <v>2</v>
      </c>
      <c r="AE664" s="54"/>
      <c r="AF664" s="54"/>
      <c r="AG664" s="55" t="str">
        <f t="shared" si="318"/>
        <v/>
      </c>
      <c r="AH664" s="56" t="str">
        <f t="shared" si="319"/>
        <v/>
      </c>
      <c r="AI664" s="55"/>
      <c r="AJ664" s="56" t="str">
        <f t="shared" si="320"/>
        <v/>
      </c>
      <c r="AK664" s="55"/>
      <c r="AL664" s="56" t="str">
        <f t="shared" si="321"/>
        <v/>
      </c>
      <c r="AM664" s="55">
        <v>1</v>
      </c>
      <c r="AN664" s="56">
        <f t="shared" si="322"/>
        <v>9</v>
      </c>
      <c r="AO664" s="55"/>
      <c r="AP664" s="56" t="str">
        <f t="shared" si="323"/>
        <v/>
      </c>
      <c r="AQ664" s="55"/>
      <c r="AR664" s="56" t="str">
        <f t="shared" si="324"/>
        <v/>
      </c>
      <c r="AS664" s="57"/>
      <c r="AT664" s="58"/>
      <c r="AU664" s="58"/>
      <c r="AV664" s="59"/>
      <c r="AW664" s="60">
        <v>1</v>
      </c>
      <c r="AX664" s="61">
        <v>1</v>
      </c>
      <c r="AY664" s="60">
        <v>1</v>
      </c>
      <c r="AZ664" s="61">
        <f t="shared" si="305"/>
        <v>2</v>
      </c>
    </row>
    <row r="665" spans="1:52" s="3" customFormat="1" hidden="1" x14ac:dyDescent="0.35">
      <c r="A665" s="72">
        <f t="shared" si="306"/>
        <v>2019</v>
      </c>
      <c r="B665" s="72" t="str">
        <f t="shared" si="307"/>
        <v>Nov</v>
      </c>
      <c r="C665" s="73">
        <f t="shared" si="325"/>
        <v>18</v>
      </c>
      <c r="D665" s="74">
        <f t="shared" si="308"/>
        <v>18</v>
      </c>
      <c r="E665" s="75">
        <f t="shared" si="309"/>
        <v>50</v>
      </c>
      <c r="F665" s="79"/>
      <c r="G665" s="82"/>
      <c r="H665" s="68" t="str">
        <f t="shared" si="326"/>
        <v>Senbur0_20191118_18_00</v>
      </c>
      <c r="I665" s="69">
        <f t="shared" si="328"/>
        <v>1</v>
      </c>
      <c r="J665" s="76" t="str">
        <f t="shared" si="328"/>
        <v>Senecio</v>
      </c>
      <c r="K665" s="76" t="str">
        <f t="shared" si="328"/>
        <v>burtoni</v>
      </c>
      <c r="L665" s="77">
        <f t="shared" si="328"/>
        <v>0</v>
      </c>
      <c r="M665" s="77">
        <f t="shared" si="328"/>
        <v>7</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18</v>
      </c>
      <c r="D666" s="74">
        <f t="shared" si="308"/>
        <v>18</v>
      </c>
      <c r="E666" s="75">
        <f t="shared" si="309"/>
        <v>51</v>
      </c>
      <c r="F666" s="79"/>
      <c r="G666" s="82"/>
      <c r="H666" s="68" t="str">
        <f t="shared" si="326"/>
        <v>Senbur0_20191118_18_00</v>
      </c>
      <c r="I666" s="69">
        <f t="shared" si="328"/>
        <v>1</v>
      </c>
      <c r="J666" s="76" t="str">
        <f t="shared" si="328"/>
        <v>Senecio</v>
      </c>
      <c r="K666" s="76" t="str">
        <f t="shared" si="328"/>
        <v>burtoni</v>
      </c>
      <c r="L666" s="77">
        <f t="shared" si="328"/>
        <v>0</v>
      </c>
      <c r="M666" s="77">
        <f t="shared" si="328"/>
        <v>7</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18</v>
      </c>
      <c r="D667" s="74">
        <f t="shared" si="308"/>
        <v>18</v>
      </c>
      <c r="E667" s="75">
        <f t="shared" si="309"/>
        <v>52</v>
      </c>
      <c r="F667" s="79"/>
      <c r="G667" s="82"/>
      <c r="H667" s="68" t="str">
        <f t="shared" si="326"/>
        <v>Senbur0_20191118_18_00</v>
      </c>
      <c r="I667" s="69">
        <f t="shared" si="328"/>
        <v>1</v>
      </c>
      <c r="J667" s="76" t="str">
        <f t="shared" si="328"/>
        <v>Senecio</v>
      </c>
      <c r="K667" s="76" t="str">
        <f t="shared" si="328"/>
        <v>burtoni</v>
      </c>
      <c r="L667" s="77">
        <f t="shared" si="328"/>
        <v>0</v>
      </c>
      <c r="M667" s="77">
        <f t="shared" si="328"/>
        <v>7</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18</v>
      </c>
      <c r="D668" s="74">
        <f t="shared" si="308"/>
        <v>18</v>
      </c>
      <c r="E668" s="75">
        <f t="shared" si="309"/>
        <v>53</v>
      </c>
      <c r="F668" s="79"/>
      <c r="G668" s="82"/>
      <c r="H668" s="68" t="str">
        <f t="shared" si="326"/>
        <v>Senbur0_20191118_18_00</v>
      </c>
      <c r="I668" s="69">
        <f t="shared" si="328"/>
        <v>1</v>
      </c>
      <c r="J668" s="76" t="str">
        <f t="shared" si="328"/>
        <v>Senecio</v>
      </c>
      <c r="K668" s="76" t="str">
        <f t="shared" si="328"/>
        <v>burtoni</v>
      </c>
      <c r="L668" s="77">
        <f t="shared" si="328"/>
        <v>0</v>
      </c>
      <c r="M668" s="77">
        <f t="shared" si="328"/>
        <v>7</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18</v>
      </c>
      <c r="D669" s="74">
        <f t="shared" si="308"/>
        <v>18</v>
      </c>
      <c r="E669" s="75">
        <f t="shared" si="309"/>
        <v>54</v>
      </c>
      <c r="F669" s="79"/>
      <c r="G669" s="82"/>
      <c r="H669" s="68" t="str">
        <f t="shared" si="326"/>
        <v>Senbur0_20191118_18_00</v>
      </c>
      <c r="I669" s="69">
        <f t="shared" si="328"/>
        <v>1</v>
      </c>
      <c r="J669" s="76" t="str">
        <f t="shared" si="328"/>
        <v>Senecio</v>
      </c>
      <c r="K669" s="76" t="str">
        <f t="shared" si="328"/>
        <v>burtoni</v>
      </c>
      <c r="L669" s="77">
        <f t="shared" si="328"/>
        <v>0</v>
      </c>
      <c r="M669" s="77">
        <f t="shared" si="328"/>
        <v>7</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18</v>
      </c>
      <c r="D670" s="74">
        <f t="shared" si="308"/>
        <v>18</v>
      </c>
      <c r="E670" s="75">
        <f t="shared" si="309"/>
        <v>55</v>
      </c>
      <c r="F670" s="79"/>
      <c r="G670" s="82"/>
      <c r="H670" s="68" t="str">
        <f t="shared" si="326"/>
        <v>Senbur0_20191118_18_00</v>
      </c>
      <c r="I670" s="69">
        <f t="shared" si="328"/>
        <v>1</v>
      </c>
      <c r="J670" s="76" t="str">
        <f t="shared" si="328"/>
        <v>Senecio</v>
      </c>
      <c r="K670" s="76" t="str">
        <f t="shared" si="328"/>
        <v>burtoni</v>
      </c>
      <c r="L670" s="77">
        <f t="shared" si="328"/>
        <v>0</v>
      </c>
      <c r="M670" s="77">
        <f t="shared" si="328"/>
        <v>7</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18</v>
      </c>
      <c r="D671" s="74">
        <f t="shared" si="308"/>
        <v>18</v>
      </c>
      <c r="E671" s="75">
        <f t="shared" si="309"/>
        <v>56</v>
      </c>
      <c r="F671" s="79"/>
      <c r="G671" s="82"/>
      <c r="H671" s="68" t="str">
        <f t="shared" si="326"/>
        <v>Senbur0_20191118_18_00</v>
      </c>
      <c r="I671" s="69">
        <f t="shared" si="328"/>
        <v>1</v>
      </c>
      <c r="J671" s="76" t="str">
        <f t="shared" si="328"/>
        <v>Senecio</v>
      </c>
      <c r="K671" s="76" t="str">
        <f t="shared" si="328"/>
        <v>burtoni</v>
      </c>
      <c r="L671" s="77">
        <f t="shared" si="328"/>
        <v>0</v>
      </c>
      <c r="M671" s="77">
        <f t="shared" si="328"/>
        <v>7</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18</v>
      </c>
      <c r="D672" s="74">
        <f t="shared" si="308"/>
        <v>18</v>
      </c>
      <c r="E672" s="75">
        <f t="shared" si="309"/>
        <v>57</v>
      </c>
      <c r="F672" s="79"/>
      <c r="G672" s="82"/>
      <c r="H672" s="68" t="str">
        <f t="shared" si="326"/>
        <v>Senbur0_20191118_18_00</v>
      </c>
      <c r="I672" s="69">
        <f t="shared" si="328"/>
        <v>1</v>
      </c>
      <c r="J672" s="76" t="str">
        <f t="shared" si="328"/>
        <v>Senecio</v>
      </c>
      <c r="K672" s="76" t="str">
        <f t="shared" si="328"/>
        <v>burtoni</v>
      </c>
      <c r="L672" s="77">
        <f t="shared" si="328"/>
        <v>0</v>
      </c>
      <c r="M672" s="77">
        <f t="shared" si="328"/>
        <v>7</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18</v>
      </c>
      <c r="D673" s="74">
        <f t="shared" si="308"/>
        <v>18</v>
      </c>
      <c r="E673" s="75">
        <f t="shared" si="309"/>
        <v>58</v>
      </c>
      <c r="F673" s="79"/>
      <c r="G673" s="82"/>
      <c r="H673" s="68" t="str">
        <f t="shared" si="326"/>
        <v>Senbur0_20191118_18_00</v>
      </c>
      <c r="I673" s="69">
        <f t="shared" si="328"/>
        <v>1</v>
      </c>
      <c r="J673" s="76" t="str">
        <f t="shared" si="328"/>
        <v>Senecio</v>
      </c>
      <c r="K673" s="76" t="str">
        <f t="shared" si="328"/>
        <v>burtoni</v>
      </c>
      <c r="L673" s="77">
        <f t="shared" si="328"/>
        <v>0</v>
      </c>
      <c r="M673" s="77">
        <f t="shared" si="328"/>
        <v>7</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18</v>
      </c>
      <c r="D674" s="74">
        <f t="shared" si="308"/>
        <v>18</v>
      </c>
      <c r="E674" s="75">
        <f t="shared" si="309"/>
        <v>59</v>
      </c>
      <c r="F674" s="79"/>
      <c r="G674" s="82"/>
      <c r="H674" s="68" t="str">
        <f t="shared" si="326"/>
        <v>Senbur0_20191118_18_00</v>
      </c>
      <c r="I674" s="69">
        <f t="shared" si="328"/>
        <v>1</v>
      </c>
      <c r="J674" s="76" t="str">
        <f t="shared" si="328"/>
        <v>Senecio</v>
      </c>
      <c r="K674" s="76" t="str">
        <f t="shared" si="328"/>
        <v>burtoni</v>
      </c>
      <c r="L674" s="77">
        <f t="shared" si="328"/>
        <v>0</v>
      </c>
      <c r="M674" s="77">
        <f t="shared" si="328"/>
        <v>7</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18</v>
      </c>
      <c r="D675" s="74">
        <f t="shared" si="308"/>
        <v>19</v>
      </c>
      <c r="E675" s="75">
        <f t="shared" si="309"/>
        <v>0</v>
      </c>
      <c r="F675" s="79"/>
      <c r="G675" s="82"/>
      <c r="H675" s="68" t="str">
        <f t="shared" si="326"/>
        <v>Senbur0_20191118_19_00</v>
      </c>
      <c r="I675" s="69">
        <f t="shared" si="328"/>
        <v>1</v>
      </c>
      <c r="J675" s="76" t="str">
        <f t="shared" si="328"/>
        <v>Senecio</v>
      </c>
      <c r="K675" s="76" t="str">
        <f t="shared" si="328"/>
        <v>burtoni</v>
      </c>
      <c r="L675" s="77">
        <f t="shared" si="328"/>
        <v>0</v>
      </c>
      <c r="M675" s="77">
        <f t="shared" si="328"/>
        <v>7</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18</v>
      </c>
      <c r="D676" s="74">
        <f t="shared" si="308"/>
        <v>19</v>
      </c>
      <c r="E676" s="75">
        <f t="shared" si="309"/>
        <v>1</v>
      </c>
      <c r="F676" s="79">
        <v>28</v>
      </c>
      <c r="G676" s="82"/>
      <c r="H676" s="68" t="str">
        <f t="shared" si="326"/>
        <v>Senbur0_20191118_19_00</v>
      </c>
      <c r="I676" s="69">
        <f t="shared" si="328"/>
        <v>1</v>
      </c>
      <c r="J676" s="76" t="str">
        <f t="shared" si="328"/>
        <v>Senecio</v>
      </c>
      <c r="K676" s="76" t="str">
        <f t="shared" si="328"/>
        <v>burtoni</v>
      </c>
      <c r="L676" s="77">
        <f t="shared" si="328"/>
        <v>0</v>
      </c>
      <c r="M676" s="77">
        <f t="shared" si="328"/>
        <v>7</v>
      </c>
      <c r="N676" s="71">
        <f t="shared" si="328"/>
        <v>0</v>
      </c>
      <c r="O676" s="44"/>
      <c r="P676" s="45">
        <f t="shared" si="310"/>
        <v>1</v>
      </c>
      <c r="Q676" s="46" t="str">
        <f t="shared" si="311"/>
        <v>19:01:28</v>
      </c>
      <c r="R676" s="47" t="str">
        <f t="shared" si="312"/>
        <v>01:28</v>
      </c>
      <c r="S676" s="48">
        <f t="shared" si="301"/>
        <v>145</v>
      </c>
      <c r="T676" s="47" t="str">
        <f t="shared" si="313"/>
        <v>19</v>
      </c>
      <c r="U676" s="49">
        <v>3</v>
      </c>
      <c r="V676" s="50">
        <v>53</v>
      </c>
      <c r="W676" s="51" t="str">
        <f t="shared" si="314"/>
        <v>03:53</v>
      </c>
      <c r="X676" s="52" t="s">
        <v>74</v>
      </c>
      <c r="Y676" s="124" t="s">
        <v>99</v>
      </c>
      <c r="Z676" s="124"/>
      <c r="AA676" s="47" t="s">
        <v>75</v>
      </c>
      <c r="AB676" s="47" t="str">
        <f t="shared" si="315"/>
        <v>NA</v>
      </c>
      <c r="AC676" s="53">
        <f t="shared" si="316"/>
        <v>0</v>
      </c>
      <c r="AD676" s="54">
        <f t="shared" si="317"/>
        <v>1</v>
      </c>
      <c r="AE676" s="54"/>
      <c r="AF676" s="54"/>
      <c r="AG676" s="55" t="str">
        <f t="shared" si="318"/>
        <v/>
      </c>
      <c r="AH676" s="56" t="str">
        <f t="shared" si="319"/>
        <v/>
      </c>
      <c r="AI676" s="55"/>
      <c r="AJ676" s="56" t="str">
        <f t="shared" si="320"/>
        <v/>
      </c>
      <c r="AK676" s="55"/>
      <c r="AL676" s="56" t="str">
        <f t="shared" si="321"/>
        <v/>
      </c>
      <c r="AM676" s="55">
        <v>1</v>
      </c>
      <c r="AN676" s="56">
        <f t="shared" si="322"/>
        <v>145</v>
      </c>
      <c r="AO676" s="55"/>
      <c r="AP676" s="56" t="str">
        <f t="shared" si="323"/>
        <v/>
      </c>
      <c r="AQ676" s="55"/>
      <c r="AR676" s="56" t="str">
        <f t="shared" si="324"/>
        <v/>
      </c>
      <c r="AS676" s="57"/>
      <c r="AT676" s="58"/>
      <c r="AU676" s="58"/>
      <c r="AV676" s="59"/>
      <c r="AW676" s="60">
        <v>1</v>
      </c>
      <c r="AX676" s="61">
        <f t="shared" si="303"/>
        <v>1</v>
      </c>
      <c r="AY676" s="60">
        <v>1</v>
      </c>
      <c r="AZ676" s="61">
        <f t="shared" si="305"/>
        <v>1</v>
      </c>
    </row>
    <row r="677" spans="1:52" s="3" customFormat="1" hidden="1" x14ac:dyDescent="0.35">
      <c r="A677" s="72">
        <f t="shared" si="306"/>
        <v>2019</v>
      </c>
      <c r="B677" s="72" t="str">
        <f t="shared" si="307"/>
        <v>Nov</v>
      </c>
      <c r="C677" s="73">
        <f t="shared" si="325"/>
        <v>18</v>
      </c>
      <c r="D677" s="74">
        <f t="shared" si="308"/>
        <v>19</v>
      </c>
      <c r="E677" s="75">
        <f t="shared" si="309"/>
        <v>2</v>
      </c>
      <c r="F677" s="79"/>
      <c r="G677" s="82"/>
      <c r="H677" s="68" t="str">
        <f t="shared" si="326"/>
        <v>Senbur0_20191118_19_00</v>
      </c>
      <c r="I677" s="69">
        <f t="shared" ref="I677:N692" si="329">I676</f>
        <v>1</v>
      </c>
      <c r="J677" s="76" t="str">
        <f t="shared" si="329"/>
        <v>Senecio</v>
      </c>
      <c r="K677" s="76" t="str">
        <f t="shared" si="329"/>
        <v>burtoni</v>
      </c>
      <c r="L677" s="77">
        <f t="shared" si="329"/>
        <v>0</v>
      </c>
      <c r="M677" s="77">
        <f t="shared" si="329"/>
        <v>7</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18</v>
      </c>
      <c r="D678" s="74">
        <f t="shared" si="308"/>
        <v>19</v>
      </c>
      <c r="E678" s="75">
        <f t="shared" si="309"/>
        <v>3</v>
      </c>
      <c r="F678" s="79"/>
      <c r="G678" s="82"/>
      <c r="H678" s="68" t="str">
        <f t="shared" si="326"/>
        <v>Senbur0_20191118_19_00</v>
      </c>
      <c r="I678" s="69">
        <f t="shared" si="329"/>
        <v>1</v>
      </c>
      <c r="J678" s="76" t="str">
        <f t="shared" si="329"/>
        <v>Senecio</v>
      </c>
      <c r="K678" s="76" t="str">
        <f t="shared" si="329"/>
        <v>burtoni</v>
      </c>
      <c r="L678" s="77">
        <f t="shared" si="329"/>
        <v>0</v>
      </c>
      <c r="M678" s="77">
        <f t="shared" si="329"/>
        <v>7</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18</v>
      </c>
      <c r="D679" s="74">
        <f t="shared" si="308"/>
        <v>19</v>
      </c>
      <c r="E679" s="75">
        <f t="shared" si="309"/>
        <v>4</v>
      </c>
      <c r="F679" s="79"/>
      <c r="G679" s="82"/>
      <c r="H679" s="68" t="str">
        <f t="shared" si="326"/>
        <v>Senbur0_20191118_19_00</v>
      </c>
      <c r="I679" s="69">
        <f t="shared" si="329"/>
        <v>1</v>
      </c>
      <c r="J679" s="76" t="str">
        <f t="shared" si="329"/>
        <v>Senecio</v>
      </c>
      <c r="K679" s="76" t="str">
        <f t="shared" si="329"/>
        <v>burtoni</v>
      </c>
      <c r="L679" s="77">
        <f t="shared" si="329"/>
        <v>0</v>
      </c>
      <c r="M679" s="77">
        <f t="shared" si="329"/>
        <v>7</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18</v>
      </c>
      <c r="D680" s="74">
        <f t="shared" si="308"/>
        <v>19</v>
      </c>
      <c r="E680" s="75">
        <f t="shared" si="309"/>
        <v>5</v>
      </c>
      <c r="F680" s="79"/>
      <c r="G680" s="82"/>
      <c r="H680" s="68" t="str">
        <f t="shared" si="326"/>
        <v>Senbur0_20191118_19_00</v>
      </c>
      <c r="I680" s="69">
        <f t="shared" si="329"/>
        <v>1</v>
      </c>
      <c r="J680" s="76" t="str">
        <f t="shared" si="329"/>
        <v>Senecio</v>
      </c>
      <c r="K680" s="76" t="str">
        <f t="shared" si="329"/>
        <v>burtoni</v>
      </c>
      <c r="L680" s="77">
        <f t="shared" si="329"/>
        <v>0</v>
      </c>
      <c r="M680" s="77">
        <f t="shared" si="329"/>
        <v>7</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18</v>
      </c>
      <c r="D681" s="74">
        <f t="shared" si="308"/>
        <v>19</v>
      </c>
      <c r="E681" s="75">
        <f t="shared" si="309"/>
        <v>6</v>
      </c>
      <c r="F681" s="79"/>
      <c r="G681" s="82"/>
      <c r="H681" s="68" t="str">
        <f t="shared" si="326"/>
        <v>Senbur0_20191118_19_00</v>
      </c>
      <c r="I681" s="69">
        <f t="shared" si="329"/>
        <v>1</v>
      </c>
      <c r="J681" s="76" t="str">
        <f t="shared" si="329"/>
        <v>Senecio</v>
      </c>
      <c r="K681" s="76" t="str">
        <f t="shared" si="329"/>
        <v>burtoni</v>
      </c>
      <c r="L681" s="77">
        <f t="shared" si="329"/>
        <v>0</v>
      </c>
      <c r="M681" s="77">
        <f t="shared" si="329"/>
        <v>7</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18</v>
      </c>
      <c r="D682" s="74">
        <f t="shared" si="308"/>
        <v>19</v>
      </c>
      <c r="E682" s="75">
        <f t="shared" si="309"/>
        <v>7</v>
      </c>
      <c r="F682" s="79"/>
      <c r="G682" s="82"/>
      <c r="H682" s="68" t="str">
        <f t="shared" si="326"/>
        <v>Senbur0_20191118_19_00</v>
      </c>
      <c r="I682" s="69">
        <f t="shared" si="329"/>
        <v>1</v>
      </c>
      <c r="J682" s="76" t="str">
        <f t="shared" si="329"/>
        <v>Senecio</v>
      </c>
      <c r="K682" s="76" t="str">
        <f t="shared" si="329"/>
        <v>burtoni</v>
      </c>
      <c r="L682" s="77">
        <f t="shared" si="329"/>
        <v>0</v>
      </c>
      <c r="M682" s="77">
        <f t="shared" si="329"/>
        <v>7</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18</v>
      </c>
      <c r="D683" s="74">
        <f t="shared" si="308"/>
        <v>19</v>
      </c>
      <c r="E683" s="75">
        <f t="shared" si="309"/>
        <v>8</v>
      </c>
      <c r="F683" s="79"/>
      <c r="G683" s="82"/>
      <c r="H683" s="68" t="str">
        <f t="shared" si="326"/>
        <v>Senbur0_20191118_19_00</v>
      </c>
      <c r="I683" s="69">
        <f t="shared" si="329"/>
        <v>1</v>
      </c>
      <c r="J683" s="76" t="str">
        <f t="shared" si="329"/>
        <v>Senecio</v>
      </c>
      <c r="K683" s="76" t="str">
        <f t="shared" si="329"/>
        <v>burtoni</v>
      </c>
      <c r="L683" s="77">
        <f t="shared" si="329"/>
        <v>0</v>
      </c>
      <c r="M683" s="77">
        <f t="shared" si="329"/>
        <v>7</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18</v>
      </c>
      <c r="D684" s="74">
        <f t="shared" si="308"/>
        <v>19</v>
      </c>
      <c r="E684" s="75">
        <f t="shared" si="309"/>
        <v>9</v>
      </c>
      <c r="F684" s="79"/>
      <c r="G684" s="82"/>
      <c r="H684" s="68" t="str">
        <f t="shared" si="326"/>
        <v>Senbur0_20191118_19_00</v>
      </c>
      <c r="I684" s="69">
        <f t="shared" si="329"/>
        <v>1</v>
      </c>
      <c r="J684" s="76" t="str">
        <f t="shared" si="329"/>
        <v>Senecio</v>
      </c>
      <c r="K684" s="76" t="str">
        <f t="shared" si="329"/>
        <v>burtoni</v>
      </c>
      <c r="L684" s="77">
        <f t="shared" si="329"/>
        <v>0</v>
      </c>
      <c r="M684" s="77">
        <f t="shared" si="329"/>
        <v>7</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18</v>
      </c>
      <c r="D685" s="74">
        <f t="shared" si="308"/>
        <v>19</v>
      </c>
      <c r="E685" s="75">
        <f t="shared" si="309"/>
        <v>10</v>
      </c>
      <c r="F685" s="79">
        <v>32</v>
      </c>
      <c r="G685" s="82"/>
      <c r="H685" s="68" t="str">
        <f t="shared" si="326"/>
        <v>Senbur0_20191118_19_00</v>
      </c>
      <c r="I685" s="69">
        <f t="shared" si="329"/>
        <v>1</v>
      </c>
      <c r="J685" s="76" t="str">
        <f t="shared" si="329"/>
        <v>Senecio</v>
      </c>
      <c r="K685" s="76" t="str">
        <f t="shared" si="329"/>
        <v>burtoni</v>
      </c>
      <c r="L685" s="77">
        <f t="shared" si="329"/>
        <v>0</v>
      </c>
      <c r="M685" s="77">
        <f t="shared" si="329"/>
        <v>7</v>
      </c>
      <c r="N685" s="71">
        <f t="shared" si="329"/>
        <v>0</v>
      </c>
      <c r="O685" s="44"/>
      <c r="P685" s="45">
        <f t="shared" si="310"/>
        <v>1</v>
      </c>
      <c r="Q685" s="46" t="str">
        <f t="shared" si="311"/>
        <v>19:10:32</v>
      </c>
      <c r="R685" s="47" t="str">
        <f t="shared" si="312"/>
        <v>10:32</v>
      </c>
      <c r="S685" s="48">
        <f t="shared" si="301"/>
        <v>15</v>
      </c>
      <c r="T685" s="47" t="str">
        <f t="shared" si="313"/>
        <v>19</v>
      </c>
      <c r="U685" s="49">
        <v>10</v>
      </c>
      <c r="V685" s="50">
        <v>47</v>
      </c>
      <c r="W685" s="51" t="str">
        <f t="shared" si="314"/>
        <v>10:47</v>
      </c>
      <c r="X685" s="52" t="s">
        <v>74</v>
      </c>
      <c r="Y685" s="124" t="s">
        <v>97</v>
      </c>
      <c r="Z685" s="124"/>
      <c r="AA685" s="47" t="s">
        <v>75</v>
      </c>
      <c r="AB685" s="47" t="str">
        <f t="shared" si="315"/>
        <v>NA</v>
      </c>
      <c r="AC685" s="53">
        <f t="shared" si="316"/>
        <v>0</v>
      </c>
      <c r="AD685" s="54">
        <v>2</v>
      </c>
      <c r="AE685" s="54"/>
      <c r="AF685" s="54"/>
      <c r="AG685" s="55" t="str">
        <f t="shared" si="318"/>
        <v/>
      </c>
      <c r="AH685" s="56" t="str">
        <f t="shared" si="319"/>
        <v/>
      </c>
      <c r="AI685" s="55"/>
      <c r="AJ685" s="56" t="str">
        <f t="shared" si="320"/>
        <v/>
      </c>
      <c r="AK685" s="55"/>
      <c r="AL685" s="56" t="str">
        <f t="shared" si="321"/>
        <v/>
      </c>
      <c r="AM685" s="55">
        <v>1</v>
      </c>
      <c r="AN685" s="56">
        <f t="shared" si="322"/>
        <v>15</v>
      </c>
      <c r="AO685" s="55"/>
      <c r="AP685" s="56" t="str">
        <f t="shared" si="323"/>
        <v/>
      </c>
      <c r="AQ685" s="55"/>
      <c r="AR685" s="56" t="str">
        <f t="shared" si="324"/>
        <v/>
      </c>
      <c r="AS685" s="57"/>
      <c r="AT685" s="58"/>
      <c r="AU685" s="58"/>
      <c r="AV685" s="59"/>
      <c r="AW685" s="60">
        <v>1</v>
      </c>
      <c r="AX685" s="61">
        <f t="shared" si="303"/>
        <v>2</v>
      </c>
      <c r="AY685" s="60">
        <v>1</v>
      </c>
      <c r="AZ685" s="61">
        <f t="shared" si="305"/>
        <v>2</v>
      </c>
    </row>
    <row r="686" spans="1:52" s="3" customFormat="1" hidden="1" x14ac:dyDescent="0.35">
      <c r="A686" s="72">
        <f t="shared" si="306"/>
        <v>2019</v>
      </c>
      <c r="B686" s="72" t="str">
        <f t="shared" si="307"/>
        <v>Nov</v>
      </c>
      <c r="C686" s="73">
        <f t="shared" si="325"/>
        <v>18</v>
      </c>
      <c r="D686" s="74">
        <f t="shared" si="308"/>
        <v>19</v>
      </c>
      <c r="E686" s="75">
        <f t="shared" si="309"/>
        <v>11</v>
      </c>
      <c r="F686" s="79"/>
      <c r="G686" s="82"/>
      <c r="H686" s="68" t="str">
        <f t="shared" si="326"/>
        <v>Senbur0_20191118_19_00</v>
      </c>
      <c r="I686" s="69">
        <f t="shared" si="329"/>
        <v>1</v>
      </c>
      <c r="J686" s="76" t="str">
        <f t="shared" si="329"/>
        <v>Senecio</v>
      </c>
      <c r="K686" s="76" t="str">
        <f t="shared" si="329"/>
        <v>burtoni</v>
      </c>
      <c r="L686" s="77">
        <f t="shared" si="329"/>
        <v>0</v>
      </c>
      <c r="M686" s="77">
        <f t="shared" si="329"/>
        <v>7</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18</v>
      </c>
      <c r="D687" s="74">
        <f t="shared" si="308"/>
        <v>19</v>
      </c>
      <c r="E687" s="75">
        <f t="shared" si="309"/>
        <v>12</v>
      </c>
      <c r="F687" s="79"/>
      <c r="G687" s="82"/>
      <c r="H687" s="68" t="str">
        <f t="shared" si="326"/>
        <v>Senbur0_20191118_19_00</v>
      </c>
      <c r="I687" s="69">
        <f t="shared" si="329"/>
        <v>1</v>
      </c>
      <c r="J687" s="76" t="str">
        <f t="shared" si="329"/>
        <v>Senecio</v>
      </c>
      <c r="K687" s="76" t="str">
        <f t="shared" si="329"/>
        <v>burtoni</v>
      </c>
      <c r="L687" s="77">
        <f t="shared" si="329"/>
        <v>0</v>
      </c>
      <c r="M687" s="77">
        <f t="shared" si="329"/>
        <v>7</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18</v>
      </c>
      <c r="D688" s="74">
        <f t="shared" si="308"/>
        <v>19</v>
      </c>
      <c r="E688" s="75">
        <f t="shared" si="309"/>
        <v>13</v>
      </c>
      <c r="F688" s="79"/>
      <c r="G688" s="82"/>
      <c r="H688" s="68" t="str">
        <f t="shared" si="326"/>
        <v>Senbur0_20191118_19_00</v>
      </c>
      <c r="I688" s="69">
        <f t="shared" si="329"/>
        <v>1</v>
      </c>
      <c r="J688" s="76" t="str">
        <f t="shared" si="329"/>
        <v>Senecio</v>
      </c>
      <c r="K688" s="76" t="str">
        <f t="shared" si="329"/>
        <v>burtoni</v>
      </c>
      <c r="L688" s="77">
        <f t="shared" si="329"/>
        <v>0</v>
      </c>
      <c r="M688" s="77">
        <f t="shared" si="329"/>
        <v>7</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18</v>
      </c>
      <c r="D689" s="74">
        <f t="shared" si="308"/>
        <v>19</v>
      </c>
      <c r="E689" s="75">
        <f t="shared" si="309"/>
        <v>14</v>
      </c>
      <c r="F689" s="79"/>
      <c r="G689" s="82"/>
      <c r="H689" s="68" t="str">
        <f t="shared" si="326"/>
        <v>Senbur0_20191118_19_00</v>
      </c>
      <c r="I689" s="69">
        <f t="shared" si="329"/>
        <v>1</v>
      </c>
      <c r="J689" s="76" t="str">
        <f t="shared" si="329"/>
        <v>Senecio</v>
      </c>
      <c r="K689" s="76" t="str">
        <f t="shared" si="329"/>
        <v>burtoni</v>
      </c>
      <c r="L689" s="77">
        <f t="shared" si="329"/>
        <v>0</v>
      </c>
      <c r="M689" s="77">
        <f t="shared" si="329"/>
        <v>7</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18</v>
      </c>
      <c r="D690" s="74">
        <f t="shared" si="308"/>
        <v>19</v>
      </c>
      <c r="E690" s="75">
        <f t="shared" si="309"/>
        <v>15</v>
      </c>
      <c r="F690" s="79"/>
      <c r="G690" s="82"/>
      <c r="H690" s="68" t="str">
        <f t="shared" si="326"/>
        <v>Senbur0_20191118_19_00</v>
      </c>
      <c r="I690" s="69">
        <f t="shared" si="329"/>
        <v>1</v>
      </c>
      <c r="J690" s="76" t="str">
        <f t="shared" si="329"/>
        <v>Senecio</v>
      </c>
      <c r="K690" s="76" t="str">
        <f t="shared" si="329"/>
        <v>burtoni</v>
      </c>
      <c r="L690" s="77">
        <f t="shared" si="329"/>
        <v>0</v>
      </c>
      <c r="M690" s="77">
        <f t="shared" si="329"/>
        <v>7</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18</v>
      </c>
      <c r="D691" s="74">
        <f t="shared" si="308"/>
        <v>19</v>
      </c>
      <c r="E691" s="75">
        <f t="shared" si="309"/>
        <v>16</v>
      </c>
      <c r="F691" s="79"/>
      <c r="G691" s="82"/>
      <c r="H691" s="68" t="str">
        <f t="shared" si="326"/>
        <v>Senbur0_20191118_19_00</v>
      </c>
      <c r="I691" s="69">
        <f t="shared" si="329"/>
        <v>1</v>
      </c>
      <c r="J691" s="76" t="str">
        <f t="shared" si="329"/>
        <v>Senecio</v>
      </c>
      <c r="K691" s="76" t="str">
        <f t="shared" si="329"/>
        <v>burtoni</v>
      </c>
      <c r="L691" s="77">
        <f t="shared" si="329"/>
        <v>0</v>
      </c>
      <c r="M691" s="77">
        <f t="shared" si="329"/>
        <v>7</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18</v>
      </c>
      <c r="D692" s="74">
        <f t="shared" si="308"/>
        <v>19</v>
      </c>
      <c r="E692" s="75">
        <f t="shared" si="309"/>
        <v>17</v>
      </c>
      <c r="F692" s="79"/>
      <c r="G692" s="82"/>
      <c r="H692" s="68" t="str">
        <f t="shared" si="326"/>
        <v>Senbur0_20191118_19_00</v>
      </c>
      <c r="I692" s="69">
        <f t="shared" si="329"/>
        <v>1</v>
      </c>
      <c r="J692" s="76" t="str">
        <f t="shared" si="329"/>
        <v>Senecio</v>
      </c>
      <c r="K692" s="76" t="str">
        <f t="shared" si="329"/>
        <v>burtoni</v>
      </c>
      <c r="L692" s="77">
        <f t="shared" si="329"/>
        <v>0</v>
      </c>
      <c r="M692" s="77">
        <f t="shared" si="329"/>
        <v>7</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18</v>
      </c>
      <c r="D693" s="74">
        <f t="shared" si="308"/>
        <v>19</v>
      </c>
      <c r="E693" s="75">
        <f t="shared" si="309"/>
        <v>18</v>
      </c>
      <c r="F693" s="79"/>
      <c r="G693" s="82"/>
      <c r="H693" s="68" t="str">
        <f t="shared" si="326"/>
        <v>Senbur0_20191118_19_00</v>
      </c>
      <c r="I693" s="69">
        <f t="shared" ref="I693:N708" si="330">I692</f>
        <v>1</v>
      </c>
      <c r="J693" s="76" t="str">
        <f t="shared" si="330"/>
        <v>Senecio</v>
      </c>
      <c r="K693" s="76" t="str">
        <f t="shared" si="330"/>
        <v>burtoni</v>
      </c>
      <c r="L693" s="77">
        <f t="shared" si="330"/>
        <v>0</v>
      </c>
      <c r="M693" s="77">
        <f t="shared" si="330"/>
        <v>7</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18</v>
      </c>
      <c r="D694" s="74">
        <f t="shared" si="308"/>
        <v>19</v>
      </c>
      <c r="E694" s="75">
        <f t="shared" si="309"/>
        <v>19</v>
      </c>
      <c r="F694" s="79">
        <v>40</v>
      </c>
      <c r="G694" s="82"/>
      <c r="H694" s="68" t="str">
        <f t="shared" si="326"/>
        <v>Senbur0_20191118_19_00</v>
      </c>
      <c r="I694" s="69">
        <f t="shared" si="330"/>
        <v>1</v>
      </c>
      <c r="J694" s="76" t="str">
        <f t="shared" si="330"/>
        <v>Senecio</v>
      </c>
      <c r="K694" s="76" t="str">
        <f t="shared" si="330"/>
        <v>burtoni</v>
      </c>
      <c r="L694" s="77">
        <f t="shared" si="330"/>
        <v>0</v>
      </c>
      <c r="M694" s="77">
        <f t="shared" si="330"/>
        <v>7</v>
      </c>
      <c r="N694" s="71">
        <f t="shared" si="330"/>
        <v>0</v>
      </c>
      <c r="O694" s="44"/>
      <c r="P694" s="45">
        <f t="shared" si="310"/>
        <v>1</v>
      </c>
      <c r="Q694" s="46" t="str">
        <f t="shared" si="311"/>
        <v>19:19:40</v>
      </c>
      <c r="R694" s="47" t="str">
        <f t="shared" si="312"/>
        <v>19:40</v>
      </c>
      <c r="S694" s="48">
        <f t="shared" si="301"/>
        <v>8</v>
      </c>
      <c r="T694" s="47" t="str">
        <f t="shared" si="313"/>
        <v>19</v>
      </c>
      <c r="U694" s="49">
        <v>19</v>
      </c>
      <c r="V694" s="50">
        <v>48</v>
      </c>
      <c r="W694" s="51" t="str">
        <f t="shared" si="314"/>
        <v>19:48</v>
      </c>
      <c r="X694" s="52" t="s">
        <v>74</v>
      </c>
      <c r="Y694" s="124" t="s">
        <v>97</v>
      </c>
      <c r="Z694" s="124"/>
      <c r="AA694" s="47" t="s">
        <v>75</v>
      </c>
      <c r="AB694" s="47" t="str">
        <f t="shared" si="315"/>
        <v>NA</v>
      </c>
      <c r="AC694" s="53">
        <f t="shared" si="316"/>
        <v>0</v>
      </c>
      <c r="AD694" s="54">
        <v>2</v>
      </c>
      <c r="AE694" s="54"/>
      <c r="AF694" s="54"/>
      <c r="AG694" s="55" t="str">
        <f t="shared" si="318"/>
        <v/>
      </c>
      <c r="AH694" s="56" t="str">
        <f t="shared" si="319"/>
        <v/>
      </c>
      <c r="AI694" s="55"/>
      <c r="AJ694" s="56" t="str">
        <f t="shared" si="320"/>
        <v/>
      </c>
      <c r="AK694" s="55"/>
      <c r="AL694" s="56" t="str">
        <f t="shared" si="321"/>
        <v/>
      </c>
      <c r="AM694" s="55">
        <v>1</v>
      </c>
      <c r="AN694" s="56">
        <f t="shared" si="322"/>
        <v>8</v>
      </c>
      <c r="AO694" s="55"/>
      <c r="AP694" s="56" t="str">
        <f t="shared" si="323"/>
        <v/>
      </c>
      <c r="AQ694" s="55"/>
      <c r="AR694" s="56" t="str">
        <f t="shared" si="324"/>
        <v/>
      </c>
      <c r="AS694" s="57"/>
      <c r="AT694" s="58"/>
      <c r="AU694" s="58"/>
      <c r="AV694" s="59"/>
      <c r="AW694" s="60">
        <v>1</v>
      </c>
      <c r="AX694" s="61">
        <f t="shared" si="303"/>
        <v>2</v>
      </c>
      <c r="AY694" s="60">
        <v>1</v>
      </c>
      <c r="AZ694" s="61">
        <f t="shared" si="305"/>
        <v>2</v>
      </c>
    </row>
    <row r="695" spans="1:52" s="3" customFormat="1" hidden="1" x14ac:dyDescent="0.35">
      <c r="A695" s="72">
        <f t="shared" si="306"/>
        <v>2019</v>
      </c>
      <c r="B695" s="72" t="str">
        <f t="shared" si="307"/>
        <v>Nov</v>
      </c>
      <c r="C695" s="73">
        <f t="shared" si="325"/>
        <v>18</v>
      </c>
      <c r="D695" s="74">
        <f t="shared" si="308"/>
        <v>19</v>
      </c>
      <c r="E695" s="75">
        <f t="shared" si="309"/>
        <v>20</v>
      </c>
      <c r="F695" s="79"/>
      <c r="G695" s="82"/>
      <c r="H695" s="68" t="str">
        <f t="shared" si="326"/>
        <v>Senbur0_20191118_19_00</v>
      </c>
      <c r="I695" s="69">
        <f t="shared" si="330"/>
        <v>1</v>
      </c>
      <c r="J695" s="76" t="str">
        <f t="shared" si="330"/>
        <v>Senecio</v>
      </c>
      <c r="K695" s="76" t="str">
        <f t="shared" si="330"/>
        <v>burtoni</v>
      </c>
      <c r="L695" s="77">
        <f t="shared" si="330"/>
        <v>0</v>
      </c>
      <c r="M695" s="77">
        <f t="shared" si="330"/>
        <v>7</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18</v>
      </c>
      <c r="D696" s="74">
        <f t="shared" si="308"/>
        <v>19</v>
      </c>
      <c r="E696" s="75">
        <f t="shared" si="309"/>
        <v>21</v>
      </c>
      <c r="F696" s="79"/>
      <c r="G696" s="82"/>
      <c r="H696" s="68" t="str">
        <f t="shared" si="326"/>
        <v>Senbur0_20191118_19_00</v>
      </c>
      <c r="I696" s="69">
        <f t="shared" si="330"/>
        <v>1</v>
      </c>
      <c r="J696" s="76" t="str">
        <f t="shared" si="330"/>
        <v>Senecio</v>
      </c>
      <c r="K696" s="76" t="str">
        <f t="shared" si="330"/>
        <v>burtoni</v>
      </c>
      <c r="L696" s="77">
        <f t="shared" si="330"/>
        <v>0</v>
      </c>
      <c r="M696" s="77">
        <f t="shared" si="330"/>
        <v>7</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18</v>
      </c>
      <c r="D697" s="74">
        <f t="shared" si="308"/>
        <v>19</v>
      </c>
      <c r="E697" s="75">
        <f t="shared" si="309"/>
        <v>22</v>
      </c>
      <c r="F697" s="79"/>
      <c r="G697" s="82"/>
      <c r="H697" s="68" t="str">
        <f t="shared" si="326"/>
        <v>Senbur0_20191118_19_00</v>
      </c>
      <c r="I697" s="69">
        <f t="shared" si="330"/>
        <v>1</v>
      </c>
      <c r="J697" s="76" t="str">
        <f t="shared" si="330"/>
        <v>Senecio</v>
      </c>
      <c r="K697" s="76" t="str">
        <f t="shared" si="330"/>
        <v>burtoni</v>
      </c>
      <c r="L697" s="77">
        <f t="shared" si="330"/>
        <v>0</v>
      </c>
      <c r="M697" s="77">
        <f t="shared" si="330"/>
        <v>7</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18</v>
      </c>
      <c r="D698" s="74">
        <f t="shared" si="308"/>
        <v>19</v>
      </c>
      <c r="E698" s="75">
        <f t="shared" si="309"/>
        <v>23</v>
      </c>
      <c r="F698" s="79"/>
      <c r="G698" s="82"/>
      <c r="H698" s="68" t="str">
        <f t="shared" si="326"/>
        <v>Senbur0_20191118_19_00</v>
      </c>
      <c r="I698" s="69">
        <f t="shared" si="330"/>
        <v>1</v>
      </c>
      <c r="J698" s="76" t="str">
        <f t="shared" si="330"/>
        <v>Senecio</v>
      </c>
      <c r="K698" s="76" t="str">
        <f t="shared" si="330"/>
        <v>burtoni</v>
      </c>
      <c r="L698" s="77">
        <f t="shared" si="330"/>
        <v>0</v>
      </c>
      <c r="M698" s="77">
        <f t="shared" si="330"/>
        <v>7</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18</v>
      </c>
      <c r="D699" s="74">
        <f t="shared" si="308"/>
        <v>19</v>
      </c>
      <c r="E699" s="75">
        <f t="shared" si="309"/>
        <v>24</v>
      </c>
      <c r="F699" s="79"/>
      <c r="G699" s="82"/>
      <c r="H699" s="68" t="str">
        <f t="shared" si="326"/>
        <v>Senbur0_20191118_19_00</v>
      </c>
      <c r="I699" s="69">
        <f t="shared" si="330"/>
        <v>1</v>
      </c>
      <c r="J699" s="76" t="str">
        <f t="shared" si="330"/>
        <v>Senecio</v>
      </c>
      <c r="K699" s="76" t="str">
        <f t="shared" si="330"/>
        <v>burtoni</v>
      </c>
      <c r="L699" s="77">
        <f t="shared" si="330"/>
        <v>0</v>
      </c>
      <c r="M699" s="77">
        <f t="shared" si="330"/>
        <v>7</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18</v>
      </c>
      <c r="D700" s="74">
        <f t="shared" si="308"/>
        <v>19</v>
      </c>
      <c r="E700" s="75">
        <f t="shared" si="309"/>
        <v>25</v>
      </c>
      <c r="F700" s="79"/>
      <c r="G700" s="82"/>
      <c r="H700" s="68" t="str">
        <f t="shared" si="326"/>
        <v>Senbur0_20191118_19_00</v>
      </c>
      <c r="I700" s="69">
        <f t="shared" si="330"/>
        <v>1</v>
      </c>
      <c r="J700" s="76" t="str">
        <f t="shared" si="330"/>
        <v>Senecio</v>
      </c>
      <c r="K700" s="76" t="str">
        <f t="shared" si="330"/>
        <v>burtoni</v>
      </c>
      <c r="L700" s="77">
        <f t="shared" si="330"/>
        <v>0</v>
      </c>
      <c r="M700" s="77">
        <f t="shared" si="330"/>
        <v>7</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18</v>
      </c>
      <c r="D701" s="74">
        <f t="shared" si="308"/>
        <v>19</v>
      </c>
      <c r="E701" s="75">
        <f t="shared" si="309"/>
        <v>26</v>
      </c>
      <c r="F701" s="79"/>
      <c r="G701" s="82"/>
      <c r="H701" s="68" t="str">
        <f t="shared" si="326"/>
        <v>Senbur0_20191118_19_00</v>
      </c>
      <c r="I701" s="69">
        <f t="shared" si="330"/>
        <v>1</v>
      </c>
      <c r="J701" s="76" t="str">
        <f t="shared" si="330"/>
        <v>Senecio</v>
      </c>
      <c r="K701" s="76" t="str">
        <f t="shared" si="330"/>
        <v>burtoni</v>
      </c>
      <c r="L701" s="77">
        <f t="shared" si="330"/>
        <v>0</v>
      </c>
      <c r="M701" s="77">
        <f t="shared" si="330"/>
        <v>7</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18</v>
      </c>
      <c r="D702" s="74">
        <f t="shared" si="308"/>
        <v>19</v>
      </c>
      <c r="E702" s="75">
        <f t="shared" si="309"/>
        <v>27</v>
      </c>
      <c r="F702" s="79"/>
      <c r="G702" s="82"/>
      <c r="H702" s="68" t="str">
        <f t="shared" si="326"/>
        <v>Senbur0_20191118_19_00</v>
      </c>
      <c r="I702" s="69">
        <f t="shared" si="330"/>
        <v>1</v>
      </c>
      <c r="J702" s="76" t="str">
        <f t="shared" si="330"/>
        <v>Senecio</v>
      </c>
      <c r="K702" s="76" t="str">
        <f t="shared" si="330"/>
        <v>burtoni</v>
      </c>
      <c r="L702" s="77">
        <f t="shared" si="330"/>
        <v>0</v>
      </c>
      <c r="M702" s="77">
        <f t="shared" si="330"/>
        <v>7</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18</v>
      </c>
      <c r="D703" s="74">
        <f t="shared" si="308"/>
        <v>19</v>
      </c>
      <c r="E703" s="75">
        <f t="shared" si="309"/>
        <v>28</v>
      </c>
      <c r="F703" s="79"/>
      <c r="G703" s="82"/>
      <c r="H703" s="68" t="str">
        <f t="shared" si="326"/>
        <v>Senbur0_20191118_19_00</v>
      </c>
      <c r="I703" s="69">
        <f t="shared" si="330"/>
        <v>1</v>
      </c>
      <c r="J703" s="76" t="str">
        <f t="shared" si="330"/>
        <v>Senecio</v>
      </c>
      <c r="K703" s="76" t="str">
        <f t="shared" si="330"/>
        <v>burtoni</v>
      </c>
      <c r="L703" s="77">
        <f t="shared" si="330"/>
        <v>0</v>
      </c>
      <c r="M703" s="77">
        <f t="shared" si="330"/>
        <v>7</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18</v>
      </c>
      <c r="D704" s="74">
        <f t="shared" si="308"/>
        <v>19</v>
      </c>
      <c r="E704" s="75">
        <f t="shared" si="309"/>
        <v>29</v>
      </c>
      <c r="F704" s="79"/>
      <c r="G704" s="82"/>
      <c r="H704" s="68" t="str">
        <f t="shared" si="326"/>
        <v>Senbur0_20191118_19_00</v>
      </c>
      <c r="I704" s="69">
        <f t="shared" si="330"/>
        <v>1</v>
      </c>
      <c r="J704" s="76" t="str">
        <f t="shared" si="330"/>
        <v>Senecio</v>
      </c>
      <c r="K704" s="76" t="str">
        <f t="shared" si="330"/>
        <v>burtoni</v>
      </c>
      <c r="L704" s="77">
        <f t="shared" si="330"/>
        <v>0</v>
      </c>
      <c r="M704" s="77">
        <f t="shared" si="330"/>
        <v>7</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18</v>
      </c>
      <c r="D705" s="74">
        <f t="shared" si="308"/>
        <v>19</v>
      </c>
      <c r="E705" s="75">
        <f t="shared" si="309"/>
        <v>30</v>
      </c>
      <c r="F705" s="79"/>
      <c r="G705" s="82"/>
      <c r="H705" s="68" t="str">
        <f t="shared" si="326"/>
        <v>Senbur0_20191118_19_00</v>
      </c>
      <c r="I705" s="69">
        <f t="shared" si="330"/>
        <v>1</v>
      </c>
      <c r="J705" s="76" t="str">
        <f t="shared" si="330"/>
        <v>Senecio</v>
      </c>
      <c r="K705" s="76" t="str">
        <f t="shared" si="330"/>
        <v>burtoni</v>
      </c>
      <c r="L705" s="77">
        <f t="shared" si="330"/>
        <v>0</v>
      </c>
      <c r="M705" s="77">
        <f t="shared" si="330"/>
        <v>7</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18</v>
      </c>
      <c r="D706" s="74">
        <f t="shared" si="308"/>
        <v>19</v>
      </c>
      <c r="E706" s="75">
        <f t="shared" si="309"/>
        <v>31</v>
      </c>
      <c r="F706" s="79"/>
      <c r="G706" s="82"/>
      <c r="H706" s="68" t="str">
        <f t="shared" si="326"/>
        <v>Senbur0_20191118_19_00</v>
      </c>
      <c r="I706" s="69">
        <f t="shared" si="330"/>
        <v>1</v>
      </c>
      <c r="J706" s="76" t="str">
        <f t="shared" si="330"/>
        <v>Senecio</v>
      </c>
      <c r="K706" s="76" t="str">
        <f t="shared" si="330"/>
        <v>burtoni</v>
      </c>
      <c r="L706" s="77">
        <f t="shared" si="330"/>
        <v>0</v>
      </c>
      <c r="M706" s="77">
        <f t="shared" si="330"/>
        <v>7</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18</v>
      </c>
      <c r="D707" s="74">
        <f t="shared" si="308"/>
        <v>19</v>
      </c>
      <c r="E707" s="75">
        <f t="shared" si="309"/>
        <v>32</v>
      </c>
      <c r="F707" s="79"/>
      <c r="G707" s="82"/>
      <c r="H707" s="68" t="str">
        <f t="shared" si="326"/>
        <v>Senbur0_20191118_19_00</v>
      </c>
      <c r="I707" s="69">
        <f t="shared" si="330"/>
        <v>1</v>
      </c>
      <c r="J707" s="76" t="str">
        <f t="shared" si="330"/>
        <v>Senecio</v>
      </c>
      <c r="K707" s="76" t="str">
        <f t="shared" si="330"/>
        <v>burtoni</v>
      </c>
      <c r="L707" s="77">
        <f t="shared" si="330"/>
        <v>0</v>
      </c>
      <c r="M707" s="77">
        <f t="shared" si="330"/>
        <v>7</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18</v>
      </c>
      <c r="D708" s="74">
        <f t="shared" ref="D708:D771" si="338">IF(IF(E707=59,D707+1,D707)=24,0,IF(E707=59,D707+1,D707))</f>
        <v>19</v>
      </c>
      <c r="E708" s="75">
        <f t="shared" ref="E708:E771" si="339">IF(E707&lt;59,E707+1,0)</f>
        <v>33</v>
      </c>
      <c r="F708" s="79"/>
      <c r="G708" s="82"/>
      <c r="H708" s="68" t="str">
        <f t="shared" si="326"/>
        <v>Senbur0_20191118_19_00</v>
      </c>
      <c r="I708" s="69">
        <f t="shared" si="330"/>
        <v>1</v>
      </c>
      <c r="J708" s="76" t="str">
        <f t="shared" si="330"/>
        <v>Senecio</v>
      </c>
      <c r="K708" s="76" t="str">
        <f t="shared" si="330"/>
        <v>burtoni</v>
      </c>
      <c r="L708" s="77">
        <f t="shared" si="330"/>
        <v>0</v>
      </c>
      <c r="M708" s="77">
        <f t="shared" si="330"/>
        <v>7</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18</v>
      </c>
      <c r="D709" s="74">
        <f t="shared" si="338"/>
        <v>19</v>
      </c>
      <c r="E709" s="75">
        <f t="shared" si="339"/>
        <v>34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Senbur0_20191118_19_00</v>
      </c>
      <c r="I709" s="69">
        <f t="shared" ref="I709:N724" si="357">I708</f>
        <v>1</v>
      </c>
      <c r="J709" s="76" t="str">
        <f t="shared" si="357"/>
        <v>Senecio</v>
      </c>
      <c r="K709" s="76" t="str">
        <f t="shared" si="357"/>
        <v>burtoni</v>
      </c>
      <c r="L709" s="77">
        <f t="shared" si="357"/>
        <v>0</v>
      </c>
      <c r="M709" s="77">
        <f t="shared" si="357"/>
        <v>7</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18</v>
      </c>
      <c r="D710" s="74">
        <f t="shared" si="338"/>
        <v>19</v>
      </c>
      <c r="E710" s="75">
        <f t="shared" si="339"/>
        <v>35</v>
      </c>
      <c r="F710" s="79"/>
      <c r="G710" s="82"/>
      <c r="H710" s="68" t="str">
        <f t="shared" si="356"/>
        <v>Senbur0_20191118_19_00</v>
      </c>
      <c r="I710" s="69">
        <f t="shared" si="357"/>
        <v>1</v>
      </c>
      <c r="J710" s="76" t="str">
        <f t="shared" si="357"/>
        <v>Senecio</v>
      </c>
      <c r="K710" s="76" t="str">
        <f t="shared" si="357"/>
        <v>burtoni</v>
      </c>
      <c r="L710" s="77">
        <f t="shared" si="357"/>
        <v>0</v>
      </c>
      <c r="M710" s="77">
        <f t="shared" si="357"/>
        <v>7</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18</v>
      </c>
      <c r="D711" s="74">
        <f t="shared" si="338"/>
        <v>19</v>
      </c>
      <c r="E711" s="75">
        <f t="shared" si="339"/>
        <v>36</v>
      </c>
      <c r="F711" s="79"/>
      <c r="G711" s="82"/>
      <c r="H711" s="68" t="str">
        <f t="shared" si="356"/>
        <v>Senbur0_20191118_19_00</v>
      </c>
      <c r="I711" s="69">
        <f t="shared" si="357"/>
        <v>1</v>
      </c>
      <c r="J711" s="76" t="str">
        <f t="shared" si="357"/>
        <v>Senecio</v>
      </c>
      <c r="K711" s="76" t="str">
        <f t="shared" si="357"/>
        <v>burtoni</v>
      </c>
      <c r="L711" s="77">
        <f t="shared" si="357"/>
        <v>0</v>
      </c>
      <c r="M711" s="77">
        <f t="shared" si="357"/>
        <v>7</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18</v>
      </c>
      <c r="D712" s="74">
        <f t="shared" si="338"/>
        <v>19</v>
      </c>
      <c r="E712" s="75">
        <f t="shared" si="339"/>
        <v>37</v>
      </c>
      <c r="F712" s="79"/>
      <c r="G712" s="82"/>
      <c r="H712" s="68" t="str">
        <f t="shared" si="356"/>
        <v>Senbur0_20191118_19_00</v>
      </c>
      <c r="I712" s="69">
        <f t="shared" si="357"/>
        <v>1</v>
      </c>
      <c r="J712" s="76" t="str">
        <f t="shared" si="357"/>
        <v>Senecio</v>
      </c>
      <c r="K712" s="76" t="str">
        <f t="shared" si="357"/>
        <v>burtoni</v>
      </c>
      <c r="L712" s="77">
        <f t="shared" si="357"/>
        <v>0</v>
      </c>
      <c r="M712" s="77">
        <f t="shared" si="357"/>
        <v>7</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18</v>
      </c>
      <c r="D713" s="74">
        <f t="shared" si="338"/>
        <v>19</v>
      </c>
      <c r="E713" s="75">
        <f t="shared" si="339"/>
        <v>38</v>
      </c>
      <c r="F713" s="79"/>
      <c r="G713" s="82"/>
      <c r="H713" s="68" t="str">
        <f t="shared" si="356"/>
        <v>Senbur0_20191118_19_00</v>
      </c>
      <c r="I713" s="69">
        <f t="shared" si="357"/>
        <v>1</v>
      </c>
      <c r="J713" s="76" t="str">
        <f t="shared" si="357"/>
        <v>Senecio</v>
      </c>
      <c r="K713" s="76" t="str">
        <f t="shared" si="357"/>
        <v>burtoni</v>
      </c>
      <c r="L713" s="77">
        <f t="shared" si="357"/>
        <v>0</v>
      </c>
      <c r="M713" s="77">
        <f t="shared" si="357"/>
        <v>7</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18</v>
      </c>
      <c r="D714" s="74">
        <f t="shared" si="338"/>
        <v>19</v>
      </c>
      <c r="E714" s="75">
        <f t="shared" si="339"/>
        <v>39</v>
      </c>
      <c r="F714" s="79"/>
      <c r="G714" s="82"/>
      <c r="H714" s="68" t="str">
        <f t="shared" si="356"/>
        <v>Senbur0_20191118_19_00</v>
      </c>
      <c r="I714" s="69">
        <f t="shared" si="357"/>
        <v>1</v>
      </c>
      <c r="J714" s="76" t="str">
        <f t="shared" si="357"/>
        <v>Senecio</v>
      </c>
      <c r="K714" s="76" t="str">
        <f t="shared" si="357"/>
        <v>burtoni</v>
      </c>
      <c r="L714" s="77">
        <f t="shared" si="357"/>
        <v>0</v>
      </c>
      <c r="M714" s="77">
        <f t="shared" si="357"/>
        <v>7</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18</v>
      </c>
      <c r="D715" s="74">
        <f t="shared" si="338"/>
        <v>19</v>
      </c>
      <c r="E715" s="75">
        <f t="shared" si="339"/>
        <v>40</v>
      </c>
      <c r="F715" s="79"/>
      <c r="G715" s="82"/>
      <c r="H715" s="68" t="str">
        <f t="shared" si="356"/>
        <v>Senbur0_20191118_19_00</v>
      </c>
      <c r="I715" s="69">
        <f t="shared" si="357"/>
        <v>1</v>
      </c>
      <c r="J715" s="76" t="str">
        <f t="shared" si="357"/>
        <v>Senecio</v>
      </c>
      <c r="K715" s="76" t="str">
        <f t="shared" si="357"/>
        <v>burtoni</v>
      </c>
      <c r="L715" s="77">
        <f t="shared" si="357"/>
        <v>0</v>
      </c>
      <c r="M715" s="77">
        <f t="shared" si="357"/>
        <v>7</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18</v>
      </c>
      <c r="D716" s="74">
        <f t="shared" si="338"/>
        <v>19</v>
      </c>
      <c r="E716" s="75">
        <f t="shared" si="339"/>
        <v>41</v>
      </c>
      <c r="F716" s="79"/>
      <c r="G716" s="82"/>
      <c r="H716" s="68" t="str">
        <f t="shared" si="356"/>
        <v>Senbur0_20191118_19_00</v>
      </c>
      <c r="I716" s="69">
        <f t="shared" si="357"/>
        <v>1</v>
      </c>
      <c r="J716" s="76" t="str">
        <f t="shared" si="357"/>
        <v>Senecio</v>
      </c>
      <c r="K716" s="76" t="str">
        <f t="shared" si="357"/>
        <v>burtoni</v>
      </c>
      <c r="L716" s="77">
        <f t="shared" si="357"/>
        <v>0</v>
      </c>
      <c r="M716" s="77">
        <f t="shared" si="357"/>
        <v>7</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18</v>
      </c>
      <c r="D717" s="74">
        <f t="shared" si="338"/>
        <v>19</v>
      </c>
      <c r="E717" s="75">
        <f t="shared" si="339"/>
        <v>42</v>
      </c>
      <c r="F717" s="79"/>
      <c r="G717" s="82"/>
      <c r="H717" s="68" t="str">
        <f t="shared" si="356"/>
        <v>Senbur0_20191118_19_00</v>
      </c>
      <c r="I717" s="69">
        <f t="shared" si="357"/>
        <v>1</v>
      </c>
      <c r="J717" s="76" t="str">
        <f t="shared" si="357"/>
        <v>Senecio</v>
      </c>
      <c r="K717" s="76" t="str">
        <f t="shared" si="357"/>
        <v>burtoni</v>
      </c>
      <c r="L717" s="77">
        <f t="shared" si="357"/>
        <v>0</v>
      </c>
      <c r="M717" s="77">
        <f t="shared" si="357"/>
        <v>7</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18</v>
      </c>
      <c r="D718" s="74">
        <f t="shared" si="338"/>
        <v>19</v>
      </c>
      <c r="E718" s="75">
        <f t="shared" si="339"/>
        <v>43</v>
      </c>
      <c r="F718" s="79"/>
      <c r="G718" s="82"/>
      <c r="H718" s="68" t="str">
        <f t="shared" si="356"/>
        <v>Senbur0_20191118_19_00</v>
      </c>
      <c r="I718" s="69">
        <f t="shared" si="357"/>
        <v>1</v>
      </c>
      <c r="J718" s="76" t="str">
        <f t="shared" si="357"/>
        <v>Senecio</v>
      </c>
      <c r="K718" s="76" t="str">
        <f t="shared" si="357"/>
        <v>burtoni</v>
      </c>
      <c r="L718" s="77">
        <f t="shared" si="357"/>
        <v>0</v>
      </c>
      <c r="M718" s="77">
        <f t="shared" si="357"/>
        <v>7</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18</v>
      </c>
      <c r="D719" s="74">
        <f t="shared" si="338"/>
        <v>19</v>
      </c>
      <c r="E719" s="75">
        <f t="shared" si="339"/>
        <v>44</v>
      </c>
      <c r="F719" s="79"/>
      <c r="G719" s="82"/>
      <c r="H719" s="68" t="str">
        <f t="shared" si="356"/>
        <v>Senbur0_20191118_19_00</v>
      </c>
      <c r="I719" s="69">
        <f t="shared" si="357"/>
        <v>1</v>
      </c>
      <c r="J719" s="76" t="str">
        <f t="shared" si="357"/>
        <v>Senecio</v>
      </c>
      <c r="K719" s="76" t="str">
        <f t="shared" si="357"/>
        <v>burtoni</v>
      </c>
      <c r="L719" s="77">
        <f t="shared" si="357"/>
        <v>0</v>
      </c>
      <c r="M719" s="77">
        <f t="shared" si="357"/>
        <v>7</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18</v>
      </c>
      <c r="D720" s="74">
        <f t="shared" si="338"/>
        <v>19</v>
      </c>
      <c r="E720" s="75">
        <f t="shared" si="339"/>
        <v>45</v>
      </c>
      <c r="F720" s="79"/>
      <c r="G720" s="82"/>
      <c r="H720" s="68" t="str">
        <f t="shared" si="356"/>
        <v>Senbur0_20191118_19_00</v>
      </c>
      <c r="I720" s="69">
        <f t="shared" si="357"/>
        <v>1</v>
      </c>
      <c r="J720" s="76" t="str">
        <f t="shared" si="357"/>
        <v>Senecio</v>
      </c>
      <c r="K720" s="76" t="str">
        <f t="shared" si="357"/>
        <v>burtoni</v>
      </c>
      <c r="L720" s="77">
        <f t="shared" si="357"/>
        <v>0</v>
      </c>
      <c r="M720" s="77">
        <f t="shared" si="357"/>
        <v>7</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18</v>
      </c>
      <c r="D721" s="74">
        <f t="shared" si="338"/>
        <v>19</v>
      </c>
      <c r="E721" s="75">
        <f t="shared" si="339"/>
        <v>46</v>
      </c>
      <c r="F721" s="79"/>
      <c r="G721" s="82"/>
      <c r="H721" s="68" t="str">
        <f t="shared" si="356"/>
        <v>Senbur0_20191118_19_00</v>
      </c>
      <c r="I721" s="69">
        <f t="shared" si="357"/>
        <v>1</v>
      </c>
      <c r="J721" s="76" t="str">
        <f t="shared" si="357"/>
        <v>Senecio</v>
      </c>
      <c r="K721" s="76" t="str">
        <f t="shared" si="357"/>
        <v>burtoni</v>
      </c>
      <c r="L721" s="77">
        <f t="shared" si="357"/>
        <v>0</v>
      </c>
      <c r="M721" s="77">
        <f t="shared" si="357"/>
        <v>7</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18</v>
      </c>
      <c r="D722" s="74">
        <f t="shared" si="338"/>
        <v>19</v>
      </c>
      <c r="E722" s="75">
        <f t="shared" si="339"/>
        <v>47</v>
      </c>
      <c r="F722" s="79"/>
      <c r="G722" s="82"/>
      <c r="H722" s="68" t="str">
        <f t="shared" si="356"/>
        <v>Senbur0_20191118_19_00</v>
      </c>
      <c r="I722" s="69">
        <f t="shared" si="357"/>
        <v>1</v>
      </c>
      <c r="J722" s="76" t="str">
        <f t="shared" si="357"/>
        <v>Senecio</v>
      </c>
      <c r="K722" s="76" t="str">
        <f t="shared" si="357"/>
        <v>burtoni</v>
      </c>
      <c r="L722" s="77">
        <f t="shared" si="357"/>
        <v>0</v>
      </c>
      <c r="M722" s="77">
        <f t="shared" si="357"/>
        <v>7</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18</v>
      </c>
      <c r="D723" s="74">
        <f t="shared" si="338"/>
        <v>19</v>
      </c>
      <c r="E723" s="75">
        <f t="shared" si="339"/>
        <v>48</v>
      </c>
      <c r="F723" s="79"/>
      <c r="G723" s="82"/>
      <c r="H723" s="68" t="str">
        <f t="shared" si="356"/>
        <v>Senbur0_20191118_19_00</v>
      </c>
      <c r="I723" s="69">
        <f t="shared" si="357"/>
        <v>1</v>
      </c>
      <c r="J723" s="76" t="str">
        <f t="shared" si="357"/>
        <v>Senecio</v>
      </c>
      <c r="K723" s="76" t="str">
        <f t="shared" si="357"/>
        <v>burtoni</v>
      </c>
      <c r="L723" s="77">
        <f t="shared" si="357"/>
        <v>0</v>
      </c>
      <c r="M723" s="77">
        <f t="shared" si="357"/>
        <v>7</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18</v>
      </c>
      <c r="D724" s="74">
        <f t="shared" si="338"/>
        <v>19</v>
      </c>
      <c r="E724" s="75">
        <f t="shared" si="339"/>
        <v>49</v>
      </c>
      <c r="F724" s="79"/>
      <c r="G724" s="82"/>
      <c r="H724" s="68" t="str">
        <f t="shared" si="356"/>
        <v>Senbur0_20191118_19_00</v>
      </c>
      <c r="I724" s="69">
        <f t="shared" si="357"/>
        <v>1</v>
      </c>
      <c r="J724" s="76" t="str">
        <f t="shared" si="357"/>
        <v>Senecio</v>
      </c>
      <c r="K724" s="76" t="str">
        <f t="shared" si="357"/>
        <v>burtoni</v>
      </c>
      <c r="L724" s="77">
        <f t="shared" si="357"/>
        <v>0</v>
      </c>
      <c r="M724" s="77">
        <f t="shared" si="357"/>
        <v>7</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18</v>
      </c>
      <c r="D725" s="74">
        <f t="shared" si="338"/>
        <v>19</v>
      </c>
      <c r="E725" s="75">
        <f t="shared" si="339"/>
        <v>50</v>
      </c>
      <c r="F725" s="79"/>
      <c r="G725" s="82"/>
      <c r="H725" s="68" t="str">
        <f t="shared" si="356"/>
        <v>Senbur0_20191118_19_00</v>
      </c>
      <c r="I725" s="69">
        <f t="shared" ref="I725:N740" si="358">I724</f>
        <v>1</v>
      </c>
      <c r="J725" s="76" t="str">
        <f t="shared" si="358"/>
        <v>Senecio</v>
      </c>
      <c r="K725" s="76" t="str">
        <f t="shared" si="358"/>
        <v>burtoni</v>
      </c>
      <c r="L725" s="77">
        <f t="shared" si="358"/>
        <v>0</v>
      </c>
      <c r="M725" s="77">
        <f t="shared" si="358"/>
        <v>7</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18</v>
      </c>
      <c r="D726" s="74">
        <f t="shared" si="338"/>
        <v>19</v>
      </c>
      <c r="E726" s="75">
        <f t="shared" si="339"/>
        <v>51</v>
      </c>
      <c r="F726" s="79"/>
      <c r="G726" s="82"/>
      <c r="H726" s="68" t="str">
        <f t="shared" si="356"/>
        <v>Senbur0_20191118_19_00</v>
      </c>
      <c r="I726" s="69">
        <f t="shared" si="358"/>
        <v>1</v>
      </c>
      <c r="J726" s="76" t="str">
        <f t="shared" si="358"/>
        <v>Senecio</v>
      </c>
      <c r="K726" s="76" t="str">
        <f t="shared" si="358"/>
        <v>burtoni</v>
      </c>
      <c r="L726" s="77">
        <f t="shared" si="358"/>
        <v>0</v>
      </c>
      <c r="M726" s="77">
        <f t="shared" si="358"/>
        <v>7</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18</v>
      </c>
      <c r="D727" s="74">
        <f t="shared" si="338"/>
        <v>19</v>
      </c>
      <c r="E727" s="75">
        <f t="shared" si="339"/>
        <v>52</v>
      </c>
      <c r="F727" s="79"/>
      <c r="G727" s="82"/>
      <c r="H727" s="68" t="str">
        <f t="shared" si="356"/>
        <v>Senbur0_20191118_19_00</v>
      </c>
      <c r="I727" s="69">
        <f t="shared" si="358"/>
        <v>1</v>
      </c>
      <c r="J727" s="76" t="str">
        <f t="shared" si="358"/>
        <v>Senecio</v>
      </c>
      <c r="K727" s="76" t="str">
        <f t="shared" si="358"/>
        <v>burtoni</v>
      </c>
      <c r="L727" s="77">
        <f t="shared" si="358"/>
        <v>0</v>
      </c>
      <c r="M727" s="77">
        <f t="shared" si="358"/>
        <v>7</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18</v>
      </c>
      <c r="D728" s="74">
        <f t="shared" si="338"/>
        <v>19</v>
      </c>
      <c r="E728" s="75">
        <f t="shared" si="339"/>
        <v>53</v>
      </c>
      <c r="F728" s="79"/>
      <c r="G728" s="82"/>
      <c r="H728" s="68" t="str">
        <f t="shared" si="356"/>
        <v>Senbur0_20191118_19_00</v>
      </c>
      <c r="I728" s="69">
        <f t="shared" si="358"/>
        <v>1</v>
      </c>
      <c r="J728" s="76" t="str">
        <f t="shared" si="358"/>
        <v>Senecio</v>
      </c>
      <c r="K728" s="76" t="str">
        <f t="shared" si="358"/>
        <v>burtoni</v>
      </c>
      <c r="L728" s="77">
        <f t="shared" si="358"/>
        <v>0</v>
      </c>
      <c r="M728" s="77">
        <f t="shared" si="358"/>
        <v>7</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18</v>
      </c>
      <c r="D729" s="74">
        <f t="shared" si="338"/>
        <v>19</v>
      </c>
      <c r="E729" s="75">
        <f t="shared" si="339"/>
        <v>54</v>
      </c>
      <c r="F729" s="79"/>
      <c r="G729" s="82"/>
      <c r="H729" s="68" t="str">
        <f t="shared" si="356"/>
        <v>Senbur0_20191118_19_00</v>
      </c>
      <c r="I729" s="69">
        <f t="shared" si="358"/>
        <v>1</v>
      </c>
      <c r="J729" s="76" t="str">
        <f t="shared" si="358"/>
        <v>Senecio</v>
      </c>
      <c r="K729" s="76" t="str">
        <f t="shared" si="358"/>
        <v>burtoni</v>
      </c>
      <c r="L729" s="77">
        <f t="shared" si="358"/>
        <v>0</v>
      </c>
      <c r="M729" s="77">
        <f t="shared" si="358"/>
        <v>7</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18</v>
      </c>
      <c r="D730" s="74">
        <f t="shared" si="338"/>
        <v>19</v>
      </c>
      <c r="E730" s="75">
        <f t="shared" si="339"/>
        <v>55</v>
      </c>
      <c r="F730" s="79"/>
      <c r="G730" s="82"/>
      <c r="H730" s="68" t="str">
        <f t="shared" si="356"/>
        <v>Senbur0_20191118_19_00</v>
      </c>
      <c r="I730" s="69">
        <f t="shared" si="358"/>
        <v>1</v>
      </c>
      <c r="J730" s="76" t="str">
        <f t="shared" si="358"/>
        <v>Senecio</v>
      </c>
      <c r="K730" s="76" t="str">
        <f t="shared" si="358"/>
        <v>burtoni</v>
      </c>
      <c r="L730" s="77">
        <f t="shared" si="358"/>
        <v>0</v>
      </c>
      <c r="M730" s="77">
        <f t="shared" si="358"/>
        <v>7</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18</v>
      </c>
      <c r="D731" s="74">
        <f t="shared" si="338"/>
        <v>19</v>
      </c>
      <c r="E731" s="75">
        <f t="shared" si="339"/>
        <v>56</v>
      </c>
      <c r="F731" s="79"/>
      <c r="G731" s="82"/>
      <c r="H731" s="68" t="str">
        <f t="shared" si="356"/>
        <v>Senbur0_20191118_19_00</v>
      </c>
      <c r="I731" s="69">
        <f t="shared" si="358"/>
        <v>1</v>
      </c>
      <c r="J731" s="76" t="str">
        <f t="shared" si="358"/>
        <v>Senecio</v>
      </c>
      <c r="K731" s="76" t="str">
        <f t="shared" si="358"/>
        <v>burtoni</v>
      </c>
      <c r="L731" s="77">
        <f t="shared" si="358"/>
        <v>0</v>
      </c>
      <c r="M731" s="77">
        <f t="shared" si="358"/>
        <v>7</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18</v>
      </c>
      <c r="D732" s="74">
        <f t="shared" si="338"/>
        <v>19</v>
      </c>
      <c r="E732" s="75">
        <f t="shared" si="339"/>
        <v>57</v>
      </c>
      <c r="F732" s="79"/>
      <c r="G732" s="82"/>
      <c r="H732" s="68" t="str">
        <f t="shared" si="356"/>
        <v>Senbur0_20191118_19_00</v>
      </c>
      <c r="I732" s="69">
        <f t="shared" si="358"/>
        <v>1</v>
      </c>
      <c r="J732" s="76" t="str">
        <f t="shared" si="358"/>
        <v>Senecio</v>
      </c>
      <c r="K732" s="76" t="str">
        <f t="shared" si="358"/>
        <v>burtoni</v>
      </c>
      <c r="L732" s="77">
        <f t="shared" si="358"/>
        <v>0</v>
      </c>
      <c r="M732" s="77">
        <f t="shared" si="358"/>
        <v>7</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18</v>
      </c>
      <c r="D733" s="74">
        <f t="shared" si="338"/>
        <v>19</v>
      </c>
      <c r="E733" s="75">
        <f t="shared" si="339"/>
        <v>58</v>
      </c>
      <c r="F733" s="79"/>
      <c r="G733" s="82"/>
      <c r="H733" s="68" t="str">
        <f t="shared" si="356"/>
        <v>Senbur0_20191118_19_00</v>
      </c>
      <c r="I733" s="69">
        <f t="shared" si="358"/>
        <v>1</v>
      </c>
      <c r="J733" s="76" t="str">
        <f t="shared" si="358"/>
        <v>Senecio</v>
      </c>
      <c r="K733" s="76" t="str">
        <f t="shared" si="358"/>
        <v>burtoni</v>
      </c>
      <c r="L733" s="77">
        <f t="shared" si="358"/>
        <v>0</v>
      </c>
      <c r="M733" s="77">
        <f t="shared" si="358"/>
        <v>7</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18</v>
      </c>
      <c r="D734" s="74">
        <f t="shared" si="338"/>
        <v>19</v>
      </c>
      <c r="E734" s="75">
        <f t="shared" si="339"/>
        <v>59</v>
      </c>
      <c r="F734" s="79"/>
      <c r="G734" s="82"/>
      <c r="H734" s="68" t="str">
        <f t="shared" si="356"/>
        <v>Senbur0_20191118_19_00</v>
      </c>
      <c r="I734" s="69">
        <f t="shared" si="358"/>
        <v>1</v>
      </c>
      <c r="J734" s="76" t="str">
        <f t="shared" si="358"/>
        <v>Senecio</v>
      </c>
      <c r="K734" s="76" t="str">
        <f t="shared" si="358"/>
        <v>burtoni</v>
      </c>
      <c r="L734" s="77">
        <f t="shared" si="358"/>
        <v>0</v>
      </c>
      <c r="M734" s="77">
        <f t="shared" si="358"/>
        <v>7</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18</v>
      </c>
      <c r="D735" s="74">
        <f t="shared" si="338"/>
        <v>20</v>
      </c>
      <c r="E735" s="75">
        <f t="shared" si="339"/>
        <v>0</v>
      </c>
      <c r="F735" s="79"/>
      <c r="G735" s="82"/>
      <c r="H735" s="68" t="str">
        <f t="shared" si="356"/>
        <v>Senbur0_20191118_20_00</v>
      </c>
      <c r="I735" s="69">
        <f t="shared" si="358"/>
        <v>1</v>
      </c>
      <c r="J735" s="76" t="str">
        <f t="shared" si="358"/>
        <v>Senecio</v>
      </c>
      <c r="K735" s="76" t="str">
        <f t="shared" si="358"/>
        <v>burtoni</v>
      </c>
      <c r="L735" s="77">
        <f t="shared" si="358"/>
        <v>0</v>
      </c>
      <c r="M735" s="77">
        <f t="shared" si="358"/>
        <v>7</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18</v>
      </c>
      <c r="D736" s="74">
        <f t="shared" si="338"/>
        <v>20</v>
      </c>
      <c r="E736" s="75">
        <f t="shared" si="339"/>
        <v>1</v>
      </c>
      <c r="F736" s="79"/>
      <c r="G736" s="82"/>
      <c r="H736" s="68" t="str">
        <f t="shared" si="356"/>
        <v>Senbur0_20191118_20_00</v>
      </c>
      <c r="I736" s="69">
        <f t="shared" si="358"/>
        <v>1</v>
      </c>
      <c r="J736" s="76" t="str">
        <f t="shared" si="358"/>
        <v>Senecio</v>
      </c>
      <c r="K736" s="76" t="str">
        <f t="shared" si="358"/>
        <v>burtoni</v>
      </c>
      <c r="L736" s="77">
        <f t="shared" si="358"/>
        <v>0</v>
      </c>
      <c r="M736" s="77">
        <f t="shared" si="358"/>
        <v>7</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18</v>
      </c>
      <c r="D737" s="74">
        <f t="shared" si="338"/>
        <v>20</v>
      </c>
      <c r="E737" s="75">
        <f t="shared" si="339"/>
        <v>2</v>
      </c>
      <c r="F737" s="79"/>
      <c r="G737" s="82"/>
      <c r="H737" s="68" t="str">
        <f t="shared" si="356"/>
        <v>Senbur0_20191118_20_00</v>
      </c>
      <c r="I737" s="69">
        <f t="shared" si="358"/>
        <v>1</v>
      </c>
      <c r="J737" s="76" t="str">
        <f t="shared" si="358"/>
        <v>Senecio</v>
      </c>
      <c r="K737" s="76" t="str">
        <f t="shared" si="358"/>
        <v>burtoni</v>
      </c>
      <c r="L737" s="77">
        <f t="shared" si="358"/>
        <v>0</v>
      </c>
      <c r="M737" s="77">
        <f t="shared" si="358"/>
        <v>7</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18</v>
      </c>
      <c r="D738" s="74">
        <f t="shared" si="338"/>
        <v>20</v>
      </c>
      <c r="E738" s="75">
        <f t="shared" si="339"/>
        <v>3</v>
      </c>
      <c r="F738" s="79"/>
      <c r="G738" s="82"/>
      <c r="H738" s="68" t="str">
        <f t="shared" si="356"/>
        <v>Senbur0_20191118_20_00</v>
      </c>
      <c r="I738" s="69">
        <f t="shared" si="358"/>
        <v>1</v>
      </c>
      <c r="J738" s="76" t="str">
        <f t="shared" si="358"/>
        <v>Senecio</v>
      </c>
      <c r="K738" s="76" t="str">
        <f t="shared" si="358"/>
        <v>burtoni</v>
      </c>
      <c r="L738" s="77">
        <f t="shared" si="358"/>
        <v>0</v>
      </c>
      <c r="M738" s="77">
        <f t="shared" si="358"/>
        <v>7</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18</v>
      </c>
      <c r="D739" s="74">
        <f t="shared" si="338"/>
        <v>20</v>
      </c>
      <c r="E739" s="75">
        <f t="shared" si="339"/>
        <v>4</v>
      </c>
      <c r="F739" s="79"/>
      <c r="G739" s="82"/>
      <c r="H739" s="68" t="str">
        <f t="shared" si="356"/>
        <v>Senbur0_20191118_20_00</v>
      </c>
      <c r="I739" s="69">
        <f t="shared" si="358"/>
        <v>1</v>
      </c>
      <c r="J739" s="76" t="str">
        <f t="shared" si="358"/>
        <v>Senecio</v>
      </c>
      <c r="K739" s="76" t="str">
        <f t="shared" si="358"/>
        <v>burtoni</v>
      </c>
      <c r="L739" s="77">
        <f t="shared" si="358"/>
        <v>0</v>
      </c>
      <c r="M739" s="77">
        <f t="shared" si="358"/>
        <v>7</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18</v>
      </c>
      <c r="D740" s="74">
        <f t="shared" si="338"/>
        <v>20</v>
      </c>
      <c r="E740" s="75">
        <f t="shared" si="339"/>
        <v>5</v>
      </c>
      <c r="F740" s="79"/>
      <c r="G740" s="82"/>
      <c r="H740" s="68" t="str">
        <f t="shared" si="356"/>
        <v>Senbur0_20191118_20_00</v>
      </c>
      <c r="I740" s="69">
        <f t="shared" si="358"/>
        <v>1</v>
      </c>
      <c r="J740" s="76" t="str">
        <f t="shared" si="358"/>
        <v>Senecio</v>
      </c>
      <c r="K740" s="76" t="str">
        <f t="shared" si="358"/>
        <v>burtoni</v>
      </c>
      <c r="L740" s="77">
        <f t="shared" si="358"/>
        <v>0</v>
      </c>
      <c r="M740" s="77">
        <f t="shared" si="358"/>
        <v>7</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18</v>
      </c>
      <c r="D741" s="74">
        <f t="shared" si="338"/>
        <v>20</v>
      </c>
      <c r="E741" s="75">
        <f t="shared" si="339"/>
        <v>6</v>
      </c>
      <c r="F741" s="79"/>
      <c r="G741" s="82"/>
      <c r="H741" s="68" t="str">
        <f t="shared" si="356"/>
        <v>Senbur0_20191118_20_00</v>
      </c>
      <c r="I741" s="69">
        <f t="shared" ref="I741:N756" si="359">I740</f>
        <v>1</v>
      </c>
      <c r="J741" s="76" t="str">
        <f t="shared" si="359"/>
        <v>Senecio</v>
      </c>
      <c r="K741" s="76" t="str">
        <f t="shared" si="359"/>
        <v>burtoni</v>
      </c>
      <c r="L741" s="77">
        <f t="shared" si="359"/>
        <v>0</v>
      </c>
      <c r="M741" s="77">
        <f t="shared" si="359"/>
        <v>7</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18</v>
      </c>
      <c r="D742" s="74">
        <f t="shared" si="338"/>
        <v>20</v>
      </c>
      <c r="E742" s="75">
        <f t="shared" si="339"/>
        <v>7</v>
      </c>
      <c r="F742" s="79"/>
      <c r="G742" s="82"/>
      <c r="H742" s="68" t="str">
        <f t="shared" si="356"/>
        <v>Senbur0_20191118_20_00</v>
      </c>
      <c r="I742" s="69">
        <f t="shared" si="359"/>
        <v>1</v>
      </c>
      <c r="J742" s="76" t="str">
        <f t="shared" si="359"/>
        <v>Senecio</v>
      </c>
      <c r="K742" s="76" t="str">
        <f t="shared" si="359"/>
        <v>burtoni</v>
      </c>
      <c r="L742" s="77">
        <f t="shared" si="359"/>
        <v>0</v>
      </c>
      <c r="M742" s="77">
        <f t="shared" si="359"/>
        <v>7</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18</v>
      </c>
      <c r="D743" s="74">
        <f t="shared" si="338"/>
        <v>20</v>
      </c>
      <c r="E743" s="75">
        <f t="shared" si="339"/>
        <v>8</v>
      </c>
      <c r="F743" s="79"/>
      <c r="G743" s="82"/>
      <c r="H743" s="68" t="str">
        <f t="shared" si="356"/>
        <v>Senbur0_20191118_20_00</v>
      </c>
      <c r="I743" s="69">
        <f t="shared" si="359"/>
        <v>1</v>
      </c>
      <c r="J743" s="76" t="str">
        <f t="shared" si="359"/>
        <v>Senecio</v>
      </c>
      <c r="K743" s="76" t="str">
        <f t="shared" si="359"/>
        <v>burtoni</v>
      </c>
      <c r="L743" s="77">
        <f t="shared" si="359"/>
        <v>0</v>
      </c>
      <c r="M743" s="77">
        <f t="shared" si="359"/>
        <v>7</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18</v>
      </c>
      <c r="D744" s="74">
        <f t="shared" si="338"/>
        <v>20</v>
      </c>
      <c r="E744" s="75">
        <f t="shared" si="339"/>
        <v>9</v>
      </c>
      <c r="F744" s="79"/>
      <c r="G744" s="82"/>
      <c r="H744" s="68" t="str">
        <f t="shared" si="356"/>
        <v>Senbur0_20191118_20_00</v>
      </c>
      <c r="I744" s="69">
        <f t="shared" si="359"/>
        <v>1</v>
      </c>
      <c r="J744" s="76" t="str">
        <f t="shared" si="359"/>
        <v>Senecio</v>
      </c>
      <c r="K744" s="76" t="str">
        <f t="shared" si="359"/>
        <v>burtoni</v>
      </c>
      <c r="L744" s="77">
        <f t="shared" si="359"/>
        <v>0</v>
      </c>
      <c r="M744" s="77">
        <f t="shared" si="359"/>
        <v>7</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18</v>
      </c>
      <c r="D745" s="74">
        <f t="shared" si="338"/>
        <v>20</v>
      </c>
      <c r="E745" s="75">
        <f t="shared" si="339"/>
        <v>10</v>
      </c>
      <c r="F745" s="79"/>
      <c r="G745" s="82"/>
      <c r="H745" s="68" t="str">
        <f t="shared" si="356"/>
        <v>Senbur0_20191118_20_00</v>
      </c>
      <c r="I745" s="69">
        <f t="shared" si="359"/>
        <v>1</v>
      </c>
      <c r="J745" s="76" t="str">
        <f t="shared" si="359"/>
        <v>Senecio</v>
      </c>
      <c r="K745" s="76" t="str">
        <f t="shared" si="359"/>
        <v>burtoni</v>
      </c>
      <c r="L745" s="77">
        <f t="shared" si="359"/>
        <v>0</v>
      </c>
      <c r="M745" s="77">
        <f t="shared" si="359"/>
        <v>7</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18</v>
      </c>
      <c r="D746" s="74">
        <f t="shared" si="338"/>
        <v>20</v>
      </c>
      <c r="E746" s="75">
        <f t="shared" si="339"/>
        <v>11</v>
      </c>
      <c r="F746" s="79"/>
      <c r="G746" s="82"/>
      <c r="H746" s="68" t="str">
        <f t="shared" si="356"/>
        <v>Senbur0_20191118_20_00</v>
      </c>
      <c r="I746" s="69">
        <f t="shared" si="359"/>
        <v>1</v>
      </c>
      <c r="J746" s="76" t="str">
        <f t="shared" si="359"/>
        <v>Senecio</v>
      </c>
      <c r="K746" s="76" t="str">
        <f t="shared" si="359"/>
        <v>burtoni</v>
      </c>
      <c r="L746" s="77">
        <f t="shared" si="359"/>
        <v>0</v>
      </c>
      <c r="M746" s="77">
        <f t="shared" si="359"/>
        <v>7</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18</v>
      </c>
      <c r="D747" s="74">
        <f t="shared" si="338"/>
        <v>20</v>
      </c>
      <c r="E747" s="75">
        <f t="shared" si="339"/>
        <v>12</v>
      </c>
      <c r="F747" s="79"/>
      <c r="G747" s="82"/>
      <c r="H747" s="68" t="str">
        <f t="shared" si="356"/>
        <v>Senbur0_20191118_20_00</v>
      </c>
      <c r="I747" s="69">
        <f t="shared" si="359"/>
        <v>1</v>
      </c>
      <c r="J747" s="76" t="str">
        <f t="shared" si="359"/>
        <v>Senecio</v>
      </c>
      <c r="K747" s="76" t="str">
        <f t="shared" si="359"/>
        <v>burtoni</v>
      </c>
      <c r="L747" s="77">
        <f t="shared" si="359"/>
        <v>0</v>
      </c>
      <c r="M747" s="77">
        <f t="shared" si="359"/>
        <v>7</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18</v>
      </c>
      <c r="D748" s="74">
        <f t="shared" si="338"/>
        <v>20</v>
      </c>
      <c r="E748" s="75">
        <f t="shared" si="339"/>
        <v>13</v>
      </c>
      <c r="F748" s="79"/>
      <c r="G748" s="82"/>
      <c r="H748" s="68" t="str">
        <f t="shared" si="356"/>
        <v>Senbur0_20191118_20_00</v>
      </c>
      <c r="I748" s="69">
        <f t="shared" si="359"/>
        <v>1</v>
      </c>
      <c r="J748" s="76" t="str">
        <f t="shared" si="359"/>
        <v>Senecio</v>
      </c>
      <c r="K748" s="76" t="str">
        <f t="shared" si="359"/>
        <v>burtoni</v>
      </c>
      <c r="L748" s="77">
        <f t="shared" si="359"/>
        <v>0</v>
      </c>
      <c r="M748" s="77">
        <f t="shared" si="359"/>
        <v>7</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18</v>
      </c>
      <c r="D749" s="74">
        <f t="shared" si="338"/>
        <v>20</v>
      </c>
      <c r="E749" s="75">
        <f t="shared" si="339"/>
        <v>14</v>
      </c>
      <c r="F749" s="79"/>
      <c r="G749" s="82"/>
      <c r="H749" s="68" t="str">
        <f t="shared" si="356"/>
        <v>Senbur0_20191118_20_00</v>
      </c>
      <c r="I749" s="69">
        <f t="shared" si="359"/>
        <v>1</v>
      </c>
      <c r="J749" s="76" t="str">
        <f t="shared" si="359"/>
        <v>Senecio</v>
      </c>
      <c r="K749" s="76" t="str">
        <f t="shared" si="359"/>
        <v>burtoni</v>
      </c>
      <c r="L749" s="77">
        <f t="shared" si="359"/>
        <v>0</v>
      </c>
      <c r="M749" s="77">
        <f t="shared" si="359"/>
        <v>7</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18</v>
      </c>
      <c r="D750" s="74">
        <f t="shared" si="338"/>
        <v>20</v>
      </c>
      <c r="E750" s="75">
        <f t="shared" si="339"/>
        <v>15</v>
      </c>
      <c r="F750" s="79"/>
      <c r="G750" s="82"/>
      <c r="H750" s="68" t="str">
        <f t="shared" si="356"/>
        <v>Senbur0_20191118_20_00</v>
      </c>
      <c r="I750" s="69">
        <f t="shared" si="359"/>
        <v>1</v>
      </c>
      <c r="J750" s="76" t="str">
        <f t="shared" si="359"/>
        <v>Senecio</v>
      </c>
      <c r="K750" s="76" t="str">
        <f t="shared" si="359"/>
        <v>burtoni</v>
      </c>
      <c r="L750" s="77">
        <f t="shared" si="359"/>
        <v>0</v>
      </c>
      <c r="M750" s="77">
        <f t="shared" si="359"/>
        <v>7</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18</v>
      </c>
      <c r="D751" s="74">
        <f t="shared" si="338"/>
        <v>20</v>
      </c>
      <c r="E751" s="75">
        <f t="shared" si="339"/>
        <v>16</v>
      </c>
      <c r="F751" s="79"/>
      <c r="G751" s="82"/>
      <c r="H751" s="68" t="str">
        <f t="shared" si="356"/>
        <v>Senbur0_20191118_20_00</v>
      </c>
      <c r="I751" s="69">
        <f t="shared" si="359"/>
        <v>1</v>
      </c>
      <c r="J751" s="76" t="str">
        <f t="shared" si="359"/>
        <v>Senecio</v>
      </c>
      <c r="K751" s="76" t="str">
        <f t="shared" si="359"/>
        <v>burtoni</v>
      </c>
      <c r="L751" s="77">
        <f t="shared" si="359"/>
        <v>0</v>
      </c>
      <c r="M751" s="77">
        <f t="shared" si="359"/>
        <v>7</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18</v>
      </c>
      <c r="D752" s="74">
        <f t="shared" si="338"/>
        <v>20</v>
      </c>
      <c r="E752" s="75">
        <f t="shared" si="339"/>
        <v>17</v>
      </c>
      <c r="F752" s="79"/>
      <c r="G752" s="82"/>
      <c r="H752" s="68" t="str">
        <f t="shared" si="356"/>
        <v>Senbur0_20191118_20_00</v>
      </c>
      <c r="I752" s="69">
        <f t="shared" si="359"/>
        <v>1</v>
      </c>
      <c r="J752" s="76" t="str">
        <f t="shared" si="359"/>
        <v>Senecio</v>
      </c>
      <c r="K752" s="76" t="str">
        <f t="shared" si="359"/>
        <v>burtoni</v>
      </c>
      <c r="L752" s="77">
        <f t="shared" si="359"/>
        <v>0</v>
      </c>
      <c r="M752" s="77">
        <f t="shared" si="359"/>
        <v>7</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18</v>
      </c>
      <c r="D753" s="74">
        <f t="shared" si="338"/>
        <v>20</v>
      </c>
      <c r="E753" s="75">
        <f t="shared" si="339"/>
        <v>18</v>
      </c>
      <c r="F753" s="79"/>
      <c r="G753" s="82"/>
      <c r="H753" s="68" t="str">
        <f t="shared" si="356"/>
        <v>Senbur0_20191118_20_00</v>
      </c>
      <c r="I753" s="69">
        <f t="shared" si="359"/>
        <v>1</v>
      </c>
      <c r="J753" s="76" t="str">
        <f t="shared" si="359"/>
        <v>Senecio</v>
      </c>
      <c r="K753" s="76" t="str">
        <f t="shared" si="359"/>
        <v>burtoni</v>
      </c>
      <c r="L753" s="77">
        <f t="shared" si="359"/>
        <v>0</v>
      </c>
      <c r="M753" s="77">
        <f t="shared" si="359"/>
        <v>7</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18</v>
      </c>
      <c r="D754" s="74">
        <f t="shared" si="338"/>
        <v>20</v>
      </c>
      <c r="E754" s="75">
        <f t="shared" si="339"/>
        <v>19</v>
      </c>
      <c r="F754" s="79"/>
      <c r="G754" s="82"/>
      <c r="H754" s="68" t="str">
        <f t="shared" si="356"/>
        <v>Senbur0_20191118_20_00</v>
      </c>
      <c r="I754" s="69">
        <f t="shared" si="359"/>
        <v>1</v>
      </c>
      <c r="J754" s="76" t="str">
        <f t="shared" si="359"/>
        <v>Senecio</v>
      </c>
      <c r="K754" s="76" t="str">
        <f t="shared" si="359"/>
        <v>burtoni</v>
      </c>
      <c r="L754" s="77">
        <f t="shared" si="359"/>
        <v>0</v>
      </c>
      <c r="M754" s="77">
        <f t="shared" si="359"/>
        <v>7</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18</v>
      </c>
      <c r="D755" s="74">
        <f t="shared" si="338"/>
        <v>20</v>
      </c>
      <c r="E755" s="75">
        <f t="shared" si="339"/>
        <v>20</v>
      </c>
      <c r="F755" s="79"/>
      <c r="G755" s="82"/>
      <c r="H755" s="68" t="str">
        <f t="shared" si="356"/>
        <v>Senbur0_20191118_20_00</v>
      </c>
      <c r="I755" s="69">
        <f t="shared" si="359"/>
        <v>1</v>
      </c>
      <c r="J755" s="76" t="str">
        <f t="shared" si="359"/>
        <v>Senecio</v>
      </c>
      <c r="K755" s="76" t="str">
        <f t="shared" si="359"/>
        <v>burtoni</v>
      </c>
      <c r="L755" s="77">
        <f t="shared" si="359"/>
        <v>0</v>
      </c>
      <c r="M755" s="77">
        <f t="shared" si="359"/>
        <v>7</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18</v>
      </c>
      <c r="D756" s="74">
        <f t="shared" si="338"/>
        <v>20</v>
      </c>
      <c r="E756" s="75">
        <f t="shared" si="339"/>
        <v>21</v>
      </c>
      <c r="F756" s="79"/>
      <c r="G756" s="82"/>
      <c r="H756" s="68" t="str">
        <f t="shared" si="356"/>
        <v>Senbur0_20191118_20_00</v>
      </c>
      <c r="I756" s="69">
        <f t="shared" si="359"/>
        <v>1</v>
      </c>
      <c r="J756" s="76" t="str">
        <f t="shared" si="359"/>
        <v>Senecio</v>
      </c>
      <c r="K756" s="76" t="str">
        <f t="shared" si="359"/>
        <v>burtoni</v>
      </c>
      <c r="L756" s="77">
        <f t="shared" si="359"/>
        <v>0</v>
      </c>
      <c r="M756" s="77">
        <f t="shared" si="359"/>
        <v>7</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18</v>
      </c>
      <c r="D757" s="74">
        <f t="shared" si="338"/>
        <v>20</v>
      </c>
      <c r="E757" s="75">
        <f t="shared" si="339"/>
        <v>22</v>
      </c>
      <c r="F757" s="79"/>
      <c r="G757" s="82"/>
      <c r="H757" s="68" t="str">
        <f t="shared" si="356"/>
        <v>Senbur0_20191118_20_00</v>
      </c>
      <c r="I757" s="69">
        <f t="shared" ref="I757:N772" si="360">I756</f>
        <v>1</v>
      </c>
      <c r="J757" s="76" t="str">
        <f t="shared" si="360"/>
        <v>Senecio</v>
      </c>
      <c r="K757" s="76" t="str">
        <f t="shared" si="360"/>
        <v>burtoni</v>
      </c>
      <c r="L757" s="77">
        <f t="shared" si="360"/>
        <v>0</v>
      </c>
      <c r="M757" s="77">
        <f t="shared" si="360"/>
        <v>7</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18</v>
      </c>
      <c r="D758" s="74">
        <f t="shared" si="338"/>
        <v>20</v>
      </c>
      <c r="E758" s="75">
        <f t="shared" si="339"/>
        <v>23</v>
      </c>
      <c r="F758" s="79"/>
      <c r="G758" s="82"/>
      <c r="H758" s="68" t="str">
        <f t="shared" si="356"/>
        <v>Senbur0_20191118_20_00</v>
      </c>
      <c r="I758" s="69">
        <f t="shared" si="360"/>
        <v>1</v>
      </c>
      <c r="J758" s="76" t="str">
        <f t="shared" si="360"/>
        <v>Senecio</v>
      </c>
      <c r="K758" s="76" t="str">
        <f t="shared" si="360"/>
        <v>burtoni</v>
      </c>
      <c r="L758" s="77">
        <f t="shared" si="360"/>
        <v>0</v>
      </c>
      <c r="M758" s="77">
        <f t="shared" si="360"/>
        <v>7</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18</v>
      </c>
      <c r="D759" s="74">
        <f t="shared" si="338"/>
        <v>20</v>
      </c>
      <c r="E759" s="75">
        <f t="shared" si="339"/>
        <v>24</v>
      </c>
      <c r="F759" s="79"/>
      <c r="G759" s="82"/>
      <c r="H759" s="68" t="str">
        <f t="shared" si="356"/>
        <v>Senbur0_20191118_20_00</v>
      </c>
      <c r="I759" s="69">
        <f t="shared" si="360"/>
        <v>1</v>
      </c>
      <c r="J759" s="76" t="str">
        <f t="shared" si="360"/>
        <v>Senecio</v>
      </c>
      <c r="K759" s="76" t="str">
        <f t="shared" si="360"/>
        <v>burtoni</v>
      </c>
      <c r="L759" s="77">
        <f t="shared" si="360"/>
        <v>0</v>
      </c>
      <c r="M759" s="77">
        <f t="shared" si="360"/>
        <v>7</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18</v>
      </c>
      <c r="D760" s="74">
        <f t="shared" si="338"/>
        <v>20</v>
      </c>
      <c r="E760" s="75">
        <f t="shared" si="339"/>
        <v>25</v>
      </c>
      <c r="F760" s="79"/>
      <c r="G760" s="82"/>
      <c r="H760" s="68" t="str">
        <f t="shared" si="356"/>
        <v>Senbur0_20191118_20_00</v>
      </c>
      <c r="I760" s="69">
        <f t="shared" si="360"/>
        <v>1</v>
      </c>
      <c r="J760" s="76" t="str">
        <f t="shared" si="360"/>
        <v>Senecio</v>
      </c>
      <c r="K760" s="76" t="str">
        <f t="shared" si="360"/>
        <v>burtoni</v>
      </c>
      <c r="L760" s="77">
        <f t="shared" si="360"/>
        <v>0</v>
      </c>
      <c r="M760" s="77">
        <f t="shared" si="360"/>
        <v>7</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18</v>
      </c>
      <c r="D761" s="74">
        <f t="shared" si="338"/>
        <v>20</v>
      </c>
      <c r="E761" s="75">
        <f t="shared" si="339"/>
        <v>26</v>
      </c>
      <c r="F761" s="79"/>
      <c r="G761" s="82"/>
      <c r="H761" s="68" t="str">
        <f t="shared" si="356"/>
        <v>Senbur0_20191118_20_00</v>
      </c>
      <c r="I761" s="69">
        <f t="shared" si="360"/>
        <v>1</v>
      </c>
      <c r="J761" s="76" t="str">
        <f t="shared" si="360"/>
        <v>Senecio</v>
      </c>
      <c r="K761" s="76" t="str">
        <f t="shared" si="360"/>
        <v>burtoni</v>
      </c>
      <c r="L761" s="77">
        <f t="shared" si="360"/>
        <v>0</v>
      </c>
      <c r="M761" s="77">
        <f t="shared" si="360"/>
        <v>7</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18</v>
      </c>
      <c r="D762" s="74">
        <f t="shared" si="338"/>
        <v>20</v>
      </c>
      <c r="E762" s="75">
        <f t="shared" si="339"/>
        <v>27</v>
      </c>
      <c r="F762" s="79"/>
      <c r="G762" s="82"/>
      <c r="H762" s="68" t="str">
        <f t="shared" si="356"/>
        <v>Senbur0_20191118_20_00</v>
      </c>
      <c r="I762" s="69">
        <f t="shared" si="360"/>
        <v>1</v>
      </c>
      <c r="J762" s="76" t="str">
        <f t="shared" si="360"/>
        <v>Senecio</v>
      </c>
      <c r="K762" s="76" t="str">
        <f t="shared" si="360"/>
        <v>burtoni</v>
      </c>
      <c r="L762" s="77">
        <f t="shared" si="360"/>
        <v>0</v>
      </c>
      <c r="M762" s="77">
        <f t="shared" si="360"/>
        <v>7</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18</v>
      </c>
      <c r="D763" s="74">
        <f t="shared" si="338"/>
        <v>20</v>
      </c>
      <c r="E763" s="75">
        <f t="shared" si="339"/>
        <v>28</v>
      </c>
      <c r="F763" s="79"/>
      <c r="G763" s="82"/>
      <c r="H763" s="68" t="str">
        <f t="shared" si="356"/>
        <v>Senbur0_20191118_20_00</v>
      </c>
      <c r="I763" s="69">
        <f t="shared" si="360"/>
        <v>1</v>
      </c>
      <c r="J763" s="76" t="str">
        <f t="shared" si="360"/>
        <v>Senecio</v>
      </c>
      <c r="K763" s="76" t="str">
        <f t="shared" si="360"/>
        <v>burtoni</v>
      </c>
      <c r="L763" s="77">
        <f t="shared" si="360"/>
        <v>0</v>
      </c>
      <c r="M763" s="77">
        <f t="shared" si="360"/>
        <v>7</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18</v>
      </c>
      <c r="D764" s="74">
        <f t="shared" si="338"/>
        <v>20</v>
      </c>
      <c r="E764" s="75">
        <f t="shared" si="339"/>
        <v>29</v>
      </c>
      <c r="F764" s="79"/>
      <c r="G764" s="82"/>
      <c r="H764" s="68" t="str">
        <f t="shared" si="356"/>
        <v>Senbur0_20191118_20_00</v>
      </c>
      <c r="I764" s="69">
        <f t="shared" si="360"/>
        <v>1</v>
      </c>
      <c r="J764" s="76" t="str">
        <f t="shared" si="360"/>
        <v>Senecio</v>
      </c>
      <c r="K764" s="76" t="str">
        <f t="shared" si="360"/>
        <v>burtoni</v>
      </c>
      <c r="L764" s="77">
        <f t="shared" si="360"/>
        <v>0</v>
      </c>
      <c r="M764" s="77">
        <f t="shared" si="360"/>
        <v>7</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18</v>
      </c>
      <c r="D765" s="74">
        <f t="shared" si="338"/>
        <v>20</v>
      </c>
      <c r="E765" s="75">
        <f t="shared" si="339"/>
        <v>30</v>
      </c>
      <c r="F765" s="79"/>
      <c r="G765" s="82"/>
      <c r="H765" s="68" t="str">
        <f t="shared" si="356"/>
        <v>Senbur0_20191118_20_00</v>
      </c>
      <c r="I765" s="69">
        <f t="shared" si="360"/>
        <v>1</v>
      </c>
      <c r="J765" s="76" t="str">
        <f t="shared" si="360"/>
        <v>Senecio</v>
      </c>
      <c r="K765" s="76" t="str">
        <f t="shared" si="360"/>
        <v>burtoni</v>
      </c>
      <c r="L765" s="77">
        <f t="shared" si="360"/>
        <v>0</v>
      </c>
      <c r="M765" s="77">
        <f t="shared" si="360"/>
        <v>7</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18</v>
      </c>
      <c r="D766" s="74">
        <f t="shared" si="338"/>
        <v>20</v>
      </c>
      <c r="E766" s="75">
        <f t="shared" si="339"/>
        <v>31</v>
      </c>
      <c r="F766" s="79"/>
      <c r="G766" s="82"/>
      <c r="H766" s="68" t="str">
        <f t="shared" si="356"/>
        <v>Senbur0_20191118_20_00</v>
      </c>
      <c r="I766" s="69">
        <f t="shared" si="360"/>
        <v>1</v>
      </c>
      <c r="J766" s="76" t="str">
        <f t="shared" si="360"/>
        <v>Senecio</v>
      </c>
      <c r="K766" s="76" t="str">
        <f t="shared" si="360"/>
        <v>burtoni</v>
      </c>
      <c r="L766" s="77">
        <f t="shared" si="360"/>
        <v>0</v>
      </c>
      <c r="M766" s="77">
        <f t="shared" si="360"/>
        <v>7</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18</v>
      </c>
      <c r="D767" s="74">
        <f t="shared" si="338"/>
        <v>20</v>
      </c>
      <c r="E767" s="75">
        <f t="shared" si="339"/>
        <v>32</v>
      </c>
      <c r="F767" s="79"/>
      <c r="G767" s="82"/>
      <c r="H767" s="68" t="str">
        <f t="shared" si="356"/>
        <v>Senbur0_20191118_20_00</v>
      </c>
      <c r="I767" s="69">
        <f t="shared" si="360"/>
        <v>1</v>
      </c>
      <c r="J767" s="76" t="str">
        <f t="shared" si="360"/>
        <v>Senecio</v>
      </c>
      <c r="K767" s="76" t="str">
        <f t="shared" si="360"/>
        <v>burtoni</v>
      </c>
      <c r="L767" s="77">
        <f t="shared" si="360"/>
        <v>0</v>
      </c>
      <c r="M767" s="77">
        <f t="shared" si="360"/>
        <v>7</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18</v>
      </c>
      <c r="D768" s="74">
        <f t="shared" si="338"/>
        <v>20</v>
      </c>
      <c r="E768" s="75">
        <f t="shared" si="339"/>
        <v>33</v>
      </c>
      <c r="F768" s="79"/>
      <c r="G768" s="82"/>
      <c r="H768" s="68" t="str">
        <f t="shared" si="356"/>
        <v>Senbur0_20191118_20_00</v>
      </c>
      <c r="I768" s="69">
        <f t="shared" si="360"/>
        <v>1</v>
      </c>
      <c r="J768" s="76" t="str">
        <f t="shared" si="360"/>
        <v>Senecio</v>
      </c>
      <c r="K768" s="76" t="str">
        <f t="shared" si="360"/>
        <v>burtoni</v>
      </c>
      <c r="L768" s="77">
        <f t="shared" si="360"/>
        <v>0</v>
      </c>
      <c r="M768" s="77">
        <f t="shared" si="360"/>
        <v>7</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18</v>
      </c>
      <c r="D769" s="74">
        <f t="shared" si="338"/>
        <v>20</v>
      </c>
      <c r="E769" s="75">
        <f t="shared" si="339"/>
        <v>34</v>
      </c>
      <c r="F769" s="79"/>
      <c r="G769" s="82"/>
      <c r="H769" s="68" t="str">
        <f t="shared" si="356"/>
        <v>Senbur0_20191118_20_00</v>
      </c>
      <c r="I769" s="69">
        <f t="shared" si="360"/>
        <v>1</v>
      </c>
      <c r="J769" s="76" t="str">
        <f t="shared" si="360"/>
        <v>Senecio</v>
      </c>
      <c r="K769" s="76" t="str">
        <f t="shared" si="360"/>
        <v>burtoni</v>
      </c>
      <c r="L769" s="77">
        <f t="shared" si="360"/>
        <v>0</v>
      </c>
      <c r="M769" s="77">
        <f t="shared" si="360"/>
        <v>7</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18</v>
      </c>
      <c r="D770" s="74">
        <f t="shared" si="338"/>
        <v>20</v>
      </c>
      <c r="E770" s="75">
        <f t="shared" si="339"/>
        <v>35</v>
      </c>
      <c r="F770" s="79"/>
      <c r="G770" s="82"/>
      <c r="H770" s="68" t="str">
        <f t="shared" si="356"/>
        <v>Senbur0_20191118_20_00</v>
      </c>
      <c r="I770" s="69">
        <f t="shared" si="360"/>
        <v>1</v>
      </c>
      <c r="J770" s="76" t="str">
        <f t="shared" si="360"/>
        <v>Senecio</v>
      </c>
      <c r="K770" s="76" t="str">
        <f t="shared" si="360"/>
        <v>burtoni</v>
      </c>
      <c r="L770" s="77">
        <f t="shared" si="360"/>
        <v>0</v>
      </c>
      <c r="M770" s="77">
        <f t="shared" si="360"/>
        <v>7</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18</v>
      </c>
      <c r="D771" s="74">
        <f t="shared" si="338"/>
        <v>20</v>
      </c>
      <c r="E771" s="75">
        <f t="shared" si="339"/>
        <v>36</v>
      </c>
      <c r="F771" s="79"/>
      <c r="G771" s="82"/>
      <c r="H771" s="68" t="str">
        <f t="shared" si="356"/>
        <v>Senbur0_20191118_20_00</v>
      </c>
      <c r="I771" s="69">
        <f t="shared" si="360"/>
        <v>1</v>
      </c>
      <c r="J771" s="76" t="str">
        <f t="shared" si="360"/>
        <v>Senecio</v>
      </c>
      <c r="K771" s="76" t="str">
        <f t="shared" si="360"/>
        <v>burtoni</v>
      </c>
      <c r="L771" s="77">
        <f t="shared" si="360"/>
        <v>0</v>
      </c>
      <c r="M771" s="77">
        <f t="shared" si="360"/>
        <v>7</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18</v>
      </c>
      <c r="D772" s="74">
        <f t="shared" ref="D772:D835" si="368">IF(IF(E771=59,D771+1,D771)=24,0,IF(E771=59,D771+1,D771))</f>
        <v>20</v>
      </c>
      <c r="E772" s="75">
        <f t="shared" ref="E772:E835" si="369">IF(E771&lt;59,E771+1,0)</f>
        <v>37</v>
      </c>
      <c r="F772" s="79"/>
      <c r="G772" s="82"/>
      <c r="H772" s="68" t="str">
        <f t="shared" si="356"/>
        <v>Senbur0_20191118_20_00</v>
      </c>
      <c r="I772" s="69">
        <f t="shared" si="360"/>
        <v>1</v>
      </c>
      <c r="J772" s="76" t="str">
        <f t="shared" si="360"/>
        <v>Senecio</v>
      </c>
      <c r="K772" s="76" t="str">
        <f t="shared" si="360"/>
        <v>burtoni</v>
      </c>
      <c r="L772" s="77">
        <f t="shared" si="360"/>
        <v>0</v>
      </c>
      <c r="M772" s="77">
        <f t="shared" si="360"/>
        <v>7</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18</v>
      </c>
      <c r="D773" s="74">
        <f t="shared" si="368"/>
        <v>20</v>
      </c>
      <c r="E773" s="75">
        <f t="shared" si="369"/>
        <v>38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Senbur0_20191118_20_00</v>
      </c>
      <c r="I773" s="69">
        <f t="shared" ref="I773:N788" si="387">I772</f>
        <v>1</v>
      </c>
      <c r="J773" s="76" t="str">
        <f t="shared" si="387"/>
        <v>Senecio</v>
      </c>
      <c r="K773" s="76" t="str">
        <f t="shared" si="387"/>
        <v>burtoni</v>
      </c>
      <c r="L773" s="77">
        <f t="shared" si="387"/>
        <v>0</v>
      </c>
      <c r="M773" s="77">
        <f t="shared" si="387"/>
        <v>7</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18</v>
      </c>
      <c r="D774" s="74">
        <f t="shared" si="368"/>
        <v>20</v>
      </c>
      <c r="E774" s="75">
        <f t="shared" si="369"/>
        <v>39</v>
      </c>
      <c r="F774" s="79"/>
      <c r="G774" s="82"/>
      <c r="H774" s="68" t="str">
        <f t="shared" si="386"/>
        <v>Senbur0_20191118_20_00</v>
      </c>
      <c r="I774" s="69">
        <f t="shared" si="387"/>
        <v>1</v>
      </c>
      <c r="J774" s="76" t="str">
        <f t="shared" si="387"/>
        <v>Senecio</v>
      </c>
      <c r="K774" s="76" t="str">
        <f t="shared" si="387"/>
        <v>burtoni</v>
      </c>
      <c r="L774" s="77">
        <f t="shared" si="387"/>
        <v>0</v>
      </c>
      <c r="M774" s="77">
        <f t="shared" si="387"/>
        <v>7</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18</v>
      </c>
      <c r="D775" s="74">
        <f t="shared" si="368"/>
        <v>20</v>
      </c>
      <c r="E775" s="75">
        <f t="shared" si="369"/>
        <v>40</v>
      </c>
      <c r="F775" s="79"/>
      <c r="G775" s="82"/>
      <c r="H775" s="68" t="str">
        <f t="shared" si="386"/>
        <v>Senbur0_20191118_20_00</v>
      </c>
      <c r="I775" s="69">
        <f t="shared" si="387"/>
        <v>1</v>
      </c>
      <c r="J775" s="76" t="str">
        <f t="shared" si="387"/>
        <v>Senecio</v>
      </c>
      <c r="K775" s="76" t="str">
        <f t="shared" si="387"/>
        <v>burtoni</v>
      </c>
      <c r="L775" s="77">
        <f t="shared" si="387"/>
        <v>0</v>
      </c>
      <c r="M775" s="77">
        <f t="shared" si="387"/>
        <v>7</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18</v>
      </c>
      <c r="D776" s="74">
        <f t="shared" si="368"/>
        <v>20</v>
      </c>
      <c r="E776" s="75">
        <f t="shared" si="369"/>
        <v>41</v>
      </c>
      <c r="F776" s="79"/>
      <c r="G776" s="82"/>
      <c r="H776" s="68" t="str">
        <f t="shared" si="386"/>
        <v>Senbur0_20191118_20_00</v>
      </c>
      <c r="I776" s="69">
        <f t="shared" si="387"/>
        <v>1</v>
      </c>
      <c r="J776" s="76" t="str">
        <f t="shared" si="387"/>
        <v>Senecio</v>
      </c>
      <c r="K776" s="76" t="str">
        <f t="shared" si="387"/>
        <v>burtoni</v>
      </c>
      <c r="L776" s="77">
        <f t="shared" si="387"/>
        <v>0</v>
      </c>
      <c r="M776" s="77">
        <f t="shared" si="387"/>
        <v>7</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18</v>
      </c>
      <c r="D777" s="74">
        <f t="shared" si="368"/>
        <v>20</v>
      </c>
      <c r="E777" s="75">
        <f t="shared" si="369"/>
        <v>42</v>
      </c>
      <c r="F777" s="79"/>
      <c r="G777" s="82"/>
      <c r="H777" s="68" t="str">
        <f t="shared" si="386"/>
        <v>Senbur0_20191118_20_00</v>
      </c>
      <c r="I777" s="69">
        <f t="shared" si="387"/>
        <v>1</v>
      </c>
      <c r="J777" s="76" t="str">
        <f t="shared" si="387"/>
        <v>Senecio</v>
      </c>
      <c r="K777" s="76" t="str">
        <f t="shared" si="387"/>
        <v>burtoni</v>
      </c>
      <c r="L777" s="77">
        <f t="shared" si="387"/>
        <v>0</v>
      </c>
      <c r="M777" s="77">
        <f t="shared" si="387"/>
        <v>7</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18</v>
      </c>
      <c r="D778" s="74">
        <f t="shared" si="368"/>
        <v>20</v>
      </c>
      <c r="E778" s="75">
        <f t="shared" si="369"/>
        <v>43</v>
      </c>
      <c r="F778" s="79"/>
      <c r="G778" s="82"/>
      <c r="H778" s="68" t="str">
        <f t="shared" si="386"/>
        <v>Senbur0_20191118_20_00</v>
      </c>
      <c r="I778" s="69">
        <f t="shared" si="387"/>
        <v>1</v>
      </c>
      <c r="J778" s="76" t="str">
        <f t="shared" si="387"/>
        <v>Senecio</v>
      </c>
      <c r="K778" s="76" t="str">
        <f t="shared" si="387"/>
        <v>burtoni</v>
      </c>
      <c r="L778" s="77">
        <f t="shared" si="387"/>
        <v>0</v>
      </c>
      <c r="M778" s="77">
        <f t="shared" si="387"/>
        <v>7</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18</v>
      </c>
      <c r="D779" s="74">
        <f t="shared" si="368"/>
        <v>20</v>
      </c>
      <c r="E779" s="75">
        <f t="shared" si="369"/>
        <v>44</v>
      </c>
      <c r="F779" s="79"/>
      <c r="G779" s="82"/>
      <c r="H779" s="68" t="str">
        <f t="shared" si="386"/>
        <v>Senbur0_20191118_20_00</v>
      </c>
      <c r="I779" s="69">
        <f t="shared" si="387"/>
        <v>1</v>
      </c>
      <c r="J779" s="76" t="str">
        <f t="shared" si="387"/>
        <v>Senecio</v>
      </c>
      <c r="K779" s="76" t="str">
        <f t="shared" si="387"/>
        <v>burtoni</v>
      </c>
      <c r="L779" s="77">
        <f t="shared" si="387"/>
        <v>0</v>
      </c>
      <c r="M779" s="77">
        <f t="shared" si="387"/>
        <v>7</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18</v>
      </c>
      <c r="D780" s="74">
        <f t="shared" si="368"/>
        <v>20</v>
      </c>
      <c r="E780" s="75">
        <f t="shared" si="369"/>
        <v>45</v>
      </c>
      <c r="F780" s="79"/>
      <c r="G780" s="82"/>
      <c r="H780" s="68" t="str">
        <f t="shared" si="386"/>
        <v>Senbur0_20191118_20_00</v>
      </c>
      <c r="I780" s="69">
        <f t="shared" si="387"/>
        <v>1</v>
      </c>
      <c r="J780" s="76" t="str">
        <f t="shared" si="387"/>
        <v>Senecio</v>
      </c>
      <c r="K780" s="76" t="str">
        <f t="shared" si="387"/>
        <v>burtoni</v>
      </c>
      <c r="L780" s="77">
        <f t="shared" si="387"/>
        <v>0</v>
      </c>
      <c r="M780" s="77">
        <f t="shared" si="387"/>
        <v>7</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18</v>
      </c>
      <c r="D781" s="74">
        <f t="shared" si="368"/>
        <v>20</v>
      </c>
      <c r="E781" s="75">
        <f t="shared" si="369"/>
        <v>46</v>
      </c>
      <c r="F781" s="79"/>
      <c r="G781" s="82"/>
      <c r="H781" s="68" t="str">
        <f t="shared" si="386"/>
        <v>Senbur0_20191118_20_00</v>
      </c>
      <c r="I781" s="69">
        <f t="shared" si="387"/>
        <v>1</v>
      </c>
      <c r="J781" s="76" t="str">
        <f t="shared" si="387"/>
        <v>Senecio</v>
      </c>
      <c r="K781" s="76" t="str">
        <f t="shared" si="387"/>
        <v>burtoni</v>
      </c>
      <c r="L781" s="77">
        <f t="shared" si="387"/>
        <v>0</v>
      </c>
      <c r="M781" s="77">
        <f t="shared" si="387"/>
        <v>7</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18</v>
      </c>
      <c r="D782" s="74">
        <f t="shared" si="368"/>
        <v>20</v>
      </c>
      <c r="E782" s="75">
        <f t="shared" si="369"/>
        <v>47</v>
      </c>
      <c r="F782" s="79"/>
      <c r="G782" s="82"/>
      <c r="H782" s="68" t="str">
        <f t="shared" si="386"/>
        <v>Senbur0_20191118_20_00</v>
      </c>
      <c r="I782" s="69">
        <f t="shared" si="387"/>
        <v>1</v>
      </c>
      <c r="J782" s="76" t="str">
        <f t="shared" si="387"/>
        <v>Senecio</v>
      </c>
      <c r="K782" s="76" t="str">
        <f t="shared" si="387"/>
        <v>burtoni</v>
      </c>
      <c r="L782" s="77">
        <f t="shared" si="387"/>
        <v>0</v>
      </c>
      <c r="M782" s="77">
        <f t="shared" si="387"/>
        <v>7</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18</v>
      </c>
      <c r="D783" s="74">
        <f t="shared" si="368"/>
        <v>20</v>
      </c>
      <c r="E783" s="75">
        <f t="shared" si="369"/>
        <v>48</v>
      </c>
      <c r="F783" s="79"/>
      <c r="G783" s="82"/>
      <c r="H783" s="68" t="str">
        <f t="shared" si="386"/>
        <v>Senbur0_20191118_20_00</v>
      </c>
      <c r="I783" s="69">
        <f t="shared" si="387"/>
        <v>1</v>
      </c>
      <c r="J783" s="76" t="str">
        <f t="shared" si="387"/>
        <v>Senecio</v>
      </c>
      <c r="K783" s="76" t="str">
        <f t="shared" si="387"/>
        <v>burtoni</v>
      </c>
      <c r="L783" s="77">
        <f t="shared" si="387"/>
        <v>0</v>
      </c>
      <c r="M783" s="77">
        <f t="shared" si="387"/>
        <v>7</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18</v>
      </c>
      <c r="D784" s="74">
        <f t="shared" si="368"/>
        <v>20</v>
      </c>
      <c r="E784" s="75">
        <f t="shared" si="369"/>
        <v>49</v>
      </c>
      <c r="F784" s="79"/>
      <c r="G784" s="82"/>
      <c r="H784" s="68" t="str">
        <f t="shared" si="386"/>
        <v>Senbur0_20191118_20_00</v>
      </c>
      <c r="I784" s="69">
        <f t="shared" si="387"/>
        <v>1</v>
      </c>
      <c r="J784" s="76" t="str">
        <f t="shared" si="387"/>
        <v>Senecio</v>
      </c>
      <c r="K784" s="76" t="str">
        <f t="shared" si="387"/>
        <v>burtoni</v>
      </c>
      <c r="L784" s="77">
        <f t="shared" si="387"/>
        <v>0</v>
      </c>
      <c r="M784" s="77">
        <f t="shared" si="387"/>
        <v>7</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18</v>
      </c>
      <c r="D785" s="74">
        <f t="shared" si="368"/>
        <v>20</v>
      </c>
      <c r="E785" s="75">
        <f t="shared" si="369"/>
        <v>50</v>
      </c>
      <c r="F785" s="79"/>
      <c r="G785" s="82"/>
      <c r="H785" s="68" t="str">
        <f t="shared" si="386"/>
        <v>Senbur0_20191118_20_00</v>
      </c>
      <c r="I785" s="69">
        <f t="shared" si="387"/>
        <v>1</v>
      </c>
      <c r="J785" s="76" t="str">
        <f t="shared" si="387"/>
        <v>Senecio</v>
      </c>
      <c r="K785" s="76" t="str">
        <f t="shared" si="387"/>
        <v>burtoni</v>
      </c>
      <c r="L785" s="77">
        <f t="shared" si="387"/>
        <v>0</v>
      </c>
      <c r="M785" s="77">
        <f t="shared" si="387"/>
        <v>7</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18</v>
      </c>
      <c r="D786" s="74">
        <f t="shared" si="368"/>
        <v>20</v>
      </c>
      <c r="E786" s="75">
        <f t="shared" si="369"/>
        <v>51</v>
      </c>
      <c r="F786" s="79"/>
      <c r="G786" s="82"/>
      <c r="H786" s="68" t="str">
        <f t="shared" si="386"/>
        <v>Senbur0_20191118_20_00</v>
      </c>
      <c r="I786" s="69">
        <f t="shared" si="387"/>
        <v>1</v>
      </c>
      <c r="J786" s="76" t="str">
        <f t="shared" si="387"/>
        <v>Senecio</v>
      </c>
      <c r="K786" s="76" t="str">
        <f t="shared" si="387"/>
        <v>burtoni</v>
      </c>
      <c r="L786" s="77">
        <f t="shared" si="387"/>
        <v>0</v>
      </c>
      <c r="M786" s="77">
        <f t="shared" si="387"/>
        <v>7</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18</v>
      </c>
      <c r="D787" s="74">
        <f t="shared" si="368"/>
        <v>20</v>
      </c>
      <c r="E787" s="75">
        <f t="shared" si="369"/>
        <v>52</v>
      </c>
      <c r="F787" s="79"/>
      <c r="G787" s="82"/>
      <c r="H787" s="68" t="str">
        <f t="shared" si="386"/>
        <v>Senbur0_20191118_20_00</v>
      </c>
      <c r="I787" s="69">
        <f t="shared" si="387"/>
        <v>1</v>
      </c>
      <c r="J787" s="76" t="str">
        <f t="shared" si="387"/>
        <v>Senecio</v>
      </c>
      <c r="K787" s="76" t="str">
        <f t="shared" si="387"/>
        <v>burtoni</v>
      </c>
      <c r="L787" s="77">
        <f t="shared" si="387"/>
        <v>0</v>
      </c>
      <c r="M787" s="77">
        <f t="shared" si="387"/>
        <v>7</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18</v>
      </c>
      <c r="D788" s="74">
        <f t="shared" si="368"/>
        <v>20</v>
      </c>
      <c r="E788" s="75">
        <f t="shared" si="369"/>
        <v>53</v>
      </c>
      <c r="F788" s="79"/>
      <c r="G788" s="82"/>
      <c r="H788" s="68" t="str">
        <f t="shared" si="386"/>
        <v>Senbur0_20191118_20_00</v>
      </c>
      <c r="I788" s="69">
        <f t="shared" si="387"/>
        <v>1</v>
      </c>
      <c r="J788" s="76" t="str">
        <f t="shared" si="387"/>
        <v>Senecio</v>
      </c>
      <c r="K788" s="76" t="str">
        <f t="shared" si="387"/>
        <v>burtoni</v>
      </c>
      <c r="L788" s="77">
        <f t="shared" si="387"/>
        <v>0</v>
      </c>
      <c r="M788" s="77">
        <f t="shared" si="387"/>
        <v>7</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18</v>
      </c>
      <c r="D789" s="74">
        <f t="shared" si="368"/>
        <v>20</v>
      </c>
      <c r="E789" s="75">
        <f t="shared" si="369"/>
        <v>54</v>
      </c>
      <c r="F789" s="79"/>
      <c r="G789" s="82"/>
      <c r="H789" s="68" t="str">
        <f t="shared" si="386"/>
        <v>Senbur0_20191118_20_00</v>
      </c>
      <c r="I789" s="69">
        <f t="shared" ref="I789:N804" si="388">I788</f>
        <v>1</v>
      </c>
      <c r="J789" s="76" t="str">
        <f t="shared" si="388"/>
        <v>Senecio</v>
      </c>
      <c r="K789" s="76" t="str">
        <f t="shared" si="388"/>
        <v>burtoni</v>
      </c>
      <c r="L789" s="77">
        <f t="shared" si="388"/>
        <v>0</v>
      </c>
      <c r="M789" s="77">
        <f t="shared" si="388"/>
        <v>7</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18</v>
      </c>
      <c r="D790" s="74">
        <f t="shared" si="368"/>
        <v>20</v>
      </c>
      <c r="E790" s="75">
        <f t="shared" si="369"/>
        <v>55</v>
      </c>
      <c r="F790" s="79">
        <v>47</v>
      </c>
      <c r="G790" s="82"/>
      <c r="H790" s="68" t="str">
        <f t="shared" si="386"/>
        <v>Senbur0_20191118_20_00</v>
      </c>
      <c r="I790" s="69">
        <f t="shared" si="388"/>
        <v>1</v>
      </c>
      <c r="J790" s="76" t="str">
        <f t="shared" si="388"/>
        <v>Senecio</v>
      </c>
      <c r="K790" s="76" t="str">
        <f t="shared" si="388"/>
        <v>burtoni</v>
      </c>
      <c r="L790" s="77">
        <f t="shared" si="388"/>
        <v>0</v>
      </c>
      <c r="M790" s="77">
        <f t="shared" si="388"/>
        <v>7</v>
      </c>
      <c r="N790" s="71">
        <f t="shared" si="388"/>
        <v>0</v>
      </c>
      <c r="O790" s="44"/>
      <c r="P790" s="45">
        <f t="shared" si="370"/>
        <v>1</v>
      </c>
      <c r="Q790" s="46" t="str">
        <f t="shared" si="371"/>
        <v>20:55:47</v>
      </c>
      <c r="R790" s="47" t="str">
        <f t="shared" si="372"/>
        <v>55:47</v>
      </c>
      <c r="S790" s="48">
        <f t="shared" si="361"/>
        <v>17</v>
      </c>
      <c r="T790" s="47" t="str">
        <f t="shared" si="373"/>
        <v>20</v>
      </c>
      <c r="U790" s="49">
        <v>56</v>
      </c>
      <c r="V790" s="50">
        <v>4</v>
      </c>
      <c r="W790" s="51" t="str">
        <f t="shared" si="374"/>
        <v>56:04</v>
      </c>
      <c r="X790" s="52" t="s">
        <v>74</v>
      </c>
      <c r="Y790" s="124" t="s">
        <v>97</v>
      </c>
      <c r="Z790" s="124"/>
      <c r="AA790" s="47" t="s">
        <v>75</v>
      </c>
      <c r="AB790" s="47" t="str">
        <f t="shared" si="375"/>
        <v>NA</v>
      </c>
      <c r="AC790" s="53">
        <f t="shared" si="376"/>
        <v>0</v>
      </c>
      <c r="AD790" s="54">
        <f t="shared" si="377"/>
        <v>1</v>
      </c>
      <c r="AE790" s="54"/>
      <c r="AF790" s="54"/>
      <c r="AG790" s="55" t="str">
        <f t="shared" si="378"/>
        <v/>
      </c>
      <c r="AH790" s="56" t="str">
        <f t="shared" si="379"/>
        <v/>
      </c>
      <c r="AI790" s="55"/>
      <c r="AJ790" s="56" t="str">
        <f t="shared" si="380"/>
        <v/>
      </c>
      <c r="AK790" s="55"/>
      <c r="AL790" s="56" t="str">
        <f t="shared" si="381"/>
        <v/>
      </c>
      <c r="AM790" s="55">
        <v>1</v>
      </c>
      <c r="AN790" s="56">
        <f t="shared" si="382"/>
        <v>17</v>
      </c>
      <c r="AO790" s="55"/>
      <c r="AP790" s="56" t="str">
        <f t="shared" si="383"/>
        <v/>
      </c>
      <c r="AQ790" s="55"/>
      <c r="AR790" s="56" t="str">
        <f t="shared" si="384"/>
        <v/>
      </c>
      <c r="AS790" s="57"/>
      <c r="AT790" s="58"/>
      <c r="AU790" s="58"/>
      <c r="AV790" s="59"/>
      <c r="AW790" s="60">
        <v>1</v>
      </c>
      <c r="AX790" s="61">
        <f t="shared" si="363"/>
        <v>1</v>
      </c>
      <c r="AY790" s="60">
        <v>1</v>
      </c>
      <c r="AZ790" s="61">
        <f t="shared" si="365"/>
        <v>1</v>
      </c>
    </row>
    <row r="791" spans="1:52" s="3" customFormat="1" hidden="1" x14ac:dyDescent="0.35">
      <c r="A791" s="72">
        <f t="shared" si="366"/>
        <v>2019</v>
      </c>
      <c r="B791" s="72" t="str">
        <f t="shared" si="367"/>
        <v>Nov</v>
      </c>
      <c r="C791" s="73">
        <f t="shared" si="385"/>
        <v>18</v>
      </c>
      <c r="D791" s="74">
        <f t="shared" si="368"/>
        <v>20</v>
      </c>
      <c r="E791" s="75">
        <f t="shared" si="369"/>
        <v>56</v>
      </c>
      <c r="F791" s="79"/>
      <c r="G791" s="82"/>
      <c r="H791" s="68" t="str">
        <f t="shared" si="386"/>
        <v>Senbur0_20191118_20_00</v>
      </c>
      <c r="I791" s="69">
        <f t="shared" si="388"/>
        <v>1</v>
      </c>
      <c r="J791" s="76" t="str">
        <f t="shared" si="388"/>
        <v>Senecio</v>
      </c>
      <c r="K791" s="76" t="str">
        <f t="shared" si="388"/>
        <v>burtoni</v>
      </c>
      <c r="L791" s="77">
        <f t="shared" si="388"/>
        <v>0</v>
      </c>
      <c r="M791" s="77">
        <f t="shared" si="388"/>
        <v>7</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18</v>
      </c>
      <c r="D792" s="74">
        <f t="shared" si="368"/>
        <v>20</v>
      </c>
      <c r="E792" s="75">
        <f t="shared" si="369"/>
        <v>57</v>
      </c>
      <c r="F792" s="79"/>
      <c r="G792" s="82"/>
      <c r="H792" s="68" t="str">
        <f t="shared" si="386"/>
        <v>Senbur0_20191118_20_00</v>
      </c>
      <c r="I792" s="69">
        <f t="shared" si="388"/>
        <v>1</v>
      </c>
      <c r="J792" s="76" t="str">
        <f t="shared" si="388"/>
        <v>Senecio</v>
      </c>
      <c r="K792" s="76" t="str">
        <f t="shared" si="388"/>
        <v>burtoni</v>
      </c>
      <c r="L792" s="77">
        <f t="shared" si="388"/>
        <v>0</v>
      </c>
      <c r="M792" s="77">
        <f t="shared" si="388"/>
        <v>7</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18</v>
      </c>
      <c r="D793" s="74">
        <f t="shared" si="368"/>
        <v>20</v>
      </c>
      <c r="E793" s="75">
        <f t="shared" si="369"/>
        <v>58</v>
      </c>
      <c r="F793" s="79"/>
      <c r="G793" s="82"/>
      <c r="H793" s="68" t="str">
        <f t="shared" si="386"/>
        <v>Senbur0_20191118_20_00</v>
      </c>
      <c r="I793" s="69">
        <f t="shared" si="388"/>
        <v>1</v>
      </c>
      <c r="J793" s="76" t="str">
        <f t="shared" si="388"/>
        <v>Senecio</v>
      </c>
      <c r="K793" s="76" t="str">
        <f t="shared" si="388"/>
        <v>burtoni</v>
      </c>
      <c r="L793" s="77">
        <f t="shared" si="388"/>
        <v>0</v>
      </c>
      <c r="M793" s="77">
        <f t="shared" si="388"/>
        <v>7</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18</v>
      </c>
      <c r="D794" s="74">
        <f t="shared" si="368"/>
        <v>20</v>
      </c>
      <c r="E794" s="75">
        <f t="shared" si="369"/>
        <v>59</v>
      </c>
      <c r="F794" s="79"/>
      <c r="G794" s="82"/>
      <c r="H794" s="68" t="str">
        <f t="shared" si="386"/>
        <v>Senbur0_20191118_20_00</v>
      </c>
      <c r="I794" s="69">
        <f t="shared" si="388"/>
        <v>1</v>
      </c>
      <c r="J794" s="76" t="str">
        <f t="shared" si="388"/>
        <v>Senecio</v>
      </c>
      <c r="K794" s="76" t="str">
        <f t="shared" si="388"/>
        <v>burtoni</v>
      </c>
      <c r="L794" s="77">
        <f t="shared" si="388"/>
        <v>0</v>
      </c>
      <c r="M794" s="77">
        <f t="shared" si="388"/>
        <v>7</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18</v>
      </c>
      <c r="D795" s="74">
        <f t="shared" si="368"/>
        <v>21</v>
      </c>
      <c r="E795" s="75">
        <f t="shared" si="369"/>
        <v>0</v>
      </c>
      <c r="F795" s="79"/>
      <c r="G795" s="82"/>
      <c r="H795" s="68" t="str">
        <f t="shared" si="386"/>
        <v>Senbur0_20191118_21_00</v>
      </c>
      <c r="I795" s="69">
        <f t="shared" si="388"/>
        <v>1</v>
      </c>
      <c r="J795" s="76" t="str">
        <f t="shared" si="388"/>
        <v>Senecio</v>
      </c>
      <c r="K795" s="76" t="str">
        <f t="shared" si="388"/>
        <v>burtoni</v>
      </c>
      <c r="L795" s="77">
        <f t="shared" si="388"/>
        <v>0</v>
      </c>
      <c r="M795" s="77">
        <f t="shared" si="388"/>
        <v>7</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18</v>
      </c>
      <c r="D796" s="74">
        <f t="shared" si="368"/>
        <v>21</v>
      </c>
      <c r="E796" s="75">
        <f t="shared" si="369"/>
        <v>1</v>
      </c>
      <c r="F796" s="79"/>
      <c r="G796" s="82"/>
      <c r="H796" s="68" t="str">
        <f t="shared" si="386"/>
        <v>Senbur0_20191118_21_00</v>
      </c>
      <c r="I796" s="69">
        <f t="shared" si="388"/>
        <v>1</v>
      </c>
      <c r="J796" s="76" t="str">
        <f t="shared" si="388"/>
        <v>Senecio</v>
      </c>
      <c r="K796" s="76" t="str">
        <f t="shared" si="388"/>
        <v>burtoni</v>
      </c>
      <c r="L796" s="77">
        <f t="shared" si="388"/>
        <v>0</v>
      </c>
      <c r="M796" s="77">
        <f t="shared" si="388"/>
        <v>7</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18</v>
      </c>
      <c r="D797" s="74">
        <f t="shared" si="368"/>
        <v>21</v>
      </c>
      <c r="E797" s="75">
        <f t="shared" si="369"/>
        <v>2</v>
      </c>
      <c r="F797" s="79"/>
      <c r="G797" s="82"/>
      <c r="H797" s="68" t="str">
        <f t="shared" si="386"/>
        <v>Senbur0_20191118_21_00</v>
      </c>
      <c r="I797" s="69">
        <f t="shared" si="388"/>
        <v>1</v>
      </c>
      <c r="J797" s="76" t="str">
        <f t="shared" si="388"/>
        <v>Senecio</v>
      </c>
      <c r="K797" s="76" t="str">
        <f t="shared" si="388"/>
        <v>burtoni</v>
      </c>
      <c r="L797" s="77">
        <f t="shared" si="388"/>
        <v>0</v>
      </c>
      <c r="M797" s="77">
        <f t="shared" si="388"/>
        <v>7</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18</v>
      </c>
      <c r="D798" s="74">
        <f t="shared" si="368"/>
        <v>21</v>
      </c>
      <c r="E798" s="75">
        <f t="shared" si="369"/>
        <v>3</v>
      </c>
      <c r="F798" s="79"/>
      <c r="G798" s="82"/>
      <c r="H798" s="68" t="str">
        <f t="shared" si="386"/>
        <v>Senbur0_20191118_21_00</v>
      </c>
      <c r="I798" s="69">
        <f t="shared" si="388"/>
        <v>1</v>
      </c>
      <c r="J798" s="76" t="str">
        <f t="shared" si="388"/>
        <v>Senecio</v>
      </c>
      <c r="K798" s="76" t="str">
        <f t="shared" si="388"/>
        <v>burtoni</v>
      </c>
      <c r="L798" s="77">
        <f t="shared" si="388"/>
        <v>0</v>
      </c>
      <c r="M798" s="77">
        <f t="shared" si="388"/>
        <v>7</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18</v>
      </c>
      <c r="D799" s="74">
        <f t="shared" si="368"/>
        <v>21</v>
      </c>
      <c r="E799" s="75">
        <f t="shared" si="369"/>
        <v>4</v>
      </c>
      <c r="F799" s="79"/>
      <c r="G799" s="82"/>
      <c r="H799" s="68" t="str">
        <f t="shared" si="386"/>
        <v>Senbur0_20191118_21_00</v>
      </c>
      <c r="I799" s="69">
        <f t="shared" si="388"/>
        <v>1</v>
      </c>
      <c r="J799" s="76" t="str">
        <f t="shared" si="388"/>
        <v>Senecio</v>
      </c>
      <c r="K799" s="76" t="str">
        <f t="shared" si="388"/>
        <v>burtoni</v>
      </c>
      <c r="L799" s="77">
        <f t="shared" si="388"/>
        <v>0</v>
      </c>
      <c r="M799" s="77">
        <f t="shared" si="388"/>
        <v>7</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18</v>
      </c>
      <c r="D800" s="74">
        <f t="shared" si="368"/>
        <v>21</v>
      </c>
      <c r="E800" s="75">
        <f t="shared" si="369"/>
        <v>5</v>
      </c>
      <c r="F800" s="79"/>
      <c r="G800" s="82"/>
      <c r="H800" s="68" t="str">
        <f t="shared" si="386"/>
        <v>Senbur0_20191118_21_00</v>
      </c>
      <c r="I800" s="69">
        <f t="shared" si="388"/>
        <v>1</v>
      </c>
      <c r="J800" s="76" t="str">
        <f t="shared" si="388"/>
        <v>Senecio</v>
      </c>
      <c r="K800" s="76" t="str">
        <f t="shared" si="388"/>
        <v>burtoni</v>
      </c>
      <c r="L800" s="77">
        <f t="shared" si="388"/>
        <v>0</v>
      </c>
      <c r="M800" s="77">
        <f t="shared" si="388"/>
        <v>7</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18</v>
      </c>
      <c r="D801" s="74">
        <f t="shared" si="368"/>
        <v>21</v>
      </c>
      <c r="E801" s="75">
        <f t="shared" si="369"/>
        <v>6</v>
      </c>
      <c r="F801" s="79"/>
      <c r="G801" s="82"/>
      <c r="H801" s="68" t="str">
        <f t="shared" si="386"/>
        <v>Senbur0_20191118_21_00</v>
      </c>
      <c r="I801" s="69">
        <f t="shared" si="388"/>
        <v>1</v>
      </c>
      <c r="J801" s="76" t="str">
        <f t="shared" si="388"/>
        <v>Senecio</v>
      </c>
      <c r="K801" s="76" t="str">
        <f t="shared" si="388"/>
        <v>burtoni</v>
      </c>
      <c r="L801" s="77">
        <f t="shared" si="388"/>
        <v>0</v>
      </c>
      <c r="M801" s="77">
        <f t="shared" si="388"/>
        <v>7</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18</v>
      </c>
      <c r="D802" s="74">
        <f t="shared" si="368"/>
        <v>21</v>
      </c>
      <c r="E802" s="75">
        <f t="shared" si="369"/>
        <v>7</v>
      </c>
      <c r="F802" s="79"/>
      <c r="G802" s="82"/>
      <c r="H802" s="68" t="str">
        <f t="shared" si="386"/>
        <v>Senbur0_20191118_21_00</v>
      </c>
      <c r="I802" s="69">
        <f t="shared" si="388"/>
        <v>1</v>
      </c>
      <c r="J802" s="76" t="str">
        <f t="shared" si="388"/>
        <v>Senecio</v>
      </c>
      <c r="K802" s="76" t="str">
        <f t="shared" si="388"/>
        <v>burtoni</v>
      </c>
      <c r="L802" s="77">
        <f t="shared" si="388"/>
        <v>0</v>
      </c>
      <c r="M802" s="77">
        <f t="shared" si="388"/>
        <v>7</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18</v>
      </c>
      <c r="D803" s="74">
        <f t="shared" si="368"/>
        <v>21</v>
      </c>
      <c r="E803" s="75">
        <f t="shared" si="369"/>
        <v>8</v>
      </c>
      <c r="F803" s="79"/>
      <c r="G803" s="82"/>
      <c r="H803" s="68" t="str">
        <f t="shared" si="386"/>
        <v>Senbur0_20191118_21_00</v>
      </c>
      <c r="I803" s="69">
        <f t="shared" si="388"/>
        <v>1</v>
      </c>
      <c r="J803" s="76" t="str">
        <f t="shared" si="388"/>
        <v>Senecio</v>
      </c>
      <c r="K803" s="76" t="str">
        <f t="shared" si="388"/>
        <v>burtoni</v>
      </c>
      <c r="L803" s="77">
        <f t="shared" si="388"/>
        <v>0</v>
      </c>
      <c r="M803" s="77">
        <f t="shared" si="388"/>
        <v>7</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18</v>
      </c>
      <c r="D804" s="74">
        <f t="shared" si="368"/>
        <v>21</v>
      </c>
      <c r="E804" s="75">
        <f t="shared" si="369"/>
        <v>9</v>
      </c>
      <c r="F804" s="79"/>
      <c r="G804" s="82"/>
      <c r="H804" s="68" t="str">
        <f t="shared" si="386"/>
        <v>Senbur0_20191118_21_00</v>
      </c>
      <c r="I804" s="69">
        <f t="shared" si="388"/>
        <v>1</v>
      </c>
      <c r="J804" s="76" t="str">
        <f t="shared" si="388"/>
        <v>Senecio</v>
      </c>
      <c r="K804" s="76" t="str">
        <f t="shared" si="388"/>
        <v>burtoni</v>
      </c>
      <c r="L804" s="77">
        <f t="shared" si="388"/>
        <v>0</v>
      </c>
      <c r="M804" s="77">
        <f t="shared" si="388"/>
        <v>7</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18</v>
      </c>
      <c r="D805" s="74">
        <f t="shared" si="368"/>
        <v>21</v>
      </c>
      <c r="E805" s="75">
        <f t="shared" si="369"/>
        <v>10</v>
      </c>
      <c r="F805" s="79"/>
      <c r="G805" s="82"/>
      <c r="H805" s="68" t="str">
        <f t="shared" si="386"/>
        <v>Senbur0_20191118_21_00</v>
      </c>
      <c r="I805" s="69">
        <f t="shared" ref="I805:N820" si="389">I804</f>
        <v>1</v>
      </c>
      <c r="J805" s="76" t="str">
        <f t="shared" si="389"/>
        <v>Senecio</v>
      </c>
      <c r="K805" s="76" t="str">
        <f t="shared" si="389"/>
        <v>burtoni</v>
      </c>
      <c r="L805" s="77">
        <f t="shared" si="389"/>
        <v>0</v>
      </c>
      <c r="M805" s="77">
        <f t="shared" si="389"/>
        <v>7</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18</v>
      </c>
      <c r="D806" s="74">
        <f t="shared" si="368"/>
        <v>21</v>
      </c>
      <c r="E806" s="75">
        <f t="shared" si="369"/>
        <v>11</v>
      </c>
      <c r="F806" s="79"/>
      <c r="G806" s="82"/>
      <c r="H806" s="68" t="str">
        <f t="shared" si="386"/>
        <v>Senbur0_20191118_21_00</v>
      </c>
      <c r="I806" s="69">
        <f t="shared" si="389"/>
        <v>1</v>
      </c>
      <c r="J806" s="76" t="str">
        <f t="shared" si="389"/>
        <v>Senecio</v>
      </c>
      <c r="K806" s="76" t="str">
        <f t="shared" si="389"/>
        <v>burtoni</v>
      </c>
      <c r="L806" s="77">
        <f t="shared" si="389"/>
        <v>0</v>
      </c>
      <c r="M806" s="77">
        <f t="shared" si="389"/>
        <v>7</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18</v>
      </c>
      <c r="D807" s="74">
        <f t="shared" si="368"/>
        <v>21</v>
      </c>
      <c r="E807" s="75">
        <f t="shared" si="369"/>
        <v>12</v>
      </c>
      <c r="F807" s="79"/>
      <c r="G807" s="82"/>
      <c r="H807" s="68" t="str">
        <f t="shared" si="386"/>
        <v>Senbur0_20191118_21_00</v>
      </c>
      <c r="I807" s="69">
        <f t="shared" si="389"/>
        <v>1</v>
      </c>
      <c r="J807" s="76" t="str">
        <f t="shared" si="389"/>
        <v>Senecio</v>
      </c>
      <c r="K807" s="76" t="str">
        <f t="shared" si="389"/>
        <v>burtoni</v>
      </c>
      <c r="L807" s="77">
        <f t="shared" si="389"/>
        <v>0</v>
      </c>
      <c r="M807" s="77">
        <f t="shared" si="389"/>
        <v>7</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18</v>
      </c>
      <c r="D808" s="74">
        <f t="shared" si="368"/>
        <v>21</v>
      </c>
      <c r="E808" s="75">
        <f t="shared" si="369"/>
        <v>13</v>
      </c>
      <c r="F808" s="79"/>
      <c r="G808" s="82"/>
      <c r="H808" s="68" t="str">
        <f t="shared" si="386"/>
        <v>Senbur0_20191118_21_00</v>
      </c>
      <c r="I808" s="69">
        <f t="shared" si="389"/>
        <v>1</v>
      </c>
      <c r="J808" s="76" t="str">
        <f t="shared" si="389"/>
        <v>Senecio</v>
      </c>
      <c r="K808" s="76" t="str">
        <f t="shared" si="389"/>
        <v>burtoni</v>
      </c>
      <c r="L808" s="77">
        <f t="shared" si="389"/>
        <v>0</v>
      </c>
      <c r="M808" s="77">
        <f t="shared" si="389"/>
        <v>7</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18</v>
      </c>
      <c r="D809" s="74">
        <f t="shared" si="368"/>
        <v>21</v>
      </c>
      <c r="E809" s="75">
        <f t="shared" si="369"/>
        <v>14</v>
      </c>
      <c r="F809" s="79"/>
      <c r="G809" s="82"/>
      <c r="H809" s="68" t="str">
        <f t="shared" si="386"/>
        <v>Senbur0_20191118_21_00</v>
      </c>
      <c r="I809" s="69">
        <f t="shared" si="389"/>
        <v>1</v>
      </c>
      <c r="J809" s="76" t="str">
        <f t="shared" si="389"/>
        <v>Senecio</v>
      </c>
      <c r="K809" s="76" t="str">
        <f t="shared" si="389"/>
        <v>burtoni</v>
      </c>
      <c r="L809" s="77">
        <f t="shared" si="389"/>
        <v>0</v>
      </c>
      <c r="M809" s="77">
        <f t="shared" si="389"/>
        <v>7</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18</v>
      </c>
      <c r="D810" s="74">
        <f t="shared" si="368"/>
        <v>21</v>
      </c>
      <c r="E810" s="75">
        <f t="shared" si="369"/>
        <v>15</v>
      </c>
      <c r="F810" s="79"/>
      <c r="G810" s="82"/>
      <c r="H810" s="68" t="str">
        <f t="shared" si="386"/>
        <v>Senbur0_20191118_21_00</v>
      </c>
      <c r="I810" s="69">
        <f t="shared" si="389"/>
        <v>1</v>
      </c>
      <c r="J810" s="76" t="str">
        <f t="shared" si="389"/>
        <v>Senecio</v>
      </c>
      <c r="K810" s="76" t="str">
        <f t="shared" si="389"/>
        <v>burtoni</v>
      </c>
      <c r="L810" s="77">
        <f t="shared" si="389"/>
        <v>0</v>
      </c>
      <c r="M810" s="77">
        <f t="shared" si="389"/>
        <v>7</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18</v>
      </c>
      <c r="D811" s="74">
        <f t="shared" si="368"/>
        <v>21</v>
      </c>
      <c r="E811" s="75">
        <f t="shared" si="369"/>
        <v>16</v>
      </c>
      <c r="F811" s="79"/>
      <c r="G811" s="82"/>
      <c r="H811" s="68" t="str">
        <f t="shared" si="386"/>
        <v>Senbur0_20191118_21_00</v>
      </c>
      <c r="I811" s="69">
        <f t="shared" si="389"/>
        <v>1</v>
      </c>
      <c r="J811" s="76" t="str">
        <f t="shared" si="389"/>
        <v>Senecio</v>
      </c>
      <c r="K811" s="76" t="str">
        <f t="shared" si="389"/>
        <v>burtoni</v>
      </c>
      <c r="L811" s="77">
        <f t="shared" si="389"/>
        <v>0</v>
      </c>
      <c r="M811" s="77">
        <f t="shared" si="389"/>
        <v>7</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18</v>
      </c>
      <c r="D812" s="74">
        <f t="shared" si="368"/>
        <v>21</v>
      </c>
      <c r="E812" s="75">
        <f t="shared" si="369"/>
        <v>17</v>
      </c>
      <c r="F812" s="79"/>
      <c r="G812" s="82"/>
      <c r="H812" s="68" t="str">
        <f t="shared" si="386"/>
        <v>Senbur0_20191118_21_00</v>
      </c>
      <c r="I812" s="69">
        <f t="shared" si="389"/>
        <v>1</v>
      </c>
      <c r="J812" s="76" t="str">
        <f t="shared" si="389"/>
        <v>Senecio</v>
      </c>
      <c r="K812" s="76" t="str">
        <f t="shared" si="389"/>
        <v>burtoni</v>
      </c>
      <c r="L812" s="77">
        <f t="shared" si="389"/>
        <v>0</v>
      </c>
      <c r="M812" s="77">
        <f t="shared" si="389"/>
        <v>7</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18</v>
      </c>
      <c r="D813" s="74">
        <f t="shared" si="368"/>
        <v>21</v>
      </c>
      <c r="E813" s="75">
        <f t="shared" si="369"/>
        <v>18</v>
      </c>
      <c r="F813" s="79"/>
      <c r="G813" s="82"/>
      <c r="H813" s="68" t="str">
        <f t="shared" si="386"/>
        <v>Senbur0_20191118_21_00</v>
      </c>
      <c r="I813" s="69">
        <f t="shared" si="389"/>
        <v>1</v>
      </c>
      <c r="J813" s="76" t="str">
        <f t="shared" si="389"/>
        <v>Senecio</v>
      </c>
      <c r="K813" s="76" t="str">
        <f t="shared" si="389"/>
        <v>burtoni</v>
      </c>
      <c r="L813" s="77">
        <f t="shared" si="389"/>
        <v>0</v>
      </c>
      <c r="M813" s="77">
        <f t="shared" si="389"/>
        <v>7</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18</v>
      </c>
      <c r="D814" s="74">
        <f t="shared" si="368"/>
        <v>21</v>
      </c>
      <c r="E814" s="75">
        <f t="shared" si="369"/>
        <v>19</v>
      </c>
      <c r="F814" s="79"/>
      <c r="G814" s="82"/>
      <c r="H814" s="68" t="str">
        <f t="shared" si="386"/>
        <v>Senbur0_20191118_21_00</v>
      </c>
      <c r="I814" s="69">
        <f t="shared" si="389"/>
        <v>1</v>
      </c>
      <c r="J814" s="76" t="str">
        <f t="shared" si="389"/>
        <v>Senecio</v>
      </c>
      <c r="K814" s="76" t="str">
        <f t="shared" si="389"/>
        <v>burtoni</v>
      </c>
      <c r="L814" s="77">
        <f t="shared" si="389"/>
        <v>0</v>
      </c>
      <c r="M814" s="77">
        <f t="shared" si="389"/>
        <v>7</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18</v>
      </c>
      <c r="D815" s="74">
        <f t="shared" si="368"/>
        <v>21</v>
      </c>
      <c r="E815" s="75">
        <f t="shared" si="369"/>
        <v>20</v>
      </c>
      <c r="F815" s="79"/>
      <c r="G815" s="82"/>
      <c r="H815" s="68" t="str">
        <f t="shared" si="386"/>
        <v>Senbur0_20191118_21_00</v>
      </c>
      <c r="I815" s="69">
        <f t="shared" si="389"/>
        <v>1</v>
      </c>
      <c r="J815" s="76" t="str">
        <f t="shared" si="389"/>
        <v>Senecio</v>
      </c>
      <c r="K815" s="76" t="str">
        <f t="shared" si="389"/>
        <v>burtoni</v>
      </c>
      <c r="L815" s="77">
        <f t="shared" si="389"/>
        <v>0</v>
      </c>
      <c r="M815" s="77">
        <f t="shared" si="389"/>
        <v>7</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18</v>
      </c>
      <c r="D816" s="74">
        <f t="shared" si="368"/>
        <v>21</v>
      </c>
      <c r="E816" s="75">
        <f t="shared" si="369"/>
        <v>21</v>
      </c>
      <c r="F816" s="79"/>
      <c r="G816" s="82"/>
      <c r="H816" s="68" t="str">
        <f t="shared" si="386"/>
        <v>Senbur0_20191118_21_00</v>
      </c>
      <c r="I816" s="69">
        <f t="shared" si="389"/>
        <v>1</v>
      </c>
      <c r="J816" s="76" t="str">
        <f t="shared" si="389"/>
        <v>Senecio</v>
      </c>
      <c r="K816" s="76" t="str">
        <f t="shared" si="389"/>
        <v>burtoni</v>
      </c>
      <c r="L816" s="77">
        <f t="shared" si="389"/>
        <v>0</v>
      </c>
      <c r="M816" s="77">
        <f t="shared" si="389"/>
        <v>7</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18</v>
      </c>
      <c r="D817" s="74">
        <f t="shared" si="368"/>
        <v>21</v>
      </c>
      <c r="E817" s="75">
        <f t="shared" si="369"/>
        <v>22</v>
      </c>
      <c r="F817" s="79"/>
      <c r="G817" s="82"/>
      <c r="H817" s="68" t="str">
        <f t="shared" si="386"/>
        <v>Senbur0_20191118_21_00</v>
      </c>
      <c r="I817" s="69">
        <f t="shared" si="389"/>
        <v>1</v>
      </c>
      <c r="J817" s="76" t="str">
        <f t="shared" si="389"/>
        <v>Senecio</v>
      </c>
      <c r="K817" s="76" t="str">
        <f t="shared" si="389"/>
        <v>burtoni</v>
      </c>
      <c r="L817" s="77">
        <f t="shared" si="389"/>
        <v>0</v>
      </c>
      <c r="M817" s="77">
        <f t="shared" si="389"/>
        <v>7</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18</v>
      </c>
      <c r="D818" s="74">
        <f t="shared" si="368"/>
        <v>21</v>
      </c>
      <c r="E818" s="75">
        <f t="shared" si="369"/>
        <v>23</v>
      </c>
      <c r="F818" s="79"/>
      <c r="G818" s="82"/>
      <c r="H818" s="68" t="str">
        <f t="shared" si="386"/>
        <v>Senbur0_20191118_21_00</v>
      </c>
      <c r="I818" s="69">
        <f t="shared" si="389"/>
        <v>1</v>
      </c>
      <c r="J818" s="76" t="str">
        <f t="shared" si="389"/>
        <v>Senecio</v>
      </c>
      <c r="K818" s="76" t="str">
        <f t="shared" si="389"/>
        <v>burtoni</v>
      </c>
      <c r="L818" s="77">
        <f t="shared" si="389"/>
        <v>0</v>
      </c>
      <c r="M818" s="77">
        <f t="shared" si="389"/>
        <v>7</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18</v>
      </c>
      <c r="D819" s="74">
        <f t="shared" si="368"/>
        <v>21</v>
      </c>
      <c r="E819" s="75">
        <f t="shared" si="369"/>
        <v>24</v>
      </c>
      <c r="F819" s="79"/>
      <c r="G819" s="82"/>
      <c r="H819" s="68" t="str">
        <f t="shared" si="386"/>
        <v>Senbur0_20191118_21_00</v>
      </c>
      <c r="I819" s="69">
        <f t="shared" si="389"/>
        <v>1</v>
      </c>
      <c r="J819" s="76" t="str">
        <f t="shared" si="389"/>
        <v>Senecio</v>
      </c>
      <c r="K819" s="76" t="str">
        <f t="shared" si="389"/>
        <v>burtoni</v>
      </c>
      <c r="L819" s="77">
        <f t="shared" si="389"/>
        <v>0</v>
      </c>
      <c r="M819" s="77">
        <f t="shared" si="389"/>
        <v>7</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18</v>
      </c>
      <c r="D820" s="74">
        <f t="shared" si="368"/>
        <v>21</v>
      </c>
      <c r="E820" s="75">
        <f t="shared" si="369"/>
        <v>25</v>
      </c>
      <c r="F820" s="79"/>
      <c r="G820" s="82"/>
      <c r="H820" s="68" t="str">
        <f t="shared" si="386"/>
        <v>Senbur0_20191118_21_00</v>
      </c>
      <c r="I820" s="69">
        <f t="shared" si="389"/>
        <v>1</v>
      </c>
      <c r="J820" s="76" t="str">
        <f t="shared" si="389"/>
        <v>Senecio</v>
      </c>
      <c r="K820" s="76" t="str">
        <f t="shared" si="389"/>
        <v>burtoni</v>
      </c>
      <c r="L820" s="77">
        <f t="shared" si="389"/>
        <v>0</v>
      </c>
      <c r="M820" s="77">
        <f t="shared" si="389"/>
        <v>7</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18</v>
      </c>
      <c r="D821" s="74">
        <f t="shared" si="368"/>
        <v>21</v>
      </c>
      <c r="E821" s="75">
        <f t="shared" si="369"/>
        <v>26</v>
      </c>
      <c r="F821" s="79"/>
      <c r="G821" s="82"/>
      <c r="H821" s="68" t="str">
        <f t="shared" si="386"/>
        <v>Senbur0_20191118_21_00</v>
      </c>
      <c r="I821" s="69">
        <f t="shared" ref="I821:N836" si="390">I820</f>
        <v>1</v>
      </c>
      <c r="J821" s="76" t="str">
        <f t="shared" si="390"/>
        <v>Senecio</v>
      </c>
      <c r="K821" s="76" t="str">
        <f t="shared" si="390"/>
        <v>burtoni</v>
      </c>
      <c r="L821" s="77">
        <f t="shared" si="390"/>
        <v>0</v>
      </c>
      <c r="M821" s="77">
        <f t="shared" si="390"/>
        <v>7</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18</v>
      </c>
      <c r="D822" s="74">
        <f t="shared" si="368"/>
        <v>21</v>
      </c>
      <c r="E822" s="75">
        <f t="shared" si="369"/>
        <v>27</v>
      </c>
      <c r="F822" s="79"/>
      <c r="G822" s="82"/>
      <c r="H822" s="68" t="str">
        <f t="shared" si="386"/>
        <v>Senbur0_20191118_21_00</v>
      </c>
      <c r="I822" s="69">
        <f t="shared" si="390"/>
        <v>1</v>
      </c>
      <c r="J822" s="76" t="str">
        <f t="shared" si="390"/>
        <v>Senecio</v>
      </c>
      <c r="K822" s="76" t="str">
        <f t="shared" si="390"/>
        <v>burtoni</v>
      </c>
      <c r="L822" s="77">
        <f t="shared" si="390"/>
        <v>0</v>
      </c>
      <c r="M822" s="77">
        <f t="shared" si="390"/>
        <v>7</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18</v>
      </c>
      <c r="D823" s="74">
        <f t="shared" si="368"/>
        <v>21</v>
      </c>
      <c r="E823" s="75">
        <f t="shared" si="369"/>
        <v>28</v>
      </c>
      <c r="F823" s="79"/>
      <c r="G823" s="82"/>
      <c r="H823" s="68" t="str">
        <f t="shared" si="386"/>
        <v>Senbur0_20191118_21_00</v>
      </c>
      <c r="I823" s="69">
        <f t="shared" si="390"/>
        <v>1</v>
      </c>
      <c r="J823" s="76" t="str">
        <f t="shared" si="390"/>
        <v>Senecio</v>
      </c>
      <c r="K823" s="76" t="str">
        <f t="shared" si="390"/>
        <v>burtoni</v>
      </c>
      <c r="L823" s="77">
        <f t="shared" si="390"/>
        <v>0</v>
      </c>
      <c r="M823" s="77">
        <f t="shared" si="390"/>
        <v>7</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18</v>
      </c>
      <c r="D824" s="74">
        <f t="shared" si="368"/>
        <v>21</v>
      </c>
      <c r="E824" s="75">
        <f t="shared" si="369"/>
        <v>29</v>
      </c>
      <c r="F824" s="79"/>
      <c r="G824" s="82"/>
      <c r="H824" s="68" t="str">
        <f t="shared" si="386"/>
        <v>Senbur0_20191118_21_00</v>
      </c>
      <c r="I824" s="69">
        <f t="shared" si="390"/>
        <v>1</v>
      </c>
      <c r="J824" s="76" t="str">
        <f t="shared" si="390"/>
        <v>Senecio</v>
      </c>
      <c r="K824" s="76" t="str">
        <f t="shared" si="390"/>
        <v>burtoni</v>
      </c>
      <c r="L824" s="77">
        <f t="shared" si="390"/>
        <v>0</v>
      </c>
      <c r="M824" s="77">
        <f t="shared" si="390"/>
        <v>7</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18</v>
      </c>
      <c r="D825" s="74">
        <f t="shared" si="368"/>
        <v>21</v>
      </c>
      <c r="E825" s="75">
        <f t="shared" si="369"/>
        <v>30</v>
      </c>
      <c r="F825" s="79"/>
      <c r="G825" s="82"/>
      <c r="H825" s="68" t="str">
        <f t="shared" si="386"/>
        <v>Senbur0_20191118_21_00</v>
      </c>
      <c r="I825" s="69">
        <f t="shared" si="390"/>
        <v>1</v>
      </c>
      <c r="J825" s="76" t="str">
        <f t="shared" si="390"/>
        <v>Senecio</v>
      </c>
      <c r="K825" s="76" t="str">
        <f t="shared" si="390"/>
        <v>burtoni</v>
      </c>
      <c r="L825" s="77">
        <f t="shared" si="390"/>
        <v>0</v>
      </c>
      <c r="M825" s="77">
        <f t="shared" si="390"/>
        <v>7</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18</v>
      </c>
      <c r="D826" s="74">
        <f t="shared" si="368"/>
        <v>21</v>
      </c>
      <c r="E826" s="75">
        <f t="shared" si="369"/>
        <v>31</v>
      </c>
      <c r="F826" s="79"/>
      <c r="G826" s="82"/>
      <c r="H826" s="68" t="str">
        <f t="shared" si="386"/>
        <v>Senbur0_20191118_21_00</v>
      </c>
      <c r="I826" s="69">
        <f t="shared" si="390"/>
        <v>1</v>
      </c>
      <c r="J826" s="76" t="str">
        <f t="shared" si="390"/>
        <v>Senecio</v>
      </c>
      <c r="K826" s="76" t="str">
        <f t="shared" si="390"/>
        <v>burtoni</v>
      </c>
      <c r="L826" s="77">
        <f t="shared" si="390"/>
        <v>0</v>
      </c>
      <c r="M826" s="77">
        <f t="shared" si="390"/>
        <v>7</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18</v>
      </c>
      <c r="D827" s="74">
        <f t="shared" si="368"/>
        <v>21</v>
      </c>
      <c r="E827" s="75">
        <f t="shared" si="369"/>
        <v>32</v>
      </c>
      <c r="F827" s="79"/>
      <c r="G827" s="82"/>
      <c r="H827" s="68" t="str">
        <f t="shared" si="386"/>
        <v>Senbur0_20191118_21_00</v>
      </c>
      <c r="I827" s="69">
        <f t="shared" si="390"/>
        <v>1</v>
      </c>
      <c r="J827" s="76" t="str">
        <f t="shared" si="390"/>
        <v>Senecio</v>
      </c>
      <c r="K827" s="76" t="str">
        <f t="shared" si="390"/>
        <v>burtoni</v>
      </c>
      <c r="L827" s="77">
        <f t="shared" si="390"/>
        <v>0</v>
      </c>
      <c r="M827" s="77">
        <f t="shared" si="390"/>
        <v>7</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18</v>
      </c>
      <c r="D828" s="74">
        <f t="shared" si="368"/>
        <v>21</v>
      </c>
      <c r="E828" s="75">
        <f t="shared" si="369"/>
        <v>33</v>
      </c>
      <c r="F828" s="79"/>
      <c r="G828" s="82"/>
      <c r="H828" s="68" t="str">
        <f t="shared" si="386"/>
        <v>Senbur0_20191118_21_00</v>
      </c>
      <c r="I828" s="69">
        <f t="shared" si="390"/>
        <v>1</v>
      </c>
      <c r="J828" s="76" t="str">
        <f t="shared" si="390"/>
        <v>Senecio</v>
      </c>
      <c r="K828" s="76" t="str">
        <f t="shared" si="390"/>
        <v>burtoni</v>
      </c>
      <c r="L828" s="77">
        <f t="shared" si="390"/>
        <v>0</v>
      </c>
      <c r="M828" s="77">
        <f t="shared" si="390"/>
        <v>7</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18</v>
      </c>
      <c r="D829" s="74">
        <f t="shared" si="368"/>
        <v>21</v>
      </c>
      <c r="E829" s="75">
        <f t="shared" si="369"/>
        <v>34</v>
      </c>
      <c r="F829" s="79"/>
      <c r="G829" s="82"/>
      <c r="H829" s="68" t="str">
        <f t="shared" si="386"/>
        <v>Senbur0_20191118_21_00</v>
      </c>
      <c r="I829" s="69">
        <f t="shared" si="390"/>
        <v>1</v>
      </c>
      <c r="J829" s="76" t="str">
        <f t="shared" si="390"/>
        <v>Senecio</v>
      </c>
      <c r="K829" s="76" t="str">
        <f t="shared" si="390"/>
        <v>burtoni</v>
      </c>
      <c r="L829" s="77">
        <f t="shared" si="390"/>
        <v>0</v>
      </c>
      <c r="M829" s="77">
        <f t="shared" si="390"/>
        <v>7</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18</v>
      </c>
      <c r="D830" s="74">
        <f t="shared" si="368"/>
        <v>21</v>
      </c>
      <c r="E830" s="75">
        <f t="shared" si="369"/>
        <v>35</v>
      </c>
      <c r="F830" s="79"/>
      <c r="G830" s="82"/>
      <c r="H830" s="68" t="str">
        <f t="shared" si="386"/>
        <v>Senbur0_20191118_21_00</v>
      </c>
      <c r="I830" s="69">
        <f t="shared" si="390"/>
        <v>1</v>
      </c>
      <c r="J830" s="76" t="str">
        <f t="shared" si="390"/>
        <v>Senecio</v>
      </c>
      <c r="K830" s="76" t="str">
        <f t="shared" si="390"/>
        <v>burtoni</v>
      </c>
      <c r="L830" s="77">
        <f t="shared" si="390"/>
        <v>0</v>
      </c>
      <c r="M830" s="77">
        <f t="shared" si="390"/>
        <v>7</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18</v>
      </c>
      <c r="D831" s="74">
        <f t="shared" si="368"/>
        <v>21</v>
      </c>
      <c r="E831" s="75">
        <f t="shared" si="369"/>
        <v>36</v>
      </c>
      <c r="F831" s="79"/>
      <c r="G831" s="82"/>
      <c r="H831" s="68" t="str">
        <f t="shared" si="386"/>
        <v>Senbur0_20191118_21_00</v>
      </c>
      <c r="I831" s="69">
        <f t="shared" si="390"/>
        <v>1</v>
      </c>
      <c r="J831" s="76" t="str">
        <f t="shared" si="390"/>
        <v>Senecio</v>
      </c>
      <c r="K831" s="76" t="str">
        <f t="shared" si="390"/>
        <v>burtoni</v>
      </c>
      <c r="L831" s="77">
        <f t="shared" si="390"/>
        <v>0</v>
      </c>
      <c r="M831" s="77">
        <f t="shared" si="390"/>
        <v>7</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18</v>
      </c>
      <c r="D832" s="74">
        <f t="shared" si="368"/>
        <v>21</v>
      </c>
      <c r="E832" s="75">
        <f t="shared" si="369"/>
        <v>37</v>
      </c>
      <c r="F832" s="79"/>
      <c r="G832" s="82"/>
      <c r="H832" s="68" t="str">
        <f t="shared" si="386"/>
        <v>Senbur0_20191118_21_00</v>
      </c>
      <c r="I832" s="69">
        <f t="shared" si="390"/>
        <v>1</v>
      </c>
      <c r="J832" s="76" t="str">
        <f t="shared" si="390"/>
        <v>Senecio</v>
      </c>
      <c r="K832" s="76" t="str">
        <f t="shared" si="390"/>
        <v>burtoni</v>
      </c>
      <c r="L832" s="77">
        <f t="shared" si="390"/>
        <v>0</v>
      </c>
      <c r="M832" s="77">
        <f t="shared" si="390"/>
        <v>7</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18</v>
      </c>
      <c r="D833" s="74">
        <f t="shared" si="368"/>
        <v>21</v>
      </c>
      <c r="E833" s="75">
        <f t="shared" si="369"/>
        <v>38</v>
      </c>
      <c r="F833" s="79"/>
      <c r="G833" s="82"/>
      <c r="H833" s="68" t="str">
        <f t="shared" si="386"/>
        <v>Senbur0_20191118_21_00</v>
      </c>
      <c r="I833" s="69">
        <f t="shared" si="390"/>
        <v>1</v>
      </c>
      <c r="J833" s="76" t="str">
        <f t="shared" si="390"/>
        <v>Senecio</v>
      </c>
      <c r="K833" s="76" t="str">
        <f t="shared" si="390"/>
        <v>burtoni</v>
      </c>
      <c r="L833" s="77">
        <f t="shared" si="390"/>
        <v>0</v>
      </c>
      <c r="M833" s="77">
        <f t="shared" si="390"/>
        <v>7</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18</v>
      </c>
      <c r="D834" s="74">
        <f t="shared" si="368"/>
        <v>21</v>
      </c>
      <c r="E834" s="75">
        <f t="shared" si="369"/>
        <v>39</v>
      </c>
      <c r="F834" s="79"/>
      <c r="G834" s="82"/>
      <c r="H834" s="68" t="str">
        <f t="shared" si="386"/>
        <v>Senbur0_20191118_21_00</v>
      </c>
      <c r="I834" s="69">
        <f t="shared" si="390"/>
        <v>1</v>
      </c>
      <c r="J834" s="76" t="str">
        <f t="shared" si="390"/>
        <v>Senecio</v>
      </c>
      <c r="K834" s="76" t="str">
        <f t="shared" si="390"/>
        <v>burtoni</v>
      </c>
      <c r="L834" s="77">
        <f t="shared" si="390"/>
        <v>0</v>
      </c>
      <c r="M834" s="77">
        <f t="shared" si="390"/>
        <v>7</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18</v>
      </c>
      <c r="D835" s="74">
        <f t="shared" si="368"/>
        <v>21</v>
      </c>
      <c r="E835" s="75">
        <f t="shared" si="369"/>
        <v>40</v>
      </c>
      <c r="F835" s="79"/>
      <c r="G835" s="82"/>
      <c r="H835" s="68" t="str">
        <f t="shared" si="386"/>
        <v>Senbur0_20191118_21_00</v>
      </c>
      <c r="I835" s="69">
        <f t="shared" si="390"/>
        <v>1</v>
      </c>
      <c r="J835" s="76" t="str">
        <f t="shared" si="390"/>
        <v>Senecio</v>
      </c>
      <c r="K835" s="76" t="str">
        <f t="shared" si="390"/>
        <v>burtoni</v>
      </c>
      <c r="L835" s="77">
        <f t="shared" si="390"/>
        <v>0</v>
      </c>
      <c r="M835" s="77">
        <f t="shared" si="390"/>
        <v>7</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18</v>
      </c>
      <c r="D836" s="74">
        <f t="shared" ref="D836:D899" si="398">IF(IF(E835=59,D835+1,D835)=24,0,IF(E835=59,D835+1,D835))</f>
        <v>21</v>
      </c>
      <c r="E836" s="75">
        <f t="shared" ref="E836:E899" si="399">IF(E835&lt;59,E835+1,0)</f>
        <v>41</v>
      </c>
      <c r="F836" s="79"/>
      <c r="G836" s="82"/>
      <c r="H836" s="68" t="str">
        <f t="shared" si="386"/>
        <v>Senbur0_20191118_21_00</v>
      </c>
      <c r="I836" s="69">
        <f t="shared" si="390"/>
        <v>1</v>
      </c>
      <c r="J836" s="76" t="str">
        <f t="shared" si="390"/>
        <v>Senecio</v>
      </c>
      <c r="K836" s="76" t="str">
        <f t="shared" si="390"/>
        <v>burtoni</v>
      </c>
      <c r="L836" s="77">
        <f t="shared" si="390"/>
        <v>0</v>
      </c>
      <c r="M836" s="77">
        <f t="shared" si="390"/>
        <v>7</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18</v>
      </c>
      <c r="D837" s="74">
        <f t="shared" si="398"/>
        <v>21</v>
      </c>
      <c r="E837" s="75">
        <f t="shared" si="399"/>
        <v>42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Senbur0_20191118_21_00</v>
      </c>
      <c r="I837" s="69">
        <f t="shared" ref="I837:N852" si="417">I836</f>
        <v>1</v>
      </c>
      <c r="J837" s="76" t="str">
        <f t="shared" si="417"/>
        <v>Senecio</v>
      </c>
      <c r="K837" s="76" t="str">
        <f t="shared" si="417"/>
        <v>burtoni</v>
      </c>
      <c r="L837" s="77">
        <f t="shared" si="417"/>
        <v>0</v>
      </c>
      <c r="M837" s="77">
        <f t="shared" si="417"/>
        <v>7</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18</v>
      </c>
      <c r="D838" s="74">
        <f t="shared" si="398"/>
        <v>21</v>
      </c>
      <c r="E838" s="75">
        <f t="shared" si="399"/>
        <v>43</v>
      </c>
      <c r="F838" s="79"/>
      <c r="G838" s="82"/>
      <c r="H838" s="68" t="str">
        <f t="shared" si="416"/>
        <v>Senbur0_20191118_21_00</v>
      </c>
      <c r="I838" s="69">
        <f t="shared" si="417"/>
        <v>1</v>
      </c>
      <c r="J838" s="76" t="str">
        <f t="shared" si="417"/>
        <v>Senecio</v>
      </c>
      <c r="K838" s="76" t="str">
        <f t="shared" si="417"/>
        <v>burtoni</v>
      </c>
      <c r="L838" s="77">
        <f t="shared" si="417"/>
        <v>0</v>
      </c>
      <c r="M838" s="77">
        <f t="shared" si="417"/>
        <v>7</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18</v>
      </c>
      <c r="D839" s="74">
        <f t="shared" si="398"/>
        <v>21</v>
      </c>
      <c r="E839" s="75">
        <f t="shared" si="399"/>
        <v>44</v>
      </c>
      <c r="F839" s="79"/>
      <c r="G839" s="82"/>
      <c r="H839" s="68" t="str">
        <f t="shared" si="416"/>
        <v>Senbur0_20191118_21_00</v>
      </c>
      <c r="I839" s="69">
        <f t="shared" si="417"/>
        <v>1</v>
      </c>
      <c r="J839" s="76" t="str">
        <f t="shared" si="417"/>
        <v>Senecio</v>
      </c>
      <c r="K839" s="76" t="str">
        <f t="shared" si="417"/>
        <v>burtoni</v>
      </c>
      <c r="L839" s="77">
        <f t="shared" si="417"/>
        <v>0</v>
      </c>
      <c r="M839" s="77">
        <f t="shared" si="417"/>
        <v>7</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18</v>
      </c>
      <c r="D840" s="74">
        <f t="shared" si="398"/>
        <v>21</v>
      </c>
      <c r="E840" s="75">
        <f t="shared" si="399"/>
        <v>45</v>
      </c>
      <c r="F840" s="79"/>
      <c r="G840" s="82"/>
      <c r="H840" s="68" t="str">
        <f t="shared" si="416"/>
        <v>Senbur0_20191118_21_00</v>
      </c>
      <c r="I840" s="69">
        <f t="shared" si="417"/>
        <v>1</v>
      </c>
      <c r="J840" s="76" t="str">
        <f t="shared" si="417"/>
        <v>Senecio</v>
      </c>
      <c r="K840" s="76" t="str">
        <f t="shared" si="417"/>
        <v>burtoni</v>
      </c>
      <c r="L840" s="77">
        <f t="shared" si="417"/>
        <v>0</v>
      </c>
      <c r="M840" s="77">
        <f t="shared" si="417"/>
        <v>7</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18</v>
      </c>
      <c r="D841" s="74">
        <f t="shared" si="398"/>
        <v>21</v>
      </c>
      <c r="E841" s="75">
        <f t="shared" si="399"/>
        <v>46</v>
      </c>
      <c r="F841" s="79"/>
      <c r="G841" s="82"/>
      <c r="H841" s="68" t="str">
        <f t="shared" si="416"/>
        <v>Senbur0_20191118_21_00</v>
      </c>
      <c r="I841" s="69">
        <f t="shared" si="417"/>
        <v>1</v>
      </c>
      <c r="J841" s="76" t="str">
        <f t="shared" si="417"/>
        <v>Senecio</v>
      </c>
      <c r="K841" s="76" t="str">
        <f t="shared" si="417"/>
        <v>burtoni</v>
      </c>
      <c r="L841" s="77">
        <f t="shared" si="417"/>
        <v>0</v>
      </c>
      <c r="M841" s="77">
        <f t="shared" si="417"/>
        <v>7</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18</v>
      </c>
      <c r="D842" s="74">
        <f t="shared" si="398"/>
        <v>21</v>
      </c>
      <c r="E842" s="75">
        <f t="shared" si="399"/>
        <v>47</v>
      </c>
      <c r="F842" s="79"/>
      <c r="G842" s="82"/>
      <c r="H842" s="68" t="str">
        <f t="shared" si="416"/>
        <v>Senbur0_20191118_21_00</v>
      </c>
      <c r="I842" s="69">
        <f t="shared" si="417"/>
        <v>1</v>
      </c>
      <c r="J842" s="76" t="str">
        <f t="shared" si="417"/>
        <v>Senecio</v>
      </c>
      <c r="K842" s="76" t="str">
        <f t="shared" si="417"/>
        <v>burtoni</v>
      </c>
      <c r="L842" s="77">
        <f t="shared" si="417"/>
        <v>0</v>
      </c>
      <c r="M842" s="77">
        <f t="shared" si="417"/>
        <v>7</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18</v>
      </c>
      <c r="D843" s="74">
        <f t="shared" si="398"/>
        <v>21</v>
      </c>
      <c r="E843" s="75">
        <f t="shared" si="399"/>
        <v>48</v>
      </c>
      <c r="F843" s="79"/>
      <c r="G843" s="82"/>
      <c r="H843" s="68" t="str">
        <f t="shared" si="416"/>
        <v>Senbur0_20191118_21_00</v>
      </c>
      <c r="I843" s="69">
        <f t="shared" si="417"/>
        <v>1</v>
      </c>
      <c r="J843" s="76" t="str">
        <f t="shared" si="417"/>
        <v>Senecio</v>
      </c>
      <c r="K843" s="76" t="str">
        <f t="shared" si="417"/>
        <v>burtoni</v>
      </c>
      <c r="L843" s="77">
        <f t="shared" si="417"/>
        <v>0</v>
      </c>
      <c r="M843" s="77">
        <f t="shared" si="417"/>
        <v>7</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18</v>
      </c>
      <c r="D844" s="74">
        <f t="shared" si="398"/>
        <v>21</v>
      </c>
      <c r="E844" s="75">
        <f t="shared" si="399"/>
        <v>49</v>
      </c>
      <c r="F844" s="79"/>
      <c r="G844" s="82"/>
      <c r="H844" s="68" t="str">
        <f t="shared" si="416"/>
        <v>Senbur0_20191118_21_00</v>
      </c>
      <c r="I844" s="69">
        <f t="shared" si="417"/>
        <v>1</v>
      </c>
      <c r="J844" s="76" t="str">
        <f t="shared" si="417"/>
        <v>Senecio</v>
      </c>
      <c r="K844" s="76" t="str">
        <f t="shared" si="417"/>
        <v>burtoni</v>
      </c>
      <c r="L844" s="77">
        <f t="shared" si="417"/>
        <v>0</v>
      </c>
      <c r="M844" s="77">
        <f t="shared" si="417"/>
        <v>7</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18</v>
      </c>
      <c r="D845" s="74">
        <f t="shared" si="398"/>
        <v>21</v>
      </c>
      <c r="E845" s="75">
        <f t="shared" si="399"/>
        <v>50</v>
      </c>
      <c r="F845" s="79"/>
      <c r="G845" s="82"/>
      <c r="H845" s="68" t="str">
        <f t="shared" si="416"/>
        <v>Senbur0_20191118_21_00</v>
      </c>
      <c r="I845" s="69">
        <f t="shared" si="417"/>
        <v>1</v>
      </c>
      <c r="J845" s="76" t="str">
        <f t="shared" si="417"/>
        <v>Senecio</v>
      </c>
      <c r="K845" s="76" t="str">
        <f t="shared" si="417"/>
        <v>burtoni</v>
      </c>
      <c r="L845" s="77">
        <f t="shared" si="417"/>
        <v>0</v>
      </c>
      <c r="M845" s="77">
        <f t="shared" si="417"/>
        <v>7</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18</v>
      </c>
      <c r="D846" s="74">
        <f t="shared" si="398"/>
        <v>21</v>
      </c>
      <c r="E846" s="75">
        <f t="shared" si="399"/>
        <v>51</v>
      </c>
      <c r="F846" s="79"/>
      <c r="G846" s="82"/>
      <c r="H846" s="68" t="str">
        <f t="shared" si="416"/>
        <v>Senbur0_20191118_21_00</v>
      </c>
      <c r="I846" s="69">
        <f t="shared" si="417"/>
        <v>1</v>
      </c>
      <c r="J846" s="76" t="str">
        <f t="shared" si="417"/>
        <v>Senecio</v>
      </c>
      <c r="K846" s="76" t="str">
        <f t="shared" si="417"/>
        <v>burtoni</v>
      </c>
      <c r="L846" s="77">
        <f t="shared" si="417"/>
        <v>0</v>
      </c>
      <c r="M846" s="77">
        <f t="shared" si="417"/>
        <v>7</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18</v>
      </c>
      <c r="D847" s="74">
        <f t="shared" si="398"/>
        <v>21</v>
      </c>
      <c r="E847" s="75">
        <f t="shared" si="399"/>
        <v>52</v>
      </c>
      <c r="F847" s="79"/>
      <c r="G847" s="82"/>
      <c r="H847" s="68" t="str">
        <f t="shared" si="416"/>
        <v>Senbur0_20191118_21_00</v>
      </c>
      <c r="I847" s="69">
        <f t="shared" si="417"/>
        <v>1</v>
      </c>
      <c r="J847" s="76" t="str">
        <f t="shared" si="417"/>
        <v>Senecio</v>
      </c>
      <c r="K847" s="76" t="str">
        <f t="shared" si="417"/>
        <v>burtoni</v>
      </c>
      <c r="L847" s="77">
        <f t="shared" si="417"/>
        <v>0</v>
      </c>
      <c r="M847" s="77">
        <f t="shared" si="417"/>
        <v>7</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18</v>
      </c>
      <c r="D848" s="74">
        <f t="shared" si="398"/>
        <v>21</v>
      </c>
      <c r="E848" s="75">
        <f t="shared" si="399"/>
        <v>53</v>
      </c>
      <c r="F848" s="79"/>
      <c r="G848" s="82"/>
      <c r="H848" s="68" t="str">
        <f t="shared" si="416"/>
        <v>Senbur0_20191118_21_00</v>
      </c>
      <c r="I848" s="69">
        <f t="shared" si="417"/>
        <v>1</v>
      </c>
      <c r="J848" s="76" t="str">
        <f t="shared" si="417"/>
        <v>Senecio</v>
      </c>
      <c r="K848" s="76" t="str">
        <f t="shared" si="417"/>
        <v>burtoni</v>
      </c>
      <c r="L848" s="77">
        <f t="shared" si="417"/>
        <v>0</v>
      </c>
      <c r="M848" s="77">
        <f t="shared" si="417"/>
        <v>7</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18</v>
      </c>
      <c r="D849" s="74">
        <f t="shared" si="398"/>
        <v>21</v>
      </c>
      <c r="E849" s="75">
        <f t="shared" si="399"/>
        <v>54</v>
      </c>
      <c r="F849" s="79"/>
      <c r="G849" s="82"/>
      <c r="H849" s="68" t="str">
        <f t="shared" si="416"/>
        <v>Senbur0_20191118_21_00</v>
      </c>
      <c r="I849" s="69">
        <f t="shared" si="417"/>
        <v>1</v>
      </c>
      <c r="J849" s="76" t="str">
        <f t="shared" si="417"/>
        <v>Senecio</v>
      </c>
      <c r="K849" s="76" t="str">
        <f t="shared" si="417"/>
        <v>burtoni</v>
      </c>
      <c r="L849" s="77">
        <f t="shared" si="417"/>
        <v>0</v>
      </c>
      <c r="M849" s="77">
        <f t="shared" si="417"/>
        <v>7</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18</v>
      </c>
      <c r="D850" s="74">
        <f t="shared" si="398"/>
        <v>21</v>
      </c>
      <c r="E850" s="75">
        <f t="shared" si="399"/>
        <v>55</v>
      </c>
      <c r="F850" s="79"/>
      <c r="G850" s="82"/>
      <c r="H850" s="68" t="str">
        <f t="shared" si="416"/>
        <v>Senbur0_20191118_21_00</v>
      </c>
      <c r="I850" s="69">
        <f t="shared" si="417"/>
        <v>1</v>
      </c>
      <c r="J850" s="76" t="str">
        <f t="shared" si="417"/>
        <v>Senecio</v>
      </c>
      <c r="K850" s="76" t="str">
        <f t="shared" si="417"/>
        <v>burtoni</v>
      </c>
      <c r="L850" s="77">
        <f t="shared" si="417"/>
        <v>0</v>
      </c>
      <c r="M850" s="77">
        <f t="shared" si="417"/>
        <v>7</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18</v>
      </c>
      <c r="D851" s="74">
        <f t="shared" si="398"/>
        <v>21</v>
      </c>
      <c r="E851" s="75">
        <f t="shared" si="399"/>
        <v>56</v>
      </c>
      <c r="F851" s="79"/>
      <c r="G851" s="82"/>
      <c r="H851" s="68" t="str">
        <f t="shared" si="416"/>
        <v>Senbur0_20191118_21_00</v>
      </c>
      <c r="I851" s="69">
        <f t="shared" si="417"/>
        <v>1</v>
      </c>
      <c r="J851" s="76" t="str">
        <f t="shared" si="417"/>
        <v>Senecio</v>
      </c>
      <c r="K851" s="76" t="str">
        <f t="shared" si="417"/>
        <v>burtoni</v>
      </c>
      <c r="L851" s="77">
        <f t="shared" si="417"/>
        <v>0</v>
      </c>
      <c r="M851" s="77">
        <f t="shared" si="417"/>
        <v>7</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18</v>
      </c>
      <c r="D852" s="74">
        <f t="shared" si="398"/>
        <v>21</v>
      </c>
      <c r="E852" s="75">
        <f t="shared" si="399"/>
        <v>57</v>
      </c>
      <c r="F852" s="79"/>
      <c r="G852" s="82"/>
      <c r="H852" s="68" t="str">
        <f t="shared" si="416"/>
        <v>Senbur0_20191118_21_00</v>
      </c>
      <c r="I852" s="69">
        <f t="shared" si="417"/>
        <v>1</v>
      </c>
      <c r="J852" s="76" t="str">
        <f t="shared" si="417"/>
        <v>Senecio</v>
      </c>
      <c r="K852" s="76" t="str">
        <f t="shared" si="417"/>
        <v>burtoni</v>
      </c>
      <c r="L852" s="77">
        <f t="shared" si="417"/>
        <v>0</v>
      </c>
      <c r="M852" s="77">
        <f t="shared" si="417"/>
        <v>7</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18</v>
      </c>
      <c r="D853" s="74">
        <f t="shared" si="398"/>
        <v>21</v>
      </c>
      <c r="E853" s="75">
        <f t="shared" si="399"/>
        <v>58</v>
      </c>
      <c r="F853" s="79"/>
      <c r="G853" s="82"/>
      <c r="H853" s="68" t="str">
        <f t="shared" si="416"/>
        <v>Senbur0_20191118_21_00</v>
      </c>
      <c r="I853" s="69">
        <f t="shared" ref="I853:N868" si="418">I852</f>
        <v>1</v>
      </c>
      <c r="J853" s="76" t="str">
        <f t="shared" si="418"/>
        <v>Senecio</v>
      </c>
      <c r="K853" s="76" t="str">
        <f t="shared" si="418"/>
        <v>burtoni</v>
      </c>
      <c r="L853" s="77">
        <f t="shared" si="418"/>
        <v>0</v>
      </c>
      <c r="M853" s="77">
        <f t="shared" si="418"/>
        <v>7</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18</v>
      </c>
      <c r="D854" s="74">
        <f t="shared" si="398"/>
        <v>21</v>
      </c>
      <c r="E854" s="75">
        <f t="shared" si="399"/>
        <v>59</v>
      </c>
      <c r="F854" s="79"/>
      <c r="G854" s="82"/>
      <c r="H854" s="68" t="str">
        <f t="shared" si="416"/>
        <v>Senbur0_20191118_21_00</v>
      </c>
      <c r="I854" s="69">
        <f t="shared" si="418"/>
        <v>1</v>
      </c>
      <c r="J854" s="76" t="str">
        <f t="shared" si="418"/>
        <v>Senecio</v>
      </c>
      <c r="K854" s="76" t="str">
        <f t="shared" si="418"/>
        <v>burtoni</v>
      </c>
      <c r="L854" s="77">
        <f t="shared" si="418"/>
        <v>0</v>
      </c>
      <c r="M854" s="77">
        <f t="shared" si="418"/>
        <v>7</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18</v>
      </c>
      <c r="D855" s="74">
        <f t="shared" si="398"/>
        <v>22</v>
      </c>
      <c r="E855" s="75">
        <f t="shared" si="399"/>
        <v>0</v>
      </c>
      <c r="F855" s="79"/>
      <c r="G855" s="82"/>
      <c r="H855" s="68" t="str">
        <f t="shared" si="416"/>
        <v>Senbur0_20191118_22_00</v>
      </c>
      <c r="I855" s="69">
        <f t="shared" si="418"/>
        <v>1</v>
      </c>
      <c r="J855" s="76" t="str">
        <f t="shared" si="418"/>
        <v>Senecio</v>
      </c>
      <c r="K855" s="76" t="str">
        <f t="shared" si="418"/>
        <v>burtoni</v>
      </c>
      <c r="L855" s="77">
        <f t="shared" si="418"/>
        <v>0</v>
      </c>
      <c r="M855" s="77">
        <f t="shared" si="418"/>
        <v>7</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18</v>
      </c>
      <c r="D856" s="74">
        <f t="shared" si="398"/>
        <v>22</v>
      </c>
      <c r="E856" s="75">
        <f t="shared" si="399"/>
        <v>1</v>
      </c>
      <c r="F856" s="79"/>
      <c r="G856" s="82"/>
      <c r="H856" s="68" t="str">
        <f t="shared" si="416"/>
        <v>Senbur0_20191118_22_00</v>
      </c>
      <c r="I856" s="69">
        <f t="shared" si="418"/>
        <v>1</v>
      </c>
      <c r="J856" s="76" t="str">
        <f t="shared" si="418"/>
        <v>Senecio</v>
      </c>
      <c r="K856" s="76" t="str">
        <f t="shared" si="418"/>
        <v>burtoni</v>
      </c>
      <c r="L856" s="77">
        <f t="shared" si="418"/>
        <v>0</v>
      </c>
      <c r="M856" s="77">
        <f t="shared" si="418"/>
        <v>7</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18</v>
      </c>
      <c r="D857" s="74">
        <f t="shared" si="398"/>
        <v>22</v>
      </c>
      <c r="E857" s="75">
        <f t="shared" si="399"/>
        <v>2</v>
      </c>
      <c r="F857" s="79"/>
      <c r="G857" s="82"/>
      <c r="H857" s="68" t="str">
        <f t="shared" si="416"/>
        <v>Senbur0_20191118_22_00</v>
      </c>
      <c r="I857" s="69">
        <f t="shared" si="418"/>
        <v>1</v>
      </c>
      <c r="J857" s="76" t="str">
        <f t="shared" si="418"/>
        <v>Senecio</v>
      </c>
      <c r="K857" s="76" t="str">
        <f t="shared" si="418"/>
        <v>burtoni</v>
      </c>
      <c r="L857" s="77">
        <f t="shared" si="418"/>
        <v>0</v>
      </c>
      <c r="M857" s="77">
        <f t="shared" si="418"/>
        <v>7</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18</v>
      </c>
      <c r="D858" s="74">
        <f t="shared" si="398"/>
        <v>22</v>
      </c>
      <c r="E858" s="75">
        <f t="shared" si="399"/>
        <v>3</v>
      </c>
      <c r="F858" s="79"/>
      <c r="G858" s="82"/>
      <c r="H858" s="68" t="str">
        <f t="shared" si="416"/>
        <v>Senbur0_20191118_22_00</v>
      </c>
      <c r="I858" s="69">
        <f t="shared" si="418"/>
        <v>1</v>
      </c>
      <c r="J858" s="76" t="str">
        <f t="shared" si="418"/>
        <v>Senecio</v>
      </c>
      <c r="K858" s="76" t="str">
        <f t="shared" si="418"/>
        <v>burtoni</v>
      </c>
      <c r="L858" s="77">
        <f t="shared" si="418"/>
        <v>0</v>
      </c>
      <c r="M858" s="77">
        <f t="shared" si="418"/>
        <v>7</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18</v>
      </c>
      <c r="D859" s="74">
        <f t="shared" si="398"/>
        <v>22</v>
      </c>
      <c r="E859" s="75">
        <f t="shared" si="399"/>
        <v>4</v>
      </c>
      <c r="F859" s="79"/>
      <c r="G859" s="82"/>
      <c r="H859" s="68" t="str">
        <f t="shared" si="416"/>
        <v>Senbur0_20191118_22_00</v>
      </c>
      <c r="I859" s="69">
        <f t="shared" si="418"/>
        <v>1</v>
      </c>
      <c r="J859" s="76" t="str">
        <f t="shared" si="418"/>
        <v>Senecio</v>
      </c>
      <c r="K859" s="76" t="str">
        <f t="shared" si="418"/>
        <v>burtoni</v>
      </c>
      <c r="L859" s="77">
        <f t="shared" si="418"/>
        <v>0</v>
      </c>
      <c r="M859" s="77">
        <f t="shared" si="418"/>
        <v>7</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18</v>
      </c>
      <c r="D860" s="74">
        <f t="shared" si="398"/>
        <v>22</v>
      </c>
      <c r="E860" s="75">
        <f t="shared" si="399"/>
        <v>5</v>
      </c>
      <c r="F860" s="79"/>
      <c r="G860" s="82"/>
      <c r="H860" s="68" t="str">
        <f t="shared" si="416"/>
        <v>Senbur0_20191118_22_00</v>
      </c>
      <c r="I860" s="69">
        <f t="shared" si="418"/>
        <v>1</v>
      </c>
      <c r="J860" s="76" t="str">
        <f t="shared" si="418"/>
        <v>Senecio</v>
      </c>
      <c r="K860" s="76" t="str">
        <f t="shared" si="418"/>
        <v>burtoni</v>
      </c>
      <c r="L860" s="77">
        <f t="shared" si="418"/>
        <v>0</v>
      </c>
      <c r="M860" s="77">
        <f t="shared" si="418"/>
        <v>7</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18</v>
      </c>
      <c r="D861" s="74">
        <f t="shared" si="398"/>
        <v>22</v>
      </c>
      <c r="E861" s="75">
        <f t="shared" si="399"/>
        <v>6</v>
      </c>
      <c r="F861" s="79"/>
      <c r="G861" s="82"/>
      <c r="H861" s="68" t="str">
        <f t="shared" si="416"/>
        <v>Senbur0_20191118_22_00</v>
      </c>
      <c r="I861" s="69">
        <f t="shared" si="418"/>
        <v>1</v>
      </c>
      <c r="J861" s="76" t="str">
        <f t="shared" si="418"/>
        <v>Senecio</v>
      </c>
      <c r="K861" s="76" t="str">
        <f t="shared" si="418"/>
        <v>burtoni</v>
      </c>
      <c r="L861" s="77">
        <f t="shared" si="418"/>
        <v>0</v>
      </c>
      <c r="M861" s="77">
        <f t="shared" si="418"/>
        <v>7</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18</v>
      </c>
      <c r="D862" s="74">
        <f t="shared" si="398"/>
        <v>22</v>
      </c>
      <c r="E862" s="75">
        <f t="shared" si="399"/>
        <v>7</v>
      </c>
      <c r="F862" s="79"/>
      <c r="G862" s="82"/>
      <c r="H862" s="68" t="str">
        <f t="shared" si="416"/>
        <v>Senbur0_20191118_22_00</v>
      </c>
      <c r="I862" s="69">
        <f t="shared" si="418"/>
        <v>1</v>
      </c>
      <c r="J862" s="76" t="str">
        <f t="shared" si="418"/>
        <v>Senecio</v>
      </c>
      <c r="K862" s="76" t="str">
        <f t="shared" si="418"/>
        <v>burtoni</v>
      </c>
      <c r="L862" s="77">
        <f t="shared" si="418"/>
        <v>0</v>
      </c>
      <c r="M862" s="77">
        <f t="shared" si="418"/>
        <v>7</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18</v>
      </c>
      <c r="D863" s="74">
        <f t="shared" si="398"/>
        <v>22</v>
      </c>
      <c r="E863" s="75">
        <f t="shared" si="399"/>
        <v>8</v>
      </c>
      <c r="F863" s="79"/>
      <c r="G863" s="82"/>
      <c r="H863" s="68" t="str">
        <f t="shared" si="416"/>
        <v>Senbur0_20191118_22_00</v>
      </c>
      <c r="I863" s="69">
        <f t="shared" si="418"/>
        <v>1</v>
      </c>
      <c r="J863" s="76" t="str">
        <f t="shared" si="418"/>
        <v>Senecio</v>
      </c>
      <c r="K863" s="76" t="str">
        <f t="shared" si="418"/>
        <v>burtoni</v>
      </c>
      <c r="L863" s="77">
        <f t="shared" si="418"/>
        <v>0</v>
      </c>
      <c r="M863" s="77">
        <f t="shared" si="418"/>
        <v>7</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18</v>
      </c>
      <c r="D864" s="74">
        <f t="shared" si="398"/>
        <v>22</v>
      </c>
      <c r="E864" s="75">
        <f t="shared" si="399"/>
        <v>9</v>
      </c>
      <c r="F864" s="79"/>
      <c r="G864" s="82"/>
      <c r="H864" s="68" t="str">
        <f t="shared" si="416"/>
        <v>Senbur0_20191118_22_00</v>
      </c>
      <c r="I864" s="69">
        <f t="shared" si="418"/>
        <v>1</v>
      </c>
      <c r="J864" s="76" t="str">
        <f t="shared" si="418"/>
        <v>Senecio</v>
      </c>
      <c r="K864" s="76" t="str">
        <f t="shared" si="418"/>
        <v>burtoni</v>
      </c>
      <c r="L864" s="77">
        <f t="shared" si="418"/>
        <v>0</v>
      </c>
      <c r="M864" s="77">
        <f t="shared" si="418"/>
        <v>7</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18</v>
      </c>
      <c r="D865" s="74">
        <f t="shared" si="398"/>
        <v>22</v>
      </c>
      <c r="E865" s="75">
        <f t="shared" si="399"/>
        <v>10</v>
      </c>
      <c r="F865" s="79"/>
      <c r="G865" s="82"/>
      <c r="H865" s="68" t="str">
        <f t="shared" si="416"/>
        <v>Senbur0_20191118_22_00</v>
      </c>
      <c r="I865" s="69">
        <f t="shared" si="418"/>
        <v>1</v>
      </c>
      <c r="J865" s="76" t="str">
        <f t="shared" si="418"/>
        <v>Senecio</v>
      </c>
      <c r="K865" s="76" t="str">
        <f t="shared" si="418"/>
        <v>burtoni</v>
      </c>
      <c r="L865" s="77">
        <f t="shared" si="418"/>
        <v>0</v>
      </c>
      <c r="M865" s="77">
        <f t="shared" si="418"/>
        <v>7</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18</v>
      </c>
      <c r="D866" s="74">
        <f t="shared" si="398"/>
        <v>22</v>
      </c>
      <c r="E866" s="75">
        <f t="shared" si="399"/>
        <v>11</v>
      </c>
      <c r="F866" s="79"/>
      <c r="G866" s="82"/>
      <c r="H866" s="68" t="str">
        <f t="shared" si="416"/>
        <v>Senbur0_20191118_22_00</v>
      </c>
      <c r="I866" s="69">
        <f t="shared" si="418"/>
        <v>1</v>
      </c>
      <c r="J866" s="76" t="str">
        <f t="shared" si="418"/>
        <v>Senecio</v>
      </c>
      <c r="K866" s="76" t="str">
        <f t="shared" si="418"/>
        <v>burtoni</v>
      </c>
      <c r="L866" s="77">
        <f t="shared" si="418"/>
        <v>0</v>
      </c>
      <c r="M866" s="77">
        <f t="shared" si="418"/>
        <v>7</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18</v>
      </c>
      <c r="D867" s="74">
        <f t="shared" si="398"/>
        <v>22</v>
      </c>
      <c r="E867" s="75">
        <f t="shared" si="399"/>
        <v>12</v>
      </c>
      <c r="F867" s="79"/>
      <c r="G867" s="82"/>
      <c r="H867" s="68" t="str">
        <f t="shared" si="416"/>
        <v>Senbur0_20191118_22_00</v>
      </c>
      <c r="I867" s="69">
        <f t="shared" si="418"/>
        <v>1</v>
      </c>
      <c r="J867" s="76" t="str">
        <f t="shared" si="418"/>
        <v>Senecio</v>
      </c>
      <c r="K867" s="76" t="str">
        <f t="shared" si="418"/>
        <v>burtoni</v>
      </c>
      <c r="L867" s="77">
        <f t="shared" si="418"/>
        <v>0</v>
      </c>
      <c r="M867" s="77">
        <f t="shared" si="418"/>
        <v>7</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18</v>
      </c>
      <c r="D868" s="74">
        <f t="shared" si="398"/>
        <v>22</v>
      </c>
      <c r="E868" s="75">
        <f t="shared" si="399"/>
        <v>13</v>
      </c>
      <c r="F868" s="79"/>
      <c r="G868" s="82"/>
      <c r="H868" s="68" t="str">
        <f t="shared" si="416"/>
        <v>Senbur0_20191118_22_00</v>
      </c>
      <c r="I868" s="69">
        <f t="shared" si="418"/>
        <v>1</v>
      </c>
      <c r="J868" s="76" t="str">
        <f t="shared" si="418"/>
        <v>Senecio</v>
      </c>
      <c r="K868" s="76" t="str">
        <f t="shared" si="418"/>
        <v>burtoni</v>
      </c>
      <c r="L868" s="77">
        <f t="shared" si="418"/>
        <v>0</v>
      </c>
      <c r="M868" s="77">
        <f t="shared" si="418"/>
        <v>7</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18</v>
      </c>
      <c r="D869" s="74">
        <f t="shared" si="398"/>
        <v>22</v>
      </c>
      <c r="E869" s="75">
        <f t="shared" si="399"/>
        <v>14</v>
      </c>
      <c r="F869" s="79"/>
      <c r="G869" s="82"/>
      <c r="H869" s="68" t="str">
        <f t="shared" si="416"/>
        <v>Senbur0_20191118_22_00</v>
      </c>
      <c r="I869" s="69">
        <f t="shared" ref="I869:N884" si="419">I868</f>
        <v>1</v>
      </c>
      <c r="J869" s="76" t="str">
        <f t="shared" si="419"/>
        <v>Senecio</v>
      </c>
      <c r="K869" s="76" t="str">
        <f t="shared" si="419"/>
        <v>burtoni</v>
      </c>
      <c r="L869" s="77">
        <f t="shared" si="419"/>
        <v>0</v>
      </c>
      <c r="M869" s="77">
        <f t="shared" si="419"/>
        <v>7</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18</v>
      </c>
      <c r="D870" s="74">
        <f t="shared" si="398"/>
        <v>22</v>
      </c>
      <c r="E870" s="75">
        <f t="shared" si="399"/>
        <v>15</v>
      </c>
      <c r="F870" s="79">
        <v>23</v>
      </c>
      <c r="G870" s="82"/>
      <c r="H870" s="68" t="str">
        <f t="shared" si="416"/>
        <v>Senbur0_20191118_22_00</v>
      </c>
      <c r="I870" s="69">
        <f t="shared" si="419"/>
        <v>1</v>
      </c>
      <c r="J870" s="76" t="str">
        <f t="shared" si="419"/>
        <v>Senecio</v>
      </c>
      <c r="K870" s="76" t="str">
        <f t="shared" si="419"/>
        <v>burtoni</v>
      </c>
      <c r="L870" s="77">
        <f t="shared" si="419"/>
        <v>0</v>
      </c>
      <c r="M870" s="77">
        <f t="shared" si="419"/>
        <v>7</v>
      </c>
      <c r="N870" s="71">
        <f t="shared" si="419"/>
        <v>0</v>
      </c>
      <c r="O870" s="44"/>
      <c r="P870" s="45">
        <f t="shared" si="400"/>
        <v>1</v>
      </c>
      <c r="Q870" s="46" t="str">
        <f t="shared" si="401"/>
        <v>22:15:23</v>
      </c>
      <c r="R870" s="47" t="str">
        <f t="shared" si="402"/>
        <v>15:23</v>
      </c>
      <c r="S870" s="48">
        <f t="shared" si="391"/>
        <v>7</v>
      </c>
      <c r="T870" s="47" t="str">
        <f t="shared" si="403"/>
        <v>22</v>
      </c>
      <c r="U870" s="49">
        <v>15</v>
      </c>
      <c r="V870" s="50">
        <v>30</v>
      </c>
      <c r="W870" s="51" t="str">
        <f t="shared" si="404"/>
        <v>15:30</v>
      </c>
      <c r="X870" s="52" t="s">
        <v>74</v>
      </c>
      <c r="Y870" s="124" t="s">
        <v>97</v>
      </c>
      <c r="Z870" s="124"/>
      <c r="AA870" s="47" t="s">
        <v>75</v>
      </c>
      <c r="AB870" s="47" t="str">
        <f t="shared" si="405"/>
        <v>NA</v>
      </c>
      <c r="AC870" s="53">
        <f t="shared" si="406"/>
        <v>0</v>
      </c>
      <c r="AD870" s="54">
        <f t="shared" si="407"/>
        <v>1</v>
      </c>
      <c r="AE870" s="54"/>
      <c r="AF870" s="54"/>
      <c r="AG870" s="55" t="str">
        <f t="shared" si="408"/>
        <v/>
      </c>
      <c r="AH870" s="56" t="str">
        <f t="shared" si="409"/>
        <v/>
      </c>
      <c r="AI870" s="55"/>
      <c r="AJ870" s="56" t="str">
        <f t="shared" si="410"/>
        <v/>
      </c>
      <c r="AK870" s="55"/>
      <c r="AL870" s="56" t="str">
        <f t="shared" si="411"/>
        <v/>
      </c>
      <c r="AM870" s="55">
        <v>1</v>
      </c>
      <c r="AN870" s="56">
        <f t="shared" si="412"/>
        <v>7</v>
      </c>
      <c r="AO870" s="55"/>
      <c r="AP870" s="56" t="str">
        <f t="shared" si="413"/>
        <v/>
      </c>
      <c r="AQ870" s="55"/>
      <c r="AR870" s="56" t="str">
        <f t="shared" si="414"/>
        <v/>
      </c>
      <c r="AS870" s="57"/>
      <c r="AT870" s="58"/>
      <c r="AU870" s="58"/>
      <c r="AV870" s="59"/>
      <c r="AW870" s="60">
        <v>1</v>
      </c>
      <c r="AX870" s="61">
        <f t="shared" si="393"/>
        <v>1</v>
      </c>
      <c r="AY870" s="60">
        <v>1</v>
      </c>
      <c r="AZ870" s="61">
        <f t="shared" si="395"/>
        <v>1</v>
      </c>
    </row>
    <row r="871" spans="1:52" s="3" customFormat="1" hidden="1" x14ac:dyDescent="0.35">
      <c r="A871" s="72">
        <f t="shared" si="396"/>
        <v>2019</v>
      </c>
      <c r="B871" s="72" t="str">
        <f t="shared" si="397"/>
        <v>Nov</v>
      </c>
      <c r="C871" s="73">
        <f t="shared" si="415"/>
        <v>18</v>
      </c>
      <c r="D871" s="74">
        <f t="shared" si="398"/>
        <v>22</v>
      </c>
      <c r="E871" s="75">
        <f t="shared" si="399"/>
        <v>16</v>
      </c>
      <c r="F871" s="79"/>
      <c r="G871" s="82"/>
      <c r="H871" s="68" t="str">
        <f t="shared" si="416"/>
        <v>Senbur0_20191118_22_00</v>
      </c>
      <c r="I871" s="69">
        <f t="shared" si="419"/>
        <v>1</v>
      </c>
      <c r="J871" s="76" t="str">
        <f t="shared" si="419"/>
        <v>Senecio</v>
      </c>
      <c r="K871" s="76" t="str">
        <f t="shared" si="419"/>
        <v>burtoni</v>
      </c>
      <c r="L871" s="77">
        <f t="shared" si="419"/>
        <v>0</v>
      </c>
      <c r="M871" s="77">
        <f t="shared" si="419"/>
        <v>7</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18</v>
      </c>
      <c r="D872" s="74">
        <f t="shared" si="398"/>
        <v>22</v>
      </c>
      <c r="E872" s="75">
        <f t="shared" si="399"/>
        <v>17</v>
      </c>
      <c r="F872" s="79"/>
      <c r="G872" s="82"/>
      <c r="H872" s="68" t="str">
        <f t="shared" si="416"/>
        <v>Senbur0_20191118_22_00</v>
      </c>
      <c r="I872" s="69">
        <f t="shared" si="419"/>
        <v>1</v>
      </c>
      <c r="J872" s="76" t="str">
        <f t="shared" si="419"/>
        <v>Senecio</v>
      </c>
      <c r="K872" s="76" t="str">
        <f t="shared" si="419"/>
        <v>burtoni</v>
      </c>
      <c r="L872" s="77">
        <f t="shared" si="419"/>
        <v>0</v>
      </c>
      <c r="M872" s="77">
        <f t="shared" si="419"/>
        <v>7</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18</v>
      </c>
      <c r="D873" s="74">
        <f t="shared" si="398"/>
        <v>22</v>
      </c>
      <c r="E873" s="75">
        <f t="shared" si="399"/>
        <v>18</v>
      </c>
      <c r="F873" s="79"/>
      <c r="G873" s="82"/>
      <c r="H873" s="68" t="str">
        <f t="shared" si="416"/>
        <v>Senbur0_20191118_22_00</v>
      </c>
      <c r="I873" s="69">
        <f t="shared" si="419"/>
        <v>1</v>
      </c>
      <c r="J873" s="76" t="str">
        <f t="shared" si="419"/>
        <v>Senecio</v>
      </c>
      <c r="K873" s="76" t="str">
        <f t="shared" si="419"/>
        <v>burtoni</v>
      </c>
      <c r="L873" s="77">
        <f t="shared" si="419"/>
        <v>0</v>
      </c>
      <c r="M873" s="77">
        <f t="shared" si="419"/>
        <v>7</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18</v>
      </c>
      <c r="D874" s="74">
        <f t="shared" si="398"/>
        <v>22</v>
      </c>
      <c r="E874" s="75">
        <f t="shared" si="399"/>
        <v>19</v>
      </c>
      <c r="F874" s="79"/>
      <c r="G874" s="82"/>
      <c r="H874" s="68" t="str">
        <f t="shared" si="416"/>
        <v>Senbur0_20191118_22_00</v>
      </c>
      <c r="I874" s="69">
        <f t="shared" si="419"/>
        <v>1</v>
      </c>
      <c r="J874" s="76" t="str">
        <f t="shared" si="419"/>
        <v>Senecio</v>
      </c>
      <c r="K874" s="76" t="str">
        <f t="shared" si="419"/>
        <v>burtoni</v>
      </c>
      <c r="L874" s="77">
        <f t="shared" si="419"/>
        <v>0</v>
      </c>
      <c r="M874" s="77">
        <f t="shared" si="419"/>
        <v>7</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18</v>
      </c>
      <c r="D875" s="74">
        <f t="shared" si="398"/>
        <v>22</v>
      </c>
      <c r="E875" s="75">
        <f t="shared" si="399"/>
        <v>20</v>
      </c>
      <c r="F875" s="79"/>
      <c r="G875" s="82"/>
      <c r="H875" s="68" t="str">
        <f t="shared" si="416"/>
        <v>Senbur0_20191118_22_00</v>
      </c>
      <c r="I875" s="69">
        <f t="shared" si="419"/>
        <v>1</v>
      </c>
      <c r="J875" s="76" t="str">
        <f t="shared" si="419"/>
        <v>Senecio</v>
      </c>
      <c r="K875" s="76" t="str">
        <f t="shared" si="419"/>
        <v>burtoni</v>
      </c>
      <c r="L875" s="77">
        <f t="shared" si="419"/>
        <v>0</v>
      </c>
      <c r="M875" s="77">
        <f t="shared" si="419"/>
        <v>7</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18</v>
      </c>
      <c r="D876" s="74">
        <f t="shared" si="398"/>
        <v>22</v>
      </c>
      <c r="E876" s="75">
        <f t="shared" si="399"/>
        <v>21</v>
      </c>
      <c r="F876" s="79"/>
      <c r="G876" s="82"/>
      <c r="H876" s="68" t="str">
        <f t="shared" si="416"/>
        <v>Senbur0_20191118_22_00</v>
      </c>
      <c r="I876" s="69">
        <f t="shared" si="419"/>
        <v>1</v>
      </c>
      <c r="J876" s="76" t="str">
        <f t="shared" si="419"/>
        <v>Senecio</v>
      </c>
      <c r="K876" s="76" t="str">
        <f t="shared" si="419"/>
        <v>burtoni</v>
      </c>
      <c r="L876" s="77">
        <f t="shared" si="419"/>
        <v>0</v>
      </c>
      <c r="M876" s="77">
        <f t="shared" si="419"/>
        <v>7</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18</v>
      </c>
      <c r="D877" s="74">
        <f t="shared" si="398"/>
        <v>22</v>
      </c>
      <c r="E877" s="75">
        <f t="shared" si="399"/>
        <v>22</v>
      </c>
      <c r="F877" s="79"/>
      <c r="G877" s="82"/>
      <c r="H877" s="68" t="str">
        <f t="shared" si="416"/>
        <v>Senbur0_20191118_22_00</v>
      </c>
      <c r="I877" s="69">
        <f t="shared" si="419"/>
        <v>1</v>
      </c>
      <c r="J877" s="76" t="str">
        <f t="shared" si="419"/>
        <v>Senecio</v>
      </c>
      <c r="K877" s="76" t="str">
        <f t="shared" si="419"/>
        <v>burtoni</v>
      </c>
      <c r="L877" s="77">
        <f t="shared" si="419"/>
        <v>0</v>
      </c>
      <c r="M877" s="77">
        <f t="shared" si="419"/>
        <v>7</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18</v>
      </c>
      <c r="D878" s="74">
        <f t="shared" si="398"/>
        <v>22</v>
      </c>
      <c r="E878" s="75">
        <f t="shared" si="399"/>
        <v>23</v>
      </c>
      <c r="F878" s="79"/>
      <c r="G878" s="82"/>
      <c r="H878" s="68" t="str">
        <f t="shared" si="416"/>
        <v>Senbur0_20191118_22_00</v>
      </c>
      <c r="I878" s="69">
        <f t="shared" si="419"/>
        <v>1</v>
      </c>
      <c r="J878" s="76" t="str">
        <f t="shared" si="419"/>
        <v>Senecio</v>
      </c>
      <c r="K878" s="76" t="str">
        <f t="shared" si="419"/>
        <v>burtoni</v>
      </c>
      <c r="L878" s="77">
        <f t="shared" si="419"/>
        <v>0</v>
      </c>
      <c r="M878" s="77">
        <f t="shared" si="419"/>
        <v>7</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18</v>
      </c>
      <c r="D879" s="74">
        <f t="shared" si="398"/>
        <v>22</v>
      </c>
      <c r="E879" s="75">
        <f t="shared" si="399"/>
        <v>24</v>
      </c>
      <c r="F879" s="79"/>
      <c r="G879" s="82"/>
      <c r="H879" s="68" t="str">
        <f t="shared" si="416"/>
        <v>Senbur0_20191118_22_00</v>
      </c>
      <c r="I879" s="69">
        <f t="shared" si="419"/>
        <v>1</v>
      </c>
      <c r="J879" s="76" t="str">
        <f t="shared" si="419"/>
        <v>Senecio</v>
      </c>
      <c r="K879" s="76" t="str">
        <f t="shared" si="419"/>
        <v>burtoni</v>
      </c>
      <c r="L879" s="77">
        <f t="shared" si="419"/>
        <v>0</v>
      </c>
      <c r="M879" s="77">
        <f t="shared" si="419"/>
        <v>7</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18</v>
      </c>
      <c r="D880" s="74">
        <f t="shared" si="398"/>
        <v>22</v>
      </c>
      <c r="E880" s="75">
        <f t="shared" si="399"/>
        <v>25</v>
      </c>
      <c r="F880" s="79"/>
      <c r="G880" s="82"/>
      <c r="H880" s="68" t="str">
        <f t="shared" si="416"/>
        <v>Senbur0_20191118_22_00</v>
      </c>
      <c r="I880" s="69">
        <f t="shared" si="419"/>
        <v>1</v>
      </c>
      <c r="J880" s="76" t="str">
        <f t="shared" si="419"/>
        <v>Senecio</v>
      </c>
      <c r="K880" s="76" t="str">
        <f t="shared" si="419"/>
        <v>burtoni</v>
      </c>
      <c r="L880" s="77">
        <f t="shared" si="419"/>
        <v>0</v>
      </c>
      <c r="M880" s="77">
        <f t="shared" si="419"/>
        <v>7</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18</v>
      </c>
      <c r="D881" s="74">
        <f t="shared" si="398"/>
        <v>22</v>
      </c>
      <c r="E881" s="75">
        <f t="shared" si="399"/>
        <v>26</v>
      </c>
      <c r="F881" s="79"/>
      <c r="G881" s="82"/>
      <c r="H881" s="68" t="str">
        <f t="shared" si="416"/>
        <v>Senbur0_20191118_22_00</v>
      </c>
      <c r="I881" s="69">
        <f t="shared" si="419"/>
        <v>1</v>
      </c>
      <c r="J881" s="76" t="str">
        <f t="shared" si="419"/>
        <v>Senecio</v>
      </c>
      <c r="K881" s="76" t="str">
        <f t="shared" si="419"/>
        <v>burtoni</v>
      </c>
      <c r="L881" s="77">
        <f t="shared" si="419"/>
        <v>0</v>
      </c>
      <c r="M881" s="77">
        <f t="shared" si="419"/>
        <v>7</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18</v>
      </c>
      <c r="D882" s="74">
        <f t="shared" si="398"/>
        <v>22</v>
      </c>
      <c r="E882" s="75">
        <f t="shared" si="399"/>
        <v>27</v>
      </c>
      <c r="F882" s="79"/>
      <c r="G882" s="82"/>
      <c r="H882" s="68" t="str">
        <f t="shared" si="416"/>
        <v>Senbur0_20191118_22_00</v>
      </c>
      <c r="I882" s="69">
        <f t="shared" si="419"/>
        <v>1</v>
      </c>
      <c r="J882" s="76" t="str">
        <f t="shared" si="419"/>
        <v>Senecio</v>
      </c>
      <c r="K882" s="76" t="str">
        <f t="shared" si="419"/>
        <v>burtoni</v>
      </c>
      <c r="L882" s="77">
        <f t="shared" si="419"/>
        <v>0</v>
      </c>
      <c r="M882" s="77">
        <f t="shared" si="419"/>
        <v>7</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18</v>
      </c>
      <c r="D883" s="74">
        <f t="shared" si="398"/>
        <v>22</v>
      </c>
      <c r="E883" s="75">
        <f t="shared" si="399"/>
        <v>28</v>
      </c>
      <c r="F883" s="79"/>
      <c r="G883" s="82"/>
      <c r="H883" s="68" t="str">
        <f t="shared" si="416"/>
        <v>Senbur0_20191118_22_00</v>
      </c>
      <c r="I883" s="69">
        <f t="shared" si="419"/>
        <v>1</v>
      </c>
      <c r="J883" s="76" t="str">
        <f t="shared" si="419"/>
        <v>Senecio</v>
      </c>
      <c r="K883" s="76" t="str">
        <f t="shared" si="419"/>
        <v>burtoni</v>
      </c>
      <c r="L883" s="77">
        <f t="shared" si="419"/>
        <v>0</v>
      </c>
      <c r="M883" s="77">
        <f t="shared" si="419"/>
        <v>7</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18</v>
      </c>
      <c r="D884" s="74">
        <f t="shared" si="398"/>
        <v>22</v>
      </c>
      <c r="E884" s="75">
        <f t="shared" si="399"/>
        <v>29</v>
      </c>
      <c r="F884" s="79"/>
      <c r="G884" s="82"/>
      <c r="H884" s="68" t="str">
        <f t="shared" si="416"/>
        <v>Senbur0_20191118_22_00</v>
      </c>
      <c r="I884" s="69">
        <f t="shared" si="419"/>
        <v>1</v>
      </c>
      <c r="J884" s="76" t="str">
        <f t="shared" si="419"/>
        <v>Senecio</v>
      </c>
      <c r="K884" s="76" t="str">
        <f t="shared" si="419"/>
        <v>burtoni</v>
      </c>
      <c r="L884" s="77">
        <f t="shared" si="419"/>
        <v>0</v>
      </c>
      <c r="M884" s="77">
        <f t="shared" si="419"/>
        <v>7</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18</v>
      </c>
      <c r="D885" s="74">
        <f t="shared" si="398"/>
        <v>22</v>
      </c>
      <c r="E885" s="75">
        <f t="shared" si="399"/>
        <v>30</v>
      </c>
      <c r="F885" s="79"/>
      <c r="G885" s="82"/>
      <c r="H885" s="68" t="str">
        <f t="shared" si="416"/>
        <v>Senbur0_20191118_22_00</v>
      </c>
      <c r="I885" s="69">
        <f t="shared" ref="I885:N900" si="420">I884</f>
        <v>1</v>
      </c>
      <c r="J885" s="76" t="str">
        <f t="shared" si="420"/>
        <v>Senecio</v>
      </c>
      <c r="K885" s="76" t="str">
        <f t="shared" si="420"/>
        <v>burtoni</v>
      </c>
      <c r="L885" s="77">
        <f t="shared" si="420"/>
        <v>0</v>
      </c>
      <c r="M885" s="77">
        <f t="shared" si="420"/>
        <v>7</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18</v>
      </c>
      <c r="D886" s="74">
        <f t="shared" si="398"/>
        <v>22</v>
      </c>
      <c r="E886" s="75">
        <f t="shared" si="399"/>
        <v>31</v>
      </c>
      <c r="F886" s="79"/>
      <c r="G886" s="82"/>
      <c r="H886" s="68" t="str">
        <f t="shared" si="416"/>
        <v>Senbur0_20191118_22_00</v>
      </c>
      <c r="I886" s="69">
        <f t="shared" si="420"/>
        <v>1</v>
      </c>
      <c r="J886" s="76" t="str">
        <f t="shared" si="420"/>
        <v>Senecio</v>
      </c>
      <c r="K886" s="76" t="str">
        <f t="shared" si="420"/>
        <v>burtoni</v>
      </c>
      <c r="L886" s="77">
        <f t="shared" si="420"/>
        <v>0</v>
      </c>
      <c r="M886" s="77">
        <f t="shared" si="420"/>
        <v>7</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18</v>
      </c>
      <c r="D887" s="74">
        <f t="shared" si="398"/>
        <v>22</v>
      </c>
      <c r="E887" s="75">
        <f t="shared" si="399"/>
        <v>32</v>
      </c>
      <c r="F887" s="79"/>
      <c r="G887" s="82"/>
      <c r="H887" s="68" t="str">
        <f t="shared" si="416"/>
        <v>Senbur0_20191118_22_00</v>
      </c>
      <c r="I887" s="69">
        <f t="shared" si="420"/>
        <v>1</v>
      </c>
      <c r="J887" s="76" t="str">
        <f t="shared" si="420"/>
        <v>Senecio</v>
      </c>
      <c r="K887" s="76" t="str">
        <f t="shared" si="420"/>
        <v>burtoni</v>
      </c>
      <c r="L887" s="77">
        <f t="shared" si="420"/>
        <v>0</v>
      </c>
      <c r="M887" s="77">
        <f t="shared" si="420"/>
        <v>7</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18</v>
      </c>
      <c r="D888" s="74">
        <f t="shared" si="398"/>
        <v>22</v>
      </c>
      <c r="E888" s="75">
        <f t="shared" si="399"/>
        <v>33</v>
      </c>
      <c r="F888" s="79"/>
      <c r="G888" s="82"/>
      <c r="H888" s="68" t="str">
        <f t="shared" si="416"/>
        <v>Senbur0_20191118_22_00</v>
      </c>
      <c r="I888" s="69">
        <f t="shared" si="420"/>
        <v>1</v>
      </c>
      <c r="J888" s="76" t="str">
        <f t="shared" si="420"/>
        <v>Senecio</v>
      </c>
      <c r="K888" s="76" t="str">
        <f t="shared" si="420"/>
        <v>burtoni</v>
      </c>
      <c r="L888" s="77">
        <f t="shared" si="420"/>
        <v>0</v>
      </c>
      <c r="M888" s="77">
        <f t="shared" si="420"/>
        <v>7</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18</v>
      </c>
      <c r="D889" s="74">
        <f t="shared" si="398"/>
        <v>22</v>
      </c>
      <c r="E889" s="75">
        <f t="shared" si="399"/>
        <v>34</v>
      </c>
      <c r="F889" s="79"/>
      <c r="G889" s="82"/>
      <c r="H889" s="68" t="str">
        <f t="shared" si="416"/>
        <v>Senbur0_20191118_22_00</v>
      </c>
      <c r="I889" s="69">
        <f t="shared" si="420"/>
        <v>1</v>
      </c>
      <c r="J889" s="76" t="str">
        <f t="shared" si="420"/>
        <v>Senecio</v>
      </c>
      <c r="K889" s="76" t="str">
        <f t="shared" si="420"/>
        <v>burtoni</v>
      </c>
      <c r="L889" s="77">
        <f t="shared" si="420"/>
        <v>0</v>
      </c>
      <c r="M889" s="77">
        <f t="shared" si="420"/>
        <v>7</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18</v>
      </c>
      <c r="D890" s="74">
        <f t="shared" si="398"/>
        <v>22</v>
      </c>
      <c r="E890" s="75">
        <f t="shared" si="399"/>
        <v>35</v>
      </c>
      <c r="F890" s="79"/>
      <c r="G890" s="82"/>
      <c r="H890" s="68" t="str">
        <f t="shared" si="416"/>
        <v>Senbur0_20191118_22_00</v>
      </c>
      <c r="I890" s="69">
        <f t="shared" si="420"/>
        <v>1</v>
      </c>
      <c r="J890" s="76" t="str">
        <f t="shared" si="420"/>
        <v>Senecio</v>
      </c>
      <c r="K890" s="76" t="str">
        <f t="shared" si="420"/>
        <v>burtoni</v>
      </c>
      <c r="L890" s="77">
        <f t="shared" si="420"/>
        <v>0</v>
      </c>
      <c r="M890" s="77">
        <f t="shared" si="420"/>
        <v>7</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18</v>
      </c>
      <c r="D891" s="74">
        <f t="shared" si="398"/>
        <v>22</v>
      </c>
      <c r="E891" s="75">
        <f t="shared" si="399"/>
        <v>36</v>
      </c>
      <c r="F891" s="79"/>
      <c r="G891" s="82"/>
      <c r="H891" s="68" t="str">
        <f t="shared" si="416"/>
        <v>Senbur0_20191118_22_00</v>
      </c>
      <c r="I891" s="69">
        <f t="shared" si="420"/>
        <v>1</v>
      </c>
      <c r="J891" s="76" t="str">
        <f t="shared" si="420"/>
        <v>Senecio</v>
      </c>
      <c r="K891" s="76" t="str">
        <f t="shared" si="420"/>
        <v>burtoni</v>
      </c>
      <c r="L891" s="77">
        <f t="shared" si="420"/>
        <v>0</v>
      </c>
      <c r="M891" s="77">
        <f t="shared" si="420"/>
        <v>7</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18</v>
      </c>
      <c r="D892" s="74">
        <f t="shared" si="398"/>
        <v>22</v>
      </c>
      <c r="E892" s="75">
        <f t="shared" si="399"/>
        <v>37</v>
      </c>
      <c r="F892" s="79"/>
      <c r="G892" s="82"/>
      <c r="H892" s="68" t="str">
        <f t="shared" si="416"/>
        <v>Senbur0_20191118_22_00</v>
      </c>
      <c r="I892" s="69">
        <f t="shared" si="420"/>
        <v>1</v>
      </c>
      <c r="J892" s="76" t="str">
        <f t="shared" si="420"/>
        <v>Senecio</v>
      </c>
      <c r="K892" s="76" t="str">
        <f t="shared" si="420"/>
        <v>burtoni</v>
      </c>
      <c r="L892" s="77">
        <f t="shared" si="420"/>
        <v>0</v>
      </c>
      <c r="M892" s="77">
        <f t="shared" si="420"/>
        <v>7</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18</v>
      </c>
      <c r="D893" s="74">
        <f t="shared" si="398"/>
        <v>22</v>
      </c>
      <c r="E893" s="75">
        <f t="shared" si="399"/>
        <v>38</v>
      </c>
      <c r="F893" s="79"/>
      <c r="G893" s="82"/>
      <c r="H893" s="68" t="str">
        <f t="shared" si="416"/>
        <v>Senbur0_20191118_22_00</v>
      </c>
      <c r="I893" s="69">
        <f t="shared" si="420"/>
        <v>1</v>
      </c>
      <c r="J893" s="76" t="str">
        <f t="shared" si="420"/>
        <v>Senecio</v>
      </c>
      <c r="K893" s="76" t="str">
        <f t="shared" si="420"/>
        <v>burtoni</v>
      </c>
      <c r="L893" s="77">
        <f t="shared" si="420"/>
        <v>0</v>
      </c>
      <c r="M893" s="77">
        <f t="shared" si="420"/>
        <v>7</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18</v>
      </c>
      <c r="D894" s="74">
        <f t="shared" si="398"/>
        <v>22</v>
      </c>
      <c r="E894" s="75">
        <f t="shared" si="399"/>
        <v>39</v>
      </c>
      <c r="F894" s="79"/>
      <c r="G894" s="82"/>
      <c r="H894" s="68" t="str">
        <f t="shared" si="416"/>
        <v>Senbur0_20191118_22_00</v>
      </c>
      <c r="I894" s="69">
        <f t="shared" si="420"/>
        <v>1</v>
      </c>
      <c r="J894" s="76" t="str">
        <f t="shared" si="420"/>
        <v>Senecio</v>
      </c>
      <c r="K894" s="76" t="str">
        <f t="shared" si="420"/>
        <v>burtoni</v>
      </c>
      <c r="L894" s="77">
        <f t="shared" si="420"/>
        <v>0</v>
      </c>
      <c r="M894" s="77">
        <f t="shared" si="420"/>
        <v>7</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18</v>
      </c>
      <c r="D895" s="74">
        <f t="shared" si="398"/>
        <v>22</v>
      </c>
      <c r="E895" s="75">
        <f t="shared" si="399"/>
        <v>40</v>
      </c>
      <c r="F895" s="79"/>
      <c r="G895" s="82"/>
      <c r="H895" s="68" t="str">
        <f t="shared" si="416"/>
        <v>Senbur0_20191118_22_00</v>
      </c>
      <c r="I895" s="69">
        <f t="shared" si="420"/>
        <v>1</v>
      </c>
      <c r="J895" s="76" t="str">
        <f t="shared" si="420"/>
        <v>Senecio</v>
      </c>
      <c r="K895" s="76" t="str">
        <f t="shared" si="420"/>
        <v>burtoni</v>
      </c>
      <c r="L895" s="77">
        <f t="shared" si="420"/>
        <v>0</v>
      </c>
      <c r="M895" s="77">
        <f t="shared" si="420"/>
        <v>7</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18</v>
      </c>
      <c r="D896" s="74">
        <f t="shared" si="398"/>
        <v>22</v>
      </c>
      <c r="E896" s="75">
        <f t="shared" si="399"/>
        <v>41</v>
      </c>
      <c r="F896" s="79"/>
      <c r="G896" s="82"/>
      <c r="H896" s="68" t="str">
        <f t="shared" si="416"/>
        <v>Senbur0_20191118_22_00</v>
      </c>
      <c r="I896" s="69">
        <f t="shared" si="420"/>
        <v>1</v>
      </c>
      <c r="J896" s="76" t="str">
        <f t="shared" si="420"/>
        <v>Senecio</v>
      </c>
      <c r="K896" s="76" t="str">
        <f t="shared" si="420"/>
        <v>burtoni</v>
      </c>
      <c r="L896" s="77">
        <f t="shared" si="420"/>
        <v>0</v>
      </c>
      <c r="M896" s="77">
        <f t="shared" si="420"/>
        <v>7</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18</v>
      </c>
      <c r="D897" s="74">
        <f t="shared" si="398"/>
        <v>22</v>
      </c>
      <c r="E897" s="75">
        <f t="shared" si="399"/>
        <v>42</v>
      </c>
      <c r="F897" s="79"/>
      <c r="G897" s="82"/>
      <c r="H897" s="68" t="str">
        <f t="shared" si="416"/>
        <v>Senbur0_20191118_22_00</v>
      </c>
      <c r="I897" s="69">
        <f t="shared" si="420"/>
        <v>1</v>
      </c>
      <c r="J897" s="76" t="str">
        <f t="shared" si="420"/>
        <v>Senecio</v>
      </c>
      <c r="K897" s="76" t="str">
        <f t="shared" si="420"/>
        <v>burtoni</v>
      </c>
      <c r="L897" s="77">
        <f t="shared" si="420"/>
        <v>0</v>
      </c>
      <c r="M897" s="77">
        <f t="shared" si="420"/>
        <v>7</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18</v>
      </c>
      <c r="D898" s="74">
        <f t="shared" si="398"/>
        <v>22</v>
      </c>
      <c r="E898" s="75">
        <f t="shared" si="399"/>
        <v>43</v>
      </c>
      <c r="F898" s="79"/>
      <c r="G898" s="82"/>
      <c r="H898" s="68" t="str">
        <f t="shared" si="416"/>
        <v>Senbur0_20191118_22_00</v>
      </c>
      <c r="I898" s="69">
        <f t="shared" si="420"/>
        <v>1</v>
      </c>
      <c r="J898" s="76" t="str">
        <f t="shared" si="420"/>
        <v>Senecio</v>
      </c>
      <c r="K898" s="76" t="str">
        <f t="shared" si="420"/>
        <v>burtoni</v>
      </c>
      <c r="L898" s="77">
        <f t="shared" si="420"/>
        <v>0</v>
      </c>
      <c r="M898" s="77">
        <f t="shared" si="420"/>
        <v>7</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18</v>
      </c>
      <c r="D899" s="74">
        <f t="shared" si="398"/>
        <v>22</v>
      </c>
      <c r="E899" s="75">
        <f t="shared" si="399"/>
        <v>44</v>
      </c>
      <c r="F899" s="79"/>
      <c r="G899" s="82"/>
      <c r="H899" s="68" t="str">
        <f t="shared" si="416"/>
        <v>Senbur0_20191118_22_00</v>
      </c>
      <c r="I899" s="69">
        <f t="shared" si="420"/>
        <v>1</v>
      </c>
      <c r="J899" s="76" t="str">
        <f t="shared" si="420"/>
        <v>Senecio</v>
      </c>
      <c r="K899" s="76" t="str">
        <f t="shared" si="420"/>
        <v>burtoni</v>
      </c>
      <c r="L899" s="77">
        <f t="shared" si="420"/>
        <v>0</v>
      </c>
      <c r="M899" s="77">
        <f t="shared" si="420"/>
        <v>7</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18</v>
      </c>
      <c r="D900" s="74">
        <f t="shared" ref="D900:D963" si="428">IF(IF(E899=59,D899+1,D899)=24,0,IF(E899=59,D899+1,D899))</f>
        <v>22</v>
      </c>
      <c r="E900" s="75">
        <f t="shared" ref="E900:E963" si="429">IF(E899&lt;59,E899+1,0)</f>
        <v>45</v>
      </c>
      <c r="F900" s="79"/>
      <c r="G900" s="82"/>
      <c r="H900" s="68" t="str">
        <f t="shared" si="416"/>
        <v>Senbur0_20191118_22_00</v>
      </c>
      <c r="I900" s="69">
        <f t="shared" si="420"/>
        <v>1</v>
      </c>
      <c r="J900" s="76" t="str">
        <f t="shared" si="420"/>
        <v>Senecio</v>
      </c>
      <c r="K900" s="76" t="str">
        <f t="shared" si="420"/>
        <v>burtoni</v>
      </c>
      <c r="L900" s="77">
        <f t="shared" si="420"/>
        <v>0</v>
      </c>
      <c r="M900" s="77">
        <f t="shared" si="420"/>
        <v>7</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18</v>
      </c>
      <c r="D901" s="74">
        <f t="shared" si="428"/>
        <v>22</v>
      </c>
      <c r="E901" s="75">
        <f t="shared" si="429"/>
        <v>46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Senbur0_20191118_22_00</v>
      </c>
      <c r="I901" s="69">
        <f t="shared" ref="I901:N916" si="447">I900</f>
        <v>1</v>
      </c>
      <c r="J901" s="76" t="str">
        <f t="shared" si="447"/>
        <v>Senecio</v>
      </c>
      <c r="K901" s="76" t="str">
        <f t="shared" si="447"/>
        <v>burtoni</v>
      </c>
      <c r="L901" s="77">
        <f t="shared" si="447"/>
        <v>0</v>
      </c>
      <c r="M901" s="77">
        <f t="shared" si="447"/>
        <v>7</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18</v>
      </c>
      <c r="D902" s="74">
        <f t="shared" si="428"/>
        <v>22</v>
      </c>
      <c r="E902" s="75">
        <f t="shared" si="429"/>
        <v>47</v>
      </c>
      <c r="F902" s="79"/>
      <c r="G902" s="82"/>
      <c r="H902" s="68" t="str">
        <f t="shared" si="446"/>
        <v>Senbur0_20191118_22_00</v>
      </c>
      <c r="I902" s="69">
        <f t="shared" si="447"/>
        <v>1</v>
      </c>
      <c r="J902" s="76" t="str">
        <f t="shared" si="447"/>
        <v>Senecio</v>
      </c>
      <c r="K902" s="76" t="str">
        <f t="shared" si="447"/>
        <v>burtoni</v>
      </c>
      <c r="L902" s="77">
        <f t="shared" si="447"/>
        <v>0</v>
      </c>
      <c r="M902" s="77">
        <f t="shared" si="447"/>
        <v>7</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18</v>
      </c>
      <c r="D903" s="74">
        <f t="shared" si="428"/>
        <v>22</v>
      </c>
      <c r="E903" s="75">
        <f t="shared" si="429"/>
        <v>48</v>
      </c>
      <c r="F903" s="79"/>
      <c r="G903" s="82"/>
      <c r="H903" s="68" t="str">
        <f t="shared" si="446"/>
        <v>Senbur0_20191118_22_00</v>
      </c>
      <c r="I903" s="69">
        <f t="shared" si="447"/>
        <v>1</v>
      </c>
      <c r="J903" s="76" t="str">
        <f t="shared" si="447"/>
        <v>Senecio</v>
      </c>
      <c r="K903" s="76" t="str">
        <f t="shared" si="447"/>
        <v>burtoni</v>
      </c>
      <c r="L903" s="77">
        <f t="shared" si="447"/>
        <v>0</v>
      </c>
      <c r="M903" s="77">
        <f t="shared" si="447"/>
        <v>7</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18</v>
      </c>
      <c r="D904" s="74">
        <f t="shared" si="428"/>
        <v>22</v>
      </c>
      <c r="E904" s="75">
        <f t="shared" si="429"/>
        <v>49</v>
      </c>
      <c r="F904" s="79"/>
      <c r="G904" s="82"/>
      <c r="H904" s="68" t="str">
        <f t="shared" si="446"/>
        <v>Senbur0_20191118_22_00</v>
      </c>
      <c r="I904" s="69">
        <f t="shared" si="447"/>
        <v>1</v>
      </c>
      <c r="J904" s="76" t="str">
        <f t="shared" si="447"/>
        <v>Senecio</v>
      </c>
      <c r="K904" s="76" t="str">
        <f t="shared" si="447"/>
        <v>burtoni</v>
      </c>
      <c r="L904" s="77">
        <f t="shared" si="447"/>
        <v>0</v>
      </c>
      <c r="M904" s="77">
        <f t="shared" si="447"/>
        <v>7</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18</v>
      </c>
      <c r="D905" s="74">
        <f t="shared" si="428"/>
        <v>22</v>
      </c>
      <c r="E905" s="75">
        <f t="shared" si="429"/>
        <v>50</v>
      </c>
      <c r="F905" s="79"/>
      <c r="G905" s="82"/>
      <c r="H905" s="68" t="str">
        <f t="shared" si="446"/>
        <v>Senbur0_20191118_22_00</v>
      </c>
      <c r="I905" s="69">
        <f t="shared" si="447"/>
        <v>1</v>
      </c>
      <c r="J905" s="76" t="str">
        <f t="shared" si="447"/>
        <v>Senecio</v>
      </c>
      <c r="K905" s="76" t="str">
        <f t="shared" si="447"/>
        <v>burtoni</v>
      </c>
      <c r="L905" s="77">
        <f t="shared" si="447"/>
        <v>0</v>
      </c>
      <c r="M905" s="77">
        <f t="shared" si="447"/>
        <v>7</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18</v>
      </c>
      <c r="D906" s="74">
        <f t="shared" si="428"/>
        <v>22</v>
      </c>
      <c r="E906" s="75">
        <f t="shared" si="429"/>
        <v>51</v>
      </c>
      <c r="F906" s="79"/>
      <c r="G906" s="82"/>
      <c r="H906" s="68" t="str">
        <f t="shared" si="446"/>
        <v>Senbur0_20191118_22_00</v>
      </c>
      <c r="I906" s="69">
        <f t="shared" si="447"/>
        <v>1</v>
      </c>
      <c r="J906" s="76" t="str">
        <f t="shared" si="447"/>
        <v>Senecio</v>
      </c>
      <c r="K906" s="76" t="str">
        <f t="shared" si="447"/>
        <v>burtoni</v>
      </c>
      <c r="L906" s="77">
        <f t="shared" si="447"/>
        <v>0</v>
      </c>
      <c r="M906" s="77">
        <f t="shared" si="447"/>
        <v>7</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18</v>
      </c>
      <c r="D907" s="74">
        <f t="shared" si="428"/>
        <v>22</v>
      </c>
      <c r="E907" s="75">
        <f t="shared" si="429"/>
        <v>52</v>
      </c>
      <c r="F907" s="79"/>
      <c r="G907" s="82"/>
      <c r="H907" s="68" t="str">
        <f t="shared" si="446"/>
        <v>Senbur0_20191118_22_00</v>
      </c>
      <c r="I907" s="69">
        <f t="shared" si="447"/>
        <v>1</v>
      </c>
      <c r="J907" s="76" t="str">
        <f t="shared" si="447"/>
        <v>Senecio</v>
      </c>
      <c r="K907" s="76" t="str">
        <f t="shared" si="447"/>
        <v>burtoni</v>
      </c>
      <c r="L907" s="77">
        <f t="shared" si="447"/>
        <v>0</v>
      </c>
      <c r="M907" s="77">
        <f t="shared" si="447"/>
        <v>7</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18</v>
      </c>
      <c r="D908" s="74">
        <f t="shared" si="428"/>
        <v>22</v>
      </c>
      <c r="E908" s="75">
        <f t="shared" si="429"/>
        <v>53</v>
      </c>
      <c r="F908" s="79"/>
      <c r="G908" s="82"/>
      <c r="H908" s="68" t="str">
        <f t="shared" si="446"/>
        <v>Senbur0_20191118_22_00</v>
      </c>
      <c r="I908" s="69">
        <f t="shared" si="447"/>
        <v>1</v>
      </c>
      <c r="J908" s="76" t="str">
        <f t="shared" si="447"/>
        <v>Senecio</v>
      </c>
      <c r="K908" s="76" t="str">
        <f t="shared" si="447"/>
        <v>burtoni</v>
      </c>
      <c r="L908" s="77">
        <f t="shared" si="447"/>
        <v>0</v>
      </c>
      <c r="M908" s="77">
        <f t="shared" si="447"/>
        <v>7</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18</v>
      </c>
      <c r="D909" s="74">
        <f t="shared" si="428"/>
        <v>22</v>
      </c>
      <c r="E909" s="75">
        <f t="shared" si="429"/>
        <v>54</v>
      </c>
      <c r="F909" s="79"/>
      <c r="G909" s="82"/>
      <c r="H909" s="68" t="str">
        <f t="shared" si="446"/>
        <v>Senbur0_20191118_22_00</v>
      </c>
      <c r="I909" s="69">
        <f t="shared" si="447"/>
        <v>1</v>
      </c>
      <c r="J909" s="76" t="str">
        <f t="shared" si="447"/>
        <v>Senecio</v>
      </c>
      <c r="K909" s="76" t="str">
        <f t="shared" si="447"/>
        <v>burtoni</v>
      </c>
      <c r="L909" s="77">
        <f t="shared" si="447"/>
        <v>0</v>
      </c>
      <c r="M909" s="77">
        <f t="shared" si="447"/>
        <v>7</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18</v>
      </c>
      <c r="D910" s="74">
        <f t="shared" si="428"/>
        <v>22</v>
      </c>
      <c r="E910" s="75">
        <f t="shared" si="429"/>
        <v>55</v>
      </c>
      <c r="F910" s="79"/>
      <c r="G910" s="82"/>
      <c r="H910" s="68" t="str">
        <f t="shared" si="446"/>
        <v>Senbur0_20191118_22_00</v>
      </c>
      <c r="I910" s="69">
        <f t="shared" si="447"/>
        <v>1</v>
      </c>
      <c r="J910" s="76" t="str">
        <f t="shared" si="447"/>
        <v>Senecio</v>
      </c>
      <c r="K910" s="76" t="str">
        <f t="shared" si="447"/>
        <v>burtoni</v>
      </c>
      <c r="L910" s="77">
        <f t="shared" si="447"/>
        <v>0</v>
      </c>
      <c r="M910" s="77">
        <f t="shared" si="447"/>
        <v>7</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18</v>
      </c>
      <c r="D911" s="74">
        <f t="shared" si="428"/>
        <v>22</v>
      </c>
      <c r="E911" s="75">
        <f t="shared" si="429"/>
        <v>56</v>
      </c>
      <c r="F911" s="79"/>
      <c r="G911" s="82"/>
      <c r="H911" s="68" t="str">
        <f t="shared" si="446"/>
        <v>Senbur0_20191118_22_00</v>
      </c>
      <c r="I911" s="69">
        <f t="shared" si="447"/>
        <v>1</v>
      </c>
      <c r="J911" s="76" t="str">
        <f t="shared" si="447"/>
        <v>Senecio</v>
      </c>
      <c r="K911" s="76" t="str">
        <f t="shared" si="447"/>
        <v>burtoni</v>
      </c>
      <c r="L911" s="77">
        <f t="shared" si="447"/>
        <v>0</v>
      </c>
      <c r="M911" s="77">
        <f t="shared" si="447"/>
        <v>7</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18</v>
      </c>
      <c r="D912" s="74">
        <f t="shared" si="428"/>
        <v>22</v>
      </c>
      <c r="E912" s="75">
        <f t="shared" si="429"/>
        <v>57</v>
      </c>
      <c r="F912" s="79"/>
      <c r="G912" s="82"/>
      <c r="H912" s="68" t="str">
        <f t="shared" si="446"/>
        <v>Senbur0_20191118_22_00</v>
      </c>
      <c r="I912" s="69">
        <f t="shared" si="447"/>
        <v>1</v>
      </c>
      <c r="J912" s="76" t="str">
        <f t="shared" si="447"/>
        <v>Senecio</v>
      </c>
      <c r="K912" s="76" t="str">
        <f t="shared" si="447"/>
        <v>burtoni</v>
      </c>
      <c r="L912" s="77">
        <f t="shared" si="447"/>
        <v>0</v>
      </c>
      <c r="M912" s="77">
        <f t="shared" si="447"/>
        <v>7</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18</v>
      </c>
      <c r="D913" s="74">
        <f t="shared" si="428"/>
        <v>22</v>
      </c>
      <c r="E913" s="75">
        <f t="shared" si="429"/>
        <v>58</v>
      </c>
      <c r="F913" s="79"/>
      <c r="G913" s="82"/>
      <c r="H913" s="68" t="str">
        <f t="shared" si="446"/>
        <v>Senbur0_20191118_22_00</v>
      </c>
      <c r="I913" s="69">
        <f t="shared" si="447"/>
        <v>1</v>
      </c>
      <c r="J913" s="76" t="str">
        <f t="shared" si="447"/>
        <v>Senecio</v>
      </c>
      <c r="K913" s="76" t="str">
        <f t="shared" si="447"/>
        <v>burtoni</v>
      </c>
      <c r="L913" s="77">
        <f t="shared" si="447"/>
        <v>0</v>
      </c>
      <c r="M913" s="77">
        <f t="shared" si="447"/>
        <v>7</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18</v>
      </c>
      <c r="D914" s="74">
        <f t="shared" si="428"/>
        <v>22</v>
      </c>
      <c r="E914" s="75">
        <f t="shared" si="429"/>
        <v>59</v>
      </c>
      <c r="F914" s="79"/>
      <c r="G914" s="82"/>
      <c r="H914" s="68" t="str">
        <f t="shared" si="446"/>
        <v>Senbur0_20191118_22_00</v>
      </c>
      <c r="I914" s="69">
        <f t="shared" si="447"/>
        <v>1</v>
      </c>
      <c r="J914" s="76" t="str">
        <f t="shared" si="447"/>
        <v>Senecio</v>
      </c>
      <c r="K914" s="76" t="str">
        <f t="shared" si="447"/>
        <v>burtoni</v>
      </c>
      <c r="L914" s="77">
        <f t="shared" si="447"/>
        <v>0</v>
      </c>
      <c r="M914" s="77">
        <f t="shared" si="447"/>
        <v>7</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18</v>
      </c>
      <c r="D915" s="74">
        <f t="shared" si="428"/>
        <v>23</v>
      </c>
      <c r="E915" s="75">
        <f t="shared" si="429"/>
        <v>0</v>
      </c>
      <c r="F915" s="79"/>
      <c r="G915" s="82"/>
      <c r="H915" s="68" t="str">
        <f t="shared" si="446"/>
        <v>Senbur0_20191118_23_00</v>
      </c>
      <c r="I915" s="69">
        <f t="shared" si="447"/>
        <v>1</v>
      </c>
      <c r="J915" s="76" t="str">
        <f t="shared" si="447"/>
        <v>Senecio</v>
      </c>
      <c r="K915" s="76" t="str">
        <f t="shared" si="447"/>
        <v>burtoni</v>
      </c>
      <c r="L915" s="77">
        <f t="shared" si="447"/>
        <v>0</v>
      </c>
      <c r="M915" s="77">
        <f t="shared" si="447"/>
        <v>7</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18</v>
      </c>
      <c r="D916" s="74">
        <f t="shared" si="428"/>
        <v>23</v>
      </c>
      <c r="E916" s="75">
        <f t="shared" si="429"/>
        <v>1</v>
      </c>
      <c r="F916" s="79"/>
      <c r="G916" s="82"/>
      <c r="H916" s="68" t="str">
        <f t="shared" si="446"/>
        <v>Senbur0_20191118_23_00</v>
      </c>
      <c r="I916" s="69">
        <f t="shared" si="447"/>
        <v>1</v>
      </c>
      <c r="J916" s="76" t="str">
        <f t="shared" si="447"/>
        <v>Senecio</v>
      </c>
      <c r="K916" s="76" t="str">
        <f t="shared" si="447"/>
        <v>burtoni</v>
      </c>
      <c r="L916" s="77">
        <f t="shared" si="447"/>
        <v>0</v>
      </c>
      <c r="M916" s="77">
        <f t="shared" si="447"/>
        <v>7</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18</v>
      </c>
      <c r="D917" s="74">
        <f t="shared" si="428"/>
        <v>23</v>
      </c>
      <c r="E917" s="75">
        <f t="shared" si="429"/>
        <v>2</v>
      </c>
      <c r="F917" s="79"/>
      <c r="G917" s="82"/>
      <c r="H917" s="68" t="str">
        <f t="shared" si="446"/>
        <v>Senbur0_20191118_23_00</v>
      </c>
      <c r="I917" s="69">
        <f t="shared" ref="I917:N932" si="448">I916</f>
        <v>1</v>
      </c>
      <c r="J917" s="76" t="str">
        <f t="shared" si="448"/>
        <v>Senecio</v>
      </c>
      <c r="K917" s="76" t="str">
        <f t="shared" si="448"/>
        <v>burtoni</v>
      </c>
      <c r="L917" s="77">
        <f t="shared" si="448"/>
        <v>0</v>
      </c>
      <c r="M917" s="77">
        <f t="shared" si="448"/>
        <v>7</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18</v>
      </c>
      <c r="D918" s="74">
        <f t="shared" si="428"/>
        <v>23</v>
      </c>
      <c r="E918" s="75">
        <f t="shared" si="429"/>
        <v>3</v>
      </c>
      <c r="F918" s="79"/>
      <c r="G918" s="82"/>
      <c r="H918" s="68" t="str">
        <f t="shared" si="446"/>
        <v>Senbur0_20191118_23_00</v>
      </c>
      <c r="I918" s="69">
        <f t="shared" si="448"/>
        <v>1</v>
      </c>
      <c r="J918" s="76" t="str">
        <f t="shared" si="448"/>
        <v>Senecio</v>
      </c>
      <c r="K918" s="76" t="str">
        <f t="shared" si="448"/>
        <v>burtoni</v>
      </c>
      <c r="L918" s="77">
        <f t="shared" si="448"/>
        <v>0</v>
      </c>
      <c r="M918" s="77">
        <f t="shared" si="448"/>
        <v>7</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18</v>
      </c>
      <c r="D919" s="74">
        <f t="shared" si="428"/>
        <v>23</v>
      </c>
      <c r="E919" s="75">
        <f t="shared" si="429"/>
        <v>4</v>
      </c>
      <c r="F919" s="79"/>
      <c r="G919" s="82"/>
      <c r="H919" s="68" t="str">
        <f t="shared" si="446"/>
        <v>Senbur0_20191118_23_00</v>
      </c>
      <c r="I919" s="69">
        <f t="shared" si="448"/>
        <v>1</v>
      </c>
      <c r="J919" s="76" t="str">
        <f t="shared" si="448"/>
        <v>Senecio</v>
      </c>
      <c r="K919" s="76" t="str">
        <f t="shared" si="448"/>
        <v>burtoni</v>
      </c>
      <c r="L919" s="77">
        <f t="shared" si="448"/>
        <v>0</v>
      </c>
      <c r="M919" s="77">
        <f t="shared" si="448"/>
        <v>7</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18</v>
      </c>
      <c r="D920" s="74">
        <f t="shared" si="428"/>
        <v>23</v>
      </c>
      <c r="E920" s="75">
        <f t="shared" si="429"/>
        <v>5</v>
      </c>
      <c r="F920" s="79"/>
      <c r="G920" s="82"/>
      <c r="H920" s="68" t="str">
        <f t="shared" si="446"/>
        <v>Senbur0_20191118_23_00</v>
      </c>
      <c r="I920" s="69">
        <f t="shared" si="448"/>
        <v>1</v>
      </c>
      <c r="J920" s="76" t="str">
        <f t="shared" si="448"/>
        <v>Senecio</v>
      </c>
      <c r="K920" s="76" t="str">
        <f t="shared" si="448"/>
        <v>burtoni</v>
      </c>
      <c r="L920" s="77">
        <f t="shared" si="448"/>
        <v>0</v>
      </c>
      <c r="M920" s="77">
        <f t="shared" si="448"/>
        <v>7</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18</v>
      </c>
      <c r="D921" s="74">
        <f t="shared" si="428"/>
        <v>23</v>
      </c>
      <c r="E921" s="75">
        <f t="shared" si="429"/>
        <v>6</v>
      </c>
      <c r="F921" s="79"/>
      <c r="G921" s="82"/>
      <c r="H921" s="68" t="str">
        <f t="shared" si="446"/>
        <v>Senbur0_20191118_23_00</v>
      </c>
      <c r="I921" s="69">
        <f t="shared" si="448"/>
        <v>1</v>
      </c>
      <c r="J921" s="76" t="str">
        <f t="shared" si="448"/>
        <v>Senecio</v>
      </c>
      <c r="K921" s="76" t="str">
        <f t="shared" si="448"/>
        <v>burtoni</v>
      </c>
      <c r="L921" s="77">
        <f t="shared" si="448"/>
        <v>0</v>
      </c>
      <c r="M921" s="77">
        <f t="shared" si="448"/>
        <v>7</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18</v>
      </c>
      <c r="D922" s="74">
        <f t="shared" si="428"/>
        <v>23</v>
      </c>
      <c r="E922" s="75">
        <f t="shared" si="429"/>
        <v>7</v>
      </c>
      <c r="F922" s="79"/>
      <c r="G922" s="82"/>
      <c r="H922" s="68" t="str">
        <f t="shared" si="446"/>
        <v>Senbur0_20191118_23_00</v>
      </c>
      <c r="I922" s="69">
        <f t="shared" si="448"/>
        <v>1</v>
      </c>
      <c r="J922" s="76" t="str">
        <f t="shared" si="448"/>
        <v>Senecio</v>
      </c>
      <c r="K922" s="76" t="str">
        <f t="shared" si="448"/>
        <v>burtoni</v>
      </c>
      <c r="L922" s="77">
        <f t="shared" si="448"/>
        <v>0</v>
      </c>
      <c r="M922" s="77">
        <f t="shared" si="448"/>
        <v>7</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18</v>
      </c>
      <c r="D923" s="74">
        <f t="shared" si="428"/>
        <v>23</v>
      </c>
      <c r="E923" s="75">
        <f t="shared" si="429"/>
        <v>8</v>
      </c>
      <c r="F923" s="79"/>
      <c r="G923" s="82"/>
      <c r="H923" s="68" t="str">
        <f t="shared" si="446"/>
        <v>Senbur0_20191118_23_00</v>
      </c>
      <c r="I923" s="69">
        <f t="shared" si="448"/>
        <v>1</v>
      </c>
      <c r="J923" s="76" t="str">
        <f t="shared" si="448"/>
        <v>Senecio</v>
      </c>
      <c r="K923" s="76" t="str">
        <f t="shared" si="448"/>
        <v>burtoni</v>
      </c>
      <c r="L923" s="77">
        <f t="shared" si="448"/>
        <v>0</v>
      </c>
      <c r="M923" s="77">
        <f t="shared" si="448"/>
        <v>7</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18</v>
      </c>
      <c r="D924" s="74">
        <f t="shared" si="428"/>
        <v>23</v>
      </c>
      <c r="E924" s="75">
        <f t="shared" si="429"/>
        <v>9</v>
      </c>
      <c r="F924" s="79"/>
      <c r="G924" s="82"/>
      <c r="H924" s="68" t="str">
        <f t="shared" si="446"/>
        <v>Senbur0_20191118_23_00</v>
      </c>
      <c r="I924" s="69">
        <f t="shared" si="448"/>
        <v>1</v>
      </c>
      <c r="J924" s="76" t="str">
        <f t="shared" si="448"/>
        <v>Senecio</v>
      </c>
      <c r="K924" s="76" t="str">
        <f t="shared" si="448"/>
        <v>burtoni</v>
      </c>
      <c r="L924" s="77">
        <f t="shared" si="448"/>
        <v>0</v>
      </c>
      <c r="M924" s="77">
        <f t="shared" si="448"/>
        <v>7</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18</v>
      </c>
      <c r="D925" s="74">
        <f t="shared" si="428"/>
        <v>23</v>
      </c>
      <c r="E925" s="75">
        <f t="shared" si="429"/>
        <v>10</v>
      </c>
      <c r="F925" s="79"/>
      <c r="G925" s="82"/>
      <c r="H925" s="68" t="str">
        <f t="shared" si="446"/>
        <v>Senbur0_20191118_23_00</v>
      </c>
      <c r="I925" s="69">
        <f t="shared" si="448"/>
        <v>1</v>
      </c>
      <c r="J925" s="76" t="str">
        <f t="shared" si="448"/>
        <v>Senecio</v>
      </c>
      <c r="K925" s="76" t="str">
        <f t="shared" si="448"/>
        <v>burtoni</v>
      </c>
      <c r="L925" s="77">
        <f t="shared" si="448"/>
        <v>0</v>
      </c>
      <c r="M925" s="77">
        <f t="shared" si="448"/>
        <v>7</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18</v>
      </c>
      <c r="D926" s="74">
        <f t="shared" si="428"/>
        <v>23</v>
      </c>
      <c r="E926" s="75">
        <f t="shared" si="429"/>
        <v>11</v>
      </c>
      <c r="F926" s="79"/>
      <c r="G926" s="82"/>
      <c r="H926" s="68" t="str">
        <f t="shared" si="446"/>
        <v>Senbur0_20191118_23_00</v>
      </c>
      <c r="I926" s="69">
        <f t="shared" si="448"/>
        <v>1</v>
      </c>
      <c r="J926" s="76" t="str">
        <f t="shared" si="448"/>
        <v>Senecio</v>
      </c>
      <c r="K926" s="76" t="str">
        <f t="shared" si="448"/>
        <v>burtoni</v>
      </c>
      <c r="L926" s="77">
        <f t="shared" si="448"/>
        <v>0</v>
      </c>
      <c r="M926" s="77">
        <f t="shared" si="448"/>
        <v>7</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18</v>
      </c>
      <c r="D927" s="74">
        <f t="shared" si="428"/>
        <v>23</v>
      </c>
      <c r="E927" s="75">
        <f t="shared" si="429"/>
        <v>12</v>
      </c>
      <c r="F927" s="79"/>
      <c r="G927" s="82"/>
      <c r="H927" s="68" t="str">
        <f t="shared" si="446"/>
        <v>Senbur0_20191118_23_00</v>
      </c>
      <c r="I927" s="69">
        <f t="shared" si="448"/>
        <v>1</v>
      </c>
      <c r="J927" s="76" t="str">
        <f t="shared" si="448"/>
        <v>Senecio</v>
      </c>
      <c r="K927" s="76" t="str">
        <f t="shared" si="448"/>
        <v>burtoni</v>
      </c>
      <c r="L927" s="77">
        <f t="shared" si="448"/>
        <v>0</v>
      </c>
      <c r="M927" s="77">
        <f t="shared" si="448"/>
        <v>7</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18</v>
      </c>
      <c r="D928" s="74">
        <f t="shared" si="428"/>
        <v>23</v>
      </c>
      <c r="E928" s="75">
        <f t="shared" si="429"/>
        <v>13</v>
      </c>
      <c r="F928" s="79"/>
      <c r="G928" s="82"/>
      <c r="H928" s="68" t="str">
        <f t="shared" si="446"/>
        <v>Senbur0_20191118_23_00</v>
      </c>
      <c r="I928" s="69">
        <f t="shared" si="448"/>
        <v>1</v>
      </c>
      <c r="J928" s="76" t="str">
        <f t="shared" si="448"/>
        <v>Senecio</v>
      </c>
      <c r="K928" s="76" t="str">
        <f t="shared" si="448"/>
        <v>burtoni</v>
      </c>
      <c r="L928" s="77">
        <f t="shared" si="448"/>
        <v>0</v>
      </c>
      <c r="M928" s="77">
        <f t="shared" si="448"/>
        <v>7</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18</v>
      </c>
      <c r="D929" s="74">
        <f t="shared" si="428"/>
        <v>23</v>
      </c>
      <c r="E929" s="75">
        <f t="shared" si="429"/>
        <v>14</v>
      </c>
      <c r="F929" s="79"/>
      <c r="G929" s="82"/>
      <c r="H929" s="68" t="str">
        <f t="shared" si="446"/>
        <v>Senbur0_20191118_23_00</v>
      </c>
      <c r="I929" s="69">
        <f t="shared" si="448"/>
        <v>1</v>
      </c>
      <c r="J929" s="76" t="str">
        <f t="shared" si="448"/>
        <v>Senecio</v>
      </c>
      <c r="K929" s="76" t="str">
        <f t="shared" si="448"/>
        <v>burtoni</v>
      </c>
      <c r="L929" s="77">
        <f t="shared" si="448"/>
        <v>0</v>
      </c>
      <c r="M929" s="77">
        <f t="shared" si="448"/>
        <v>7</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18</v>
      </c>
      <c r="D930" s="74">
        <f t="shared" si="428"/>
        <v>23</v>
      </c>
      <c r="E930" s="75">
        <f t="shared" si="429"/>
        <v>15</v>
      </c>
      <c r="F930" s="79"/>
      <c r="G930" s="82"/>
      <c r="H930" s="68" t="str">
        <f t="shared" si="446"/>
        <v>Senbur0_20191118_23_00</v>
      </c>
      <c r="I930" s="69">
        <f t="shared" si="448"/>
        <v>1</v>
      </c>
      <c r="J930" s="76" t="str">
        <f t="shared" si="448"/>
        <v>Senecio</v>
      </c>
      <c r="K930" s="76" t="str">
        <f t="shared" si="448"/>
        <v>burtoni</v>
      </c>
      <c r="L930" s="77">
        <f t="shared" si="448"/>
        <v>0</v>
      </c>
      <c r="M930" s="77">
        <f t="shared" si="448"/>
        <v>7</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18</v>
      </c>
      <c r="D931" s="74">
        <f t="shared" si="428"/>
        <v>23</v>
      </c>
      <c r="E931" s="75">
        <f t="shared" si="429"/>
        <v>16</v>
      </c>
      <c r="F931" s="79"/>
      <c r="G931" s="82"/>
      <c r="H931" s="68" t="str">
        <f t="shared" si="446"/>
        <v>Senbur0_20191118_23_00</v>
      </c>
      <c r="I931" s="69">
        <f t="shared" si="448"/>
        <v>1</v>
      </c>
      <c r="J931" s="76" t="str">
        <f t="shared" si="448"/>
        <v>Senecio</v>
      </c>
      <c r="K931" s="76" t="str">
        <f t="shared" si="448"/>
        <v>burtoni</v>
      </c>
      <c r="L931" s="77">
        <f t="shared" si="448"/>
        <v>0</v>
      </c>
      <c r="M931" s="77">
        <f t="shared" si="448"/>
        <v>7</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18</v>
      </c>
      <c r="D932" s="74">
        <f t="shared" si="428"/>
        <v>23</v>
      </c>
      <c r="E932" s="75">
        <f t="shared" si="429"/>
        <v>17</v>
      </c>
      <c r="F932" s="79"/>
      <c r="G932" s="82"/>
      <c r="H932" s="68" t="str">
        <f t="shared" si="446"/>
        <v>Senbur0_20191118_23_00</v>
      </c>
      <c r="I932" s="69">
        <f t="shared" si="448"/>
        <v>1</v>
      </c>
      <c r="J932" s="76" t="str">
        <f t="shared" si="448"/>
        <v>Senecio</v>
      </c>
      <c r="K932" s="76" t="str">
        <f t="shared" si="448"/>
        <v>burtoni</v>
      </c>
      <c r="L932" s="77">
        <f t="shared" si="448"/>
        <v>0</v>
      </c>
      <c r="M932" s="77">
        <f t="shared" si="448"/>
        <v>7</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18</v>
      </c>
      <c r="D933" s="74">
        <f t="shared" si="428"/>
        <v>23</v>
      </c>
      <c r="E933" s="75">
        <f t="shared" si="429"/>
        <v>18</v>
      </c>
      <c r="F933" s="79"/>
      <c r="G933" s="82"/>
      <c r="H933" s="68" t="str">
        <f t="shared" si="446"/>
        <v>Senbur0_20191118_23_00</v>
      </c>
      <c r="I933" s="69">
        <f t="shared" ref="I933:N948" si="449">I932</f>
        <v>1</v>
      </c>
      <c r="J933" s="76" t="str">
        <f t="shared" si="449"/>
        <v>Senecio</v>
      </c>
      <c r="K933" s="76" t="str">
        <f t="shared" si="449"/>
        <v>burtoni</v>
      </c>
      <c r="L933" s="77">
        <f t="shared" si="449"/>
        <v>0</v>
      </c>
      <c r="M933" s="77">
        <f t="shared" si="449"/>
        <v>7</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18</v>
      </c>
      <c r="D934" s="74">
        <f t="shared" si="428"/>
        <v>23</v>
      </c>
      <c r="E934" s="75">
        <f t="shared" si="429"/>
        <v>19</v>
      </c>
      <c r="F934" s="79"/>
      <c r="G934" s="82"/>
      <c r="H934" s="68" t="str">
        <f t="shared" si="446"/>
        <v>Senbur0_20191118_23_00</v>
      </c>
      <c r="I934" s="69">
        <f t="shared" si="449"/>
        <v>1</v>
      </c>
      <c r="J934" s="76" t="str">
        <f t="shared" si="449"/>
        <v>Senecio</v>
      </c>
      <c r="K934" s="76" t="str">
        <f t="shared" si="449"/>
        <v>burtoni</v>
      </c>
      <c r="L934" s="77">
        <f t="shared" si="449"/>
        <v>0</v>
      </c>
      <c r="M934" s="77">
        <f t="shared" si="449"/>
        <v>7</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18</v>
      </c>
      <c r="D935" s="74">
        <f t="shared" si="428"/>
        <v>23</v>
      </c>
      <c r="E935" s="75">
        <f t="shared" si="429"/>
        <v>20</v>
      </c>
      <c r="F935" s="79"/>
      <c r="G935" s="82"/>
      <c r="H935" s="68" t="str">
        <f t="shared" si="446"/>
        <v>Senbur0_20191118_23_00</v>
      </c>
      <c r="I935" s="69">
        <f t="shared" si="449"/>
        <v>1</v>
      </c>
      <c r="J935" s="76" t="str">
        <f t="shared" si="449"/>
        <v>Senecio</v>
      </c>
      <c r="K935" s="76" t="str">
        <f t="shared" si="449"/>
        <v>burtoni</v>
      </c>
      <c r="L935" s="77">
        <f t="shared" si="449"/>
        <v>0</v>
      </c>
      <c r="M935" s="77">
        <f t="shared" si="449"/>
        <v>7</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18</v>
      </c>
      <c r="D936" s="74">
        <f t="shared" si="428"/>
        <v>23</v>
      </c>
      <c r="E936" s="75">
        <f t="shared" si="429"/>
        <v>21</v>
      </c>
      <c r="F936" s="79"/>
      <c r="G936" s="82"/>
      <c r="H936" s="68" t="str">
        <f t="shared" si="446"/>
        <v>Senbur0_20191118_23_00</v>
      </c>
      <c r="I936" s="69">
        <f t="shared" si="449"/>
        <v>1</v>
      </c>
      <c r="J936" s="76" t="str">
        <f t="shared" si="449"/>
        <v>Senecio</v>
      </c>
      <c r="K936" s="76" t="str">
        <f t="shared" si="449"/>
        <v>burtoni</v>
      </c>
      <c r="L936" s="77">
        <f t="shared" si="449"/>
        <v>0</v>
      </c>
      <c r="M936" s="77">
        <f t="shared" si="449"/>
        <v>7</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18</v>
      </c>
      <c r="D937" s="74">
        <f t="shared" si="428"/>
        <v>23</v>
      </c>
      <c r="E937" s="75">
        <f t="shared" si="429"/>
        <v>22</v>
      </c>
      <c r="F937" s="79"/>
      <c r="G937" s="82"/>
      <c r="H937" s="68" t="str">
        <f t="shared" si="446"/>
        <v>Senbur0_20191118_23_00</v>
      </c>
      <c r="I937" s="69">
        <f t="shared" si="449"/>
        <v>1</v>
      </c>
      <c r="J937" s="76" t="str">
        <f t="shared" si="449"/>
        <v>Senecio</v>
      </c>
      <c r="K937" s="76" t="str">
        <f t="shared" si="449"/>
        <v>burtoni</v>
      </c>
      <c r="L937" s="77">
        <f t="shared" si="449"/>
        <v>0</v>
      </c>
      <c r="M937" s="77">
        <f t="shared" si="449"/>
        <v>7</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18</v>
      </c>
      <c r="D938" s="74">
        <f t="shared" si="428"/>
        <v>23</v>
      </c>
      <c r="E938" s="75">
        <f t="shared" si="429"/>
        <v>23</v>
      </c>
      <c r="F938" s="79"/>
      <c r="G938" s="82"/>
      <c r="H938" s="68" t="str">
        <f t="shared" si="446"/>
        <v>Senbur0_20191118_23_00</v>
      </c>
      <c r="I938" s="69">
        <f t="shared" si="449"/>
        <v>1</v>
      </c>
      <c r="J938" s="76" t="str">
        <f t="shared" si="449"/>
        <v>Senecio</v>
      </c>
      <c r="K938" s="76" t="str">
        <f t="shared" si="449"/>
        <v>burtoni</v>
      </c>
      <c r="L938" s="77">
        <f t="shared" si="449"/>
        <v>0</v>
      </c>
      <c r="M938" s="77">
        <f t="shared" si="449"/>
        <v>7</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18</v>
      </c>
      <c r="D939" s="74">
        <f t="shared" si="428"/>
        <v>23</v>
      </c>
      <c r="E939" s="75">
        <f t="shared" si="429"/>
        <v>24</v>
      </c>
      <c r="F939" s="79"/>
      <c r="G939" s="82"/>
      <c r="H939" s="68" t="str">
        <f t="shared" si="446"/>
        <v>Senbur0_20191118_23_00</v>
      </c>
      <c r="I939" s="69">
        <f t="shared" si="449"/>
        <v>1</v>
      </c>
      <c r="J939" s="76" t="str">
        <f t="shared" si="449"/>
        <v>Senecio</v>
      </c>
      <c r="K939" s="76" t="str">
        <f t="shared" si="449"/>
        <v>burtoni</v>
      </c>
      <c r="L939" s="77">
        <f t="shared" si="449"/>
        <v>0</v>
      </c>
      <c r="M939" s="77">
        <f t="shared" si="449"/>
        <v>7</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18</v>
      </c>
      <c r="D940" s="74">
        <f t="shared" si="428"/>
        <v>23</v>
      </c>
      <c r="E940" s="75">
        <f t="shared" si="429"/>
        <v>25</v>
      </c>
      <c r="F940" s="79"/>
      <c r="G940" s="82"/>
      <c r="H940" s="68" t="str">
        <f t="shared" si="446"/>
        <v>Senbur0_20191118_23_00</v>
      </c>
      <c r="I940" s="69">
        <f t="shared" si="449"/>
        <v>1</v>
      </c>
      <c r="J940" s="76" t="str">
        <f t="shared" si="449"/>
        <v>Senecio</v>
      </c>
      <c r="K940" s="76" t="str">
        <f t="shared" si="449"/>
        <v>burtoni</v>
      </c>
      <c r="L940" s="77">
        <f t="shared" si="449"/>
        <v>0</v>
      </c>
      <c r="M940" s="77">
        <f t="shared" si="449"/>
        <v>7</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18</v>
      </c>
      <c r="D941" s="74">
        <f t="shared" si="428"/>
        <v>23</v>
      </c>
      <c r="E941" s="75">
        <f t="shared" si="429"/>
        <v>26</v>
      </c>
      <c r="F941" s="79"/>
      <c r="G941" s="82"/>
      <c r="H941" s="68" t="str">
        <f t="shared" si="446"/>
        <v>Senbur0_20191118_23_00</v>
      </c>
      <c r="I941" s="69">
        <f t="shared" si="449"/>
        <v>1</v>
      </c>
      <c r="J941" s="76" t="str">
        <f t="shared" si="449"/>
        <v>Senecio</v>
      </c>
      <c r="K941" s="76" t="str">
        <f t="shared" si="449"/>
        <v>burtoni</v>
      </c>
      <c r="L941" s="77">
        <f t="shared" si="449"/>
        <v>0</v>
      </c>
      <c r="M941" s="77">
        <f t="shared" si="449"/>
        <v>7</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18</v>
      </c>
      <c r="D942" s="74">
        <f t="shared" si="428"/>
        <v>23</v>
      </c>
      <c r="E942" s="75">
        <f t="shared" si="429"/>
        <v>27</v>
      </c>
      <c r="F942" s="79"/>
      <c r="G942" s="82"/>
      <c r="H942" s="68" t="str">
        <f t="shared" si="446"/>
        <v>Senbur0_20191118_23_00</v>
      </c>
      <c r="I942" s="69">
        <f t="shared" si="449"/>
        <v>1</v>
      </c>
      <c r="J942" s="76" t="str">
        <f t="shared" si="449"/>
        <v>Senecio</v>
      </c>
      <c r="K942" s="76" t="str">
        <f t="shared" si="449"/>
        <v>burtoni</v>
      </c>
      <c r="L942" s="77">
        <f t="shared" si="449"/>
        <v>0</v>
      </c>
      <c r="M942" s="77">
        <f t="shared" si="449"/>
        <v>7</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18</v>
      </c>
      <c r="D943" s="74">
        <f t="shared" si="428"/>
        <v>23</v>
      </c>
      <c r="E943" s="75">
        <f t="shared" si="429"/>
        <v>28</v>
      </c>
      <c r="F943" s="79"/>
      <c r="G943" s="82"/>
      <c r="H943" s="68" t="str">
        <f t="shared" si="446"/>
        <v>Senbur0_20191118_23_00</v>
      </c>
      <c r="I943" s="69">
        <f t="shared" si="449"/>
        <v>1</v>
      </c>
      <c r="J943" s="76" t="str">
        <f t="shared" si="449"/>
        <v>Senecio</v>
      </c>
      <c r="K943" s="76" t="str">
        <f t="shared" si="449"/>
        <v>burtoni</v>
      </c>
      <c r="L943" s="77">
        <f t="shared" si="449"/>
        <v>0</v>
      </c>
      <c r="M943" s="77">
        <f t="shared" si="449"/>
        <v>7</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18</v>
      </c>
      <c r="D944" s="74">
        <f t="shared" si="428"/>
        <v>23</v>
      </c>
      <c r="E944" s="75">
        <f t="shared" si="429"/>
        <v>29</v>
      </c>
      <c r="F944" s="79"/>
      <c r="G944" s="82"/>
      <c r="H944" s="68" t="str">
        <f t="shared" si="446"/>
        <v>Senbur0_20191118_23_00</v>
      </c>
      <c r="I944" s="69">
        <f t="shared" si="449"/>
        <v>1</v>
      </c>
      <c r="J944" s="76" t="str">
        <f t="shared" si="449"/>
        <v>Senecio</v>
      </c>
      <c r="K944" s="76" t="str">
        <f t="shared" si="449"/>
        <v>burtoni</v>
      </c>
      <c r="L944" s="77">
        <f t="shared" si="449"/>
        <v>0</v>
      </c>
      <c r="M944" s="77">
        <f t="shared" si="449"/>
        <v>7</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18</v>
      </c>
      <c r="D945" s="74">
        <f t="shared" si="428"/>
        <v>23</v>
      </c>
      <c r="E945" s="75">
        <f t="shared" si="429"/>
        <v>30</v>
      </c>
      <c r="F945" s="79"/>
      <c r="G945" s="82"/>
      <c r="H945" s="68" t="str">
        <f t="shared" si="446"/>
        <v>Senbur0_20191118_23_00</v>
      </c>
      <c r="I945" s="69">
        <f t="shared" si="449"/>
        <v>1</v>
      </c>
      <c r="J945" s="76" t="str">
        <f t="shared" si="449"/>
        <v>Senecio</v>
      </c>
      <c r="K945" s="76" t="str">
        <f t="shared" si="449"/>
        <v>burtoni</v>
      </c>
      <c r="L945" s="77">
        <f t="shared" si="449"/>
        <v>0</v>
      </c>
      <c r="M945" s="77">
        <f t="shared" si="449"/>
        <v>7</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18</v>
      </c>
      <c r="D946" s="74">
        <f t="shared" si="428"/>
        <v>23</v>
      </c>
      <c r="E946" s="75">
        <f t="shared" si="429"/>
        <v>31</v>
      </c>
      <c r="F946" s="79"/>
      <c r="G946" s="82"/>
      <c r="H946" s="68" t="str">
        <f t="shared" si="446"/>
        <v>Senbur0_20191118_23_00</v>
      </c>
      <c r="I946" s="69">
        <f t="shared" si="449"/>
        <v>1</v>
      </c>
      <c r="J946" s="76" t="str">
        <f t="shared" si="449"/>
        <v>Senecio</v>
      </c>
      <c r="K946" s="76" t="str">
        <f t="shared" si="449"/>
        <v>burtoni</v>
      </c>
      <c r="L946" s="77">
        <f t="shared" si="449"/>
        <v>0</v>
      </c>
      <c r="M946" s="77">
        <f t="shared" si="449"/>
        <v>7</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18</v>
      </c>
      <c r="D947" s="74">
        <f t="shared" si="428"/>
        <v>23</v>
      </c>
      <c r="E947" s="75">
        <f t="shared" si="429"/>
        <v>32</v>
      </c>
      <c r="F947" s="79"/>
      <c r="G947" s="82"/>
      <c r="H947" s="68" t="str">
        <f t="shared" si="446"/>
        <v>Senbur0_20191118_23_00</v>
      </c>
      <c r="I947" s="69">
        <f t="shared" si="449"/>
        <v>1</v>
      </c>
      <c r="J947" s="76" t="str">
        <f t="shared" si="449"/>
        <v>Senecio</v>
      </c>
      <c r="K947" s="76" t="str">
        <f t="shared" si="449"/>
        <v>burtoni</v>
      </c>
      <c r="L947" s="77">
        <f t="shared" si="449"/>
        <v>0</v>
      </c>
      <c r="M947" s="77">
        <f t="shared" si="449"/>
        <v>7</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18</v>
      </c>
      <c r="D948" s="74">
        <f t="shared" si="428"/>
        <v>23</v>
      </c>
      <c r="E948" s="75">
        <f t="shared" si="429"/>
        <v>33</v>
      </c>
      <c r="F948" s="79"/>
      <c r="G948" s="82"/>
      <c r="H948" s="68" t="str">
        <f t="shared" si="446"/>
        <v>Senbur0_20191118_23_00</v>
      </c>
      <c r="I948" s="69">
        <f t="shared" si="449"/>
        <v>1</v>
      </c>
      <c r="J948" s="76" t="str">
        <f t="shared" si="449"/>
        <v>Senecio</v>
      </c>
      <c r="K948" s="76" t="str">
        <f t="shared" si="449"/>
        <v>burtoni</v>
      </c>
      <c r="L948" s="77">
        <f t="shared" si="449"/>
        <v>0</v>
      </c>
      <c r="M948" s="77">
        <f t="shared" si="449"/>
        <v>7</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18</v>
      </c>
      <c r="D949" s="74">
        <f t="shared" si="428"/>
        <v>23</v>
      </c>
      <c r="E949" s="75">
        <f t="shared" si="429"/>
        <v>34</v>
      </c>
      <c r="F949" s="79"/>
      <c r="G949" s="82"/>
      <c r="H949" s="68" t="str">
        <f t="shared" si="446"/>
        <v>Senbur0_20191118_23_00</v>
      </c>
      <c r="I949" s="69">
        <f t="shared" ref="I949:N964" si="450">I948</f>
        <v>1</v>
      </c>
      <c r="J949" s="76" t="str">
        <f t="shared" si="450"/>
        <v>Senecio</v>
      </c>
      <c r="K949" s="76" t="str">
        <f t="shared" si="450"/>
        <v>burtoni</v>
      </c>
      <c r="L949" s="77">
        <f t="shared" si="450"/>
        <v>0</v>
      </c>
      <c r="M949" s="77">
        <f t="shared" si="450"/>
        <v>7</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18</v>
      </c>
      <c r="D950" s="74">
        <f t="shared" si="428"/>
        <v>23</v>
      </c>
      <c r="E950" s="75">
        <f t="shared" si="429"/>
        <v>35</v>
      </c>
      <c r="F950" s="79"/>
      <c r="G950" s="82"/>
      <c r="H950" s="68" t="str">
        <f t="shared" si="446"/>
        <v>Senbur0_20191118_23_00</v>
      </c>
      <c r="I950" s="69">
        <f t="shared" si="450"/>
        <v>1</v>
      </c>
      <c r="J950" s="76" t="str">
        <f t="shared" si="450"/>
        <v>Senecio</v>
      </c>
      <c r="K950" s="76" t="str">
        <f t="shared" si="450"/>
        <v>burtoni</v>
      </c>
      <c r="L950" s="77">
        <f t="shared" si="450"/>
        <v>0</v>
      </c>
      <c r="M950" s="77">
        <f t="shared" si="450"/>
        <v>7</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18</v>
      </c>
      <c r="D951" s="74">
        <f t="shared" si="428"/>
        <v>23</v>
      </c>
      <c r="E951" s="75">
        <f t="shared" si="429"/>
        <v>36</v>
      </c>
      <c r="F951" s="79"/>
      <c r="G951" s="82"/>
      <c r="H951" s="68" t="str">
        <f t="shared" si="446"/>
        <v>Senbur0_20191118_23_00</v>
      </c>
      <c r="I951" s="69">
        <f t="shared" si="450"/>
        <v>1</v>
      </c>
      <c r="J951" s="76" t="str">
        <f t="shared" si="450"/>
        <v>Senecio</v>
      </c>
      <c r="K951" s="76" t="str">
        <f t="shared" si="450"/>
        <v>burtoni</v>
      </c>
      <c r="L951" s="77">
        <f t="shared" si="450"/>
        <v>0</v>
      </c>
      <c r="M951" s="77">
        <f t="shared" si="450"/>
        <v>7</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18</v>
      </c>
      <c r="D952" s="74">
        <f t="shared" si="428"/>
        <v>23</v>
      </c>
      <c r="E952" s="75">
        <f t="shared" si="429"/>
        <v>37</v>
      </c>
      <c r="F952" s="79"/>
      <c r="G952" s="82"/>
      <c r="H952" s="68" t="str">
        <f t="shared" si="446"/>
        <v>Senbur0_20191118_23_00</v>
      </c>
      <c r="I952" s="69">
        <f t="shared" si="450"/>
        <v>1</v>
      </c>
      <c r="J952" s="76" t="str">
        <f t="shared" si="450"/>
        <v>Senecio</v>
      </c>
      <c r="K952" s="76" t="str">
        <f t="shared" si="450"/>
        <v>burtoni</v>
      </c>
      <c r="L952" s="77">
        <f t="shared" si="450"/>
        <v>0</v>
      </c>
      <c r="M952" s="77">
        <f t="shared" si="450"/>
        <v>7</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18</v>
      </c>
      <c r="D953" s="74">
        <f t="shared" si="428"/>
        <v>23</v>
      </c>
      <c r="E953" s="75">
        <f t="shared" si="429"/>
        <v>38</v>
      </c>
      <c r="F953" s="79"/>
      <c r="G953" s="82"/>
      <c r="H953" s="68" t="str">
        <f t="shared" si="446"/>
        <v>Senbur0_20191118_23_00</v>
      </c>
      <c r="I953" s="69">
        <f t="shared" si="450"/>
        <v>1</v>
      </c>
      <c r="J953" s="76" t="str">
        <f t="shared" si="450"/>
        <v>Senecio</v>
      </c>
      <c r="K953" s="76" t="str">
        <f t="shared" si="450"/>
        <v>burtoni</v>
      </c>
      <c r="L953" s="77">
        <f t="shared" si="450"/>
        <v>0</v>
      </c>
      <c r="M953" s="77">
        <f t="shared" si="450"/>
        <v>7</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18</v>
      </c>
      <c r="D954" s="74">
        <f t="shared" si="428"/>
        <v>23</v>
      </c>
      <c r="E954" s="75">
        <f t="shared" si="429"/>
        <v>39</v>
      </c>
      <c r="F954" s="79"/>
      <c r="G954" s="82"/>
      <c r="H954" s="68" t="str">
        <f t="shared" si="446"/>
        <v>Senbur0_20191118_23_00</v>
      </c>
      <c r="I954" s="69">
        <f t="shared" si="450"/>
        <v>1</v>
      </c>
      <c r="J954" s="76" t="str">
        <f t="shared" si="450"/>
        <v>Senecio</v>
      </c>
      <c r="K954" s="76" t="str">
        <f t="shared" si="450"/>
        <v>burtoni</v>
      </c>
      <c r="L954" s="77">
        <f t="shared" si="450"/>
        <v>0</v>
      </c>
      <c r="M954" s="77">
        <f t="shared" si="450"/>
        <v>7</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18</v>
      </c>
      <c r="D955" s="74">
        <f t="shared" si="428"/>
        <v>23</v>
      </c>
      <c r="E955" s="75">
        <f t="shared" si="429"/>
        <v>40</v>
      </c>
      <c r="F955" s="79"/>
      <c r="G955" s="82"/>
      <c r="H955" s="68" t="str">
        <f t="shared" si="446"/>
        <v>Senbur0_20191118_23_00</v>
      </c>
      <c r="I955" s="69">
        <f t="shared" si="450"/>
        <v>1</v>
      </c>
      <c r="J955" s="76" t="str">
        <f t="shared" si="450"/>
        <v>Senecio</v>
      </c>
      <c r="K955" s="76" t="str">
        <f t="shared" si="450"/>
        <v>burtoni</v>
      </c>
      <c r="L955" s="77">
        <f t="shared" si="450"/>
        <v>0</v>
      </c>
      <c r="M955" s="77">
        <f t="shared" si="450"/>
        <v>7</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18</v>
      </c>
      <c r="D956" s="74">
        <f t="shared" si="428"/>
        <v>23</v>
      </c>
      <c r="E956" s="75">
        <f t="shared" si="429"/>
        <v>41</v>
      </c>
      <c r="F956" s="79"/>
      <c r="G956" s="82"/>
      <c r="H956" s="68" t="str">
        <f t="shared" si="446"/>
        <v>Senbur0_20191118_23_00</v>
      </c>
      <c r="I956" s="69">
        <f t="shared" si="450"/>
        <v>1</v>
      </c>
      <c r="J956" s="76" t="str">
        <f t="shared" si="450"/>
        <v>Senecio</v>
      </c>
      <c r="K956" s="76" t="str">
        <f t="shared" si="450"/>
        <v>burtoni</v>
      </c>
      <c r="L956" s="77">
        <f t="shared" si="450"/>
        <v>0</v>
      </c>
      <c r="M956" s="77">
        <f t="shared" si="450"/>
        <v>7</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18</v>
      </c>
      <c r="D957" s="74">
        <f t="shared" si="428"/>
        <v>23</v>
      </c>
      <c r="E957" s="75">
        <f t="shared" si="429"/>
        <v>42</v>
      </c>
      <c r="F957" s="79"/>
      <c r="G957" s="82"/>
      <c r="H957" s="68" t="str">
        <f t="shared" si="446"/>
        <v>Senbur0_20191118_23_00</v>
      </c>
      <c r="I957" s="69">
        <f t="shared" si="450"/>
        <v>1</v>
      </c>
      <c r="J957" s="76" t="str">
        <f t="shared" si="450"/>
        <v>Senecio</v>
      </c>
      <c r="K957" s="76" t="str">
        <f t="shared" si="450"/>
        <v>burtoni</v>
      </c>
      <c r="L957" s="77">
        <f t="shared" si="450"/>
        <v>0</v>
      </c>
      <c r="M957" s="77">
        <f t="shared" si="450"/>
        <v>7</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18</v>
      </c>
      <c r="D958" s="74">
        <f t="shared" si="428"/>
        <v>23</v>
      </c>
      <c r="E958" s="75">
        <f t="shared" si="429"/>
        <v>43</v>
      </c>
      <c r="F958" s="79"/>
      <c r="G958" s="82"/>
      <c r="H958" s="68" t="str">
        <f t="shared" si="446"/>
        <v>Senbur0_20191118_23_00</v>
      </c>
      <c r="I958" s="69">
        <f t="shared" si="450"/>
        <v>1</v>
      </c>
      <c r="J958" s="76" t="str">
        <f t="shared" si="450"/>
        <v>Senecio</v>
      </c>
      <c r="K958" s="76" t="str">
        <f t="shared" si="450"/>
        <v>burtoni</v>
      </c>
      <c r="L958" s="77">
        <f t="shared" si="450"/>
        <v>0</v>
      </c>
      <c r="M958" s="77">
        <f t="shared" si="450"/>
        <v>7</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18</v>
      </c>
      <c r="D959" s="74">
        <f t="shared" si="428"/>
        <v>23</v>
      </c>
      <c r="E959" s="75">
        <f t="shared" si="429"/>
        <v>44</v>
      </c>
      <c r="F959" s="79"/>
      <c r="G959" s="82"/>
      <c r="H959" s="68" t="str">
        <f t="shared" si="446"/>
        <v>Senbur0_20191118_23_00</v>
      </c>
      <c r="I959" s="69">
        <f t="shared" si="450"/>
        <v>1</v>
      </c>
      <c r="J959" s="76" t="str">
        <f t="shared" si="450"/>
        <v>Senecio</v>
      </c>
      <c r="K959" s="76" t="str">
        <f t="shared" si="450"/>
        <v>burtoni</v>
      </c>
      <c r="L959" s="77">
        <f t="shared" si="450"/>
        <v>0</v>
      </c>
      <c r="M959" s="77">
        <f t="shared" si="450"/>
        <v>7</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18</v>
      </c>
      <c r="D960" s="74">
        <f t="shared" si="428"/>
        <v>23</v>
      </c>
      <c r="E960" s="75">
        <f t="shared" si="429"/>
        <v>45</v>
      </c>
      <c r="F960" s="79"/>
      <c r="G960" s="82"/>
      <c r="H960" s="68" t="str">
        <f t="shared" si="446"/>
        <v>Senbur0_20191118_23_00</v>
      </c>
      <c r="I960" s="69">
        <f t="shared" si="450"/>
        <v>1</v>
      </c>
      <c r="J960" s="76" t="str">
        <f t="shared" si="450"/>
        <v>Senecio</v>
      </c>
      <c r="K960" s="76" t="str">
        <f t="shared" si="450"/>
        <v>burtoni</v>
      </c>
      <c r="L960" s="77">
        <f t="shared" si="450"/>
        <v>0</v>
      </c>
      <c r="M960" s="77">
        <f t="shared" si="450"/>
        <v>7</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18</v>
      </c>
      <c r="D961" s="74">
        <f t="shared" si="428"/>
        <v>23</v>
      </c>
      <c r="E961" s="75">
        <f t="shared" si="429"/>
        <v>46</v>
      </c>
      <c r="F961" s="79"/>
      <c r="G961" s="82"/>
      <c r="H961" s="68" t="str">
        <f t="shared" si="446"/>
        <v>Senbur0_20191118_23_00</v>
      </c>
      <c r="I961" s="69">
        <f t="shared" si="450"/>
        <v>1</v>
      </c>
      <c r="J961" s="76" t="str">
        <f t="shared" si="450"/>
        <v>Senecio</v>
      </c>
      <c r="K961" s="76" t="str">
        <f t="shared" si="450"/>
        <v>burtoni</v>
      </c>
      <c r="L961" s="77">
        <f t="shared" si="450"/>
        <v>0</v>
      </c>
      <c r="M961" s="77">
        <f t="shared" si="450"/>
        <v>7</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18</v>
      </c>
      <c r="D962" s="74">
        <f t="shared" si="428"/>
        <v>23</v>
      </c>
      <c r="E962" s="75">
        <f t="shared" si="429"/>
        <v>47</v>
      </c>
      <c r="F962" s="79"/>
      <c r="G962" s="82"/>
      <c r="H962" s="68" t="str">
        <f t="shared" si="446"/>
        <v>Senbur0_20191118_23_00</v>
      </c>
      <c r="I962" s="69">
        <f t="shared" si="450"/>
        <v>1</v>
      </c>
      <c r="J962" s="76" t="str">
        <f t="shared" si="450"/>
        <v>Senecio</v>
      </c>
      <c r="K962" s="76" t="str">
        <f t="shared" si="450"/>
        <v>burtoni</v>
      </c>
      <c r="L962" s="77">
        <f t="shared" si="450"/>
        <v>0</v>
      </c>
      <c r="M962" s="77">
        <f t="shared" si="450"/>
        <v>7</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18</v>
      </c>
      <c r="D963" s="74">
        <f t="shared" si="428"/>
        <v>23</v>
      </c>
      <c r="E963" s="75">
        <f t="shared" si="429"/>
        <v>48</v>
      </c>
      <c r="F963" s="79"/>
      <c r="G963" s="82"/>
      <c r="H963" s="68" t="str">
        <f t="shared" si="446"/>
        <v>Senbur0_20191118_23_00</v>
      </c>
      <c r="I963" s="69">
        <f t="shared" si="450"/>
        <v>1</v>
      </c>
      <c r="J963" s="76" t="str">
        <f t="shared" si="450"/>
        <v>Senecio</v>
      </c>
      <c r="K963" s="76" t="str">
        <f t="shared" si="450"/>
        <v>burtoni</v>
      </c>
      <c r="L963" s="77">
        <f t="shared" si="450"/>
        <v>0</v>
      </c>
      <c r="M963" s="77">
        <f t="shared" si="450"/>
        <v>7</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18</v>
      </c>
      <c r="D964" s="74">
        <f t="shared" ref="D964:D1027" si="458">IF(IF(E963=59,D963+1,D963)=24,0,IF(E963=59,D963+1,D963))</f>
        <v>23</v>
      </c>
      <c r="E964" s="75">
        <f t="shared" ref="E964:E1027" si="459">IF(E963&lt;59,E963+1,0)</f>
        <v>49</v>
      </c>
      <c r="F964" s="79"/>
      <c r="G964" s="82"/>
      <c r="H964" s="68" t="str">
        <f t="shared" si="446"/>
        <v>Senbur0_20191118_23_00</v>
      </c>
      <c r="I964" s="69">
        <f t="shared" si="450"/>
        <v>1</v>
      </c>
      <c r="J964" s="76" t="str">
        <f t="shared" si="450"/>
        <v>Senecio</v>
      </c>
      <c r="K964" s="76" t="str">
        <f t="shared" si="450"/>
        <v>burtoni</v>
      </c>
      <c r="L964" s="77">
        <f t="shared" si="450"/>
        <v>0</v>
      </c>
      <c r="M964" s="77">
        <f t="shared" si="450"/>
        <v>7</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18</v>
      </c>
      <c r="D965" s="74">
        <f t="shared" si="458"/>
        <v>23</v>
      </c>
      <c r="E965" s="75">
        <f t="shared" si="459"/>
        <v>50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Senbur0_20191118_23_00</v>
      </c>
      <c r="I965" s="69">
        <f t="shared" ref="I965:N980" si="477">I964</f>
        <v>1</v>
      </c>
      <c r="J965" s="76" t="str">
        <f t="shared" si="477"/>
        <v>Senecio</v>
      </c>
      <c r="K965" s="76" t="str">
        <f t="shared" si="477"/>
        <v>burtoni</v>
      </c>
      <c r="L965" s="77">
        <f t="shared" si="477"/>
        <v>0</v>
      </c>
      <c r="M965" s="77">
        <f t="shared" si="477"/>
        <v>7</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18</v>
      </c>
      <c r="D966" s="74">
        <f t="shared" si="458"/>
        <v>23</v>
      </c>
      <c r="E966" s="75">
        <f t="shared" si="459"/>
        <v>51</v>
      </c>
      <c r="F966" s="79"/>
      <c r="G966" s="82"/>
      <c r="H966" s="68" t="str">
        <f t="shared" si="476"/>
        <v>Senbur0_20191118_23_00</v>
      </c>
      <c r="I966" s="69">
        <f t="shared" si="477"/>
        <v>1</v>
      </c>
      <c r="J966" s="76" t="str">
        <f t="shared" si="477"/>
        <v>Senecio</v>
      </c>
      <c r="K966" s="76" t="str">
        <f t="shared" si="477"/>
        <v>burtoni</v>
      </c>
      <c r="L966" s="77">
        <f t="shared" si="477"/>
        <v>0</v>
      </c>
      <c r="M966" s="77">
        <f t="shared" si="477"/>
        <v>7</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18</v>
      </c>
      <c r="D967" s="74">
        <f t="shared" si="458"/>
        <v>23</v>
      </c>
      <c r="E967" s="75">
        <f t="shared" si="459"/>
        <v>52</v>
      </c>
      <c r="F967" s="79"/>
      <c r="G967" s="82"/>
      <c r="H967" s="68" t="str">
        <f t="shared" si="476"/>
        <v>Senbur0_20191118_23_00</v>
      </c>
      <c r="I967" s="69">
        <f t="shared" si="477"/>
        <v>1</v>
      </c>
      <c r="J967" s="76" t="str">
        <f t="shared" si="477"/>
        <v>Senecio</v>
      </c>
      <c r="K967" s="76" t="str">
        <f t="shared" si="477"/>
        <v>burtoni</v>
      </c>
      <c r="L967" s="77">
        <f t="shared" si="477"/>
        <v>0</v>
      </c>
      <c r="M967" s="77">
        <f t="shared" si="477"/>
        <v>7</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18</v>
      </c>
      <c r="D968" s="74">
        <f t="shared" si="458"/>
        <v>23</v>
      </c>
      <c r="E968" s="75">
        <f t="shared" si="459"/>
        <v>53</v>
      </c>
      <c r="F968" s="79"/>
      <c r="G968" s="82"/>
      <c r="H968" s="68" t="str">
        <f t="shared" si="476"/>
        <v>Senbur0_20191118_23_00</v>
      </c>
      <c r="I968" s="69">
        <f t="shared" si="477"/>
        <v>1</v>
      </c>
      <c r="J968" s="76" t="str">
        <f t="shared" si="477"/>
        <v>Senecio</v>
      </c>
      <c r="K968" s="76" t="str">
        <f t="shared" si="477"/>
        <v>burtoni</v>
      </c>
      <c r="L968" s="77">
        <f t="shared" si="477"/>
        <v>0</v>
      </c>
      <c r="M968" s="77">
        <f t="shared" si="477"/>
        <v>7</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18</v>
      </c>
      <c r="D969" s="74">
        <f t="shared" si="458"/>
        <v>23</v>
      </c>
      <c r="E969" s="75">
        <f t="shared" si="459"/>
        <v>54</v>
      </c>
      <c r="F969" s="79"/>
      <c r="G969" s="82"/>
      <c r="H969" s="68" t="str">
        <f t="shared" si="476"/>
        <v>Senbur0_20191118_23_00</v>
      </c>
      <c r="I969" s="69">
        <f t="shared" si="477"/>
        <v>1</v>
      </c>
      <c r="J969" s="76" t="str">
        <f t="shared" si="477"/>
        <v>Senecio</v>
      </c>
      <c r="K969" s="76" t="str">
        <f t="shared" si="477"/>
        <v>burtoni</v>
      </c>
      <c r="L969" s="77">
        <f t="shared" si="477"/>
        <v>0</v>
      </c>
      <c r="M969" s="77">
        <f t="shared" si="477"/>
        <v>7</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18</v>
      </c>
      <c r="D970" s="74">
        <f t="shared" si="458"/>
        <v>23</v>
      </c>
      <c r="E970" s="75">
        <f t="shared" si="459"/>
        <v>55</v>
      </c>
      <c r="F970" s="79"/>
      <c r="G970" s="82"/>
      <c r="H970" s="68" t="str">
        <f t="shared" si="476"/>
        <v>Senbur0_20191118_23_00</v>
      </c>
      <c r="I970" s="69">
        <f t="shared" si="477"/>
        <v>1</v>
      </c>
      <c r="J970" s="76" t="str">
        <f t="shared" si="477"/>
        <v>Senecio</v>
      </c>
      <c r="K970" s="76" t="str">
        <f t="shared" si="477"/>
        <v>burtoni</v>
      </c>
      <c r="L970" s="77">
        <f t="shared" si="477"/>
        <v>0</v>
      </c>
      <c r="M970" s="77">
        <f t="shared" si="477"/>
        <v>7</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18</v>
      </c>
      <c r="D971" s="74">
        <f t="shared" si="458"/>
        <v>23</v>
      </c>
      <c r="E971" s="75">
        <f t="shared" si="459"/>
        <v>56</v>
      </c>
      <c r="F971" s="79"/>
      <c r="G971" s="82"/>
      <c r="H971" s="68" t="str">
        <f t="shared" si="476"/>
        <v>Senbur0_20191118_23_00</v>
      </c>
      <c r="I971" s="69">
        <f t="shared" si="477"/>
        <v>1</v>
      </c>
      <c r="J971" s="76" t="str">
        <f t="shared" si="477"/>
        <v>Senecio</v>
      </c>
      <c r="K971" s="76" t="str">
        <f t="shared" si="477"/>
        <v>burtoni</v>
      </c>
      <c r="L971" s="77">
        <f t="shared" si="477"/>
        <v>0</v>
      </c>
      <c r="M971" s="77">
        <f t="shared" si="477"/>
        <v>7</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18</v>
      </c>
      <c r="D972" s="74">
        <f t="shared" si="458"/>
        <v>23</v>
      </c>
      <c r="E972" s="75">
        <f t="shared" si="459"/>
        <v>57</v>
      </c>
      <c r="F972" s="79"/>
      <c r="G972" s="82"/>
      <c r="H972" s="68" t="str">
        <f t="shared" si="476"/>
        <v>Senbur0_20191118_23_00</v>
      </c>
      <c r="I972" s="69">
        <f t="shared" si="477"/>
        <v>1</v>
      </c>
      <c r="J972" s="76" t="str">
        <f t="shared" si="477"/>
        <v>Senecio</v>
      </c>
      <c r="K972" s="76" t="str">
        <f t="shared" si="477"/>
        <v>burtoni</v>
      </c>
      <c r="L972" s="77">
        <f t="shared" si="477"/>
        <v>0</v>
      </c>
      <c r="M972" s="77">
        <f t="shared" si="477"/>
        <v>7</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18</v>
      </c>
      <c r="D973" s="74">
        <f t="shared" si="458"/>
        <v>23</v>
      </c>
      <c r="E973" s="75">
        <f t="shared" si="459"/>
        <v>58</v>
      </c>
      <c r="F973" s="79"/>
      <c r="G973" s="82"/>
      <c r="H973" s="68" t="str">
        <f t="shared" si="476"/>
        <v>Senbur0_20191118_23_00</v>
      </c>
      <c r="I973" s="69">
        <f t="shared" si="477"/>
        <v>1</v>
      </c>
      <c r="J973" s="76" t="str">
        <f t="shared" si="477"/>
        <v>Senecio</v>
      </c>
      <c r="K973" s="76" t="str">
        <f t="shared" si="477"/>
        <v>burtoni</v>
      </c>
      <c r="L973" s="77">
        <f t="shared" si="477"/>
        <v>0</v>
      </c>
      <c r="M973" s="77">
        <f t="shared" si="477"/>
        <v>7</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18</v>
      </c>
      <c r="D974" s="74">
        <f t="shared" si="458"/>
        <v>23</v>
      </c>
      <c r="E974" s="75">
        <f t="shared" si="459"/>
        <v>59</v>
      </c>
      <c r="F974" s="79"/>
      <c r="G974" s="82"/>
      <c r="H974" s="68" t="str">
        <f t="shared" si="476"/>
        <v>Senbur0_20191118_23_00</v>
      </c>
      <c r="I974" s="69">
        <f t="shared" si="477"/>
        <v>1</v>
      </c>
      <c r="J974" s="76" t="str">
        <f t="shared" si="477"/>
        <v>Senecio</v>
      </c>
      <c r="K974" s="76" t="str">
        <f t="shared" si="477"/>
        <v>burtoni</v>
      </c>
      <c r="L974" s="77">
        <f t="shared" si="477"/>
        <v>0</v>
      </c>
      <c r="M974" s="77">
        <f t="shared" si="477"/>
        <v>7</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19</v>
      </c>
      <c r="D975" s="74">
        <f t="shared" si="458"/>
        <v>0</v>
      </c>
      <c r="E975" s="75">
        <f t="shared" si="459"/>
        <v>0</v>
      </c>
      <c r="F975" s="79"/>
      <c r="G975" s="82"/>
      <c r="H975" s="68" t="str">
        <f t="shared" si="476"/>
        <v>Senbur0_20191119_00_00</v>
      </c>
      <c r="I975" s="69">
        <f t="shared" si="477"/>
        <v>1</v>
      </c>
      <c r="J975" s="76" t="str">
        <f t="shared" si="477"/>
        <v>Senecio</v>
      </c>
      <c r="K975" s="76" t="str">
        <f t="shared" si="477"/>
        <v>burtoni</v>
      </c>
      <c r="L975" s="77">
        <f t="shared" si="477"/>
        <v>0</v>
      </c>
      <c r="M975" s="77">
        <f t="shared" si="477"/>
        <v>7</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19</v>
      </c>
      <c r="D976" s="74">
        <f t="shared" si="458"/>
        <v>0</v>
      </c>
      <c r="E976" s="75">
        <f t="shared" si="459"/>
        <v>1</v>
      </c>
      <c r="F976" s="79"/>
      <c r="G976" s="82"/>
      <c r="H976" s="68" t="str">
        <f t="shared" si="476"/>
        <v>Senbur0_20191119_00_00</v>
      </c>
      <c r="I976" s="69">
        <f t="shared" si="477"/>
        <v>1</v>
      </c>
      <c r="J976" s="76" t="str">
        <f t="shared" si="477"/>
        <v>Senecio</v>
      </c>
      <c r="K976" s="76" t="str">
        <f t="shared" si="477"/>
        <v>burtoni</v>
      </c>
      <c r="L976" s="77">
        <f t="shared" si="477"/>
        <v>0</v>
      </c>
      <c r="M976" s="77">
        <f t="shared" si="477"/>
        <v>7</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19</v>
      </c>
      <c r="D977" s="74">
        <f t="shared" si="458"/>
        <v>0</v>
      </c>
      <c r="E977" s="75">
        <f t="shared" si="459"/>
        <v>2</v>
      </c>
      <c r="F977" s="79"/>
      <c r="G977" s="82"/>
      <c r="H977" s="68" t="str">
        <f t="shared" si="476"/>
        <v>Senbur0_20191119_00_00</v>
      </c>
      <c r="I977" s="69">
        <f t="shared" si="477"/>
        <v>1</v>
      </c>
      <c r="J977" s="76" t="str">
        <f t="shared" si="477"/>
        <v>Senecio</v>
      </c>
      <c r="K977" s="76" t="str">
        <f t="shared" si="477"/>
        <v>burtoni</v>
      </c>
      <c r="L977" s="77">
        <f t="shared" si="477"/>
        <v>0</v>
      </c>
      <c r="M977" s="77">
        <f t="shared" si="477"/>
        <v>7</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19</v>
      </c>
      <c r="D978" s="74">
        <f t="shared" si="458"/>
        <v>0</v>
      </c>
      <c r="E978" s="75">
        <f t="shared" si="459"/>
        <v>3</v>
      </c>
      <c r="F978" s="79"/>
      <c r="G978" s="82"/>
      <c r="H978" s="68" t="str">
        <f t="shared" si="476"/>
        <v>Senbur0_20191119_00_00</v>
      </c>
      <c r="I978" s="69">
        <f t="shared" si="477"/>
        <v>1</v>
      </c>
      <c r="J978" s="76" t="str">
        <f t="shared" si="477"/>
        <v>Senecio</v>
      </c>
      <c r="K978" s="76" t="str">
        <f t="shared" si="477"/>
        <v>burtoni</v>
      </c>
      <c r="L978" s="77">
        <f t="shared" si="477"/>
        <v>0</v>
      </c>
      <c r="M978" s="77">
        <f t="shared" si="477"/>
        <v>7</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19</v>
      </c>
      <c r="D979" s="74">
        <f t="shared" si="458"/>
        <v>0</v>
      </c>
      <c r="E979" s="75">
        <f t="shared" si="459"/>
        <v>4</v>
      </c>
      <c r="F979" s="79"/>
      <c r="G979" s="82"/>
      <c r="H979" s="68" t="str">
        <f t="shared" si="476"/>
        <v>Senbur0_20191119_00_00</v>
      </c>
      <c r="I979" s="69">
        <f t="shared" si="477"/>
        <v>1</v>
      </c>
      <c r="J979" s="76" t="str">
        <f t="shared" si="477"/>
        <v>Senecio</v>
      </c>
      <c r="K979" s="76" t="str">
        <f t="shared" si="477"/>
        <v>burtoni</v>
      </c>
      <c r="L979" s="77">
        <f t="shared" si="477"/>
        <v>0</v>
      </c>
      <c r="M979" s="77">
        <f t="shared" si="477"/>
        <v>7</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19</v>
      </c>
      <c r="D980" s="74">
        <f t="shared" si="458"/>
        <v>0</v>
      </c>
      <c r="E980" s="75">
        <f t="shared" si="459"/>
        <v>5</v>
      </c>
      <c r="F980" s="79"/>
      <c r="G980" s="82"/>
      <c r="H980" s="68" t="str">
        <f t="shared" si="476"/>
        <v>Senbur0_20191119_00_00</v>
      </c>
      <c r="I980" s="69">
        <f t="shared" si="477"/>
        <v>1</v>
      </c>
      <c r="J980" s="76" t="str">
        <f t="shared" si="477"/>
        <v>Senecio</v>
      </c>
      <c r="K980" s="76" t="str">
        <f t="shared" si="477"/>
        <v>burtoni</v>
      </c>
      <c r="L980" s="77">
        <f t="shared" si="477"/>
        <v>0</v>
      </c>
      <c r="M980" s="77">
        <f t="shared" si="477"/>
        <v>7</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19</v>
      </c>
      <c r="D981" s="74">
        <f t="shared" si="458"/>
        <v>0</v>
      </c>
      <c r="E981" s="75">
        <f t="shared" si="459"/>
        <v>6</v>
      </c>
      <c r="F981" s="79"/>
      <c r="G981" s="82"/>
      <c r="H981" s="68" t="str">
        <f t="shared" si="476"/>
        <v>Senbur0_20191119_00_00</v>
      </c>
      <c r="I981" s="69">
        <f t="shared" ref="I981:N996" si="478">I980</f>
        <v>1</v>
      </c>
      <c r="J981" s="76" t="str">
        <f t="shared" si="478"/>
        <v>Senecio</v>
      </c>
      <c r="K981" s="76" t="str">
        <f t="shared" si="478"/>
        <v>burtoni</v>
      </c>
      <c r="L981" s="77">
        <f t="shared" si="478"/>
        <v>0</v>
      </c>
      <c r="M981" s="77">
        <f t="shared" si="478"/>
        <v>7</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19</v>
      </c>
      <c r="D982" s="74">
        <f t="shared" si="458"/>
        <v>0</v>
      </c>
      <c r="E982" s="75">
        <f t="shared" si="459"/>
        <v>7</v>
      </c>
      <c r="F982" s="79"/>
      <c r="G982" s="82"/>
      <c r="H982" s="68" t="str">
        <f t="shared" si="476"/>
        <v>Senbur0_20191119_00_00</v>
      </c>
      <c r="I982" s="69">
        <f t="shared" si="478"/>
        <v>1</v>
      </c>
      <c r="J982" s="76" t="str">
        <f t="shared" si="478"/>
        <v>Senecio</v>
      </c>
      <c r="K982" s="76" t="str">
        <f t="shared" si="478"/>
        <v>burtoni</v>
      </c>
      <c r="L982" s="77">
        <f t="shared" si="478"/>
        <v>0</v>
      </c>
      <c r="M982" s="77">
        <f t="shared" si="478"/>
        <v>7</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19</v>
      </c>
      <c r="D983" s="74">
        <f t="shared" si="458"/>
        <v>0</v>
      </c>
      <c r="E983" s="75">
        <f t="shared" si="459"/>
        <v>8</v>
      </c>
      <c r="F983" s="79"/>
      <c r="G983" s="82"/>
      <c r="H983" s="68" t="str">
        <f t="shared" si="476"/>
        <v>Senbur0_20191119_00_00</v>
      </c>
      <c r="I983" s="69">
        <f t="shared" si="478"/>
        <v>1</v>
      </c>
      <c r="J983" s="76" t="str">
        <f t="shared" si="478"/>
        <v>Senecio</v>
      </c>
      <c r="K983" s="76" t="str">
        <f t="shared" si="478"/>
        <v>burtoni</v>
      </c>
      <c r="L983" s="77">
        <f t="shared" si="478"/>
        <v>0</v>
      </c>
      <c r="M983" s="77">
        <f t="shared" si="478"/>
        <v>7</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19</v>
      </c>
      <c r="D984" s="74">
        <f t="shared" si="458"/>
        <v>0</v>
      </c>
      <c r="E984" s="75">
        <f t="shared" si="459"/>
        <v>9</v>
      </c>
      <c r="F984" s="79"/>
      <c r="G984" s="82"/>
      <c r="H984" s="68" t="str">
        <f t="shared" si="476"/>
        <v>Senbur0_20191119_00_00</v>
      </c>
      <c r="I984" s="69">
        <f t="shared" si="478"/>
        <v>1</v>
      </c>
      <c r="J984" s="76" t="str">
        <f t="shared" si="478"/>
        <v>Senecio</v>
      </c>
      <c r="K984" s="76" t="str">
        <f t="shared" si="478"/>
        <v>burtoni</v>
      </c>
      <c r="L984" s="77">
        <f t="shared" si="478"/>
        <v>0</v>
      </c>
      <c r="M984" s="77">
        <f t="shared" si="478"/>
        <v>7</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19</v>
      </c>
      <c r="D985" s="74">
        <f t="shared" si="458"/>
        <v>0</v>
      </c>
      <c r="E985" s="75">
        <f t="shared" si="459"/>
        <v>10</v>
      </c>
      <c r="F985" s="79"/>
      <c r="G985" s="82"/>
      <c r="H985" s="68" t="str">
        <f t="shared" si="476"/>
        <v>Senbur0_20191119_00_00</v>
      </c>
      <c r="I985" s="69">
        <f t="shared" si="478"/>
        <v>1</v>
      </c>
      <c r="J985" s="76" t="str">
        <f t="shared" si="478"/>
        <v>Senecio</v>
      </c>
      <c r="K985" s="76" t="str">
        <f t="shared" si="478"/>
        <v>burtoni</v>
      </c>
      <c r="L985" s="77">
        <f t="shared" si="478"/>
        <v>0</v>
      </c>
      <c r="M985" s="77">
        <f t="shared" si="478"/>
        <v>7</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19</v>
      </c>
      <c r="D986" s="74">
        <f t="shared" si="458"/>
        <v>0</v>
      </c>
      <c r="E986" s="75">
        <f t="shared" si="459"/>
        <v>11</v>
      </c>
      <c r="F986" s="79"/>
      <c r="G986" s="82"/>
      <c r="H986" s="68" t="str">
        <f t="shared" si="476"/>
        <v>Senbur0_20191119_00_00</v>
      </c>
      <c r="I986" s="69">
        <f t="shared" si="478"/>
        <v>1</v>
      </c>
      <c r="J986" s="76" t="str">
        <f t="shared" si="478"/>
        <v>Senecio</v>
      </c>
      <c r="K986" s="76" t="str">
        <f t="shared" si="478"/>
        <v>burtoni</v>
      </c>
      <c r="L986" s="77">
        <f t="shared" si="478"/>
        <v>0</v>
      </c>
      <c r="M986" s="77">
        <f t="shared" si="478"/>
        <v>7</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19</v>
      </c>
      <c r="D987" s="74">
        <f t="shared" si="458"/>
        <v>0</v>
      </c>
      <c r="E987" s="75">
        <f t="shared" si="459"/>
        <v>12</v>
      </c>
      <c r="F987" s="79"/>
      <c r="G987" s="82"/>
      <c r="H987" s="68" t="str">
        <f t="shared" si="476"/>
        <v>Senbur0_20191119_00_00</v>
      </c>
      <c r="I987" s="69">
        <f t="shared" si="478"/>
        <v>1</v>
      </c>
      <c r="J987" s="76" t="str">
        <f t="shared" si="478"/>
        <v>Senecio</v>
      </c>
      <c r="K987" s="76" t="str">
        <f t="shared" si="478"/>
        <v>burtoni</v>
      </c>
      <c r="L987" s="77">
        <f t="shared" si="478"/>
        <v>0</v>
      </c>
      <c r="M987" s="77">
        <f t="shared" si="478"/>
        <v>7</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19</v>
      </c>
      <c r="D988" s="74">
        <f t="shared" si="458"/>
        <v>0</v>
      </c>
      <c r="E988" s="75">
        <f t="shared" si="459"/>
        <v>13</v>
      </c>
      <c r="F988" s="79"/>
      <c r="G988" s="82"/>
      <c r="H988" s="68" t="str">
        <f t="shared" si="476"/>
        <v>Senbur0_20191119_00_00</v>
      </c>
      <c r="I988" s="69">
        <f t="shared" si="478"/>
        <v>1</v>
      </c>
      <c r="J988" s="76" t="str">
        <f t="shared" si="478"/>
        <v>Senecio</v>
      </c>
      <c r="K988" s="76" t="str">
        <f t="shared" si="478"/>
        <v>burtoni</v>
      </c>
      <c r="L988" s="77">
        <f t="shared" si="478"/>
        <v>0</v>
      </c>
      <c r="M988" s="77">
        <f t="shared" si="478"/>
        <v>7</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19</v>
      </c>
      <c r="D989" s="74">
        <f t="shared" si="458"/>
        <v>0</v>
      </c>
      <c r="E989" s="75">
        <f t="shared" si="459"/>
        <v>14</v>
      </c>
      <c r="F989" s="79"/>
      <c r="G989" s="82"/>
      <c r="H989" s="68" t="str">
        <f t="shared" si="476"/>
        <v>Senbur0_20191119_00_00</v>
      </c>
      <c r="I989" s="69">
        <f t="shared" si="478"/>
        <v>1</v>
      </c>
      <c r="J989" s="76" t="str">
        <f t="shared" si="478"/>
        <v>Senecio</v>
      </c>
      <c r="K989" s="76" t="str">
        <f t="shared" si="478"/>
        <v>burtoni</v>
      </c>
      <c r="L989" s="77">
        <f t="shared" si="478"/>
        <v>0</v>
      </c>
      <c r="M989" s="77">
        <f t="shared" si="478"/>
        <v>7</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19</v>
      </c>
      <c r="D990" s="74">
        <f t="shared" si="458"/>
        <v>0</v>
      </c>
      <c r="E990" s="75">
        <f t="shared" si="459"/>
        <v>15</v>
      </c>
      <c r="F990" s="79"/>
      <c r="G990" s="82"/>
      <c r="H990" s="68" t="str">
        <f t="shared" si="476"/>
        <v>Senbur0_20191119_00_00</v>
      </c>
      <c r="I990" s="69">
        <f t="shared" si="478"/>
        <v>1</v>
      </c>
      <c r="J990" s="76" t="str">
        <f t="shared" si="478"/>
        <v>Senecio</v>
      </c>
      <c r="K990" s="76" t="str">
        <f t="shared" si="478"/>
        <v>burtoni</v>
      </c>
      <c r="L990" s="77">
        <f t="shared" si="478"/>
        <v>0</v>
      </c>
      <c r="M990" s="77">
        <f t="shared" si="478"/>
        <v>7</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19</v>
      </c>
      <c r="D991" s="74">
        <f t="shared" si="458"/>
        <v>0</v>
      </c>
      <c r="E991" s="75">
        <f t="shared" si="459"/>
        <v>16</v>
      </c>
      <c r="F991" s="79"/>
      <c r="G991" s="82"/>
      <c r="H991" s="68" t="str">
        <f t="shared" si="476"/>
        <v>Senbur0_20191119_00_00</v>
      </c>
      <c r="I991" s="69">
        <f t="shared" si="478"/>
        <v>1</v>
      </c>
      <c r="J991" s="76" t="str">
        <f t="shared" si="478"/>
        <v>Senecio</v>
      </c>
      <c r="K991" s="76" t="str">
        <f t="shared" si="478"/>
        <v>burtoni</v>
      </c>
      <c r="L991" s="77">
        <f t="shared" si="478"/>
        <v>0</v>
      </c>
      <c r="M991" s="77">
        <f t="shared" si="478"/>
        <v>7</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19</v>
      </c>
      <c r="D992" s="74">
        <f t="shared" si="458"/>
        <v>0</v>
      </c>
      <c r="E992" s="75">
        <f t="shared" si="459"/>
        <v>17</v>
      </c>
      <c r="F992" s="79"/>
      <c r="G992" s="82"/>
      <c r="H992" s="68" t="str">
        <f t="shared" si="476"/>
        <v>Senbur0_20191119_00_00</v>
      </c>
      <c r="I992" s="69">
        <f t="shared" si="478"/>
        <v>1</v>
      </c>
      <c r="J992" s="76" t="str">
        <f t="shared" si="478"/>
        <v>Senecio</v>
      </c>
      <c r="K992" s="76" t="str">
        <f t="shared" si="478"/>
        <v>burtoni</v>
      </c>
      <c r="L992" s="77">
        <f t="shared" si="478"/>
        <v>0</v>
      </c>
      <c r="M992" s="77">
        <f t="shared" si="478"/>
        <v>7</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19</v>
      </c>
      <c r="D993" s="74">
        <f t="shared" si="458"/>
        <v>0</v>
      </c>
      <c r="E993" s="75">
        <f t="shared" si="459"/>
        <v>18</v>
      </c>
      <c r="F993" s="79"/>
      <c r="G993" s="82"/>
      <c r="H993" s="68" t="str">
        <f t="shared" si="476"/>
        <v>Senbur0_20191119_00_00</v>
      </c>
      <c r="I993" s="69">
        <f t="shared" si="478"/>
        <v>1</v>
      </c>
      <c r="J993" s="76" t="str">
        <f t="shared" si="478"/>
        <v>Senecio</v>
      </c>
      <c r="K993" s="76" t="str">
        <f t="shared" si="478"/>
        <v>burtoni</v>
      </c>
      <c r="L993" s="77">
        <f t="shared" si="478"/>
        <v>0</v>
      </c>
      <c r="M993" s="77">
        <f t="shared" si="478"/>
        <v>7</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19</v>
      </c>
      <c r="D994" s="74">
        <f t="shared" si="458"/>
        <v>0</v>
      </c>
      <c r="E994" s="75">
        <f t="shared" si="459"/>
        <v>19</v>
      </c>
      <c r="F994" s="79"/>
      <c r="G994" s="82"/>
      <c r="H994" s="68" t="str">
        <f t="shared" si="476"/>
        <v>Senbur0_20191119_00_00</v>
      </c>
      <c r="I994" s="69">
        <f t="shared" si="478"/>
        <v>1</v>
      </c>
      <c r="J994" s="76" t="str">
        <f t="shared" si="478"/>
        <v>Senecio</v>
      </c>
      <c r="K994" s="76" t="str">
        <f t="shared" si="478"/>
        <v>burtoni</v>
      </c>
      <c r="L994" s="77">
        <f t="shared" si="478"/>
        <v>0</v>
      </c>
      <c r="M994" s="77">
        <f t="shared" si="478"/>
        <v>7</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19</v>
      </c>
      <c r="D995" s="74">
        <f t="shared" si="458"/>
        <v>0</v>
      </c>
      <c r="E995" s="75">
        <f t="shared" si="459"/>
        <v>20</v>
      </c>
      <c r="F995" s="79"/>
      <c r="G995" s="82"/>
      <c r="H995" s="68" t="str">
        <f t="shared" si="476"/>
        <v>Senbur0_20191119_00_00</v>
      </c>
      <c r="I995" s="69">
        <f t="shared" si="478"/>
        <v>1</v>
      </c>
      <c r="J995" s="76" t="str">
        <f t="shared" si="478"/>
        <v>Senecio</v>
      </c>
      <c r="K995" s="76" t="str">
        <f t="shared" si="478"/>
        <v>burtoni</v>
      </c>
      <c r="L995" s="77">
        <f t="shared" si="478"/>
        <v>0</v>
      </c>
      <c r="M995" s="77">
        <f t="shared" si="478"/>
        <v>7</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19</v>
      </c>
      <c r="D996" s="74">
        <f t="shared" si="458"/>
        <v>0</v>
      </c>
      <c r="E996" s="75">
        <f t="shared" si="459"/>
        <v>21</v>
      </c>
      <c r="F996" s="79"/>
      <c r="G996" s="82"/>
      <c r="H996" s="68" t="str">
        <f t="shared" si="476"/>
        <v>Senbur0_20191119_00_00</v>
      </c>
      <c r="I996" s="69">
        <f t="shared" si="478"/>
        <v>1</v>
      </c>
      <c r="J996" s="76" t="str">
        <f t="shared" si="478"/>
        <v>Senecio</v>
      </c>
      <c r="K996" s="76" t="str">
        <f t="shared" si="478"/>
        <v>burtoni</v>
      </c>
      <c r="L996" s="77">
        <f t="shared" si="478"/>
        <v>0</v>
      </c>
      <c r="M996" s="77">
        <f t="shared" si="478"/>
        <v>7</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19</v>
      </c>
      <c r="D997" s="74">
        <f t="shared" si="458"/>
        <v>0</v>
      </c>
      <c r="E997" s="75">
        <f t="shared" si="459"/>
        <v>22</v>
      </c>
      <c r="F997" s="79"/>
      <c r="G997" s="82"/>
      <c r="H997" s="68" t="str">
        <f t="shared" si="476"/>
        <v>Senbur0_20191119_00_00</v>
      </c>
      <c r="I997" s="69">
        <f t="shared" ref="I997:N1012" si="479">I996</f>
        <v>1</v>
      </c>
      <c r="J997" s="76" t="str">
        <f t="shared" si="479"/>
        <v>Senecio</v>
      </c>
      <c r="K997" s="76" t="str">
        <f t="shared" si="479"/>
        <v>burtoni</v>
      </c>
      <c r="L997" s="77">
        <f t="shared" si="479"/>
        <v>0</v>
      </c>
      <c r="M997" s="77">
        <f t="shared" si="479"/>
        <v>7</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19</v>
      </c>
      <c r="D998" s="74">
        <f t="shared" si="458"/>
        <v>0</v>
      </c>
      <c r="E998" s="75">
        <f t="shared" si="459"/>
        <v>23</v>
      </c>
      <c r="F998" s="79"/>
      <c r="G998" s="82"/>
      <c r="H998" s="68" t="str">
        <f t="shared" si="476"/>
        <v>Senbur0_20191119_00_00</v>
      </c>
      <c r="I998" s="69">
        <f t="shared" si="479"/>
        <v>1</v>
      </c>
      <c r="J998" s="76" t="str">
        <f t="shared" si="479"/>
        <v>Senecio</v>
      </c>
      <c r="K998" s="76" t="str">
        <f t="shared" si="479"/>
        <v>burtoni</v>
      </c>
      <c r="L998" s="77">
        <f t="shared" si="479"/>
        <v>0</v>
      </c>
      <c r="M998" s="77">
        <f t="shared" si="479"/>
        <v>7</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19</v>
      </c>
      <c r="D999" s="74">
        <f t="shared" si="458"/>
        <v>0</v>
      </c>
      <c r="E999" s="75">
        <f t="shared" si="459"/>
        <v>24</v>
      </c>
      <c r="F999" s="79"/>
      <c r="G999" s="82"/>
      <c r="H999" s="68" t="str">
        <f t="shared" si="476"/>
        <v>Senbur0_20191119_00_00</v>
      </c>
      <c r="I999" s="69">
        <f t="shared" si="479"/>
        <v>1</v>
      </c>
      <c r="J999" s="76" t="str">
        <f t="shared" si="479"/>
        <v>Senecio</v>
      </c>
      <c r="K999" s="76" t="str">
        <f t="shared" si="479"/>
        <v>burtoni</v>
      </c>
      <c r="L999" s="77">
        <f t="shared" si="479"/>
        <v>0</v>
      </c>
      <c r="M999" s="77">
        <f t="shared" si="479"/>
        <v>7</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19</v>
      </c>
      <c r="D1000" s="74">
        <f t="shared" si="458"/>
        <v>0</v>
      </c>
      <c r="E1000" s="75">
        <f t="shared" si="459"/>
        <v>25</v>
      </c>
      <c r="F1000" s="79"/>
      <c r="G1000" s="82"/>
      <c r="H1000" s="68" t="str">
        <f t="shared" si="476"/>
        <v>Senbur0_20191119_00_00</v>
      </c>
      <c r="I1000" s="69">
        <f t="shared" si="479"/>
        <v>1</v>
      </c>
      <c r="J1000" s="76" t="str">
        <f t="shared" si="479"/>
        <v>Senecio</v>
      </c>
      <c r="K1000" s="76" t="str">
        <f t="shared" si="479"/>
        <v>burtoni</v>
      </c>
      <c r="L1000" s="77">
        <f t="shared" si="479"/>
        <v>0</v>
      </c>
      <c r="M1000" s="77">
        <f t="shared" si="479"/>
        <v>7</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19</v>
      </c>
      <c r="D1001" s="74">
        <f t="shared" si="458"/>
        <v>0</v>
      </c>
      <c r="E1001" s="75">
        <f t="shared" si="459"/>
        <v>26</v>
      </c>
      <c r="F1001" s="79"/>
      <c r="G1001" s="82"/>
      <c r="H1001" s="68" t="str">
        <f t="shared" si="476"/>
        <v>Senbur0_20191119_00_00</v>
      </c>
      <c r="I1001" s="69">
        <f t="shared" si="479"/>
        <v>1</v>
      </c>
      <c r="J1001" s="76" t="str">
        <f t="shared" si="479"/>
        <v>Senecio</v>
      </c>
      <c r="K1001" s="76" t="str">
        <f t="shared" si="479"/>
        <v>burtoni</v>
      </c>
      <c r="L1001" s="77">
        <f t="shared" si="479"/>
        <v>0</v>
      </c>
      <c r="M1001" s="77">
        <f t="shared" si="479"/>
        <v>7</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19</v>
      </c>
      <c r="D1002" s="74">
        <f t="shared" si="458"/>
        <v>0</v>
      </c>
      <c r="E1002" s="75">
        <f t="shared" si="459"/>
        <v>27</v>
      </c>
      <c r="F1002" s="79"/>
      <c r="G1002" s="82"/>
      <c r="H1002" s="68" t="str">
        <f t="shared" si="476"/>
        <v>Senbur0_20191119_00_00</v>
      </c>
      <c r="I1002" s="69">
        <f t="shared" si="479"/>
        <v>1</v>
      </c>
      <c r="J1002" s="76" t="str">
        <f t="shared" si="479"/>
        <v>Senecio</v>
      </c>
      <c r="K1002" s="76" t="str">
        <f t="shared" si="479"/>
        <v>burtoni</v>
      </c>
      <c r="L1002" s="77">
        <f t="shared" si="479"/>
        <v>0</v>
      </c>
      <c r="M1002" s="77">
        <f t="shared" si="479"/>
        <v>7</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19</v>
      </c>
      <c r="D1003" s="74">
        <f t="shared" si="458"/>
        <v>0</v>
      </c>
      <c r="E1003" s="75">
        <f t="shared" si="459"/>
        <v>28</v>
      </c>
      <c r="F1003" s="79"/>
      <c r="G1003" s="82"/>
      <c r="H1003" s="68" t="str">
        <f t="shared" si="476"/>
        <v>Senbur0_20191119_00_00</v>
      </c>
      <c r="I1003" s="69">
        <f t="shared" si="479"/>
        <v>1</v>
      </c>
      <c r="J1003" s="76" t="str">
        <f t="shared" si="479"/>
        <v>Senecio</v>
      </c>
      <c r="K1003" s="76" t="str">
        <f t="shared" si="479"/>
        <v>burtoni</v>
      </c>
      <c r="L1003" s="77">
        <f t="shared" si="479"/>
        <v>0</v>
      </c>
      <c r="M1003" s="77">
        <f t="shared" si="479"/>
        <v>7</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19</v>
      </c>
      <c r="D1004" s="74">
        <f t="shared" si="458"/>
        <v>0</v>
      </c>
      <c r="E1004" s="75">
        <f t="shared" si="459"/>
        <v>29</v>
      </c>
      <c r="F1004" s="79"/>
      <c r="G1004" s="82"/>
      <c r="H1004" s="68" t="str">
        <f t="shared" si="476"/>
        <v>Senbur0_20191119_00_00</v>
      </c>
      <c r="I1004" s="69">
        <f t="shared" si="479"/>
        <v>1</v>
      </c>
      <c r="J1004" s="76" t="str">
        <f t="shared" si="479"/>
        <v>Senecio</v>
      </c>
      <c r="K1004" s="76" t="str">
        <f t="shared" si="479"/>
        <v>burtoni</v>
      </c>
      <c r="L1004" s="77">
        <f t="shared" si="479"/>
        <v>0</v>
      </c>
      <c r="M1004" s="77">
        <f t="shared" si="479"/>
        <v>7</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19</v>
      </c>
      <c r="D1005" s="74">
        <f t="shared" si="458"/>
        <v>0</v>
      </c>
      <c r="E1005" s="75">
        <f t="shared" si="459"/>
        <v>30</v>
      </c>
      <c r="F1005" s="79"/>
      <c r="G1005" s="82"/>
      <c r="H1005" s="68" t="str">
        <f t="shared" si="476"/>
        <v>Senbur0_20191119_00_00</v>
      </c>
      <c r="I1005" s="69">
        <f t="shared" si="479"/>
        <v>1</v>
      </c>
      <c r="J1005" s="76" t="str">
        <f t="shared" si="479"/>
        <v>Senecio</v>
      </c>
      <c r="K1005" s="76" t="str">
        <f t="shared" si="479"/>
        <v>burtoni</v>
      </c>
      <c r="L1005" s="77">
        <f t="shared" si="479"/>
        <v>0</v>
      </c>
      <c r="M1005" s="77">
        <f t="shared" si="479"/>
        <v>7</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19</v>
      </c>
      <c r="D1006" s="74">
        <f t="shared" si="458"/>
        <v>0</v>
      </c>
      <c r="E1006" s="75">
        <f t="shared" si="459"/>
        <v>31</v>
      </c>
      <c r="F1006" s="79"/>
      <c r="G1006" s="82"/>
      <c r="H1006" s="68" t="str">
        <f t="shared" si="476"/>
        <v>Senbur0_20191119_00_00</v>
      </c>
      <c r="I1006" s="69">
        <f t="shared" si="479"/>
        <v>1</v>
      </c>
      <c r="J1006" s="76" t="str">
        <f t="shared" si="479"/>
        <v>Senecio</v>
      </c>
      <c r="K1006" s="76" t="str">
        <f t="shared" si="479"/>
        <v>burtoni</v>
      </c>
      <c r="L1006" s="77">
        <f t="shared" si="479"/>
        <v>0</v>
      </c>
      <c r="M1006" s="77">
        <f t="shared" si="479"/>
        <v>7</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19</v>
      </c>
      <c r="D1007" s="74">
        <f t="shared" si="458"/>
        <v>0</v>
      </c>
      <c r="E1007" s="75">
        <f t="shared" si="459"/>
        <v>32</v>
      </c>
      <c r="F1007" s="79"/>
      <c r="G1007" s="82"/>
      <c r="H1007" s="68" t="str">
        <f t="shared" si="476"/>
        <v>Senbur0_20191119_00_00</v>
      </c>
      <c r="I1007" s="69">
        <f t="shared" si="479"/>
        <v>1</v>
      </c>
      <c r="J1007" s="76" t="str">
        <f t="shared" si="479"/>
        <v>Senecio</v>
      </c>
      <c r="K1007" s="76" t="str">
        <f t="shared" si="479"/>
        <v>burtoni</v>
      </c>
      <c r="L1007" s="77">
        <f t="shared" si="479"/>
        <v>0</v>
      </c>
      <c r="M1007" s="77">
        <f t="shared" si="479"/>
        <v>7</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19</v>
      </c>
      <c r="D1008" s="74">
        <f t="shared" si="458"/>
        <v>0</v>
      </c>
      <c r="E1008" s="75">
        <f t="shared" si="459"/>
        <v>33</v>
      </c>
      <c r="F1008" s="79"/>
      <c r="G1008" s="82"/>
      <c r="H1008" s="68" t="str">
        <f t="shared" si="476"/>
        <v>Senbur0_20191119_00_00</v>
      </c>
      <c r="I1008" s="69">
        <f t="shared" si="479"/>
        <v>1</v>
      </c>
      <c r="J1008" s="76" t="str">
        <f t="shared" si="479"/>
        <v>Senecio</v>
      </c>
      <c r="K1008" s="76" t="str">
        <f t="shared" si="479"/>
        <v>burtoni</v>
      </c>
      <c r="L1008" s="77">
        <f t="shared" si="479"/>
        <v>0</v>
      </c>
      <c r="M1008" s="77">
        <f t="shared" si="479"/>
        <v>7</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19</v>
      </c>
      <c r="D1009" s="74">
        <f t="shared" si="458"/>
        <v>0</v>
      </c>
      <c r="E1009" s="75">
        <f t="shared" si="459"/>
        <v>34</v>
      </c>
      <c r="F1009" s="79"/>
      <c r="G1009" s="82"/>
      <c r="H1009" s="68" t="str">
        <f t="shared" si="476"/>
        <v>Senbur0_20191119_00_00</v>
      </c>
      <c r="I1009" s="69">
        <f t="shared" si="479"/>
        <v>1</v>
      </c>
      <c r="J1009" s="76" t="str">
        <f t="shared" si="479"/>
        <v>Senecio</v>
      </c>
      <c r="K1009" s="76" t="str">
        <f t="shared" si="479"/>
        <v>burtoni</v>
      </c>
      <c r="L1009" s="77">
        <f t="shared" si="479"/>
        <v>0</v>
      </c>
      <c r="M1009" s="77">
        <f t="shared" si="479"/>
        <v>7</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19</v>
      </c>
      <c r="D1010" s="74">
        <f t="shared" si="458"/>
        <v>0</v>
      </c>
      <c r="E1010" s="75">
        <f t="shared" si="459"/>
        <v>35</v>
      </c>
      <c r="F1010" s="79"/>
      <c r="G1010" s="82"/>
      <c r="H1010" s="68" t="str">
        <f t="shared" si="476"/>
        <v>Senbur0_20191119_00_00</v>
      </c>
      <c r="I1010" s="69">
        <f t="shared" si="479"/>
        <v>1</v>
      </c>
      <c r="J1010" s="76" t="str">
        <f t="shared" si="479"/>
        <v>Senecio</v>
      </c>
      <c r="K1010" s="76" t="str">
        <f t="shared" si="479"/>
        <v>burtoni</v>
      </c>
      <c r="L1010" s="77">
        <f t="shared" si="479"/>
        <v>0</v>
      </c>
      <c r="M1010" s="77">
        <f t="shared" si="479"/>
        <v>7</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19</v>
      </c>
      <c r="D1011" s="74">
        <f t="shared" si="458"/>
        <v>0</v>
      </c>
      <c r="E1011" s="75">
        <f t="shared" si="459"/>
        <v>36</v>
      </c>
      <c r="F1011" s="79"/>
      <c r="G1011" s="82"/>
      <c r="H1011" s="68" t="str">
        <f t="shared" si="476"/>
        <v>Senbur0_20191119_00_00</v>
      </c>
      <c r="I1011" s="69">
        <f t="shared" si="479"/>
        <v>1</v>
      </c>
      <c r="J1011" s="76" t="str">
        <f t="shared" si="479"/>
        <v>Senecio</v>
      </c>
      <c r="K1011" s="76" t="str">
        <f t="shared" si="479"/>
        <v>burtoni</v>
      </c>
      <c r="L1011" s="77">
        <f t="shared" si="479"/>
        <v>0</v>
      </c>
      <c r="M1011" s="77">
        <f t="shared" si="479"/>
        <v>7</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19</v>
      </c>
      <c r="D1012" s="74">
        <f t="shared" si="458"/>
        <v>0</v>
      </c>
      <c r="E1012" s="75">
        <f t="shared" si="459"/>
        <v>37</v>
      </c>
      <c r="F1012" s="79"/>
      <c r="G1012" s="82"/>
      <c r="H1012" s="68" t="str">
        <f t="shared" si="476"/>
        <v>Senbur0_20191119_00_00</v>
      </c>
      <c r="I1012" s="69">
        <f t="shared" si="479"/>
        <v>1</v>
      </c>
      <c r="J1012" s="76" t="str">
        <f t="shared" si="479"/>
        <v>Senecio</v>
      </c>
      <c r="K1012" s="76" t="str">
        <f t="shared" si="479"/>
        <v>burtoni</v>
      </c>
      <c r="L1012" s="77">
        <f t="shared" si="479"/>
        <v>0</v>
      </c>
      <c r="M1012" s="77">
        <f t="shared" si="479"/>
        <v>7</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19</v>
      </c>
      <c r="D1013" s="74">
        <f t="shared" si="458"/>
        <v>0</v>
      </c>
      <c r="E1013" s="75">
        <f t="shared" si="459"/>
        <v>38</v>
      </c>
      <c r="F1013" s="79"/>
      <c r="G1013" s="82"/>
      <c r="H1013" s="68" t="str">
        <f t="shared" si="476"/>
        <v>Senbur0_20191119_00_00</v>
      </c>
      <c r="I1013" s="69">
        <f t="shared" ref="I1013:N1028" si="480">I1012</f>
        <v>1</v>
      </c>
      <c r="J1013" s="76" t="str">
        <f t="shared" si="480"/>
        <v>Senecio</v>
      </c>
      <c r="K1013" s="76" t="str">
        <f t="shared" si="480"/>
        <v>burtoni</v>
      </c>
      <c r="L1013" s="77">
        <f t="shared" si="480"/>
        <v>0</v>
      </c>
      <c r="M1013" s="77">
        <f t="shared" si="480"/>
        <v>7</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19</v>
      </c>
      <c r="D1014" s="74">
        <f t="shared" si="458"/>
        <v>0</v>
      </c>
      <c r="E1014" s="75">
        <f t="shared" si="459"/>
        <v>39</v>
      </c>
      <c r="F1014" s="79"/>
      <c r="G1014" s="82"/>
      <c r="H1014" s="68" t="str">
        <f t="shared" si="476"/>
        <v>Senbur0_20191119_00_00</v>
      </c>
      <c r="I1014" s="69">
        <f t="shared" si="480"/>
        <v>1</v>
      </c>
      <c r="J1014" s="76" t="str">
        <f t="shared" si="480"/>
        <v>Senecio</v>
      </c>
      <c r="K1014" s="76" t="str">
        <f t="shared" si="480"/>
        <v>burtoni</v>
      </c>
      <c r="L1014" s="77">
        <f t="shared" si="480"/>
        <v>0</v>
      </c>
      <c r="M1014" s="77">
        <f t="shared" si="480"/>
        <v>7</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19</v>
      </c>
      <c r="D1015" s="74">
        <f t="shared" si="458"/>
        <v>0</v>
      </c>
      <c r="E1015" s="75">
        <f t="shared" si="459"/>
        <v>40</v>
      </c>
      <c r="F1015" s="79"/>
      <c r="G1015" s="82"/>
      <c r="H1015" s="68" t="str">
        <f t="shared" si="476"/>
        <v>Senbur0_20191119_00_00</v>
      </c>
      <c r="I1015" s="69">
        <f t="shared" si="480"/>
        <v>1</v>
      </c>
      <c r="J1015" s="76" t="str">
        <f t="shared" si="480"/>
        <v>Senecio</v>
      </c>
      <c r="K1015" s="76" t="str">
        <f t="shared" si="480"/>
        <v>burtoni</v>
      </c>
      <c r="L1015" s="77">
        <f t="shared" si="480"/>
        <v>0</v>
      </c>
      <c r="M1015" s="77">
        <f t="shared" si="480"/>
        <v>7</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19</v>
      </c>
      <c r="D1016" s="74">
        <f t="shared" si="458"/>
        <v>0</v>
      </c>
      <c r="E1016" s="75">
        <f t="shared" si="459"/>
        <v>41</v>
      </c>
      <c r="F1016" s="79"/>
      <c r="G1016" s="82"/>
      <c r="H1016" s="68" t="str">
        <f t="shared" si="476"/>
        <v>Senbur0_20191119_00_00</v>
      </c>
      <c r="I1016" s="69">
        <f t="shared" si="480"/>
        <v>1</v>
      </c>
      <c r="J1016" s="76" t="str">
        <f t="shared" si="480"/>
        <v>Senecio</v>
      </c>
      <c r="K1016" s="76" t="str">
        <f t="shared" si="480"/>
        <v>burtoni</v>
      </c>
      <c r="L1016" s="77">
        <f t="shared" si="480"/>
        <v>0</v>
      </c>
      <c r="M1016" s="77">
        <f t="shared" si="480"/>
        <v>7</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19</v>
      </c>
      <c r="D1017" s="74">
        <f t="shared" si="458"/>
        <v>0</v>
      </c>
      <c r="E1017" s="75">
        <f t="shared" si="459"/>
        <v>42</v>
      </c>
      <c r="F1017" s="79"/>
      <c r="G1017" s="82"/>
      <c r="H1017" s="68" t="str">
        <f t="shared" si="476"/>
        <v>Senbur0_20191119_00_00</v>
      </c>
      <c r="I1017" s="69">
        <f t="shared" si="480"/>
        <v>1</v>
      </c>
      <c r="J1017" s="76" t="str">
        <f t="shared" si="480"/>
        <v>Senecio</v>
      </c>
      <c r="K1017" s="76" t="str">
        <f t="shared" si="480"/>
        <v>burtoni</v>
      </c>
      <c r="L1017" s="77">
        <f t="shared" si="480"/>
        <v>0</v>
      </c>
      <c r="M1017" s="77">
        <f t="shared" si="480"/>
        <v>7</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19</v>
      </c>
      <c r="D1018" s="74">
        <f t="shared" si="458"/>
        <v>0</v>
      </c>
      <c r="E1018" s="75">
        <f t="shared" si="459"/>
        <v>43</v>
      </c>
      <c r="F1018" s="79"/>
      <c r="G1018" s="82"/>
      <c r="H1018" s="68" t="str">
        <f t="shared" si="476"/>
        <v>Senbur0_20191119_00_00</v>
      </c>
      <c r="I1018" s="69">
        <f t="shared" si="480"/>
        <v>1</v>
      </c>
      <c r="J1018" s="76" t="str">
        <f t="shared" si="480"/>
        <v>Senecio</v>
      </c>
      <c r="K1018" s="76" t="str">
        <f t="shared" si="480"/>
        <v>burtoni</v>
      </c>
      <c r="L1018" s="77">
        <f t="shared" si="480"/>
        <v>0</v>
      </c>
      <c r="M1018" s="77">
        <f t="shared" si="480"/>
        <v>7</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19</v>
      </c>
      <c r="D1019" s="74">
        <f t="shared" si="458"/>
        <v>0</v>
      </c>
      <c r="E1019" s="75">
        <f t="shared" si="459"/>
        <v>44</v>
      </c>
      <c r="F1019" s="79"/>
      <c r="G1019" s="82"/>
      <c r="H1019" s="68" t="str">
        <f t="shared" si="476"/>
        <v>Senbur0_20191119_00_00</v>
      </c>
      <c r="I1019" s="69">
        <f t="shared" si="480"/>
        <v>1</v>
      </c>
      <c r="J1019" s="76" t="str">
        <f t="shared" si="480"/>
        <v>Senecio</v>
      </c>
      <c r="K1019" s="76" t="str">
        <f t="shared" si="480"/>
        <v>burtoni</v>
      </c>
      <c r="L1019" s="77">
        <f t="shared" si="480"/>
        <v>0</v>
      </c>
      <c r="M1019" s="77">
        <f t="shared" si="480"/>
        <v>7</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19</v>
      </c>
      <c r="D1020" s="74">
        <f t="shared" si="458"/>
        <v>0</v>
      </c>
      <c r="E1020" s="75">
        <f t="shared" si="459"/>
        <v>45</v>
      </c>
      <c r="F1020" s="79"/>
      <c r="G1020" s="82"/>
      <c r="H1020" s="68" t="str">
        <f t="shared" si="476"/>
        <v>Senbur0_20191119_00_00</v>
      </c>
      <c r="I1020" s="69">
        <f t="shared" si="480"/>
        <v>1</v>
      </c>
      <c r="J1020" s="76" t="str">
        <f t="shared" si="480"/>
        <v>Senecio</v>
      </c>
      <c r="K1020" s="76" t="str">
        <f t="shared" si="480"/>
        <v>burtoni</v>
      </c>
      <c r="L1020" s="77">
        <f t="shared" si="480"/>
        <v>0</v>
      </c>
      <c r="M1020" s="77">
        <f t="shared" si="480"/>
        <v>7</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19</v>
      </c>
      <c r="D1021" s="74">
        <f t="shared" si="458"/>
        <v>0</v>
      </c>
      <c r="E1021" s="75">
        <f t="shared" si="459"/>
        <v>46</v>
      </c>
      <c r="F1021" s="79"/>
      <c r="G1021" s="82"/>
      <c r="H1021" s="68" t="str">
        <f t="shared" si="476"/>
        <v>Senbur0_20191119_00_00</v>
      </c>
      <c r="I1021" s="69">
        <f t="shared" si="480"/>
        <v>1</v>
      </c>
      <c r="J1021" s="76" t="str">
        <f t="shared" si="480"/>
        <v>Senecio</v>
      </c>
      <c r="K1021" s="76" t="str">
        <f t="shared" si="480"/>
        <v>burtoni</v>
      </c>
      <c r="L1021" s="77">
        <f t="shared" si="480"/>
        <v>0</v>
      </c>
      <c r="M1021" s="77">
        <f t="shared" si="480"/>
        <v>7</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19</v>
      </c>
      <c r="D1022" s="74">
        <f t="shared" si="458"/>
        <v>0</v>
      </c>
      <c r="E1022" s="75">
        <f t="shared" si="459"/>
        <v>47</v>
      </c>
      <c r="F1022" s="79"/>
      <c r="G1022" s="82"/>
      <c r="H1022" s="68" t="str">
        <f t="shared" si="476"/>
        <v>Senbur0_20191119_00_00</v>
      </c>
      <c r="I1022" s="69">
        <f t="shared" si="480"/>
        <v>1</v>
      </c>
      <c r="J1022" s="76" t="str">
        <f t="shared" si="480"/>
        <v>Senecio</v>
      </c>
      <c r="K1022" s="76" t="str">
        <f t="shared" si="480"/>
        <v>burtoni</v>
      </c>
      <c r="L1022" s="77">
        <f t="shared" si="480"/>
        <v>0</v>
      </c>
      <c r="M1022" s="77">
        <f t="shared" si="480"/>
        <v>7</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19</v>
      </c>
      <c r="D1023" s="74">
        <f t="shared" si="458"/>
        <v>0</v>
      </c>
      <c r="E1023" s="75">
        <f t="shared" si="459"/>
        <v>48</v>
      </c>
      <c r="F1023" s="79"/>
      <c r="G1023" s="82"/>
      <c r="H1023" s="68" t="str">
        <f t="shared" si="476"/>
        <v>Senbur0_20191119_00_00</v>
      </c>
      <c r="I1023" s="69">
        <f t="shared" si="480"/>
        <v>1</v>
      </c>
      <c r="J1023" s="76" t="str">
        <f t="shared" si="480"/>
        <v>Senecio</v>
      </c>
      <c r="K1023" s="76" t="str">
        <f t="shared" si="480"/>
        <v>burtoni</v>
      </c>
      <c r="L1023" s="77">
        <f t="shared" si="480"/>
        <v>0</v>
      </c>
      <c r="M1023" s="77">
        <f t="shared" si="480"/>
        <v>7</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19</v>
      </c>
      <c r="D1024" s="74">
        <f t="shared" si="458"/>
        <v>0</v>
      </c>
      <c r="E1024" s="75">
        <f t="shared" si="459"/>
        <v>49</v>
      </c>
      <c r="F1024" s="79"/>
      <c r="G1024" s="82"/>
      <c r="H1024" s="68" t="str">
        <f t="shared" si="476"/>
        <v>Senbur0_20191119_00_00</v>
      </c>
      <c r="I1024" s="69">
        <f t="shared" si="480"/>
        <v>1</v>
      </c>
      <c r="J1024" s="76" t="str">
        <f t="shared" si="480"/>
        <v>Senecio</v>
      </c>
      <c r="K1024" s="76" t="str">
        <f t="shared" si="480"/>
        <v>burtoni</v>
      </c>
      <c r="L1024" s="77">
        <f t="shared" si="480"/>
        <v>0</v>
      </c>
      <c r="M1024" s="77">
        <f t="shared" si="480"/>
        <v>7</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19</v>
      </c>
      <c r="D1025" s="74">
        <f t="shared" si="458"/>
        <v>0</v>
      </c>
      <c r="E1025" s="75">
        <f t="shared" si="459"/>
        <v>50</v>
      </c>
      <c r="F1025" s="79"/>
      <c r="G1025" s="82"/>
      <c r="H1025" s="68" t="str">
        <f t="shared" si="476"/>
        <v>Senbur0_20191119_00_00</v>
      </c>
      <c r="I1025" s="69">
        <f t="shared" si="480"/>
        <v>1</v>
      </c>
      <c r="J1025" s="76" t="str">
        <f t="shared" si="480"/>
        <v>Senecio</v>
      </c>
      <c r="K1025" s="76" t="str">
        <f t="shared" si="480"/>
        <v>burtoni</v>
      </c>
      <c r="L1025" s="77">
        <f t="shared" si="480"/>
        <v>0</v>
      </c>
      <c r="M1025" s="77">
        <f t="shared" si="480"/>
        <v>7</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19</v>
      </c>
      <c r="D1026" s="74">
        <f t="shared" si="458"/>
        <v>0</v>
      </c>
      <c r="E1026" s="75">
        <f t="shared" si="459"/>
        <v>51</v>
      </c>
      <c r="F1026" s="79"/>
      <c r="G1026" s="82"/>
      <c r="H1026" s="68" t="str">
        <f t="shared" si="476"/>
        <v>Senbur0_20191119_00_00</v>
      </c>
      <c r="I1026" s="69">
        <f t="shared" si="480"/>
        <v>1</v>
      </c>
      <c r="J1026" s="76" t="str">
        <f t="shared" si="480"/>
        <v>Senecio</v>
      </c>
      <c r="K1026" s="76" t="str">
        <f t="shared" si="480"/>
        <v>burtoni</v>
      </c>
      <c r="L1026" s="77">
        <f t="shared" si="480"/>
        <v>0</v>
      </c>
      <c r="M1026" s="77">
        <f t="shared" si="480"/>
        <v>7</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19</v>
      </c>
      <c r="D1027" s="74">
        <f t="shared" si="458"/>
        <v>0</v>
      </c>
      <c r="E1027" s="75">
        <f t="shared" si="459"/>
        <v>52</v>
      </c>
      <c r="F1027" s="79"/>
      <c r="G1027" s="82"/>
      <c r="H1027" s="68" t="str">
        <f t="shared" si="476"/>
        <v>Senbur0_20191119_00_00</v>
      </c>
      <c r="I1027" s="69">
        <f t="shared" si="480"/>
        <v>1</v>
      </c>
      <c r="J1027" s="76" t="str">
        <f t="shared" si="480"/>
        <v>Senecio</v>
      </c>
      <c r="K1027" s="76" t="str">
        <f t="shared" si="480"/>
        <v>burtoni</v>
      </c>
      <c r="L1027" s="77">
        <f t="shared" si="480"/>
        <v>0</v>
      </c>
      <c r="M1027" s="77">
        <f t="shared" si="480"/>
        <v>7</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19</v>
      </c>
      <c r="D1028" s="74">
        <f t="shared" ref="D1028:D1091" si="488">IF(IF(E1027=59,D1027+1,D1027)=24,0,IF(E1027=59,D1027+1,D1027))</f>
        <v>0</v>
      </c>
      <c r="E1028" s="75">
        <f t="shared" ref="E1028:E1091" si="489">IF(E1027&lt;59,E1027+1,0)</f>
        <v>53</v>
      </c>
      <c r="F1028" s="79"/>
      <c r="G1028" s="82"/>
      <c r="H1028" s="68" t="str">
        <f t="shared" si="476"/>
        <v>Senbur0_20191119_00_00</v>
      </c>
      <c r="I1028" s="69">
        <f t="shared" si="480"/>
        <v>1</v>
      </c>
      <c r="J1028" s="76" t="str">
        <f t="shared" si="480"/>
        <v>Senecio</v>
      </c>
      <c r="K1028" s="76" t="str">
        <f t="shared" si="480"/>
        <v>burtoni</v>
      </c>
      <c r="L1028" s="77">
        <f t="shared" si="480"/>
        <v>0</v>
      </c>
      <c r="M1028" s="77">
        <f t="shared" si="480"/>
        <v>7</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19</v>
      </c>
      <c r="D1029" s="74">
        <f t="shared" si="488"/>
        <v>0</v>
      </c>
      <c r="E1029" s="75">
        <f t="shared" si="489"/>
        <v>54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Senbur0_20191119_00_00</v>
      </c>
      <c r="I1029" s="69">
        <f t="shared" ref="I1029:N1044" si="507">I1028</f>
        <v>1</v>
      </c>
      <c r="J1029" s="76" t="str">
        <f t="shared" si="507"/>
        <v>Senecio</v>
      </c>
      <c r="K1029" s="76" t="str">
        <f t="shared" si="507"/>
        <v>burtoni</v>
      </c>
      <c r="L1029" s="77">
        <f t="shared" si="507"/>
        <v>0</v>
      </c>
      <c r="M1029" s="77">
        <f t="shared" si="507"/>
        <v>7</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19</v>
      </c>
      <c r="D1030" s="74">
        <f t="shared" si="488"/>
        <v>0</v>
      </c>
      <c r="E1030" s="75">
        <f t="shared" si="489"/>
        <v>55</v>
      </c>
      <c r="F1030" s="79"/>
      <c r="G1030" s="82"/>
      <c r="H1030" s="68" t="str">
        <f t="shared" si="506"/>
        <v>Senbur0_20191119_00_00</v>
      </c>
      <c r="I1030" s="69">
        <f t="shared" si="507"/>
        <v>1</v>
      </c>
      <c r="J1030" s="76" t="str">
        <f t="shared" si="507"/>
        <v>Senecio</v>
      </c>
      <c r="K1030" s="76" t="str">
        <f t="shared" si="507"/>
        <v>burtoni</v>
      </c>
      <c r="L1030" s="77">
        <f t="shared" si="507"/>
        <v>0</v>
      </c>
      <c r="M1030" s="77">
        <f t="shared" si="507"/>
        <v>7</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19</v>
      </c>
      <c r="D1031" s="74">
        <f t="shared" si="488"/>
        <v>0</v>
      </c>
      <c r="E1031" s="75">
        <f t="shared" si="489"/>
        <v>56</v>
      </c>
      <c r="F1031" s="79"/>
      <c r="G1031" s="82"/>
      <c r="H1031" s="68" t="str">
        <f t="shared" si="506"/>
        <v>Senbur0_20191119_00_00</v>
      </c>
      <c r="I1031" s="69">
        <f t="shared" si="507"/>
        <v>1</v>
      </c>
      <c r="J1031" s="76" t="str">
        <f t="shared" si="507"/>
        <v>Senecio</v>
      </c>
      <c r="K1031" s="76" t="str">
        <f t="shared" si="507"/>
        <v>burtoni</v>
      </c>
      <c r="L1031" s="77">
        <f t="shared" si="507"/>
        <v>0</v>
      </c>
      <c r="M1031" s="77">
        <f t="shared" si="507"/>
        <v>7</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19</v>
      </c>
      <c r="D1032" s="74">
        <f t="shared" si="488"/>
        <v>0</v>
      </c>
      <c r="E1032" s="75">
        <f t="shared" si="489"/>
        <v>57</v>
      </c>
      <c r="F1032" s="79"/>
      <c r="G1032" s="82"/>
      <c r="H1032" s="68" t="str">
        <f t="shared" si="506"/>
        <v>Senbur0_20191119_00_00</v>
      </c>
      <c r="I1032" s="69">
        <f t="shared" si="507"/>
        <v>1</v>
      </c>
      <c r="J1032" s="76" t="str">
        <f t="shared" si="507"/>
        <v>Senecio</v>
      </c>
      <c r="K1032" s="76" t="str">
        <f t="shared" si="507"/>
        <v>burtoni</v>
      </c>
      <c r="L1032" s="77">
        <f t="shared" si="507"/>
        <v>0</v>
      </c>
      <c r="M1032" s="77">
        <f t="shared" si="507"/>
        <v>7</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19</v>
      </c>
      <c r="D1033" s="74">
        <f t="shared" si="488"/>
        <v>0</v>
      </c>
      <c r="E1033" s="75">
        <f t="shared" si="489"/>
        <v>58</v>
      </c>
      <c r="F1033" s="79"/>
      <c r="G1033" s="82"/>
      <c r="H1033" s="68" t="str">
        <f t="shared" si="506"/>
        <v>Senbur0_20191119_00_00</v>
      </c>
      <c r="I1033" s="69">
        <f t="shared" si="507"/>
        <v>1</v>
      </c>
      <c r="J1033" s="76" t="str">
        <f t="shared" si="507"/>
        <v>Senecio</v>
      </c>
      <c r="K1033" s="76" t="str">
        <f t="shared" si="507"/>
        <v>burtoni</v>
      </c>
      <c r="L1033" s="77">
        <f t="shared" si="507"/>
        <v>0</v>
      </c>
      <c r="M1033" s="77">
        <f t="shared" si="507"/>
        <v>7</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19</v>
      </c>
      <c r="D1034" s="74">
        <f t="shared" si="488"/>
        <v>0</v>
      </c>
      <c r="E1034" s="75">
        <f t="shared" si="489"/>
        <v>59</v>
      </c>
      <c r="F1034" s="79"/>
      <c r="G1034" s="82"/>
      <c r="H1034" s="68" t="str">
        <f t="shared" si="506"/>
        <v>Senbur0_20191119_00_00</v>
      </c>
      <c r="I1034" s="69">
        <f t="shared" si="507"/>
        <v>1</v>
      </c>
      <c r="J1034" s="76" t="str">
        <f t="shared" si="507"/>
        <v>Senecio</v>
      </c>
      <c r="K1034" s="76" t="str">
        <f t="shared" si="507"/>
        <v>burtoni</v>
      </c>
      <c r="L1034" s="77">
        <f t="shared" si="507"/>
        <v>0</v>
      </c>
      <c r="M1034" s="77">
        <f t="shared" si="507"/>
        <v>7</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19</v>
      </c>
      <c r="D1035" s="74">
        <f t="shared" si="488"/>
        <v>1</v>
      </c>
      <c r="E1035" s="75">
        <f t="shared" si="489"/>
        <v>0</v>
      </c>
      <c r="F1035" s="79"/>
      <c r="G1035" s="82"/>
      <c r="H1035" s="68" t="str">
        <f t="shared" si="506"/>
        <v>Senbur0_20191119_01_00</v>
      </c>
      <c r="I1035" s="69">
        <f t="shared" si="507"/>
        <v>1</v>
      </c>
      <c r="J1035" s="76" t="str">
        <f t="shared" si="507"/>
        <v>Senecio</v>
      </c>
      <c r="K1035" s="76" t="str">
        <f t="shared" si="507"/>
        <v>burtoni</v>
      </c>
      <c r="L1035" s="77">
        <f t="shared" si="507"/>
        <v>0</v>
      </c>
      <c r="M1035" s="77">
        <f t="shared" si="507"/>
        <v>7</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19</v>
      </c>
      <c r="D1036" s="74">
        <f t="shared" si="488"/>
        <v>1</v>
      </c>
      <c r="E1036" s="75">
        <f t="shared" si="489"/>
        <v>1</v>
      </c>
      <c r="F1036" s="79"/>
      <c r="G1036" s="82"/>
      <c r="H1036" s="68" t="str">
        <f t="shared" si="506"/>
        <v>Senbur0_20191119_01_00</v>
      </c>
      <c r="I1036" s="69">
        <f t="shared" si="507"/>
        <v>1</v>
      </c>
      <c r="J1036" s="76" t="str">
        <f t="shared" si="507"/>
        <v>Senecio</v>
      </c>
      <c r="K1036" s="76" t="str">
        <f t="shared" si="507"/>
        <v>burtoni</v>
      </c>
      <c r="L1036" s="77">
        <f t="shared" si="507"/>
        <v>0</v>
      </c>
      <c r="M1036" s="77">
        <f t="shared" si="507"/>
        <v>7</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19</v>
      </c>
      <c r="D1037" s="74">
        <f t="shared" si="488"/>
        <v>1</v>
      </c>
      <c r="E1037" s="75">
        <f t="shared" si="489"/>
        <v>2</v>
      </c>
      <c r="F1037" s="79"/>
      <c r="G1037" s="82"/>
      <c r="H1037" s="68" t="str">
        <f t="shared" si="506"/>
        <v>Senbur0_20191119_01_00</v>
      </c>
      <c r="I1037" s="69">
        <f t="shared" si="507"/>
        <v>1</v>
      </c>
      <c r="J1037" s="76" t="str">
        <f t="shared" si="507"/>
        <v>Senecio</v>
      </c>
      <c r="K1037" s="76" t="str">
        <f t="shared" si="507"/>
        <v>burtoni</v>
      </c>
      <c r="L1037" s="77">
        <f t="shared" si="507"/>
        <v>0</v>
      </c>
      <c r="M1037" s="77">
        <f t="shared" si="507"/>
        <v>7</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19</v>
      </c>
      <c r="D1038" s="74">
        <f t="shared" si="488"/>
        <v>1</v>
      </c>
      <c r="E1038" s="75">
        <f t="shared" si="489"/>
        <v>3</v>
      </c>
      <c r="F1038" s="79"/>
      <c r="G1038" s="82"/>
      <c r="H1038" s="68" t="str">
        <f t="shared" si="506"/>
        <v>Senbur0_20191119_01_00</v>
      </c>
      <c r="I1038" s="69">
        <f t="shared" si="507"/>
        <v>1</v>
      </c>
      <c r="J1038" s="76" t="str">
        <f t="shared" si="507"/>
        <v>Senecio</v>
      </c>
      <c r="K1038" s="76" t="str">
        <f t="shared" si="507"/>
        <v>burtoni</v>
      </c>
      <c r="L1038" s="77">
        <f t="shared" si="507"/>
        <v>0</v>
      </c>
      <c r="M1038" s="77">
        <f t="shared" si="507"/>
        <v>7</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19</v>
      </c>
      <c r="D1039" s="74">
        <f t="shared" si="488"/>
        <v>1</v>
      </c>
      <c r="E1039" s="75">
        <f t="shared" si="489"/>
        <v>4</v>
      </c>
      <c r="F1039" s="79"/>
      <c r="G1039" s="82"/>
      <c r="H1039" s="68" t="str">
        <f t="shared" si="506"/>
        <v>Senbur0_20191119_01_00</v>
      </c>
      <c r="I1039" s="69">
        <f t="shared" si="507"/>
        <v>1</v>
      </c>
      <c r="J1039" s="76" t="str">
        <f t="shared" si="507"/>
        <v>Senecio</v>
      </c>
      <c r="K1039" s="76" t="str">
        <f t="shared" si="507"/>
        <v>burtoni</v>
      </c>
      <c r="L1039" s="77">
        <f t="shared" si="507"/>
        <v>0</v>
      </c>
      <c r="M1039" s="77">
        <f t="shared" si="507"/>
        <v>7</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19</v>
      </c>
      <c r="D1040" s="74">
        <f t="shared" si="488"/>
        <v>1</v>
      </c>
      <c r="E1040" s="75">
        <f t="shared" si="489"/>
        <v>5</v>
      </c>
      <c r="F1040" s="79"/>
      <c r="G1040" s="82"/>
      <c r="H1040" s="68" t="str">
        <f t="shared" si="506"/>
        <v>Senbur0_20191119_01_00</v>
      </c>
      <c r="I1040" s="69">
        <f t="shared" si="507"/>
        <v>1</v>
      </c>
      <c r="J1040" s="76" t="str">
        <f t="shared" si="507"/>
        <v>Senecio</v>
      </c>
      <c r="K1040" s="76" t="str">
        <f t="shared" si="507"/>
        <v>burtoni</v>
      </c>
      <c r="L1040" s="77">
        <f t="shared" si="507"/>
        <v>0</v>
      </c>
      <c r="M1040" s="77">
        <f t="shared" si="507"/>
        <v>7</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19</v>
      </c>
      <c r="D1041" s="74">
        <f t="shared" si="488"/>
        <v>1</v>
      </c>
      <c r="E1041" s="75">
        <f t="shared" si="489"/>
        <v>6</v>
      </c>
      <c r="F1041" s="79"/>
      <c r="G1041" s="82"/>
      <c r="H1041" s="68" t="str">
        <f t="shared" si="506"/>
        <v>Senbur0_20191119_01_00</v>
      </c>
      <c r="I1041" s="69">
        <f t="shared" si="507"/>
        <v>1</v>
      </c>
      <c r="J1041" s="76" t="str">
        <f t="shared" si="507"/>
        <v>Senecio</v>
      </c>
      <c r="K1041" s="76" t="str">
        <f t="shared" si="507"/>
        <v>burtoni</v>
      </c>
      <c r="L1041" s="77">
        <f t="shared" si="507"/>
        <v>0</v>
      </c>
      <c r="M1041" s="77">
        <f t="shared" si="507"/>
        <v>7</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19</v>
      </c>
      <c r="D1042" s="74">
        <f t="shared" si="488"/>
        <v>1</v>
      </c>
      <c r="E1042" s="75">
        <f t="shared" si="489"/>
        <v>7</v>
      </c>
      <c r="F1042" s="79"/>
      <c r="G1042" s="82"/>
      <c r="H1042" s="68" t="str">
        <f t="shared" si="506"/>
        <v>Senbur0_20191119_01_00</v>
      </c>
      <c r="I1042" s="69">
        <f t="shared" si="507"/>
        <v>1</v>
      </c>
      <c r="J1042" s="76" t="str">
        <f t="shared" si="507"/>
        <v>Senecio</v>
      </c>
      <c r="K1042" s="76" t="str">
        <f t="shared" si="507"/>
        <v>burtoni</v>
      </c>
      <c r="L1042" s="77">
        <f t="shared" si="507"/>
        <v>0</v>
      </c>
      <c r="M1042" s="77">
        <f t="shared" si="507"/>
        <v>7</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19</v>
      </c>
      <c r="D1043" s="74">
        <f t="shared" si="488"/>
        <v>1</v>
      </c>
      <c r="E1043" s="75">
        <f t="shared" si="489"/>
        <v>8</v>
      </c>
      <c r="F1043" s="79"/>
      <c r="G1043" s="82"/>
      <c r="H1043" s="68" t="str">
        <f t="shared" si="506"/>
        <v>Senbur0_20191119_01_00</v>
      </c>
      <c r="I1043" s="69">
        <f t="shared" si="507"/>
        <v>1</v>
      </c>
      <c r="J1043" s="76" t="str">
        <f t="shared" si="507"/>
        <v>Senecio</v>
      </c>
      <c r="K1043" s="76" t="str">
        <f t="shared" si="507"/>
        <v>burtoni</v>
      </c>
      <c r="L1043" s="77">
        <f t="shared" si="507"/>
        <v>0</v>
      </c>
      <c r="M1043" s="77">
        <f t="shared" si="507"/>
        <v>7</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19</v>
      </c>
      <c r="D1044" s="74">
        <f t="shared" si="488"/>
        <v>1</v>
      </c>
      <c r="E1044" s="75">
        <f t="shared" si="489"/>
        <v>9</v>
      </c>
      <c r="F1044" s="79"/>
      <c r="G1044" s="82"/>
      <c r="H1044" s="68" t="str">
        <f t="shared" si="506"/>
        <v>Senbur0_20191119_01_00</v>
      </c>
      <c r="I1044" s="69">
        <f t="shared" si="507"/>
        <v>1</v>
      </c>
      <c r="J1044" s="76" t="str">
        <f t="shared" si="507"/>
        <v>Senecio</v>
      </c>
      <c r="K1044" s="76" t="str">
        <f t="shared" si="507"/>
        <v>burtoni</v>
      </c>
      <c r="L1044" s="77">
        <f t="shared" si="507"/>
        <v>0</v>
      </c>
      <c r="M1044" s="77">
        <f t="shared" si="507"/>
        <v>7</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19</v>
      </c>
      <c r="D1045" s="74">
        <f t="shared" si="488"/>
        <v>1</v>
      </c>
      <c r="E1045" s="75">
        <f t="shared" si="489"/>
        <v>10</v>
      </c>
      <c r="F1045" s="79"/>
      <c r="G1045" s="82"/>
      <c r="H1045" s="68" t="str">
        <f t="shared" si="506"/>
        <v>Senbur0_20191119_01_00</v>
      </c>
      <c r="I1045" s="69">
        <f t="shared" ref="I1045:N1060" si="508">I1044</f>
        <v>1</v>
      </c>
      <c r="J1045" s="76" t="str">
        <f t="shared" si="508"/>
        <v>Senecio</v>
      </c>
      <c r="K1045" s="76" t="str">
        <f t="shared" si="508"/>
        <v>burtoni</v>
      </c>
      <c r="L1045" s="77">
        <f t="shared" si="508"/>
        <v>0</v>
      </c>
      <c r="M1045" s="77">
        <f t="shared" si="508"/>
        <v>7</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19</v>
      </c>
      <c r="D1046" s="74">
        <f t="shared" si="488"/>
        <v>1</v>
      </c>
      <c r="E1046" s="75">
        <f t="shared" si="489"/>
        <v>11</v>
      </c>
      <c r="F1046" s="79"/>
      <c r="G1046" s="82"/>
      <c r="H1046" s="68" t="str">
        <f t="shared" si="506"/>
        <v>Senbur0_20191119_01_00</v>
      </c>
      <c r="I1046" s="69">
        <f t="shared" si="508"/>
        <v>1</v>
      </c>
      <c r="J1046" s="76" t="str">
        <f t="shared" si="508"/>
        <v>Senecio</v>
      </c>
      <c r="K1046" s="76" t="str">
        <f t="shared" si="508"/>
        <v>burtoni</v>
      </c>
      <c r="L1046" s="77">
        <f t="shared" si="508"/>
        <v>0</v>
      </c>
      <c r="M1046" s="77">
        <f t="shared" si="508"/>
        <v>7</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19</v>
      </c>
      <c r="D1047" s="74">
        <f t="shared" si="488"/>
        <v>1</v>
      </c>
      <c r="E1047" s="75">
        <f t="shared" si="489"/>
        <v>12</v>
      </c>
      <c r="F1047" s="79"/>
      <c r="G1047" s="82"/>
      <c r="H1047" s="68" t="str">
        <f t="shared" si="506"/>
        <v>Senbur0_20191119_01_00</v>
      </c>
      <c r="I1047" s="69">
        <f t="shared" si="508"/>
        <v>1</v>
      </c>
      <c r="J1047" s="76" t="str">
        <f t="shared" si="508"/>
        <v>Senecio</v>
      </c>
      <c r="K1047" s="76" t="str">
        <f t="shared" si="508"/>
        <v>burtoni</v>
      </c>
      <c r="L1047" s="77">
        <f t="shared" si="508"/>
        <v>0</v>
      </c>
      <c r="M1047" s="77">
        <f t="shared" si="508"/>
        <v>7</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19</v>
      </c>
      <c r="D1048" s="74">
        <f t="shared" si="488"/>
        <v>1</v>
      </c>
      <c r="E1048" s="75">
        <f t="shared" si="489"/>
        <v>13</v>
      </c>
      <c r="F1048" s="79"/>
      <c r="G1048" s="82"/>
      <c r="H1048" s="68" t="str">
        <f t="shared" si="506"/>
        <v>Senbur0_20191119_01_00</v>
      </c>
      <c r="I1048" s="69">
        <f t="shared" si="508"/>
        <v>1</v>
      </c>
      <c r="J1048" s="76" t="str">
        <f t="shared" si="508"/>
        <v>Senecio</v>
      </c>
      <c r="K1048" s="76" t="str">
        <f t="shared" si="508"/>
        <v>burtoni</v>
      </c>
      <c r="L1048" s="77">
        <f t="shared" si="508"/>
        <v>0</v>
      </c>
      <c r="M1048" s="77">
        <f t="shared" si="508"/>
        <v>7</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19</v>
      </c>
      <c r="D1049" s="74">
        <f t="shared" si="488"/>
        <v>1</v>
      </c>
      <c r="E1049" s="75">
        <f t="shared" si="489"/>
        <v>14</v>
      </c>
      <c r="F1049" s="79"/>
      <c r="G1049" s="82"/>
      <c r="H1049" s="68" t="str">
        <f t="shared" si="506"/>
        <v>Senbur0_20191119_01_00</v>
      </c>
      <c r="I1049" s="69">
        <f t="shared" si="508"/>
        <v>1</v>
      </c>
      <c r="J1049" s="76" t="str">
        <f t="shared" si="508"/>
        <v>Senecio</v>
      </c>
      <c r="K1049" s="76" t="str">
        <f t="shared" si="508"/>
        <v>burtoni</v>
      </c>
      <c r="L1049" s="77">
        <f t="shared" si="508"/>
        <v>0</v>
      </c>
      <c r="M1049" s="77">
        <f t="shared" si="508"/>
        <v>7</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19</v>
      </c>
      <c r="D1050" s="74">
        <f t="shared" si="488"/>
        <v>1</v>
      </c>
      <c r="E1050" s="75">
        <f t="shared" si="489"/>
        <v>15</v>
      </c>
      <c r="F1050" s="79"/>
      <c r="G1050" s="82"/>
      <c r="H1050" s="68" t="str">
        <f t="shared" si="506"/>
        <v>Senbur0_20191119_01_00</v>
      </c>
      <c r="I1050" s="69">
        <f t="shared" si="508"/>
        <v>1</v>
      </c>
      <c r="J1050" s="76" t="str">
        <f t="shared" si="508"/>
        <v>Senecio</v>
      </c>
      <c r="K1050" s="76" t="str">
        <f t="shared" si="508"/>
        <v>burtoni</v>
      </c>
      <c r="L1050" s="77">
        <f t="shared" si="508"/>
        <v>0</v>
      </c>
      <c r="M1050" s="77">
        <f t="shared" si="508"/>
        <v>7</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19</v>
      </c>
      <c r="D1051" s="74">
        <f t="shared" si="488"/>
        <v>1</v>
      </c>
      <c r="E1051" s="75">
        <f t="shared" si="489"/>
        <v>16</v>
      </c>
      <c r="F1051" s="79"/>
      <c r="G1051" s="82"/>
      <c r="H1051" s="68" t="str">
        <f t="shared" si="506"/>
        <v>Senbur0_20191119_01_00</v>
      </c>
      <c r="I1051" s="69">
        <f t="shared" si="508"/>
        <v>1</v>
      </c>
      <c r="J1051" s="76" t="str">
        <f t="shared" si="508"/>
        <v>Senecio</v>
      </c>
      <c r="K1051" s="76" t="str">
        <f t="shared" si="508"/>
        <v>burtoni</v>
      </c>
      <c r="L1051" s="77">
        <f t="shared" si="508"/>
        <v>0</v>
      </c>
      <c r="M1051" s="77">
        <f t="shared" si="508"/>
        <v>7</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19</v>
      </c>
      <c r="D1052" s="74">
        <f t="shared" si="488"/>
        <v>1</v>
      </c>
      <c r="E1052" s="75">
        <f t="shared" si="489"/>
        <v>17</v>
      </c>
      <c r="F1052" s="79"/>
      <c r="G1052" s="82"/>
      <c r="H1052" s="68" t="str">
        <f t="shared" si="506"/>
        <v>Senbur0_20191119_01_00</v>
      </c>
      <c r="I1052" s="69">
        <f t="shared" si="508"/>
        <v>1</v>
      </c>
      <c r="J1052" s="76" t="str">
        <f t="shared" si="508"/>
        <v>Senecio</v>
      </c>
      <c r="K1052" s="76" t="str">
        <f t="shared" si="508"/>
        <v>burtoni</v>
      </c>
      <c r="L1052" s="77">
        <f t="shared" si="508"/>
        <v>0</v>
      </c>
      <c r="M1052" s="77">
        <f t="shared" si="508"/>
        <v>7</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19</v>
      </c>
      <c r="D1053" s="74">
        <f t="shared" si="488"/>
        <v>1</v>
      </c>
      <c r="E1053" s="75">
        <f t="shared" si="489"/>
        <v>18</v>
      </c>
      <c r="F1053" s="79"/>
      <c r="G1053" s="82"/>
      <c r="H1053" s="68" t="str">
        <f t="shared" si="506"/>
        <v>Senbur0_20191119_01_00</v>
      </c>
      <c r="I1053" s="69">
        <f t="shared" si="508"/>
        <v>1</v>
      </c>
      <c r="J1053" s="76" t="str">
        <f t="shared" si="508"/>
        <v>Senecio</v>
      </c>
      <c r="K1053" s="76" t="str">
        <f t="shared" si="508"/>
        <v>burtoni</v>
      </c>
      <c r="L1053" s="77">
        <f t="shared" si="508"/>
        <v>0</v>
      </c>
      <c r="M1053" s="77">
        <f t="shared" si="508"/>
        <v>7</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19</v>
      </c>
      <c r="D1054" s="74">
        <f t="shared" si="488"/>
        <v>1</v>
      </c>
      <c r="E1054" s="75">
        <f t="shared" si="489"/>
        <v>19</v>
      </c>
      <c r="F1054" s="79"/>
      <c r="G1054" s="82"/>
      <c r="H1054" s="68" t="str">
        <f t="shared" si="506"/>
        <v>Senbur0_20191119_01_00</v>
      </c>
      <c r="I1054" s="69">
        <f t="shared" si="508"/>
        <v>1</v>
      </c>
      <c r="J1054" s="76" t="str">
        <f t="shared" si="508"/>
        <v>Senecio</v>
      </c>
      <c r="K1054" s="76" t="str">
        <f t="shared" si="508"/>
        <v>burtoni</v>
      </c>
      <c r="L1054" s="77">
        <f t="shared" si="508"/>
        <v>0</v>
      </c>
      <c r="M1054" s="77">
        <f t="shared" si="508"/>
        <v>7</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19</v>
      </c>
      <c r="D1055" s="74">
        <f t="shared" si="488"/>
        <v>1</v>
      </c>
      <c r="E1055" s="75">
        <f t="shared" si="489"/>
        <v>20</v>
      </c>
      <c r="F1055" s="79"/>
      <c r="G1055" s="82"/>
      <c r="H1055" s="68" t="str">
        <f t="shared" si="506"/>
        <v>Senbur0_20191119_01_00</v>
      </c>
      <c r="I1055" s="69">
        <f t="shared" si="508"/>
        <v>1</v>
      </c>
      <c r="J1055" s="76" t="str">
        <f t="shared" si="508"/>
        <v>Senecio</v>
      </c>
      <c r="K1055" s="76" t="str">
        <f t="shared" si="508"/>
        <v>burtoni</v>
      </c>
      <c r="L1055" s="77">
        <f t="shared" si="508"/>
        <v>0</v>
      </c>
      <c r="M1055" s="77">
        <f t="shared" si="508"/>
        <v>7</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19</v>
      </c>
      <c r="D1056" s="74">
        <f t="shared" si="488"/>
        <v>1</v>
      </c>
      <c r="E1056" s="75">
        <f t="shared" si="489"/>
        <v>21</v>
      </c>
      <c r="F1056" s="79"/>
      <c r="G1056" s="82"/>
      <c r="H1056" s="68" t="str">
        <f t="shared" si="506"/>
        <v>Senbur0_20191119_01_00</v>
      </c>
      <c r="I1056" s="69">
        <f t="shared" si="508"/>
        <v>1</v>
      </c>
      <c r="J1056" s="76" t="str">
        <f t="shared" si="508"/>
        <v>Senecio</v>
      </c>
      <c r="K1056" s="76" t="str">
        <f t="shared" si="508"/>
        <v>burtoni</v>
      </c>
      <c r="L1056" s="77">
        <f t="shared" si="508"/>
        <v>0</v>
      </c>
      <c r="M1056" s="77">
        <f t="shared" si="508"/>
        <v>7</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19</v>
      </c>
      <c r="D1057" s="74">
        <f t="shared" si="488"/>
        <v>1</v>
      </c>
      <c r="E1057" s="75">
        <f t="shared" si="489"/>
        <v>22</v>
      </c>
      <c r="F1057" s="79"/>
      <c r="G1057" s="82"/>
      <c r="H1057" s="68" t="str">
        <f t="shared" si="506"/>
        <v>Senbur0_20191119_01_00</v>
      </c>
      <c r="I1057" s="69">
        <f t="shared" si="508"/>
        <v>1</v>
      </c>
      <c r="J1057" s="76" t="str">
        <f t="shared" si="508"/>
        <v>Senecio</v>
      </c>
      <c r="K1057" s="76" t="str">
        <f t="shared" si="508"/>
        <v>burtoni</v>
      </c>
      <c r="L1057" s="77">
        <f t="shared" si="508"/>
        <v>0</v>
      </c>
      <c r="M1057" s="77">
        <f t="shared" si="508"/>
        <v>7</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19</v>
      </c>
      <c r="D1058" s="74">
        <f t="shared" si="488"/>
        <v>1</v>
      </c>
      <c r="E1058" s="75">
        <f t="shared" si="489"/>
        <v>23</v>
      </c>
      <c r="F1058" s="79"/>
      <c r="G1058" s="82"/>
      <c r="H1058" s="68" t="str">
        <f t="shared" si="506"/>
        <v>Senbur0_20191119_01_00</v>
      </c>
      <c r="I1058" s="69">
        <f t="shared" si="508"/>
        <v>1</v>
      </c>
      <c r="J1058" s="76" t="str">
        <f t="shared" si="508"/>
        <v>Senecio</v>
      </c>
      <c r="K1058" s="76" t="str">
        <f t="shared" si="508"/>
        <v>burtoni</v>
      </c>
      <c r="L1058" s="77">
        <f t="shared" si="508"/>
        <v>0</v>
      </c>
      <c r="M1058" s="77">
        <f t="shared" si="508"/>
        <v>7</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19</v>
      </c>
      <c r="D1059" s="74">
        <f t="shared" si="488"/>
        <v>1</v>
      </c>
      <c r="E1059" s="75">
        <f t="shared" si="489"/>
        <v>24</v>
      </c>
      <c r="F1059" s="79"/>
      <c r="G1059" s="82"/>
      <c r="H1059" s="68" t="str">
        <f t="shared" si="506"/>
        <v>Senbur0_20191119_01_00</v>
      </c>
      <c r="I1059" s="69">
        <f t="shared" si="508"/>
        <v>1</v>
      </c>
      <c r="J1059" s="76" t="str">
        <f t="shared" si="508"/>
        <v>Senecio</v>
      </c>
      <c r="K1059" s="76" t="str">
        <f t="shared" si="508"/>
        <v>burtoni</v>
      </c>
      <c r="L1059" s="77">
        <f t="shared" si="508"/>
        <v>0</v>
      </c>
      <c r="M1059" s="77">
        <f t="shared" si="508"/>
        <v>7</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19</v>
      </c>
      <c r="D1060" s="74">
        <f t="shared" si="488"/>
        <v>1</v>
      </c>
      <c r="E1060" s="75">
        <f t="shared" si="489"/>
        <v>25</v>
      </c>
      <c r="F1060" s="79"/>
      <c r="G1060" s="82"/>
      <c r="H1060" s="68" t="str">
        <f t="shared" si="506"/>
        <v>Senbur0_20191119_01_00</v>
      </c>
      <c r="I1060" s="69">
        <f t="shared" si="508"/>
        <v>1</v>
      </c>
      <c r="J1060" s="76" t="str">
        <f t="shared" si="508"/>
        <v>Senecio</v>
      </c>
      <c r="K1060" s="76" t="str">
        <f t="shared" si="508"/>
        <v>burtoni</v>
      </c>
      <c r="L1060" s="77">
        <f t="shared" si="508"/>
        <v>0</v>
      </c>
      <c r="M1060" s="77">
        <f t="shared" si="508"/>
        <v>7</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19</v>
      </c>
      <c r="D1061" s="74">
        <f t="shared" si="488"/>
        <v>1</v>
      </c>
      <c r="E1061" s="75">
        <f t="shared" si="489"/>
        <v>26</v>
      </c>
      <c r="F1061" s="79"/>
      <c r="G1061" s="82"/>
      <c r="H1061" s="68" t="str">
        <f t="shared" si="506"/>
        <v>Senbur0_20191119_01_00</v>
      </c>
      <c r="I1061" s="69">
        <f t="shared" ref="I1061:N1076" si="509">I1060</f>
        <v>1</v>
      </c>
      <c r="J1061" s="76" t="str">
        <f t="shared" si="509"/>
        <v>Senecio</v>
      </c>
      <c r="K1061" s="76" t="str">
        <f t="shared" si="509"/>
        <v>burtoni</v>
      </c>
      <c r="L1061" s="77">
        <f t="shared" si="509"/>
        <v>0</v>
      </c>
      <c r="M1061" s="77">
        <f t="shared" si="509"/>
        <v>7</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19</v>
      </c>
      <c r="D1062" s="74">
        <f t="shared" si="488"/>
        <v>1</v>
      </c>
      <c r="E1062" s="75">
        <f t="shared" si="489"/>
        <v>27</v>
      </c>
      <c r="F1062" s="79"/>
      <c r="G1062" s="82"/>
      <c r="H1062" s="68" t="str">
        <f t="shared" si="506"/>
        <v>Senbur0_20191119_01_00</v>
      </c>
      <c r="I1062" s="69">
        <f t="shared" si="509"/>
        <v>1</v>
      </c>
      <c r="J1062" s="76" t="str">
        <f t="shared" si="509"/>
        <v>Senecio</v>
      </c>
      <c r="K1062" s="76" t="str">
        <f t="shared" si="509"/>
        <v>burtoni</v>
      </c>
      <c r="L1062" s="77">
        <f t="shared" si="509"/>
        <v>0</v>
      </c>
      <c r="M1062" s="77">
        <f t="shared" si="509"/>
        <v>7</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19</v>
      </c>
      <c r="D1063" s="74">
        <f t="shared" si="488"/>
        <v>1</v>
      </c>
      <c r="E1063" s="75">
        <f t="shared" si="489"/>
        <v>28</v>
      </c>
      <c r="F1063" s="79"/>
      <c r="G1063" s="82"/>
      <c r="H1063" s="68" t="str">
        <f t="shared" si="506"/>
        <v>Senbur0_20191119_01_00</v>
      </c>
      <c r="I1063" s="69">
        <f t="shared" si="509"/>
        <v>1</v>
      </c>
      <c r="J1063" s="76" t="str">
        <f t="shared" si="509"/>
        <v>Senecio</v>
      </c>
      <c r="K1063" s="76" t="str">
        <f t="shared" si="509"/>
        <v>burtoni</v>
      </c>
      <c r="L1063" s="77">
        <f t="shared" si="509"/>
        <v>0</v>
      </c>
      <c r="M1063" s="77">
        <f t="shared" si="509"/>
        <v>7</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19</v>
      </c>
      <c r="D1064" s="74">
        <f t="shared" si="488"/>
        <v>1</v>
      </c>
      <c r="E1064" s="75">
        <f t="shared" si="489"/>
        <v>29</v>
      </c>
      <c r="F1064" s="79"/>
      <c r="G1064" s="82"/>
      <c r="H1064" s="68" t="str">
        <f t="shared" si="506"/>
        <v>Senbur0_20191119_01_00</v>
      </c>
      <c r="I1064" s="69">
        <f t="shared" si="509"/>
        <v>1</v>
      </c>
      <c r="J1064" s="76" t="str">
        <f t="shared" si="509"/>
        <v>Senecio</v>
      </c>
      <c r="K1064" s="76" t="str">
        <f t="shared" si="509"/>
        <v>burtoni</v>
      </c>
      <c r="L1064" s="77">
        <f t="shared" si="509"/>
        <v>0</v>
      </c>
      <c r="M1064" s="77">
        <f t="shared" si="509"/>
        <v>7</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19</v>
      </c>
      <c r="D1065" s="74">
        <f t="shared" si="488"/>
        <v>1</v>
      </c>
      <c r="E1065" s="75">
        <f t="shared" si="489"/>
        <v>30</v>
      </c>
      <c r="F1065" s="79"/>
      <c r="G1065" s="82"/>
      <c r="H1065" s="68" t="str">
        <f t="shared" si="506"/>
        <v>Senbur0_20191119_01_00</v>
      </c>
      <c r="I1065" s="69">
        <f t="shared" si="509"/>
        <v>1</v>
      </c>
      <c r="J1065" s="76" t="str">
        <f t="shared" si="509"/>
        <v>Senecio</v>
      </c>
      <c r="K1065" s="76" t="str">
        <f t="shared" si="509"/>
        <v>burtoni</v>
      </c>
      <c r="L1065" s="77">
        <f t="shared" si="509"/>
        <v>0</v>
      </c>
      <c r="M1065" s="77">
        <f t="shared" si="509"/>
        <v>7</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19</v>
      </c>
      <c r="D1066" s="74">
        <f t="shared" si="488"/>
        <v>1</v>
      </c>
      <c r="E1066" s="75">
        <f t="shared" si="489"/>
        <v>31</v>
      </c>
      <c r="F1066" s="79"/>
      <c r="G1066" s="82"/>
      <c r="H1066" s="68" t="str">
        <f t="shared" si="506"/>
        <v>Senbur0_20191119_01_00</v>
      </c>
      <c r="I1066" s="69">
        <f t="shared" si="509"/>
        <v>1</v>
      </c>
      <c r="J1066" s="76" t="str">
        <f t="shared" si="509"/>
        <v>Senecio</v>
      </c>
      <c r="K1066" s="76" t="str">
        <f t="shared" si="509"/>
        <v>burtoni</v>
      </c>
      <c r="L1066" s="77">
        <f t="shared" si="509"/>
        <v>0</v>
      </c>
      <c r="M1066" s="77">
        <f t="shared" si="509"/>
        <v>7</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19</v>
      </c>
      <c r="D1067" s="74">
        <f t="shared" si="488"/>
        <v>1</v>
      </c>
      <c r="E1067" s="75">
        <f t="shared" si="489"/>
        <v>32</v>
      </c>
      <c r="F1067" s="79"/>
      <c r="G1067" s="82"/>
      <c r="H1067" s="68" t="str">
        <f t="shared" si="506"/>
        <v>Senbur0_20191119_01_00</v>
      </c>
      <c r="I1067" s="69">
        <f t="shared" si="509"/>
        <v>1</v>
      </c>
      <c r="J1067" s="76" t="str">
        <f t="shared" si="509"/>
        <v>Senecio</v>
      </c>
      <c r="K1067" s="76" t="str">
        <f t="shared" si="509"/>
        <v>burtoni</v>
      </c>
      <c r="L1067" s="77">
        <f t="shared" si="509"/>
        <v>0</v>
      </c>
      <c r="M1067" s="77">
        <f t="shared" si="509"/>
        <v>7</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19</v>
      </c>
      <c r="D1068" s="74">
        <f t="shared" si="488"/>
        <v>1</v>
      </c>
      <c r="E1068" s="75">
        <f t="shared" si="489"/>
        <v>33</v>
      </c>
      <c r="F1068" s="79"/>
      <c r="G1068" s="82"/>
      <c r="H1068" s="68" t="str">
        <f t="shared" si="506"/>
        <v>Senbur0_20191119_01_00</v>
      </c>
      <c r="I1068" s="69">
        <f t="shared" si="509"/>
        <v>1</v>
      </c>
      <c r="J1068" s="76" t="str">
        <f t="shared" si="509"/>
        <v>Senecio</v>
      </c>
      <c r="K1068" s="76" t="str">
        <f t="shared" si="509"/>
        <v>burtoni</v>
      </c>
      <c r="L1068" s="77">
        <f t="shared" si="509"/>
        <v>0</v>
      </c>
      <c r="M1068" s="77">
        <f t="shared" si="509"/>
        <v>7</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19</v>
      </c>
      <c r="D1069" s="74">
        <f t="shared" si="488"/>
        <v>1</v>
      </c>
      <c r="E1069" s="75">
        <f t="shared" si="489"/>
        <v>34</v>
      </c>
      <c r="F1069" s="79"/>
      <c r="G1069" s="82"/>
      <c r="H1069" s="68" t="str">
        <f t="shared" si="506"/>
        <v>Senbur0_20191119_01_00</v>
      </c>
      <c r="I1069" s="69">
        <f t="shared" si="509"/>
        <v>1</v>
      </c>
      <c r="J1069" s="76" t="str">
        <f t="shared" si="509"/>
        <v>Senecio</v>
      </c>
      <c r="K1069" s="76" t="str">
        <f t="shared" si="509"/>
        <v>burtoni</v>
      </c>
      <c r="L1069" s="77">
        <f t="shared" si="509"/>
        <v>0</v>
      </c>
      <c r="M1069" s="77">
        <f t="shared" si="509"/>
        <v>7</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19</v>
      </c>
      <c r="D1070" s="74">
        <f t="shared" si="488"/>
        <v>1</v>
      </c>
      <c r="E1070" s="75">
        <f t="shared" si="489"/>
        <v>35</v>
      </c>
      <c r="F1070" s="79"/>
      <c r="G1070" s="82"/>
      <c r="H1070" s="68" t="str">
        <f t="shared" si="506"/>
        <v>Senbur0_20191119_01_00</v>
      </c>
      <c r="I1070" s="69">
        <f t="shared" si="509"/>
        <v>1</v>
      </c>
      <c r="J1070" s="76" t="str">
        <f t="shared" si="509"/>
        <v>Senecio</v>
      </c>
      <c r="K1070" s="76" t="str">
        <f t="shared" si="509"/>
        <v>burtoni</v>
      </c>
      <c r="L1070" s="77">
        <f t="shared" si="509"/>
        <v>0</v>
      </c>
      <c r="M1070" s="77">
        <f t="shared" si="509"/>
        <v>7</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19</v>
      </c>
      <c r="D1071" s="74">
        <f t="shared" si="488"/>
        <v>1</v>
      </c>
      <c r="E1071" s="75">
        <f t="shared" si="489"/>
        <v>36</v>
      </c>
      <c r="F1071" s="79"/>
      <c r="G1071" s="82"/>
      <c r="H1071" s="68" t="str">
        <f t="shared" si="506"/>
        <v>Senbur0_20191119_01_00</v>
      </c>
      <c r="I1071" s="69">
        <f t="shared" si="509"/>
        <v>1</v>
      </c>
      <c r="J1071" s="76" t="str">
        <f t="shared" si="509"/>
        <v>Senecio</v>
      </c>
      <c r="K1071" s="76" t="str">
        <f t="shared" si="509"/>
        <v>burtoni</v>
      </c>
      <c r="L1071" s="77">
        <f t="shared" si="509"/>
        <v>0</v>
      </c>
      <c r="M1071" s="77">
        <f t="shared" si="509"/>
        <v>7</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19</v>
      </c>
      <c r="D1072" s="74">
        <f t="shared" si="488"/>
        <v>1</v>
      </c>
      <c r="E1072" s="75">
        <f t="shared" si="489"/>
        <v>37</v>
      </c>
      <c r="F1072" s="79"/>
      <c r="G1072" s="82"/>
      <c r="H1072" s="68" t="str">
        <f t="shared" si="506"/>
        <v>Senbur0_20191119_01_00</v>
      </c>
      <c r="I1072" s="69">
        <f t="shared" si="509"/>
        <v>1</v>
      </c>
      <c r="J1072" s="76" t="str">
        <f t="shared" si="509"/>
        <v>Senecio</v>
      </c>
      <c r="K1072" s="76" t="str">
        <f t="shared" si="509"/>
        <v>burtoni</v>
      </c>
      <c r="L1072" s="77">
        <f t="shared" si="509"/>
        <v>0</v>
      </c>
      <c r="M1072" s="77">
        <f t="shared" si="509"/>
        <v>7</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19</v>
      </c>
      <c r="D1073" s="74">
        <f t="shared" si="488"/>
        <v>1</v>
      </c>
      <c r="E1073" s="75">
        <f t="shared" si="489"/>
        <v>38</v>
      </c>
      <c r="F1073" s="79"/>
      <c r="G1073" s="82"/>
      <c r="H1073" s="68" t="str">
        <f t="shared" si="506"/>
        <v>Senbur0_20191119_01_00</v>
      </c>
      <c r="I1073" s="69">
        <f t="shared" si="509"/>
        <v>1</v>
      </c>
      <c r="J1073" s="76" t="str">
        <f t="shared" si="509"/>
        <v>Senecio</v>
      </c>
      <c r="K1073" s="76" t="str">
        <f t="shared" si="509"/>
        <v>burtoni</v>
      </c>
      <c r="L1073" s="77">
        <f t="shared" si="509"/>
        <v>0</v>
      </c>
      <c r="M1073" s="77">
        <f t="shared" si="509"/>
        <v>7</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19</v>
      </c>
      <c r="D1074" s="74">
        <f t="shared" si="488"/>
        <v>1</v>
      </c>
      <c r="E1074" s="75">
        <f t="shared" si="489"/>
        <v>39</v>
      </c>
      <c r="F1074" s="79"/>
      <c r="G1074" s="82"/>
      <c r="H1074" s="68" t="str">
        <f t="shared" si="506"/>
        <v>Senbur0_20191119_01_00</v>
      </c>
      <c r="I1074" s="69">
        <f t="shared" si="509"/>
        <v>1</v>
      </c>
      <c r="J1074" s="76" t="str">
        <f t="shared" si="509"/>
        <v>Senecio</v>
      </c>
      <c r="K1074" s="76" t="str">
        <f t="shared" si="509"/>
        <v>burtoni</v>
      </c>
      <c r="L1074" s="77">
        <f t="shared" si="509"/>
        <v>0</v>
      </c>
      <c r="M1074" s="77">
        <f t="shared" si="509"/>
        <v>7</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19</v>
      </c>
      <c r="D1075" s="74">
        <f t="shared" si="488"/>
        <v>1</v>
      </c>
      <c r="E1075" s="75">
        <f t="shared" si="489"/>
        <v>40</v>
      </c>
      <c r="F1075" s="79"/>
      <c r="G1075" s="82"/>
      <c r="H1075" s="68" t="str">
        <f t="shared" si="506"/>
        <v>Senbur0_20191119_01_00</v>
      </c>
      <c r="I1075" s="69">
        <f t="shared" si="509"/>
        <v>1</v>
      </c>
      <c r="J1075" s="76" t="str">
        <f t="shared" si="509"/>
        <v>Senecio</v>
      </c>
      <c r="K1075" s="76" t="str">
        <f t="shared" si="509"/>
        <v>burtoni</v>
      </c>
      <c r="L1075" s="77">
        <f t="shared" si="509"/>
        <v>0</v>
      </c>
      <c r="M1075" s="77">
        <f t="shared" si="509"/>
        <v>7</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19</v>
      </c>
      <c r="D1076" s="74">
        <f t="shared" si="488"/>
        <v>1</v>
      </c>
      <c r="E1076" s="75">
        <f t="shared" si="489"/>
        <v>41</v>
      </c>
      <c r="F1076" s="79"/>
      <c r="G1076" s="82"/>
      <c r="H1076" s="68" t="str">
        <f t="shared" si="506"/>
        <v>Senbur0_20191119_01_00</v>
      </c>
      <c r="I1076" s="69">
        <f t="shared" si="509"/>
        <v>1</v>
      </c>
      <c r="J1076" s="76" t="str">
        <f t="shared" si="509"/>
        <v>Senecio</v>
      </c>
      <c r="K1076" s="76" t="str">
        <f t="shared" si="509"/>
        <v>burtoni</v>
      </c>
      <c r="L1076" s="77">
        <f t="shared" si="509"/>
        <v>0</v>
      </c>
      <c r="M1076" s="77">
        <f t="shared" si="509"/>
        <v>7</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19</v>
      </c>
      <c r="D1077" s="74">
        <f t="shared" si="488"/>
        <v>1</v>
      </c>
      <c r="E1077" s="75">
        <f t="shared" si="489"/>
        <v>42</v>
      </c>
      <c r="F1077" s="79"/>
      <c r="G1077" s="82"/>
      <c r="H1077" s="68" t="str">
        <f t="shared" si="506"/>
        <v>Senbur0_20191119_01_00</v>
      </c>
      <c r="I1077" s="69">
        <f t="shared" ref="I1077:N1092" si="510">I1076</f>
        <v>1</v>
      </c>
      <c r="J1077" s="76" t="str">
        <f t="shared" si="510"/>
        <v>Senecio</v>
      </c>
      <c r="K1077" s="76" t="str">
        <f t="shared" si="510"/>
        <v>burtoni</v>
      </c>
      <c r="L1077" s="77">
        <f t="shared" si="510"/>
        <v>0</v>
      </c>
      <c r="M1077" s="77">
        <f t="shared" si="510"/>
        <v>7</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19</v>
      </c>
      <c r="D1078" s="74">
        <f t="shared" si="488"/>
        <v>1</v>
      </c>
      <c r="E1078" s="75">
        <f t="shared" si="489"/>
        <v>43</v>
      </c>
      <c r="F1078" s="79"/>
      <c r="G1078" s="82"/>
      <c r="H1078" s="68" t="str">
        <f t="shared" si="506"/>
        <v>Senbur0_20191119_01_00</v>
      </c>
      <c r="I1078" s="69">
        <f t="shared" si="510"/>
        <v>1</v>
      </c>
      <c r="J1078" s="76" t="str">
        <f t="shared" si="510"/>
        <v>Senecio</v>
      </c>
      <c r="K1078" s="76" t="str">
        <f t="shared" si="510"/>
        <v>burtoni</v>
      </c>
      <c r="L1078" s="77">
        <f t="shared" si="510"/>
        <v>0</v>
      </c>
      <c r="M1078" s="77">
        <f t="shared" si="510"/>
        <v>7</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19</v>
      </c>
      <c r="D1079" s="74">
        <f t="shared" si="488"/>
        <v>1</v>
      </c>
      <c r="E1079" s="75">
        <f t="shared" si="489"/>
        <v>44</v>
      </c>
      <c r="F1079" s="79"/>
      <c r="G1079" s="82"/>
      <c r="H1079" s="68" t="str">
        <f t="shared" si="506"/>
        <v>Senbur0_20191119_01_00</v>
      </c>
      <c r="I1079" s="69">
        <f t="shared" si="510"/>
        <v>1</v>
      </c>
      <c r="J1079" s="76" t="str">
        <f t="shared" si="510"/>
        <v>Senecio</v>
      </c>
      <c r="K1079" s="76" t="str">
        <f t="shared" si="510"/>
        <v>burtoni</v>
      </c>
      <c r="L1079" s="77">
        <f t="shared" si="510"/>
        <v>0</v>
      </c>
      <c r="M1079" s="77">
        <f t="shared" si="510"/>
        <v>7</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19</v>
      </c>
      <c r="D1080" s="74">
        <f t="shared" si="488"/>
        <v>1</v>
      </c>
      <c r="E1080" s="75">
        <f t="shared" si="489"/>
        <v>45</v>
      </c>
      <c r="F1080" s="79"/>
      <c r="G1080" s="82"/>
      <c r="H1080" s="68" t="str">
        <f t="shared" si="506"/>
        <v>Senbur0_20191119_01_00</v>
      </c>
      <c r="I1080" s="69">
        <f t="shared" si="510"/>
        <v>1</v>
      </c>
      <c r="J1080" s="76" t="str">
        <f t="shared" si="510"/>
        <v>Senecio</v>
      </c>
      <c r="K1080" s="76" t="str">
        <f t="shared" si="510"/>
        <v>burtoni</v>
      </c>
      <c r="L1080" s="77">
        <f t="shared" si="510"/>
        <v>0</v>
      </c>
      <c r="M1080" s="77">
        <f t="shared" si="510"/>
        <v>7</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19</v>
      </c>
      <c r="D1081" s="74">
        <f t="shared" si="488"/>
        <v>1</v>
      </c>
      <c r="E1081" s="75">
        <f t="shared" si="489"/>
        <v>46</v>
      </c>
      <c r="F1081" s="79"/>
      <c r="G1081" s="82"/>
      <c r="H1081" s="68" t="str">
        <f t="shared" si="506"/>
        <v>Senbur0_20191119_01_00</v>
      </c>
      <c r="I1081" s="69">
        <f t="shared" si="510"/>
        <v>1</v>
      </c>
      <c r="J1081" s="76" t="str">
        <f t="shared" si="510"/>
        <v>Senecio</v>
      </c>
      <c r="K1081" s="76" t="str">
        <f t="shared" si="510"/>
        <v>burtoni</v>
      </c>
      <c r="L1081" s="77">
        <f t="shared" si="510"/>
        <v>0</v>
      </c>
      <c r="M1081" s="77">
        <f t="shared" si="510"/>
        <v>7</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19</v>
      </c>
      <c r="D1082" s="74">
        <f t="shared" si="488"/>
        <v>1</v>
      </c>
      <c r="E1082" s="75">
        <f t="shared" si="489"/>
        <v>47</v>
      </c>
      <c r="F1082" s="79"/>
      <c r="G1082" s="82"/>
      <c r="H1082" s="68" t="str">
        <f t="shared" si="506"/>
        <v>Senbur0_20191119_01_00</v>
      </c>
      <c r="I1082" s="69">
        <f t="shared" si="510"/>
        <v>1</v>
      </c>
      <c r="J1082" s="76" t="str">
        <f t="shared" si="510"/>
        <v>Senecio</v>
      </c>
      <c r="K1082" s="76" t="str">
        <f t="shared" si="510"/>
        <v>burtoni</v>
      </c>
      <c r="L1082" s="77">
        <f t="shared" si="510"/>
        <v>0</v>
      </c>
      <c r="M1082" s="77">
        <f t="shared" si="510"/>
        <v>7</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19</v>
      </c>
      <c r="D1083" s="74">
        <f t="shared" si="488"/>
        <v>1</v>
      </c>
      <c r="E1083" s="75">
        <f t="shared" si="489"/>
        <v>48</v>
      </c>
      <c r="F1083" s="79"/>
      <c r="G1083" s="82"/>
      <c r="H1083" s="68" t="str">
        <f t="shared" si="506"/>
        <v>Senbur0_20191119_01_00</v>
      </c>
      <c r="I1083" s="69">
        <f t="shared" si="510"/>
        <v>1</v>
      </c>
      <c r="J1083" s="76" t="str">
        <f t="shared" si="510"/>
        <v>Senecio</v>
      </c>
      <c r="K1083" s="76" t="str">
        <f t="shared" si="510"/>
        <v>burtoni</v>
      </c>
      <c r="L1083" s="77">
        <f t="shared" si="510"/>
        <v>0</v>
      </c>
      <c r="M1083" s="77">
        <f t="shared" si="510"/>
        <v>7</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19</v>
      </c>
      <c r="D1084" s="74">
        <f t="shared" si="488"/>
        <v>1</v>
      </c>
      <c r="E1084" s="75">
        <f t="shared" si="489"/>
        <v>49</v>
      </c>
      <c r="F1084" s="79"/>
      <c r="G1084" s="82"/>
      <c r="H1084" s="68" t="str">
        <f t="shared" si="506"/>
        <v>Senbur0_20191119_01_00</v>
      </c>
      <c r="I1084" s="69">
        <f t="shared" si="510"/>
        <v>1</v>
      </c>
      <c r="J1084" s="76" t="str">
        <f t="shared" si="510"/>
        <v>Senecio</v>
      </c>
      <c r="K1084" s="76" t="str">
        <f t="shared" si="510"/>
        <v>burtoni</v>
      </c>
      <c r="L1084" s="77">
        <f t="shared" si="510"/>
        <v>0</v>
      </c>
      <c r="M1084" s="77">
        <f t="shared" si="510"/>
        <v>7</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19</v>
      </c>
      <c r="D1085" s="74">
        <f t="shared" si="488"/>
        <v>1</v>
      </c>
      <c r="E1085" s="75">
        <f t="shared" si="489"/>
        <v>50</v>
      </c>
      <c r="F1085" s="79"/>
      <c r="G1085" s="82"/>
      <c r="H1085" s="68" t="str">
        <f t="shared" si="506"/>
        <v>Senbur0_20191119_01_00</v>
      </c>
      <c r="I1085" s="69">
        <f t="shared" si="510"/>
        <v>1</v>
      </c>
      <c r="J1085" s="76" t="str">
        <f t="shared" si="510"/>
        <v>Senecio</v>
      </c>
      <c r="K1085" s="76" t="str">
        <f t="shared" si="510"/>
        <v>burtoni</v>
      </c>
      <c r="L1085" s="77">
        <f t="shared" si="510"/>
        <v>0</v>
      </c>
      <c r="M1085" s="77">
        <f t="shared" si="510"/>
        <v>7</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19</v>
      </c>
      <c r="D1086" s="74">
        <f t="shared" si="488"/>
        <v>1</v>
      </c>
      <c r="E1086" s="75">
        <f t="shared" si="489"/>
        <v>51</v>
      </c>
      <c r="F1086" s="79"/>
      <c r="G1086" s="82"/>
      <c r="H1086" s="68" t="str">
        <f t="shared" si="506"/>
        <v>Senbur0_20191119_01_00</v>
      </c>
      <c r="I1086" s="69">
        <f t="shared" si="510"/>
        <v>1</v>
      </c>
      <c r="J1086" s="76" t="str">
        <f t="shared" si="510"/>
        <v>Senecio</v>
      </c>
      <c r="K1086" s="76" t="str">
        <f t="shared" si="510"/>
        <v>burtoni</v>
      </c>
      <c r="L1086" s="77">
        <f t="shared" si="510"/>
        <v>0</v>
      </c>
      <c r="M1086" s="77">
        <f t="shared" si="510"/>
        <v>7</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19</v>
      </c>
      <c r="D1087" s="74">
        <f t="shared" si="488"/>
        <v>1</v>
      </c>
      <c r="E1087" s="75">
        <f t="shared" si="489"/>
        <v>52</v>
      </c>
      <c r="F1087" s="79"/>
      <c r="G1087" s="82"/>
      <c r="H1087" s="68" t="str">
        <f t="shared" si="506"/>
        <v>Senbur0_20191119_01_00</v>
      </c>
      <c r="I1087" s="69">
        <f t="shared" si="510"/>
        <v>1</v>
      </c>
      <c r="J1087" s="76" t="str">
        <f t="shared" si="510"/>
        <v>Senecio</v>
      </c>
      <c r="K1087" s="76" t="str">
        <f t="shared" si="510"/>
        <v>burtoni</v>
      </c>
      <c r="L1087" s="77">
        <f t="shared" si="510"/>
        <v>0</v>
      </c>
      <c r="M1087" s="77">
        <f t="shared" si="510"/>
        <v>7</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19</v>
      </c>
      <c r="D1088" s="74">
        <f t="shared" si="488"/>
        <v>1</v>
      </c>
      <c r="E1088" s="75">
        <f t="shared" si="489"/>
        <v>53</v>
      </c>
      <c r="F1088" s="79"/>
      <c r="G1088" s="82"/>
      <c r="H1088" s="68" t="str">
        <f t="shared" si="506"/>
        <v>Senbur0_20191119_01_00</v>
      </c>
      <c r="I1088" s="69">
        <f t="shared" si="510"/>
        <v>1</v>
      </c>
      <c r="J1088" s="76" t="str">
        <f t="shared" si="510"/>
        <v>Senecio</v>
      </c>
      <c r="K1088" s="76" t="str">
        <f t="shared" si="510"/>
        <v>burtoni</v>
      </c>
      <c r="L1088" s="77">
        <f t="shared" si="510"/>
        <v>0</v>
      </c>
      <c r="M1088" s="77">
        <f t="shared" si="510"/>
        <v>7</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19</v>
      </c>
      <c r="D1089" s="74">
        <f t="shared" si="488"/>
        <v>1</v>
      </c>
      <c r="E1089" s="75">
        <f t="shared" si="489"/>
        <v>54</v>
      </c>
      <c r="F1089" s="79"/>
      <c r="G1089" s="82"/>
      <c r="H1089" s="68" t="str">
        <f t="shared" si="506"/>
        <v>Senbur0_20191119_01_00</v>
      </c>
      <c r="I1089" s="69">
        <f t="shared" si="510"/>
        <v>1</v>
      </c>
      <c r="J1089" s="76" t="str">
        <f t="shared" si="510"/>
        <v>Senecio</v>
      </c>
      <c r="K1089" s="76" t="str">
        <f t="shared" si="510"/>
        <v>burtoni</v>
      </c>
      <c r="L1089" s="77">
        <f t="shared" si="510"/>
        <v>0</v>
      </c>
      <c r="M1089" s="77">
        <f t="shared" si="510"/>
        <v>7</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19</v>
      </c>
      <c r="D1090" s="74">
        <f t="shared" si="488"/>
        <v>1</v>
      </c>
      <c r="E1090" s="75">
        <f t="shared" si="489"/>
        <v>55</v>
      </c>
      <c r="F1090" s="79"/>
      <c r="G1090" s="82"/>
      <c r="H1090" s="68" t="str">
        <f t="shared" si="506"/>
        <v>Senbur0_20191119_01_00</v>
      </c>
      <c r="I1090" s="69">
        <f t="shared" si="510"/>
        <v>1</v>
      </c>
      <c r="J1090" s="76" t="str">
        <f t="shared" si="510"/>
        <v>Senecio</v>
      </c>
      <c r="K1090" s="76" t="str">
        <f t="shared" si="510"/>
        <v>burtoni</v>
      </c>
      <c r="L1090" s="77">
        <f t="shared" si="510"/>
        <v>0</v>
      </c>
      <c r="M1090" s="77">
        <f t="shared" si="510"/>
        <v>7</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19</v>
      </c>
      <c r="D1091" s="74">
        <f t="shared" si="488"/>
        <v>1</v>
      </c>
      <c r="E1091" s="75">
        <f t="shared" si="489"/>
        <v>56</v>
      </c>
      <c r="F1091" s="79"/>
      <c r="G1091" s="82"/>
      <c r="H1091" s="68" t="str">
        <f t="shared" si="506"/>
        <v>Senbur0_20191119_01_00</v>
      </c>
      <c r="I1091" s="69">
        <f t="shared" si="510"/>
        <v>1</v>
      </c>
      <c r="J1091" s="76" t="str">
        <f t="shared" si="510"/>
        <v>Senecio</v>
      </c>
      <c r="K1091" s="76" t="str">
        <f t="shared" si="510"/>
        <v>burtoni</v>
      </c>
      <c r="L1091" s="77">
        <f t="shared" si="510"/>
        <v>0</v>
      </c>
      <c r="M1091" s="77">
        <f t="shared" si="510"/>
        <v>7</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19</v>
      </c>
      <c r="D1092" s="74">
        <f t="shared" ref="D1092:D1155" si="518">IF(IF(E1091=59,D1091+1,D1091)=24,0,IF(E1091=59,D1091+1,D1091))</f>
        <v>1</v>
      </c>
      <c r="E1092" s="75">
        <f t="shared" ref="E1092:E1155" si="519">IF(E1091&lt;59,E1091+1,0)</f>
        <v>57</v>
      </c>
      <c r="F1092" s="79"/>
      <c r="G1092" s="82"/>
      <c r="H1092" s="68" t="str">
        <f t="shared" si="506"/>
        <v>Senbur0_20191119_01_00</v>
      </c>
      <c r="I1092" s="69">
        <f t="shared" si="510"/>
        <v>1</v>
      </c>
      <c r="J1092" s="76" t="str">
        <f t="shared" si="510"/>
        <v>Senecio</v>
      </c>
      <c r="K1092" s="76" t="str">
        <f t="shared" si="510"/>
        <v>burtoni</v>
      </c>
      <c r="L1092" s="77">
        <f t="shared" si="510"/>
        <v>0</v>
      </c>
      <c r="M1092" s="77">
        <f t="shared" si="510"/>
        <v>7</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19</v>
      </c>
      <c r="D1093" s="74">
        <f t="shared" si="518"/>
        <v>1</v>
      </c>
      <c r="E1093" s="75">
        <f t="shared" si="519"/>
        <v>58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Senbur0_20191119_01_00</v>
      </c>
      <c r="I1093" s="69">
        <f t="shared" ref="I1093:N1108" si="537">I1092</f>
        <v>1</v>
      </c>
      <c r="J1093" s="76" t="str">
        <f t="shared" si="537"/>
        <v>Senecio</v>
      </c>
      <c r="K1093" s="76" t="str">
        <f t="shared" si="537"/>
        <v>burtoni</v>
      </c>
      <c r="L1093" s="77">
        <f t="shared" si="537"/>
        <v>0</v>
      </c>
      <c r="M1093" s="77">
        <f t="shared" si="537"/>
        <v>7</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19</v>
      </c>
      <c r="D1094" s="74">
        <f t="shared" si="518"/>
        <v>1</v>
      </c>
      <c r="E1094" s="75">
        <f t="shared" si="519"/>
        <v>59</v>
      </c>
      <c r="F1094" s="79"/>
      <c r="G1094" s="82"/>
      <c r="H1094" s="68" t="str">
        <f t="shared" si="536"/>
        <v>Senbur0_20191119_01_00</v>
      </c>
      <c r="I1094" s="69">
        <f t="shared" si="537"/>
        <v>1</v>
      </c>
      <c r="J1094" s="76" t="str">
        <f t="shared" si="537"/>
        <v>Senecio</v>
      </c>
      <c r="K1094" s="76" t="str">
        <f t="shared" si="537"/>
        <v>burtoni</v>
      </c>
      <c r="L1094" s="77">
        <f t="shared" si="537"/>
        <v>0</v>
      </c>
      <c r="M1094" s="77">
        <f t="shared" si="537"/>
        <v>7</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19</v>
      </c>
      <c r="D1095" s="74">
        <f t="shared" si="518"/>
        <v>2</v>
      </c>
      <c r="E1095" s="75">
        <f t="shared" si="519"/>
        <v>0</v>
      </c>
      <c r="F1095" s="79"/>
      <c r="G1095" s="82"/>
      <c r="H1095" s="68" t="str">
        <f t="shared" si="536"/>
        <v>Senbur0_20191119_02_00</v>
      </c>
      <c r="I1095" s="69">
        <f t="shared" si="537"/>
        <v>1</v>
      </c>
      <c r="J1095" s="76" t="str">
        <f t="shared" si="537"/>
        <v>Senecio</v>
      </c>
      <c r="K1095" s="76" t="str">
        <f t="shared" si="537"/>
        <v>burtoni</v>
      </c>
      <c r="L1095" s="77">
        <f t="shared" si="537"/>
        <v>0</v>
      </c>
      <c r="M1095" s="77">
        <f t="shared" si="537"/>
        <v>7</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19</v>
      </c>
      <c r="D1096" s="74">
        <f t="shared" si="518"/>
        <v>2</v>
      </c>
      <c r="E1096" s="75">
        <f t="shared" si="519"/>
        <v>1</v>
      </c>
      <c r="F1096" s="79"/>
      <c r="G1096" s="82"/>
      <c r="H1096" s="68" t="str">
        <f t="shared" si="536"/>
        <v>Senbur0_20191119_02_00</v>
      </c>
      <c r="I1096" s="69">
        <f t="shared" si="537"/>
        <v>1</v>
      </c>
      <c r="J1096" s="76" t="str">
        <f t="shared" si="537"/>
        <v>Senecio</v>
      </c>
      <c r="K1096" s="76" t="str">
        <f t="shared" si="537"/>
        <v>burtoni</v>
      </c>
      <c r="L1096" s="77">
        <f t="shared" si="537"/>
        <v>0</v>
      </c>
      <c r="M1096" s="77">
        <f t="shared" si="537"/>
        <v>7</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19</v>
      </c>
      <c r="D1097" s="74">
        <f t="shared" si="518"/>
        <v>2</v>
      </c>
      <c r="E1097" s="75">
        <f t="shared" si="519"/>
        <v>2</v>
      </c>
      <c r="F1097" s="79"/>
      <c r="G1097" s="82"/>
      <c r="H1097" s="68" t="str">
        <f t="shared" si="536"/>
        <v>Senbur0_20191119_02_00</v>
      </c>
      <c r="I1097" s="69">
        <f t="shared" si="537"/>
        <v>1</v>
      </c>
      <c r="J1097" s="76" t="str">
        <f t="shared" si="537"/>
        <v>Senecio</v>
      </c>
      <c r="K1097" s="76" t="str">
        <f t="shared" si="537"/>
        <v>burtoni</v>
      </c>
      <c r="L1097" s="77">
        <f t="shared" si="537"/>
        <v>0</v>
      </c>
      <c r="M1097" s="77">
        <f t="shared" si="537"/>
        <v>7</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19</v>
      </c>
      <c r="D1098" s="74">
        <f t="shared" si="518"/>
        <v>2</v>
      </c>
      <c r="E1098" s="75">
        <f t="shared" si="519"/>
        <v>3</v>
      </c>
      <c r="F1098" s="79"/>
      <c r="G1098" s="82"/>
      <c r="H1098" s="68" t="str">
        <f t="shared" si="536"/>
        <v>Senbur0_20191119_02_00</v>
      </c>
      <c r="I1098" s="69">
        <f t="shared" si="537"/>
        <v>1</v>
      </c>
      <c r="J1098" s="76" t="str">
        <f t="shared" si="537"/>
        <v>Senecio</v>
      </c>
      <c r="K1098" s="76" t="str">
        <f t="shared" si="537"/>
        <v>burtoni</v>
      </c>
      <c r="L1098" s="77">
        <f t="shared" si="537"/>
        <v>0</v>
      </c>
      <c r="M1098" s="77">
        <f t="shared" si="537"/>
        <v>7</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19</v>
      </c>
      <c r="D1099" s="74">
        <f t="shared" si="518"/>
        <v>2</v>
      </c>
      <c r="E1099" s="75">
        <f t="shared" si="519"/>
        <v>4</v>
      </c>
      <c r="F1099" s="79"/>
      <c r="G1099" s="82"/>
      <c r="H1099" s="68" t="str">
        <f t="shared" si="536"/>
        <v>Senbur0_20191119_02_00</v>
      </c>
      <c r="I1099" s="69">
        <f t="shared" si="537"/>
        <v>1</v>
      </c>
      <c r="J1099" s="76" t="str">
        <f t="shared" si="537"/>
        <v>Senecio</v>
      </c>
      <c r="K1099" s="76" t="str">
        <f t="shared" si="537"/>
        <v>burtoni</v>
      </c>
      <c r="L1099" s="77">
        <f t="shared" si="537"/>
        <v>0</v>
      </c>
      <c r="M1099" s="77">
        <f t="shared" si="537"/>
        <v>7</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19</v>
      </c>
      <c r="D1100" s="74">
        <f t="shared" si="518"/>
        <v>2</v>
      </c>
      <c r="E1100" s="75">
        <f t="shared" si="519"/>
        <v>5</v>
      </c>
      <c r="F1100" s="79"/>
      <c r="G1100" s="82"/>
      <c r="H1100" s="68" t="str">
        <f t="shared" si="536"/>
        <v>Senbur0_20191119_02_00</v>
      </c>
      <c r="I1100" s="69">
        <f t="shared" si="537"/>
        <v>1</v>
      </c>
      <c r="J1100" s="76" t="str">
        <f t="shared" si="537"/>
        <v>Senecio</v>
      </c>
      <c r="K1100" s="76" t="str">
        <f t="shared" si="537"/>
        <v>burtoni</v>
      </c>
      <c r="L1100" s="77">
        <f t="shared" si="537"/>
        <v>0</v>
      </c>
      <c r="M1100" s="77">
        <f t="shared" si="537"/>
        <v>7</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19</v>
      </c>
      <c r="D1101" s="74">
        <f t="shared" si="518"/>
        <v>2</v>
      </c>
      <c r="E1101" s="75">
        <f t="shared" si="519"/>
        <v>6</v>
      </c>
      <c r="F1101" s="79"/>
      <c r="G1101" s="82"/>
      <c r="H1101" s="68" t="str">
        <f t="shared" si="536"/>
        <v>Senbur0_20191119_02_00</v>
      </c>
      <c r="I1101" s="69">
        <f t="shared" si="537"/>
        <v>1</v>
      </c>
      <c r="J1101" s="76" t="str">
        <f t="shared" si="537"/>
        <v>Senecio</v>
      </c>
      <c r="K1101" s="76" t="str">
        <f t="shared" si="537"/>
        <v>burtoni</v>
      </c>
      <c r="L1101" s="77">
        <f t="shared" si="537"/>
        <v>0</v>
      </c>
      <c r="M1101" s="77">
        <f t="shared" si="537"/>
        <v>7</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19</v>
      </c>
      <c r="D1102" s="74">
        <f t="shared" si="518"/>
        <v>2</v>
      </c>
      <c r="E1102" s="75">
        <f t="shared" si="519"/>
        <v>7</v>
      </c>
      <c r="F1102" s="79"/>
      <c r="G1102" s="82"/>
      <c r="H1102" s="68" t="str">
        <f t="shared" si="536"/>
        <v>Senbur0_20191119_02_00</v>
      </c>
      <c r="I1102" s="69">
        <f t="shared" si="537"/>
        <v>1</v>
      </c>
      <c r="J1102" s="76" t="str">
        <f t="shared" si="537"/>
        <v>Senecio</v>
      </c>
      <c r="K1102" s="76" t="str">
        <f t="shared" si="537"/>
        <v>burtoni</v>
      </c>
      <c r="L1102" s="77">
        <f t="shared" si="537"/>
        <v>0</v>
      </c>
      <c r="M1102" s="77">
        <f t="shared" si="537"/>
        <v>7</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19</v>
      </c>
      <c r="D1103" s="74">
        <f t="shared" si="518"/>
        <v>2</v>
      </c>
      <c r="E1103" s="75">
        <f t="shared" si="519"/>
        <v>8</v>
      </c>
      <c r="F1103" s="79"/>
      <c r="G1103" s="82"/>
      <c r="H1103" s="68" t="str">
        <f t="shared" si="536"/>
        <v>Senbur0_20191119_02_00</v>
      </c>
      <c r="I1103" s="69">
        <f t="shared" si="537"/>
        <v>1</v>
      </c>
      <c r="J1103" s="76" t="str">
        <f t="shared" si="537"/>
        <v>Senecio</v>
      </c>
      <c r="K1103" s="76" t="str">
        <f t="shared" si="537"/>
        <v>burtoni</v>
      </c>
      <c r="L1103" s="77">
        <f t="shared" si="537"/>
        <v>0</v>
      </c>
      <c r="M1103" s="77">
        <f t="shared" si="537"/>
        <v>7</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19</v>
      </c>
      <c r="D1104" s="74">
        <f t="shared" si="518"/>
        <v>2</v>
      </c>
      <c r="E1104" s="75">
        <f t="shared" si="519"/>
        <v>9</v>
      </c>
      <c r="F1104" s="79"/>
      <c r="G1104" s="82"/>
      <c r="H1104" s="68" t="str">
        <f t="shared" si="536"/>
        <v>Senbur0_20191119_02_00</v>
      </c>
      <c r="I1104" s="69">
        <f t="shared" si="537"/>
        <v>1</v>
      </c>
      <c r="J1104" s="76" t="str">
        <f t="shared" si="537"/>
        <v>Senecio</v>
      </c>
      <c r="K1104" s="76" t="str">
        <f t="shared" si="537"/>
        <v>burtoni</v>
      </c>
      <c r="L1104" s="77">
        <f t="shared" si="537"/>
        <v>0</v>
      </c>
      <c r="M1104" s="77">
        <f t="shared" si="537"/>
        <v>7</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19</v>
      </c>
      <c r="D1105" s="74">
        <f t="shared" si="518"/>
        <v>2</v>
      </c>
      <c r="E1105" s="75">
        <f t="shared" si="519"/>
        <v>10</v>
      </c>
      <c r="F1105" s="79"/>
      <c r="G1105" s="82"/>
      <c r="H1105" s="68" t="str">
        <f t="shared" si="536"/>
        <v>Senbur0_20191119_02_00</v>
      </c>
      <c r="I1105" s="69">
        <f t="shared" si="537"/>
        <v>1</v>
      </c>
      <c r="J1105" s="76" t="str">
        <f t="shared" si="537"/>
        <v>Senecio</v>
      </c>
      <c r="K1105" s="76" t="str">
        <f t="shared" si="537"/>
        <v>burtoni</v>
      </c>
      <c r="L1105" s="77">
        <f t="shared" si="537"/>
        <v>0</v>
      </c>
      <c r="M1105" s="77">
        <f t="shared" si="537"/>
        <v>7</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19</v>
      </c>
      <c r="D1106" s="74">
        <f t="shared" si="518"/>
        <v>2</v>
      </c>
      <c r="E1106" s="75">
        <f t="shared" si="519"/>
        <v>11</v>
      </c>
      <c r="F1106" s="79"/>
      <c r="G1106" s="82"/>
      <c r="H1106" s="68" t="str">
        <f t="shared" si="536"/>
        <v>Senbur0_20191119_02_00</v>
      </c>
      <c r="I1106" s="69">
        <f t="shared" si="537"/>
        <v>1</v>
      </c>
      <c r="J1106" s="76" t="str">
        <f t="shared" si="537"/>
        <v>Senecio</v>
      </c>
      <c r="K1106" s="76" t="str">
        <f t="shared" si="537"/>
        <v>burtoni</v>
      </c>
      <c r="L1106" s="77">
        <f t="shared" si="537"/>
        <v>0</v>
      </c>
      <c r="M1106" s="77">
        <f t="shared" si="537"/>
        <v>7</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19</v>
      </c>
      <c r="D1107" s="74">
        <f t="shared" si="518"/>
        <v>2</v>
      </c>
      <c r="E1107" s="75">
        <f t="shared" si="519"/>
        <v>12</v>
      </c>
      <c r="F1107" s="79"/>
      <c r="G1107" s="82"/>
      <c r="H1107" s="68" t="str">
        <f t="shared" si="536"/>
        <v>Senbur0_20191119_02_00</v>
      </c>
      <c r="I1107" s="69">
        <f t="shared" si="537"/>
        <v>1</v>
      </c>
      <c r="J1107" s="76" t="str">
        <f t="shared" si="537"/>
        <v>Senecio</v>
      </c>
      <c r="K1107" s="76" t="str">
        <f t="shared" si="537"/>
        <v>burtoni</v>
      </c>
      <c r="L1107" s="77">
        <f t="shared" si="537"/>
        <v>0</v>
      </c>
      <c r="M1107" s="77">
        <f t="shared" si="537"/>
        <v>7</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19</v>
      </c>
      <c r="D1108" s="74">
        <f t="shared" si="518"/>
        <v>2</v>
      </c>
      <c r="E1108" s="75">
        <f t="shared" si="519"/>
        <v>13</v>
      </c>
      <c r="F1108" s="79"/>
      <c r="G1108" s="82"/>
      <c r="H1108" s="68" t="str">
        <f t="shared" si="536"/>
        <v>Senbur0_20191119_02_00</v>
      </c>
      <c r="I1108" s="69">
        <f t="shared" si="537"/>
        <v>1</v>
      </c>
      <c r="J1108" s="76" t="str">
        <f t="shared" si="537"/>
        <v>Senecio</v>
      </c>
      <c r="K1108" s="76" t="str">
        <f t="shared" si="537"/>
        <v>burtoni</v>
      </c>
      <c r="L1108" s="77">
        <f t="shared" si="537"/>
        <v>0</v>
      </c>
      <c r="M1108" s="77">
        <f t="shared" si="537"/>
        <v>7</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19</v>
      </c>
      <c r="D1109" s="74">
        <f t="shared" si="518"/>
        <v>2</v>
      </c>
      <c r="E1109" s="75">
        <f t="shared" si="519"/>
        <v>14</v>
      </c>
      <c r="F1109" s="79"/>
      <c r="G1109" s="82"/>
      <c r="H1109" s="68" t="str">
        <f t="shared" si="536"/>
        <v>Senbur0_20191119_02_00</v>
      </c>
      <c r="I1109" s="69">
        <f t="shared" ref="I1109:N1124" si="538">I1108</f>
        <v>1</v>
      </c>
      <c r="J1109" s="76" t="str">
        <f t="shared" si="538"/>
        <v>Senecio</v>
      </c>
      <c r="K1109" s="76" t="str">
        <f t="shared" si="538"/>
        <v>burtoni</v>
      </c>
      <c r="L1109" s="77">
        <f t="shared" si="538"/>
        <v>0</v>
      </c>
      <c r="M1109" s="77">
        <f t="shared" si="538"/>
        <v>7</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19</v>
      </c>
      <c r="D1110" s="74">
        <f t="shared" si="518"/>
        <v>2</v>
      </c>
      <c r="E1110" s="75">
        <f t="shared" si="519"/>
        <v>15</v>
      </c>
      <c r="F1110" s="79"/>
      <c r="G1110" s="82"/>
      <c r="H1110" s="68" t="str">
        <f t="shared" si="536"/>
        <v>Senbur0_20191119_02_00</v>
      </c>
      <c r="I1110" s="69">
        <f t="shared" si="538"/>
        <v>1</v>
      </c>
      <c r="J1110" s="76" t="str">
        <f t="shared" si="538"/>
        <v>Senecio</v>
      </c>
      <c r="K1110" s="76" t="str">
        <f t="shared" si="538"/>
        <v>burtoni</v>
      </c>
      <c r="L1110" s="77">
        <f t="shared" si="538"/>
        <v>0</v>
      </c>
      <c r="M1110" s="77">
        <f t="shared" si="538"/>
        <v>7</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19</v>
      </c>
      <c r="D1111" s="74">
        <f t="shared" si="518"/>
        <v>2</v>
      </c>
      <c r="E1111" s="75">
        <f t="shared" si="519"/>
        <v>16</v>
      </c>
      <c r="F1111" s="79"/>
      <c r="G1111" s="82"/>
      <c r="H1111" s="68" t="str">
        <f t="shared" si="536"/>
        <v>Senbur0_20191119_02_00</v>
      </c>
      <c r="I1111" s="69">
        <f t="shared" si="538"/>
        <v>1</v>
      </c>
      <c r="J1111" s="76" t="str">
        <f t="shared" si="538"/>
        <v>Senecio</v>
      </c>
      <c r="K1111" s="76" t="str">
        <f t="shared" si="538"/>
        <v>burtoni</v>
      </c>
      <c r="L1111" s="77">
        <f t="shared" si="538"/>
        <v>0</v>
      </c>
      <c r="M1111" s="77">
        <f t="shared" si="538"/>
        <v>7</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19</v>
      </c>
      <c r="D1112" s="74">
        <f t="shared" si="518"/>
        <v>2</v>
      </c>
      <c r="E1112" s="75">
        <f t="shared" si="519"/>
        <v>17</v>
      </c>
      <c r="F1112" s="79"/>
      <c r="G1112" s="82"/>
      <c r="H1112" s="68" t="str">
        <f t="shared" si="536"/>
        <v>Senbur0_20191119_02_00</v>
      </c>
      <c r="I1112" s="69">
        <f t="shared" si="538"/>
        <v>1</v>
      </c>
      <c r="J1112" s="76" t="str">
        <f t="shared" si="538"/>
        <v>Senecio</v>
      </c>
      <c r="K1112" s="76" t="str">
        <f t="shared" si="538"/>
        <v>burtoni</v>
      </c>
      <c r="L1112" s="77">
        <f t="shared" si="538"/>
        <v>0</v>
      </c>
      <c r="M1112" s="77">
        <f t="shared" si="538"/>
        <v>7</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19</v>
      </c>
      <c r="D1113" s="74">
        <f t="shared" si="518"/>
        <v>2</v>
      </c>
      <c r="E1113" s="75">
        <f t="shared" si="519"/>
        <v>18</v>
      </c>
      <c r="F1113" s="79"/>
      <c r="G1113" s="82"/>
      <c r="H1113" s="68" t="str">
        <f t="shared" si="536"/>
        <v>Senbur0_20191119_02_00</v>
      </c>
      <c r="I1113" s="69">
        <f t="shared" si="538"/>
        <v>1</v>
      </c>
      <c r="J1113" s="76" t="str">
        <f t="shared" si="538"/>
        <v>Senecio</v>
      </c>
      <c r="K1113" s="76" t="str">
        <f t="shared" si="538"/>
        <v>burtoni</v>
      </c>
      <c r="L1113" s="77">
        <f t="shared" si="538"/>
        <v>0</v>
      </c>
      <c r="M1113" s="77">
        <f t="shared" si="538"/>
        <v>7</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19</v>
      </c>
      <c r="D1114" s="74">
        <f t="shared" si="518"/>
        <v>2</v>
      </c>
      <c r="E1114" s="75">
        <f t="shared" si="519"/>
        <v>19</v>
      </c>
      <c r="F1114" s="79"/>
      <c r="G1114" s="82"/>
      <c r="H1114" s="68" t="str">
        <f t="shared" si="536"/>
        <v>Senbur0_20191119_02_00</v>
      </c>
      <c r="I1114" s="69">
        <f t="shared" si="538"/>
        <v>1</v>
      </c>
      <c r="J1114" s="76" t="str">
        <f t="shared" si="538"/>
        <v>Senecio</v>
      </c>
      <c r="K1114" s="76" t="str">
        <f t="shared" si="538"/>
        <v>burtoni</v>
      </c>
      <c r="L1114" s="77">
        <f t="shared" si="538"/>
        <v>0</v>
      </c>
      <c r="M1114" s="77">
        <f t="shared" si="538"/>
        <v>7</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19</v>
      </c>
      <c r="D1115" s="74">
        <f t="shared" si="518"/>
        <v>2</v>
      </c>
      <c r="E1115" s="75">
        <f t="shared" si="519"/>
        <v>20</v>
      </c>
      <c r="F1115" s="79"/>
      <c r="G1115" s="82"/>
      <c r="H1115" s="68" t="str">
        <f t="shared" si="536"/>
        <v>Senbur0_20191119_02_00</v>
      </c>
      <c r="I1115" s="69">
        <f t="shared" si="538"/>
        <v>1</v>
      </c>
      <c r="J1115" s="76" t="str">
        <f t="shared" si="538"/>
        <v>Senecio</v>
      </c>
      <c r="K1115" s="76" t="str">
        <f t="shared" si="538"/>
        <v>burtoni</v>
      </c>
      <c r="L1115" s="77">
        <f t="shared" si="538"/>
        <v>0</v>
      </c>
      <c r="M1115" s="77">
        <f t="shared" si="538"/>
        <v>7</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19</v>
      </c>
      <c r="D1116" s="74">
        <f t="shared" si="518"/>
        <v>2</v>
      </c>
      <c r="E1116" s="75">
        <f t="shared" si="519"/>
        <v>21</v>
      </c>
      <c r="F1116" s="79"/>
      <c r="G1116" s="82"/>
      <c r="H1116" s="68" t="str">
        <f t="shared" si="536"/>
        <v>Senbur0_20191119_02_00</v>
      </c>
      <c r="I1116" s="69">
        <f t="shared" si="538"/>
        <v>1</v>
      </c>
      <c r="J1116" s="76" t="str">
        <f t="shared" si="538"/>
        <v>Senecio</v>
      </c>
      <c r="K1116" s="76" t="str">
        <f t="shared" si="538"/>
        <v>burtoni</v>
      </c>
      <c r="L1116" s="77">
        <f t="shared" si="538"/>
        <v>0</v>
      </c>
      <c r="M1116" s="77">
        <f t="shared" si="538"/>
        <v>7</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19</v>
      </c>
      <c r="D1117" s="74">
        <f t="shared" si="518"/>
        <v>2</v>
      </c>
      <c r="E1117" s="75">
        <f t="shared" si="519"/>
        <v>22</v>
      </c>
      <c r="F1117" s="79"/>
      <c r="G1117" s="82"/>
      <c r="H1117" s="68" t="str">
        <f t="shared" si="536"/>
        <v>Senbur0_20191119_02_00</v>
      </c>
      <c r="I1117" s="69">
        <f t="shared" si="538"/>
        <v>1</v>
      </c>
      <c r="J1117" s="76" t="str">
        <f t="shared" si="538"/>
        <v>Senecio</v>
      </c>
      <c r="K1117" s="76" t="str">
        <f t="shared" si="538"/>
        <v>burtoni</v>
      </c>
      <c r="L1117" s="77">
        <f t="shared" si="538"/>
        <v>0</v>
      </c>
      <c r="M1117" s="77">
        <f t="shared" si="538"/>
        <v>7</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19</v>
      </c>
      <c r="D1118" s="74">
        <f t="shared" si="518"/>
        <v>2</v>
      </c>
      <c r="E1118" s="75">
        <f t="shared" si="519"/>
        <v>23</v>
      </c>
      <c r="F1118" s="79"/>
      <c r="G1118" s="82"/>
      <c r="H1118" s="68" t="str">
        <f t="shared" si="536"/>
        <v>Senbur0_20191119_02_00</v>
      </c>
      <c r="I1118" s="69">
        <f t="shared" si="538"/>
        <v>1</v>
      </c>
      <c r="J1118" s="76" t="str">
        <f t="shared" si="538"/>
        <v>Senecio</v>
      </c>
      <c r="K1118" s="76" t="str">
        <f t="shared" si="538"/>
        <v>burtoni</v>
      </c>
      <c r="L1118" s="77">
        <f t="shared" si="538"/>
        <v>0</v>
      </c>
      <c r="M1118" s="77">
        <f t="shared" si="538"/>
        <v>7</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19</v>
      </c>
      <c r="D1119" s="74">
        <f t="shared" si="518"/>
        <v>2</v>
      </c>
      <c r="E1119" s="75">
        <f t="shared" si="519"/>
        <v>24</v>
      </c>
      <c r="F1119" s="79"/>
      <c r="G1119" s="82"/>
      <c r="H1119" s="68" t="str">
        <f t="shared" si="536"/>
        <v>Senbur0_20191119_02_00</v>
      </c>
      <c r="I1119" s="69">
        <f t="shared" si="538"/>
        <v>1</v>
      </c>
      <c r="J1119" s="76" t="str">
        <f t="shared" si="538"/>
        <v>Senecio</v>
      </c>
      <c r="K1119" s="76" t="str">
        <f t="shared" si="538"/>
        <v>burtoni</v>
      </c>
      <c r="L1119" s="77">
        <f t="shared" si="538"/>
        <v>0</v>
      </c>
      <c r="M1119" s="77">
        <f t="shared" si="538"/>
        <v>7</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19</v>
      </c>
      <c r="D1120" s="74">
        <f t="shared" si="518"/>
        <v>2</v>
      </c>
      <c r="E1120" s="75">
        <f t="shared" si="519"/>
        <v>25</v>
      </c>
      <c r="F1120" s="79"/>
      <c r="G1120" s="82"/>
      <c r="H1120" s="68" t="str">
        <f t="shared" si="536"/>
        <v>Senbur0_20191119_02_00</v>
      </c>
      <c r="I1120" s="69">
        <f t="shared" si="538"/>
        <v>1</v>
      </c>
      <c r="J1120" s="76" t="str">
        <f t="shared" si="538"/>
        <v>Senecio</v>
      </c>
      <c r="K1120" s="76" t="str">
        <f t="shared" si="538"/>
        <v>burtoni</v>
      </c>
      <c r="L1120" s="77">
        <f t="shared" si="538"/>
        <v>0</v>
      </c>
      <c r="M1120" s="77">
        <f t="shared" si="538"/>
        <v>7</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19</v>
      </c>
      <c r="D1121" s="74">
        <f t="shared" si="518"/>
        <v>2</v>
      </c>
      <c r="E1121" s="75">
        <f t="shared" si="519"/>
        <v>26</v>
      </c>
      <c r="F1121" s="79"/>
      <c r="G1121" s="82"/>
      <c r="H1121" s="68" t="str">
        <f t="shared" si="536"/>
        <v>Senbur0_20191119_02_00</v>
      </c>
      <c r="I1121" s="69">
        <f t="shared" si="538"/>
        <v>1</v>
      </c>
      <c r="J1121" s="76" t="str">
        <f t="shared" si="538"/>
        <v>Senecio</v>
      </c>
      <c r="K1121" s="76" t="str">
        <f t="shared" si="538"/>
        <v>burtoni</v>
      </c>
      <c r="L1121" s="77">
        <f t="shared" si="538"/>
        <v>0</v>
      </c>
      <c r="M1121" s="77">
        <f t="shared" si="538"/>
        <v>7</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19</v>
      </c>
      <c r="D1122" s="74">
        <f t="shared" si="518"/>
        <v>2</v>
      </c>
      <c r="E1122" s="75">
        <f t="shared" si="519"/>
        <v>27</v>
      </c>
      <c r="F1122" s="79"/>
      <c r="G1122" s="82"/>
      <c r="H1122" s="68" t="str">
        <f t="shared" si="536"/>
        <v>Senbur0_20191119_02_00</v>
      </c>
      <c r="I1122" s="69">
        <f t="shared" si="538"/>
        <v>1</v>
      </c>
      <c r="J1122" s="76" t="str">
        <f t="shared" si="538"/>
        <v>Senecio</v>
      </c>
      <c r="K1122" s="76" t="str">
        <f t="shared" si="538"/>
        <v>burtoni</v>
      </c>
      <c r="L1122" s="77">
        <f t="shared" si="538"/>
        <v>0</v>
      </c>
      <c r="M1122" s="77">
        <f t="shared" si="538"/>
        <v>7</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19</v>
      </c>
      <c r="D1123" s="74">
        <f t="shared" si="518"/>
        <v>2</v>
      </c>
      <c r="E1123" s="75">
        <f t="shared" si="519"/>
        <v>28</v>
      </c>
      <c r="F1123" s="79"/>
      <c r="G1123" s="82"/>
      <c r="H1123" s="68" t="str">
        <f t="shared" si="536"/>
        <v>Senbur0_20191119_02_00</v>
      </c>
      <c r="I1123" s="69">
        <f t="shared" si="538"/>
        <v>1</v>
      </c>
      <c r="J1123" s="76" t="str">
        <f t="shared" si="538"/>
        <v>Senecio</v>
      </c>
      <c r="K1123" s="76" t="str">
        <f t="shared" si="538"/>
        <v>burtoni</v>
      </c>
      <c r="L1123" s="77">
        <f t="shared" si="538"/>
        <v>0</v>
      </c>
      <c r="M1123" s="77">
        <f t="shared" si="538"/>
        <v>7</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19</v>
      </c>
      <c r="D1124" s="74">
        <f t="shared" si="518"/>
        <v>2</v>
      </c>
      <c r="E1124" s="75">
        <f t="shared" si="519"/>
        <v>29</v>
      </c>
      <c r="F1124" s="79"/>
      <c r="G1124" s="82"/>
      <c r="H1124" s="68" t="str">
        <f t="shared" si="536"/>
        <v>Senbur0_20191119_02_00</v>
      </c>
      <c r="I1124" s="69">
        <f t="shared" si="538"/>
        <v>1</v>
      </c>
      <c r="J1124" s="76" t="str">
        <f t="shared" si="538"/>
        <v>Senecio</v>
      </c>
      <c r="K1124" s="76" t="str">
        <f t="shared" si="538"/>
        <v>burtoni</v>
      </c>
      <c r="L1124" s="77">
        <f t="shared" si="538"/>
        <v>0</v>
      </c>
      <c r="M1124" s="77">
        <f t="shared" si="538"/>
        <v>7</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19</v>
      </c>
      <c r="D1125" s="74">
        <f t="shared" si="518"/>
        <v>2</v>
      </c>
      <c r="E1125" s="75">
        <f t="shared" si="519"/>
        <v>30</v>
      </c>
      <c r="F1125" s="79"/>
      <c r="G1125" s="82"/>
      <c r="H1125" s="68" t="str">
        <f t="shared" si="536"/>
        <v>Senbur0_20191119_02_00</v>
      </c>
      <c r="I1125" s="69">
        <f t="shared" ref="I1125:N1140" si="539">I1124</f>
        <v>1</v>
      </c>
      <c r="J1125" s="76" t="str">
        <f t="shared" si="539"/>
        <v>Senecio</v>
      </c>
      <c r="K1125" s="76" t="str">
        <f t="shared" si="539"/>
        <v>burtoni</v>
      </c>
      <c r="L1125" s="77">
        <f t="shared" si="539"/>
        <v>0</v>
      </c>
      <c r="M1125" s="77">
        <f t="shared" si="539"/>
        <v>7</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19</v>
      </c>
      <c r="D1126" s="74">
        <f t="shared" si="518"/>
        <v>2</v>
      </c>
      <c r="E1126" s="75">
        <f t="shared" si="519"/>
        <v>31</v>
      </c>
      <c r="F1126" s="79"/>
      <c r="G1126" s="82"/>
      <c r="H1126" s="68" t="str">
        <f t="shared" si="536"/>
        <v>Senbur0_20191119_02_00</v>
      </c>
      <c r="I1126" s="69">
        <f t="shared" si="539"/>
        <v>1</v>
      </c>
      <c r="J1126" s="76" t="str">
        <f t="shared" si="539"/>
        <v>Senecio</v>
      </c>
      <c r="K1126" s="76" t="str">
        <f t="shared" si="539"/>
        <v>burtoni</v>
      </c>
      <c r="L1126" s="77">
        <f t="shared" si="539"/>
        <v>0</v>
      </c>
      <c r="M1126" s="77">
        <f t="shared" si="539"/>
        <v>7</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19</v>
      </c>
      <c r="D1127" s="74">
        <f t="shared" si="518"/>
        <v>2</v>
      </c>
      <c r="E1127" s="75">
        <f t="shared" si="519"/>
        <v>32</v>
      </c>
      <c r="F1127" s="79"/>
      <c r="G1127" s="82"/>
      <c r="H1127" s="68" t="str">
        <f t="shared" si="536"/>
        <v>Senbur0_20191119_02_00</v>
      </c>
      <c r="I1127" s="69">
        <f t="shared" si="539"/>
        <v>1</v>
      </c>
      <c r="J1127" s="76" t="str">
        <f t="shared" si="539"/>
        <v>Senecio</v>
      </c>
      <c r="K1127" s="76" t="str">
        <f t="shared" si="539"/>
        <v>burtoni</v>
      </c>
      <c r="L1127" s="77">
        <f t="shared" si="539"/>
        <v>0</v>
      </c>
      <c r="M1127" s="77">
        <f t="shared" si="539"/>
        <v>7</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19</v>
      </c>
      <c r="D1128" s="74">
        <f t="shared" si="518"/>
        <v>2</v>
      </c>
      <c r="E1128" s="75">
        <f t="shared" si="519"/>
        <v>33</v>
      </c>
      <c r="F1128" s="79"/>
      <c r="G1128" s="82"/>
      <c r="H1128" s="68" t="str">
        <f t="shared" si="536"/>
        <v>Senbur0_20191119_02_00</v>
      </c>
      <c r="I1128" s="69">
        <f t="shared" si="539"/>
        <v>1</v>
      </c>
      <c r="J1128" s="76" t="str">
        <f t="shared" si="539"/>
        <v>Senecio</v>
      </c>
      <c r="K1128" s="76" t="str">
        <f t="shared" si="539"/>
        <v>burtoni</v>
      </c>
      <c r="L1128" s="77">
        <f t="shared" si="539"/>
        <v>0</v>
      </c>
      <c r="M1128" s="77">
        <f t="shared" si="539"/>
        <v>7</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19</v>
      </c>
      <c r="D1129" s="74">
        <f t="shared" si="518"/>
        <v>2</v>
      </c>
      <c r="E1129" s="75">
        <f t="shared" si="519"/>
        <v>34</v>
      </c>
      <c r="F1129" s="79"/>
      <c r="G1129" s="82"/>
      <c r="H1129" s="68" t="str">
        <f t="shared" si="536"/>
        <v>Senbur0_20191119_02_00</v>
      </c>
      <c r="I1129" s="69">
        <f t="shared" si="539"/>
        <v>1</v>
      </c>
      <c r="J1129" s="76" t="str">
        <f t="shared" si="539"/>
        <v>Senecio</v>
      </c>
      <c r="K1129" s="76" t="str">
        <f t="shared" si="539"/>
        <v>burtoni</v>
      </c>
      <c r="L1129" s="77">
        <f t="shared" si="539"/>
        <v>0</v>
      </c>
      <c r="M1129" s="77">
        <f t="shared" si="539"/>
        <v>7</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19</v>
      </c>
      <c r="D1130" s="74">
        <f t="shared" si="518"/>
        <v>2</v>
      </c>
      <c r="E1130" s="75">
        <f t="shared" si="519"/>
        <v>35</v>
      </c>
      <c r="F1130" s="79"/>
      <c r="G1130" s="82"/>
      <c r="H1130" s="68" t="str">
        <f t="shared" si="536"/>
        <v>Senbur0_20191119_02_00</v>
      </c>
      <c r="I1130" s="69">
        <f t="shared" si="539"/>
        <v>1</v>
      </c>
      <c r="J1130" s="76" t="str">
        <f t="shared" si="539"/>
        <v>Senecio</v>
      </c>
      <c r="K1130" s="76" t="str">
        <f t="shared" si="539"/>
        <v>burtoni</v>
      </c>
      <c r="L1130" s="77">
        <f t="shared" si="539"/>
        <v>0</v>
      </c>
      <c r="M1130" s="77">
        <f t="shared" si="539"/>
        <v>7</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19</v>
      </c>
      <c r="D1131" s="74">
        <f t="shared" si="518"/>
        <v>2</v>
      </c>
      <c r="E1131" s="75">
        <f t="shared" si="519"/>
        <v>36</v>
      </c>
      <c r="F1131" s="79"/>
      <c r="G1131" s="82"/>
      <c r="H1131" s="68" t="str">
        <f t="shared" si="536"/>
        <v>Senbur0_20191119_02_00</v>
      </c>
      <c r="I1131" s="69">
        <f t="shared" si="539"/>
        <v>1</v>
      </c>
      <c r="J1131" s="76" t="str">
        <f t="shared" si="539"/>
        <v>Senecio</v>
      </c>
      <c r="K1131" s="76" t="str">
        <f t="shared" si="539"/>
        <v>burtoni</v>
      </c>
      <c r="L1131" s="77">
        <f t="shared" si="539"/>
        <v>0</v>
      </c>
      <c r="M1131" s="77">
        <f t="shared" si="539"/>
        <v>7</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19</v>
      </c>
      <c r="D1132" s="74">
        <f t="shared" si="518"/>
        <v>2</v>
      </c>
      <c r="E1132" s="75">
        <f t="shared" si="519"/>
        <v>37</v>
      </c>
      <c r="F1132" s="79"/>
      <c r="G1132" s="82"/>
      <c r="H1132" s="68" t="str">
        <f t="shared" si="536"/>
        <v>Senbur0_20191119_02_00</v>
      </c>
      <c r="I1132" s="69">
        <f t="shared" si="539"/>
        <v>1</v>
      </c>
      <c r="J1132" s="76" t="str">
        <f t="shared" si="539"/>
        <v>Senecio</v>
      </c>
      <c r="K1132" s="76" t="str">
        <f t="shared" si="539"/>
        <v>burtoni</v>
      </c>
      <c r="L1132" s="77">
        <f t="shared" si="539"/>
        <v>0</v>
      </c>
      <c r="M1132" s="77">
        <f t="shared" si="539"/>
        <v>7</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19</v>
      </c>
      <c r="D1133" s="74">
        <f t="shared" si="518"/>
        <v>2</v>
      </c>
      <c r="E1133" s="75">
        <f t="shared" si="519"/>
        <v>38</v>
      </c>
      <c r="F1133" s="79"/>
      <c r="G1133" s="82"/>
      <c r="H1133" s="68" t="str">
        <f t="shared" si="536"/>
        <v>Senbur0_20191119_02_00</v>
      </c>
      <c r="I1133" s="69">
        <f t="shared" si="539"/>
        <v>1</v>
      </c>
      <c r="J1133" s="76" t="str">
        <f t="shared" si="539"/>
        <v>Senecio</v>
      </c>
      <c r="K1133" s="76" t="str">
        <f t="shared" si="539"/>
        <v>burtoni</v>
      </c>
      <c r="L1133" s="77">
        <f t="shared" si="539"/>
        <v>0</v>
      </c>
      <c r="M1133" s="77">
        <f t="shared" si="539"/>
        <v>7</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19</v>
      </c>
      <c r="D1134" s="74">
        <f t="shared" si="518"/>
        <v>2</v>
      </c>
      <c r="E1134" s="75">
        <f t="shared" si="519"/>
        <v>39</v>
      </c>
      <c r="F1134" s="79"/>
      <c r="G1134" s="82"/>
      <c r="H1134" s="68" t="str">
        <f t="shared" si="536"/>
        <v>Senbur0_20191119_02_00</v>
      </c>
      <c r="I1134" s="69">
        <f t="shared" si="539"/>
        <v>1</v>
      </c>
      <c r="J1134" s="76" t="str">
        <f t="shared" si="539"/>
        <v>Senecio</v>
      </c>
      <c r="K1134" s="76" t="str">
        <f t="shared" si="539"/>
        <v>burtoni</v>
      </c>
      <c r="L1134" s="77">
        <f t="shared" si="539"/>
        <v>0</v>
      </c>
      <c r="M1134" s="77">
        <f t="shared" si="539"/>
        <v>7</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19</v>
      </c>
      <c r="D1135" s="74">
        <f t="shared" si="518"/>
        <v>2</v>
      </c>
      <c r="E1135" s="75">
        <f t="shared" si="519"/>
        <v>40</v>
      </c>
      <c r="F1135" s="79"/>
      <c r="G1135" s="82"/>
      <c r="H1135" s="68" t="str">
        <f t="shared" si="536"/>
        <v>Senbur0_20191119_02_00</v>
      </c>
      <c r="I1135" s="69">
        <f t="shared" si="539"/>
        <v>1</v>
      </c>
      <c r="J1135" s="76" t="str">
        <f t="shared" si="539"/>
        <v>Senecio</v>
      </c>
      <c r="K1135" s="76" t="str">
        <f t="shared" si="539"/>
        <v>burtoni</v>
      </c>
      <c r="L1135" s="77">
        <f t="shared" si="539"/>
        <v>0</v>
      </c>
      <c r="M1135" s="77">
        <f t="shared" si="539"/>
        <v>7</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19</v>
      </c>
      <c r="D1136" s="74">
        <f t="shared" si="518"/>
        <v>2</v>
      </c>
      <c r="E1136" s="75">
        <f t="shared" si="519"/>
        <v>41</v>
      </c>
      <c r="F1136" s="79"/>
      <c r="G1136" s="82"/>
      <c r="H1136" s="68" t="str">
        <f t="shared" si="536"/>
        <v>Senbur0_20191119_02_00</v>
      </c>
      <c r="I1136" s="69">
        <f t="shared" si="539"/>
        <v>1</v>
      </c>
      <c r="J1136" s="76" t="str">
        <f t="shared" si="539"/>
        <v>Senecio</v>
      </c>
      <c r="K1136" s="76" t="str">
        <f t="shared" si="539"/>
        <v>burtoni</v>
      </c>
      <c r="L1136" s="77">
        <f t="shared" si="539"/>
        <v>0</v>
      </c>
      <c r="M1136" s="77">
        <f t="shared" si="539"/>
        <v>7</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19</v>
      </c>
      <c r="D1137" s="74">
        <f t="shared" si="518"/>
        <v>2</v>
      </c>
      <c r="E1137" s="75">
        <f t="shared" si="519"/>
        <v>42</v>
      </c>
      <c r="F1137" s="79"/>
      <c r="G1137" s="82"/>
      <c r="H1137" s="68" t="str">
        <f t="shared" si="536"/>
        <v>Senbur0_20191119_02_00</v>
      </c>
      <c r="I1137" s="69">
        <f t="shared" si="539"/>
        <v>1</v>
      </c>
      <c r="J1137" s="76" t="str">
        <f t="shared" si="539"/>
        <v>Senecio</v>
      </c>
      <c r="K1137" s="76" t="str">
        <f t="shared" si="539"/>
        <v>burtoni</v>
      </c>
      <c r="L1137" s="77">
        <f t="shared" si="539"/>
        <v>0</v>
      </c>
      <c r="M1137" s="77">
        <f t="shared" si="539"/>
        <v>7</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19</v>
      </c>
      <c r="D1138" s="74">
        <f t="shared" si="518"/>
        <v>2</v>
      </c>
      <c r="E1138" s="75">
        <f t="shared" si="519"/>
        <v>43</v>
      </c>
      <c r="F1138" s="79"/>
      <c r="G1138" s="82"/>
      <c r="H1138" s="68" t="str">
        <f t="shared" si="536"/>
        <v>Senbur0_20191119_02_00</v>
      </c>
      <c r="I1138" s="69">
        <f t="shared" si="539"/>
        <v>1</v>
      </c>
      <c r="J1138" s="76" t="str">
        <f t="shared" si="539"/>
        <v>Senecio</v>
      </c>
      <c r="K1138" s="76" t="str">
        <f t="shared" si="539"/>
        <v>burtoni</v>
      </c>
      <c r="L1138" s="77">
        <f t="shared" si="539"/>
        <v>0</v>
      </c>
      <c r="M1138" s="77">
        <f t="shared" si="539"/>
        <v>7</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19</v>
      </c>
      <c r="D1139" s="74">
        <f t="shared" si="518"/>
        <v>2</v>
      </c>
      <c r="E1139" s="75">
        <f t="shared" si="519"/>
        <v>44</v>
      </c>
      <c r="F1139" s="79">
        <v>36</v>
      </c>
      <c r="G1139" s="82"/>
      <c r="H1139" s="68" t="str">
        <f t="shared" si="536"/>
        <v>Senbur0_20191119_02_00</v>
      </c>
      <c r="I1139" s="69">
        <f t="shared" si="539"/>
        <v>1</v>
      </c>
      <c r="J1139" s="76" t="str">
        <f t="shared" si="539"/>
        <v>Senecio</v>
      </c>
      <c r="K1139" s="76" t="str">
        <f t="shared" si="539"/>
        <v>burtoni</v>
      </c>
      <c r="L1139" s="77">
        <f t="shared" si="539"/>
        <v>0</v>
      </c>
      <c r="M1139" s="77">
        <f t="shared" si="539"/>
        <v>7</v>
      </c>
      <c r="N1139" s="71">
        <f t="shared" si="539"/>
        <v>0</v>
      </c>
      <c r="O1139" s="44"/>
      <c r="P1139" s="45">
        <f t="shared" si="520"/>
        <v>1</v>
      </c>
      <c r="Q1139" s="46" t="str">
        <f t="shared" si="521"/>
        <v>02:44:36</v>
      </c>
      <c r="R1139" s="47" t="str">
        <f t="shared" si="522"/>
        <v>44:36</v>
      </c>
      <c r="S1139" s="48">
        <f t="shared" si="511"/>
        <v>21</v>
      </c>
      <c r="T1139" s="47" t="str">
        <f t="shared" si="523"/>
        <v>02</v>
      </c>
      <c r="U1139" s="49">
        <v>44</v>
      </c>
      <c r="V1139" s="50">
        <v>57</v>
      </c>
      <c r="W1139" s="51" t="str">
        <f t="shared" si="524"/>
        <v>44:57</v>
      </c>
      <c r="X1139" s="52" t="s">
        <v>74</v>
      </c>
      <c r="Y1139" s="124" t="s">
        <v>97</v>
      </c>
      <c r="Z1139" s="124"/>
      <c r="AA1139" s="47" t="s">
        <v>76</v>
      </c>
      <c r="AB1139" s="47" t="str">
        <f t="shared" si="525"/>
        <v>NA</v>
      </c>
      <c r="AC1139" s="53">
        <f t="shared" si="526"/>
        <v>0</v>
      </c>
      <c r="AD1139" s="54">
        <v>4</v>
      </c>
      <c r="AE1139" s="54"/>
      <c r="AF1139" s="54"/>
      <c r="AG1139" s="55" t="str">
        <f t="shared" si="528"/>
        <v/>
      </c>
      <c r="AH1139" s="56" t="str">
        <f t="shared" si="529"/>
        <v/>
      </c>
      <c r="AI1139" s="55"/>
      <c r="AJ1139" s="56" t="str">
        <f t="shared" si="530"/>
        <v/>
      </c>
      <c r="AK1139" s="55"/>
      <c r="AL1139" s="56" t="str">
        <f t="shared" si="531"/>
        <v/>
      </c>
      <c r="AM1139" s="55">
        <v>1</v>
      </c>
      <c r="AN1139" s="56">
        <f t="shared" si="532"/>
        <v>21</v>
      </c>
      <c r="AO1139" s="55"/>
      <c r="AP1139" s="56" t="str">
        <f t="shared" si="533"/>
        <v/>
      </c>
      <c r="AQ1139" s="55"/>
      <c r="AR1139" s="56" t="str">
        <f t="shared" si="534"/>
        <v/>
      </c>
      <c r="AS1139" s="57"/>
      <c r="AT1139" s="58"/>
      <c r="AU1139" s="58"/>
      <c r="AV1139" s="59"/>
      <c r="AW1139" s="60">
        <v>1</v>
      </c>
      <c r="AX1139" s="61">
        <f t="shared" si="513"/>
        <v>4</v>
      </c>
      <c r="AY1139" s="60">
        <v>1</v>
      </c>
      <c r="AZ1139" s="61">
        <f t="shared" si="515"/>
        <v>4</v>
      </c>
    </row>
    <row r="1140" spans="1:52" s="3" customFormat="1" hidden="1" x14ac:dyDescent="0.35">
      <c r="A1140" s="72">
        <f t="shared" si="516"/>
        <v>2019</v>
      </c>
      <c r="B1140" s="72" t="str">
        <f t="shared" si="517"/>
        <v>Nov</v>
      </c>
      <c r="C1140" s="73">
        <f t="shared" si="535"/>
        <v>19</v>
      </c>
      <c r="D1140" s="74">
        <f t="shared" si="518"/>
        <v>2</v>
      </c>
      <c r="E1140" s="75">
        <f t="shared" si="519"/>
        <v>45</v>
      </c>
      <c r="F1140" s="79"/>
      <c r="G1140" s="82"/>
      <c r="H1140" s="68" t="str">
        <f t="shared" si="536"/>
        <v>Senbur0_20191119_02_00</v>
      </c>
      <c r="I1140" s="69">
        <f t="shared" si="539"/>
        <v>1</v>
      </c>
      <c r="J1140" s="76" t="str">
        <f t="shared" si="539"/>
        <v>Senecio</v>
      </c>
      <c r="K1140" s="76" t="str">
        <f t="shared" si="539"/>
        <v>burtoni</v>
      </c>
      <c r="L1140" s="77">
        <f t="shared" si="539"/>
        <v>0</v>
      </c>
      <c r="M1140" s="77">
        <f t="shared" si="539"/>
        <v>7</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19</v>
      </c>
      <c r="D1141" s="74">
        <f t="shared" si="518"/>
        <v>2</v>
      </c>
      <c r="E1141" s="75">
        <f t="shared" si="519"/>
        <v>46</v>
      </c>
      <c r="F1141" s="79"/>
      <c r="G1141" s="82"/>
      <c r="H1141" s="68" t="str">
        <f t="shared" si="536"/>
        <v>Senbur0_20191119_02_00</v>
      </c>
      <c r="I1141" s="69">
        <f t="shared" ref="I1141:N1156" si="540">I1140</f>
        <v>1</v>
      </c>
      <c r="J1141" s="76" t="str">
        <f t="shared" si="540"/>
        <v>Senecio</v>
      </c>
      <c r="K1141" s="76" t="str">
        <f t="shared" si="540"/>
        <v>burtoni</v>
      </c>
      <c r="L1141" s="77">
        <f t="shared" si="540"/>
        <v>0</v>
      </c>
      <c r="M1141" s="77">
        <f t="shared" si="540"/>
        <v>7</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19</v>
      </c>
      <c r="D1142" s="74">
        <f t="shared" si="518"/>
        <v>2</v>
      </c>
      <c r="E1142" s="75">
        <f t="shared" si="519"/>
        <v>47</v>
      </c>
      <c r="F1142" s="79"/>
      <c r="G1142" s="82"/>
      <c r="H1142" s="68" t="str">
        <f t="shared" si="536"/>
        <v>Senbur0_20191119_02_00</v>
      </c>
      <c r="I1142" s="69">
        <f t="shared" si="540"/>
        <v>1</v>
      </c>
      <c r="J1142" s="76" t="str">
        <f t="shared" si="540"/>
        <v>Senecio</v>
      </c>
      <c r="K1142" s="76" t="str">
        <f t="shared" si="540"/>
        <v>burtoni</v>
      </c>
      <c r="L1142" s="77">
        <f t="shared" si="540"/>
        <v>0</v>
      </c>
      <c r="M1142" s="77">
        <f t="shared" si="540"/>
        <v>7</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19</v>
      </c>
      <c r="D1143" s="74">
        <f t="shared" si="518"/>
        <v>2</v>
      </c>
      <c r="E1143" s="75">
        <f t="shared" si="519"/>
        <v>48</v>
      </c>
      <c r="F1143" s="79"/>
      <c r="G1143" s="82"/>
      <c r="H1143" s="68" t="str">
        <f t="shared" si="536"/>
        <v>Senbur0_20191119_02_00</v>
      </c>
      <c r="I1143" s="69">
        <f t="shared" si="540"/>
        <v>1</v>
      </c>
      <c r="J1143" s="76" t="str">
        <f t="shared" si="540"/>
        <v>Senecio</v>
      </c>
      <c r="K1143" s="76" t="str">
        <f t="shared" si="540"/>
        <v>burtoni</v>
      </c>
      <c r="L1143" s="77">
        <f t="shared" si="540"/>
        <v>0</v>
      </c>
      <c r="M1143" s="77">
        <f t="shared" si="540"/>
        <v>7</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19</v>
      </c>
      <c r="D1144" s="74">
        <f t="shared" si="518"/>
        <v>2</v>
      </c>
      <c r="E1144" s="75">
        <f t="shared" si="519"/>
        <v>49</v>
      </c>
      <c r="F1144" s="79"/>
      <c r="G1144" s="82"/>
      <c r="H1144" s="68" t="str">
        <f t="shared" si="536"/>
        <v>Senbur0_20191119_02_00</v>
      </c>
      <c r="I1144" s="69">
        <f t="shared" si="540"/>
        <v>1</v>
      </c>
      <c r="J1144" s="76" t="str">
        <f t="shared" si="540"/>
        <v>Senecio</v>
      </c>
      <c r="K1144" s="76" t="str">
        <f t="shared" si="540"/>
        <v>burtoni</v>
      </c>
      <c r="L1144" s="77">
        <f t="shared" si="540"/>
        <v>0</v>
      </c>
      <c r="M1144" s="77">
        <f t="shared" si="540"/>
        <v>7</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19</v>
      </c>
      <c r="D1145" s="74">
        <f t="shared" si="518"/>
        <v>2</v>
      </c>
      <c r="E1145" s="75">
        <f t="shared" si="519"/>
        <v>50</v>
      </c>
      <c r="F1145" s="79"/>
      <c r="G1145" s="82"/>
      <c r="H1145" s="68" t="str">
        <f t="shared" si="536"/>
        <v>Senbur0_20191119_02_00</v>
      </c>
      <c r="I1145" s="69">
        <f t="shared" si="540"/>
        <v>1</v>
      </c>
      <c r="J1145" s="76" t="str">
        <f t="shared" si="540"/>
        <v>Senecio</v>
      </c>
      <c r="K1145" s="76" t="str">
        <f t="shared" si="540"/>
        <v>burtoni</v>
      </c>
      <c r="L1145" s="77">
        <f t="shared" si="540"/>
        <v>0</v>
      </c>
      <c r="M1145" s="77">
        <f t="shared" si="540"/>
        <v>7</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19</v>
      </c>
      <c r="D1146" s="74">
        <f t="shared" si="518"/>
        <v>2</v>
      </c>
      <c r="E1146" s="75">
        <f t="shared" si="519"/>
        <v>51</v>
      </c>
      <c r="F1146" s="79"/>
      <c r="G1146" s="82"/>
      <c r="H1146" s="68" t="str">
        <f t="shared" si="536"/>
        <v>Senbur0_20191119_02_00</v>
      </c>
      <c r="I1146" s="69">
        <f t="shared" si="540"/>
        <v>1</v>
      </c>
      <c r="J1146" s="76" t="str">
        <f t="shared" si="540"/>
        <v>Senecio</v>
      </c>
      <c r="K1146" s="76" t="str">
        <f t="shared" si="540"/>
        <v>burtoni</v>
      </c>
      <c r="L1146" s="77">
        <f t="shared" si="540"/>
        <v>0</v>
      </c>
      <c r="M1146" s="77">
        <f t="shared" si="540"/>
        <v>7</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19</v>
      </c>
      <c r="D1147" s="74">
        <f t="shared" si="518"/>
        <v>2</v>
      </c>
      <c r="E1147" s="75">
        <f t="shared" si="519"/>
        <v>52</v>
      </c>
      <c r="F1147" s="79"/>
      <c r="G1147" s="82"/>
      <c r="H1147" s="68" t="str">
        <f t="shared" si="536"/>
        <v>Senbur0_20191119_02_00</v>
      </c>
      <c r="I1147" s="69">
        <f t="shared" si="540"/>
        <v>1</v>
      </c>
      <c r="J1147" s="76" t="str">
        <f t="shared" si="540"/>
        <v>Senecio</v>
      </c>
      <c r="K1147" s="76" t="str">
        <f t="shared" si="540"/>
        <v>burtoni</v>
      </c>
      <c r="L1147" s="77">
        <f t="shared" si="540"/>
        <v>0</v>
      </c>
      <c r="M1147" s="77">
        <f t="shared" si="540"/>
        <v>7</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19</v>
      </c>
      <c r="D1148" s="74">
        <f t="shared" si="518"/>
        <v>2</v>
      </c>
      <c r="E1148" s="75">
        <f t="shared" si="519"/>
        <v>53</v>
      </c>
      <c r="F1148" s="79"/>
      <c r="G1148" s="82"/>
      <c r="H1148" s="68" t="str">
        <f t="shared" si="536"/>
        <v>Senbur0_20191119_02_00</v>
      </c>
      <c r="I1148" s="69">
        <f t="shared" si="540"/>
        <v>1</v>
      </c>
      <c r="J1148" s="76" t="str">
        <f t="shared" si="540"/>
        <v>Senecio</v>
      </c>
      <c r="K1148" s="76" t="str">
        <f t="shared" si="540"/>
        <v>burtoni</v>
      </c>
      <c r="L1148" s="77">
        <f t="shared" si="540"/>
        <v>0</v>
      </c>
      <c r="M1148" s="77">
        <f t="shared" si="540"/>
        <v>7</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19</v>
      </c>
      <c r="D1149" s="74">
        <f t="shared" si="518"/>
        <v>2</v>
      </c>
      <c r="E1149" s="75">
        <f t="shared" si="519"/>
        <v>54</v>
      </c>
      <c r="F1149" s="79"/>
      <c r="G1149" s="82"/>
      <c r="H1149" s="68" t="str">
        <f t="shared" si="536"/>
        <v>Senbur0_20191119_02_00</v>
      </c>
      <c r="I1149" s="69">
        <f t="shared" si="540"/>
        <v>1</v>
      </c>
      <c r="J1149" s="76" t="str">
        <f t="shared" si="540"/>
        <v>Senecio</v>
      </c>
      <c r="K1149" s="76" t="str">
        <f t="shared" si="540"/>
        <v>burtoni</v>
      </c>
      <c r="L1149" s="77">
        <f t="shared" si="540"/>
        <v>0</v>
      </c>
      <c r="M1149" s="77">
        <f t="shared" si="540"/>
        <v>7</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19</v>
      </c>
      <c r="D1150" s="74">
        <f t="shared" si="518"/>
        <v>2</v>
      </c>
      <c r="E1150" s="75">
        <f t="shared" si="519"/>
        <v>55</v>
      </c>
      <c r="F1150" s="79"/>
      <c r="G1150" s="82"/>
      <c r="H1150" s="68" t="str">
        <f t="shared" si="536"/>
        <v>Senbur0_20191119_02_00</v>
      </c>
      <c r="I1150" s="69">
        <f t="shared" si="540"/>
        <v>1</v>
      </c>
      <c r="J1150" s="76" t="str">
        <f t="shared" si="540"/>
        <v>Senecio</v>
      </c>
      <c r="K1150" s="76" t="str">
        <f t="shared" si="540"/>
        <v>burtoni</v>
      </c>
      <c r="L1150" s="77">
        <f t="shared" si="540"/>
        <v>0</v>
      </c>
      <c r="M1150" s="77">
        <f t="shared" si="540"/>
        <v>7</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19</v>
      </c>
      <c r="D1151" s="74">
        <f t="shared" si="518"/>
        <v>2</v>
      </c>
      <c r="E1151" s="75">
        <f t="shared" si="519"/>
        <v>56</v>
      </c>
      <c r="F1151" s="79"/>
      <c r="G1151" s="82"/>
      <c r="H1151" s="68" t="str">
        <f t="shared" si="536"/>
        <v>Senbur0_20191119_02_00</v>
      </c>
      <c r="I1151" s="69">
        <f t="shared" si="540"/>
        <v>1</v>
      </c>
      <c r="J1151" s="76" t="str">
        <f t="shared" si="540"/>
        <v>Senecio</v>
      </c>
      <c r="K1151" s="76" t="str">
        <f t="shared" si="540"/>
        <v>burtoni</v>
      </c>
      <c r="L1151" s="77">
        <f t="shared" si="540"/>
        <v>0</v>
      </c>
      <c r="M1151" s="77">
        <f t="shared" si="540"/>
        <v>7</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19</v>
      </c>
      <c r="D1152" s="74">
        <f t="shared" si="518"/>
        <v>2</v>
      </c>
      <c r="E1152" s="75">
        <f t="shared" si="519"/>
        <v>57</v>
      </c>
      <c r="F1152" s="79">
        <v>56</v>
      </c>
      <c r="G1152" s="82"/>
      <c r="H1152" s="68" t="str">
        <f t="shared" si="536"/>
        <v>Senbur0_20191119_02_00</v>
      </c>
      <c r="I1152" s="69">
        <f t="shared" si="540"/>
        <v>1</v>
      </c>
      <c r="J1152" s="76" t="str">
        <f t="shared" si="540"/>
        <v>Senecio</v>
      </c>
      <c r="K1152" s="76" t="str">
        <f t="shared" si="540"/>
        <v>burtoni</v>
      </c>
      <c r="L1152" s="77">
        <f t="shared" si="540"/>
        <v>0</v>
      </c>
      <c r="M1152" s="77">
        <f t="shared" si="540"/>
        <v>7</v>
      </c>
      <c r="N1152" s="71">
        <f t="shared" si="540"/>
        <v>0</v>
      </c>
      <c r="O1152" s="44"/>
      <c r="P1152" s="45">
        <f t="shared" si="520"/>
        <v>1</v>
      </c>
      <c r="Q1152" s="46" t="str">
        <f t="shared" si="521"/>
        <v>02:57:56</v>
      </c>
      <c r="R1152" s="47" t="str">
        <f t="shared" si="522"/>
        <v>57:56</v>
      </c>
      <c r="S1152" s="48">
        <f t="shared" si="511"/>
        <v>3</v>
      </c>
      <c r="T1152" s="47" t="str">
        <f t="shared" si="523"/>
        <v>02</v>
      </c>
      <c r="U1152" s="49">
        <v>57</v>
      </c>
      <c r="V1152" s="50">
        <v>59</v>
      </c>
      <c r="W1152" s="51" t="str">
        <f t="shared" si="524"/>
        <v>57:59</v>
      </c>
      <c r="X1152" s="52" t="s">
        <v>74</v>
      </c>
      <c r="Y1152" s="124" t="s">
        <v>97</v>
      </c>
      <c r="Z1152" s="124"/>
      <c r="AA1152" s="47" t="s">
        <v>76</v>
      </c>
      <c r="AB1152" s="47" t="str">
        <f t="shared" si="525"/>
        <v>NA</v>
      </c>
      <c r="AC1152" s="53">
        <f t="shared" si="526"/>
        <v>0</v>
      </c>
      <c r="AD1152" s="54">
        <f t="shared" si="527"/>
        <v>1</v>
      </c>
      <c r="AE1152" s="54"/>
      <c r="AF1152" s="54"/>
      <c r="AG1152" s="55" t="str">
        <f t="shared" si="528"/>
        <v/>
      </c>
      <c r="AH1152" s="56" t="str">
        <f t="shared" si="529"/>
        <v/>
      </c>
      <c r="AI1152" s="55"/>
      <c r="AJ1152" s="56" t="str">
        <f t="shared" si="530"/>
        <v/>
      </c>
      <c r="AK1152" s="55"/>
      <c r="AL1152" s="56" t="str">
        <f t="shared" si="531"/>
        <v/>
      </c>
      <c r="AM1152" s="55">
        <v>1</v>
      </c>
      <c r="AN1152" s="56">
        <f t="shared" si="532"/>
        <v>3</v>
      </c>
      <c r="AO1152" s="55"/>
      <c r="AP1152" s="56" t="str">
        <f t="shared" si="533"/>
        <v/>
      </c>
      <c r="AQ1152" s="55"/>
      <c r="AR1152" s="56" t="str">
        <f t="shared" si="534"/>
        <v/>
      </c>
      <c r="AS1152" s="57"/>
      <c r="AT1152" s="58"/>
      <c r="AU1152" s="58"/>
      <c r="AV1152" s="59"/>
      <c r="AW1152" s="60">
        <v>1</v>
      </c>
      <c r="AX1152" s="61">
        <f t="shared" si="513"/>
        <v>1</v>
      </c>
      <c r="AY1152" s="60">
        <v>1</v>
      </c>
      <c r="AZ1152" s="61">
        <f t="shared" si="515"/>
        <v>1</v>
      </c>
    </row>
    <row r="1153" spans="1:52" s="3" customFormat="1" hidden="1" x14ac:dyDescent="0.35">
      <c r="A1153" s="72">
        <f t="shared" si="516"/>
        <v>2019</v>
      </c>
      <c r="B1153" s="72" t="str">
        <f t="shared" si="517"/>
        <v>Nov</v>
      </c>
      <c r="C1153" s="73">
        <f t="shared" si="535"/>
        <v>19</v>
      </c>
      <c r="D1153" s="74">
        <f t="shared" si="518"/>
        <v>2</v>
      </c>
      <c r="E1153" s="75">
        <f t="shared" si="519"/>
        <v>58</v>
      </c>
      <c r="F1153" s="79"/>
      <c r="G1153" s="82"/>
      <c r="H1153" s="68" t="str">
        <f t="shared" si="536"/>
        <v>Senbur0_20191119_02_00</v>
      </c>
      <c r="I1153" s="69">
        <f t="shared" si="540"/>
        <v>1</v>
      </c>
      <c r="J1153" s="76" t="str">
        <f t="shared" si="540"/>
        <v>Senecio</v>
      </c>
      <c r="K1153" s="76" t="str">
        <f t="shared" si="540"/>
        <v>burtoni</v>
      </c>
      <c r="L1153" s="77">
        <f t="shared" si="540"/>
        <v>0</v>
      </c>
      <c r="M1153" s="77">
        <f t="shared" si="540"/>
        <v>7</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19</v>
      </c>
      <c r="D1154" s="74">
        <f t="shared" si="518"/>
        <v>2</v>
      </c>
      <c r="E1154" s="75">
        <f t="shared" si="519"/>
        <v>59</v>
      </c>
      <c r="F1154" s="79"/>
      <c r="G1154" s="82"/>
      <c r="H1154" s="68" t="str">
        <f t="shared" si="536"/>
        <v>Senbur0_20191119_02_00</v>
      </c>
      <c r="I1154" s="69">
        <f t="shared" si="540"/>
        <v>1</v>
      </c>
      <c r="J1154" s="76" t="str">
        <f t="shared" si="540"/>
        <v>Senecio</v>
      </c>
      <c r="K1154" s="76" t="str">
        <f t="shared" si="540"/>
        <v>burtoni</v>
      </c>
      <c r="L1154" s="77">
        <f t="shared" si="540"/>
        <v>0</v>
      </c>
      <c r="M1154" s="77">
        <f t="shared" si="540"/>
        <v>7</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19</v>
      </c>
      <c r="D1155" s="74">
        <f t="shared" si="518"/>
        <v>3</v>
      </c>
      <c r="E1155" s="75">
        <f t="shared" si="519"/>
        <v>0</v>
      </c>
      <c r="F1155" s="79"/>
      <c r="G1155" s="82"/>
      <c r="H1155" s="68" t="str">
        <f t="shared" si="536"/>
        <v>Senbur0_20191119_03_00</v>
      </c>
      <c r="I1155" s="69">
        <f t="shared" si="540"/>
        <v>1</v>
      </c>
      <c r="J1155" s="76" t="str">
        <f t="shared" si="540"/>
        <v>Senecio</v>
      </c>
      <c r="K1155" s="76" t="str">
        <f t="shared" si="540"/>
        <v>burtoni</v>
      </c>
      <c r="L1155" s="77">
        <f t="shared" si="540"/>
        <v>0</v>
      </c>
      <c r="M1155" s="77">
        <f t="shared" si="540"/>
        <v>7</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19</v>
      </c>
      <c r="D1156" s="74">
        <f t="shared" ref="D1156:D1219" si="548">IF(IF(E1155=59,D1155+1,D1155)=24,0,IF(E1155=59,D1155+1,D1155))</f>
        <v>3</v>
      </c>
      <c r="E1156" s="75">
        <f t="shared" ref="E1156:E1219" si="549">IF(E1155&lt;59,E1155+1,0)</f>
        <v>1</v>
      </c>
      <c r="F1156" s="79"/>
      <c r="G1156" s="82"/>
      <c r="H1156" s="68" t="str">
        <f t="shared" si="536"/>
        <v>Senbur0_20191119_03_00</v>
      </c>
      <c r="I1156" s="69">
        <f t="shared" si="540"/>
        <v>1</v>
      </c>
      <c r="J1156" s="76" t="str">
        <f t="shared" si="540"/>
        <v>Senecio</v>
      </c>
      <c r="K1156" s="76" t="str">
        <f t="shared" si="540"/>
        <v>burtoni</v>
      </c>
      <c r="L1156" s="77">
        <f t="shared" si="540"/>
        <v>0</v>
      </c>
      <c r="M1156" s="77">
        <f t="shared" si="540"/>
        <v>7</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19</v>
      </c>
      <c r="D1157" s="74">
        <f t="shared" si="548"/>
        <v>3</v>
      </c>
      <c r="E1157" s="75">
        <f t="shared" si="549"/>
        <v>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Senbur0_20191119_03_00</v>
      </c>
      <c r="I1157" s="69">
        <f t="shared" ref="I1157:N1172" si="567">I1156</f>
        <v>1</v>
      </c>
      <c r="J1157" s="76" t="str">
        <f t="shared" si="567"/>
        <v>Senecio</v>
      </c>
      <c r="K1157" s="76" t="str">
        <f t="shared" si="567"/>
        <v>burtoni</v>
      </c>
      <c r="L1157" s="77">
        <f t="shared" si="567"/>
        <v>0</v>
      </c>
      <c r="M1157" s="77">
        <f t="shared" si="567"/>
        <v>7</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19</v>
      </c>
      <c r="D1158" s="74">
        <f t="shared" si="548"/>
        <v>3</v>
      </c>
      <c r="E1158" s="75">
        <f t="shared" si="549"/>
        <v>3</v>
      </c>
      <c r="F1158" s="79"/>
      <c r="G1158" s="82"/>
      <c r="H1158" s="68" t="str">
        <f t="shared" si="566"/>
        <v>Senbur0_20191119_03_00</v>
      </c>
      <c r="I1158" s="69">
        <f t="shared" si="567"/>
        <v>1</v>
      </c>
      <c r="J1158" s="76" t="str">
        <f t="shared" si="567"/>
        <v>Senecio</v>
      </c>
      <c r="K1158" s="76" t="str">
        <f t="shared" si="567"/>
        <v>burtoni</v>
      </c>
      <c r="L1158" s="77">
        <f t="shared" si="567"/>
        <v>0</v>
      </c>
      <c r="M1158" s="77">
        <f t="shared" si="567"/>
        <v>7</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19</v>
      </c>
      <c r="D1159" s="74">
        <f t="shared" si="548"/>
        <v>3</v>
      </c>
      <c r="E1159" s="75">
        <f t="shared" si="549"/>
        <v>4</v>
      </c>
      <c r="F1159" s="79"/>
      <c r="G1159" s="82"/>
      <c r="H1159" s="68" t="str">
        <f t="shared" si="566"/>
        <v>Senbur0_20191119_03_00</v>
      </c>
      <c r="I1159" s="69">
        <f t="shared" si="567"/>
        <v>1</v>
      </c>
      <c r="J1159" s="76" t="str">
        <f t="shared" si="567"/>
        <v>Senecio</v>
      </c>
      <c r="K1159" s="76" t="str">
        <f t="shared" si="567"/>
        <v>burtoni</v>
      </c>
      <c r="L1159" s="77">
        <f t="shared" si="567"/>
        <v>0</v>
      </c>
      <c r="M1159" s="77">
        <f t="shared" si="567"/>
        <v>7</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19</v>
      </c>
      <c r="D1160" s="74">
        <f t="shared" si="548"/>
        <v>3</v>
      </c>
      <c r="E1160" s="75">
        <f t="shared" si="549"/>
        <v>5</v>
      </c>
      <c r="F1160" s="79"/>
      <c r="G1160" s="82"/>
      <c r="H1160" s="68" t="str">
        <f t="shared" si="566"/>
        <v>Senbur0_20191119_03_00</v>
      </c>
      <c r="I1160" s="69">
        <f t="shared" si="567"/>
        <v>1</v>
      </c>
      <c r="J1160" s="76" t="str">
        <f t="shared" si="567"/>
        <v>Senecio</v>
      </c>
      <c r="K1160" s="76" t="str">
        <f t="shared" si="567"/>
        <v>burtoni</v>
      </c>
      <c r="L1160" s="77">
        <f t="shared" si="567"/>
        <v>0</v>
      </c>
      <c r="M1160" s="77">
        <f t="shared" si="567"/>
        <v>7</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19</v>
      </c>
      <c r="D1161" s="74">
        <f t="shared" si="548"/>
        <v>3</v>
      </c>
      <c r="E1161" s="75">
        <f t="shared" si="549"/>
        <v>6</v>
      </c>
      <c r="F1161" s="79"/>
      <c r="G1161" s="82"/>
      <c r="H1161" s="68" t="str">
        <f t="shared" si="566"/>
        <v>Senbur0_20191119_03_00</v>
      </c>
      <c r="I1161" s="69">
        <f t="shared" si="567"/>
        <v>1</v>
      </c>
      <c r="J1161" s="76" t="str">
        <f t="shared" si="567"/>
        <v>Senecio</v>
      </c>
      <c r="K1161" s="76" t="str">
        <f t="shared" si="567"/>
        <v>burtoni</v>
      </c>
      <c r="L1161" s="77">
        <f t="shared" si="567"/>
        <v>0</v>
      </c>
      <c r="M1161" s="77">
        <f t="shared" si="567"/>
        <v>7</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19</v>
      </c>
      <c r="D1162" s="74">
        <f t="shared" si="548"/>
        <v>3</v>
      </c>
      <c r="E1162" s="75">
        <f t="shared" si="549"/>
        <v>7</v>
      </c>
      <c r="F1162" s="79"/>
      <c r="G1162" s="82"/>
      <c r="H1162" s="68" t="str">
        <f t="shared" si="566"/>
        <v>Senbur0_20191119_03_00</v>
      </c>
      <c r="I1162" s="69">
        <f t="shared" si="567"/>
        <v>1</v>
      </c>
      <c r="J1162" s="76" t="str">
        <f t="shared" si="567"/>
        <v>Senecio</v>
      </c>
      <c r="K1162" s="76" t="str">
        <f t="shared" si="567"/>
        <v>burtoni</v>
      </c>
      <c r="L1162" s="77">
        <f t="shared" si="567"/>
        <v>0</v>
      </c>
      <c r="M1162" s="77">
        <f t="shared" si="567"/>
        <v>7</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19</v>
      </c>
      <c r="D1163" s="74">
        <f t="shared" si="548"/>
        <v>3</v>
      </c>
      <c r="E1163" s="75">
        <f t="shared" si="549"/>
        <v>8</v>
      </c>
      <c r="F1163" s="79"/>
      <c r="G1163" s="82"/>
      <c r="H1163" s="68" t="str">
        <f t="shared" si="566"/>
        <v>Senbur0_20191119_03_00</v>
      </c>
      <c r="I1163" s="69">
        <f t="shared" si="567"/>
        <v>1</v>
      </c>
      <c r="J1163" s="76" t="str">
        <f t="shared" si="567"/>
        <v>Senecio</v>
      </c>
      <c r="K1163" s="76" t="str">
        <f t="shared" si="567"/>
        <v>burtoni</v>
      </c>
      <c r="L1163" s="77">
        <f t="shared" si="567"/>
        <v>0</v>
      </c>
      <c r="M1163" s="77">
        <f t="shared" si="567"/>
        <v>7</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19</v>
      </c>
      <c r="D1164" s="74">
        <f t="shared" si="548"/>
        <v>3</v>
      </c>
      <c r="E1164" s="75">
        <f t="shared" si="549"/>
        <v>9</v>
      </c>
      <c r="F1164" s="79"/>
      <c r="G1164" s="82"/>
      <c r="H1164" s="68" t="str">
        <f t="shared" si="566"/>
        <v>Senbur0_20191119_03_00</v>
      </c>
      <c r="I1164" s="69">
        <f t="shared" si="567"/>
        <v>1</v>
      </c>
      <c r="J1164" s="76" t="str">
        <f t="shared" si="567"/>
        <v>Senecio</v>
      </c>
      <c r="K1164" s="76" t="str">
        <f t="shared" si="567"/>
        <v>burtoni</v>
      </c>
      <c r="L1164" s="77">
        <f t="shared" si="567"/>
        <v>0</v>
      </c>
      <c r="M1164" s="77">
        <f t="shared" si="567"/>
        <v>7</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19</v>
      </c>
      <c r="D1165" s="74">
        <f t="shared" si="548"/>
        <v>3</v>
      </c>
      <c r="E1165" s="75">
        <f t="shared" si="549"/>
        <v>10</v>
      </c>
      <c r="F1165" s="79"/>
      <c r="G1165" s="82"/>
      <c r="H1165" s="68" t="str">
        <f t="shared" si="566"/>
        <v>Senbur0_20191119_03_00</v>
      </c>
      <c r="I1165" s="69">
        <f t="shared" si="567"/>
        <v>1</v>
      </c>
      <c r="J1165" s="76" t="str">
        <f t="shared" si="567"/>
        <v>Senecio</v>
      </c>
      <c r="K1165" s="76" t="str">
        <f t="shared" si="567"/>
        <v>burtoni</v>
      </c>
      <c r="L1165" s="77">
        <f t="shared" si="567"/>
        <v>0</v>
      </c>
      <c r="M1165" s="77">
        <f t="shared" si="567"/>
        <v>7</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19</v>
      </c>
      <c r="D1166" s="74">
        <f t="shared" si="548"/>
        <v>3</v>
      </c>
      <c r="E1166" s="75">
        <f t="shared" si="549"/>
        <v>11</v>
      </c>
      <c r="F1166" s="79"/>
      <c r="G1166" s="82"/>
      <c r="H1166" s="68" t="str">
        <f t="shared" si="566"/>
        <v>Senbur0_20191119_03_00</v>
      </c>
      <c r="I1166" s="69">
        <f t="shared" si="567"/>
        <v>1</v>
      </c>
      <c r="J1166" s="76" t="str">
        <f t="shared" si="567"/>
        <v>Senecio</v>
      </c>
      <c r="K1166" s="76" t="str">
        <f t="shared" si="567"/>
        <v>burtoni</v>
      </c>
      <c r="L1166" s="77">
        <f t="shared" si="567"/>
        <v>0</v>
      </c>
      <c r="M1166" s="77">
        <f t="shared" si="567"/>
        <v>7</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19</v>
      </c>
      <c r="D1167" s="74">
        <f t="shared" si="548"/>
        <v>3</v>
      </c>
      <c r="E1167" s="75">
        <f t="shared" si="549"/>
        <v>12</v>
      </c>
      <c r="F1167" s="79"/>
      <c r="G1167" s="82"/>
      <c r="H1167" s="68" t="str">
        <f t="shared" si="566"/>
        <v>Senbur0_20191119_03_00</v>
      </c>
      <c r="I1167" s="69">
        <f t="shared" si="567"/>
        <v>1</v>
      </c>
      <c r="J1167" s="76" t="str">
        <f t="shared" si="567"/>
        <v>Senecio</v>
      </c>
      <c r="K1167" s="76" t="str">
        <f t="shared" si="567"/>
        <v>burtoni</v>
      </c>
      <c r="L1167" s="77">
        <f t="shared" si="567"/>
        <v>0</v>
      </c>
      <c r="M1167" s="77">
        <f t="shared" si="567"/>
        <v>7</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19</v>
      </c>
      <c r="D1168" s="74">
        <f t="shared" si="548"/>
        <v>3</v>
      </c>
      <c r="E1168" s="75">
        <f t="shared" si="549"/>
        <v>13</v>
      </c>
      <c r="F1168" s="79"/>
      <c r="G1168" s="82"/>
      <c r="H1168" s="68" t="str">
        <f t="shared" si="566"/>
        <v>Senbur0_20191119_03_00</v>
      </c>
      <c r="I1168" s="69">
        <f t="shared" si="567"/>
        <v>1</v>
      </c>
      <c r="J1168" s="76" t="str">
        <f t="shared" si="567"/>
        <v>Senecio</v>
      </c>
      <c r="K1168" s="76" t="str">
        <f t="shared" si="567"/>
        <v>burtoni</v>
      </c>
      <c r="L1168" s="77">
        <f t="shared" si="567"/>
        <v>0</v>
      </c>
      <c r="M1168" s="77">
        <f t="shared" si="567"/>
        <v>7</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19</v>
      </c>
      <c r="D1169" s="74">
        <f t="shared" si="548"/>
        <v>3</v>
      </c>
      <c r="E1169" s="75">
        <f t="shared" si="549"/>
        <v>14</v>
      </c>
      <c r="F1169" s="79"/>
      <c r="G1169" s="82"/>
      <c r="H1169" s="68" t="str">
        <f t="shared" si="566"/>
        <v>Senbur0_20191119_03_00</v>
      </c>
      <c r="I1169" s="69">
        <f t="shared" si="567"/>
        <v>1</v>
      </c>
      <c r="J1169" s="76" t="str">
        <f t="shared" si="567"/>
        <v>Senecio</v>
      </c>
      <c r="K1169" s="76" t="str">
        <f t="shared" si="567"/>
        <v>burtoni</v>
      </c>
      <c r="L1169" s="77">
        <f t="shared" si="567"/>
        <v>0</v>
      </c>
      <c r="M1169" s="77">
        <f t="shared" si="567"/>
        <v>7</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19</v>
      </c>
      <c r="D1170" s="74">
        <f t="shared" si="548"/>
        <v>3</v>
      </c>
      <c r="E1170" s="75">
        <f t="shared" si="549"/>
        <v>15</v>
      </c>
      <c r="F1170" s="79"/>
      <c r="G1170" s="82"/>
      <c r="H1170" s="68" t="str">
        <f t="shared" si="566"/>
        <v>Senbur0_20191119_03_00</v>
      </c>
      <c r="I1170" s="69">
        <f t="shared" si="567"/>
        <v>1</v>
      </c>
      <c r="J1170" s="76" t="str">
        <f t="shared" si="567"/>
        <v>Senecio</v>
      </c>
      <c r="K1170" s="76" t="str">
        <f t="shared" si="567"/>
        <v>burtoni</v>
      </c>
      <c r="L1170" s="77">
        <f t="shared" si="567"/>
        <v>0</v>
      </c>
      <c r="M1170" s="77">
        <f t="shared" si="567"/>
        <v>7</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19</v>
      </c>
      <c r="D1171" s="74">
        <f t="shared" si="548"/>
        <v>3</v>
      </c>
      <c r="E1171" s="75">
        <f t="shared" si="549"/>
        <v>16</v>
      </c>
      <c r="F1171" s="79"/>
      <c r="G1171" s="82"/>
      <c r="H1171" s="68" t="str">
        <f t="shared" si="566"/>
        <v>Senbur0_20191119_03_00</v>
      </c>
      <c r="I1171" s="69">
        <f t="shared" si="567"/>
        <v>1</v>
      </c>
      <c r="J1171" s="76" t="str">
        <f t="shared" si="567"/>
        <v>Senecio</v>
      </c>
      <c r="K1171" s="76" t="str">
        <f t="shared" si="567"/>
        <v>burtoni</v>
      </c>
      <c r="L1171" s="77">
        <f t="shared" si="567"/>
        <v>0</v>
      </c>
      <c r="M1171" s="77">
        <f t="shared" si="567"/>
        <v>7</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19</v>
      </c>
      <c r="D1172" s="74">
        <f t="shared" si="548"/>
        <v>3</v>
      </c>
      <c r="E1172" s="75">
        <f t="shared" si="549"/>
        <v>17</v>
      </c>
      <c r="F1172" s="79"/>
      <c r="G1172" s="82"/>
      <c r="H1172" s="68" t="str">
        <f t="shared" si="566"/>
        <v>Senbur0_20191119_03_00</v>
      </c>
      <c r="I1172" s="69">
        <f t="shared" si="567"/>
        <v>1</v>
      </c>
      <c r="J1172" s="76" t="str">
        <f t="shared" si="567"/>
        <v>Senecio</v>
      </c>
      <c r="K1172" s="76" t="str">
        <f t="shared" si="567"/>
        <v>burtoni</v>
      </c>
      <c r="L1172" s="77">
        <f t="shared" si="567"/>
        <v>0</v>
      </c>
      <c r="M1172" s="77">
        <f t="shared" si="567"/>
        <v>7</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19</v>
      </c>
      <c r="D1173" s="74">
        <f t="shared" si="548"/>
        <v>3</v>
      </c>
      <c r="E1173" s="75">
        <f t="shared" si="549"/>
        <v>18</v>
      </c>
      <c r="F1173" s="79"/>
      <c r="G1173" s="82"/>
      <c r="H1173" s="68" t="str">
        <f t="shared" si="566"/>
        <v>Senbur0_20191119_03_00</v>
      </c>
      <c r="I1173" s="69">
        <f t="shared" ref="I1173:N1188" si="568">I1172</f>
        <v>1</v>
      </c>
      <c r="J1173" s="76" t="str">
        <f t="shared" si="568"/>
        <v>Senecio</v>
      </c>
      <c r="K1173" s="76" t="str">
        <f t="shared" si="568"/>
        <v>burtoni</v>
      </c>
      <c r="L1173" s="77">
        <f t="shared" si="568"/>
        <v>0</v>
      </c>
      <c r="M1173" s="77">
        <f t="shared" si="568"/>
        <v>7</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19</v>
      </c>
      <c r="D1174" s="74">
        <f t="shared" si="548"/>
        <v>3</v>
      </c>
      <c r="E1174" s="75">
        <f t="shared" si="549"/>
        <v>19</v>
      </c>
      <c r="F1174" s="79"/>
      <c r="G1174" s="82"/>
      <c r="H1174" s="68" t="str">
        <f t="shared" si="566"/>
        <v>Senbur0_20191119_03_00</v>
      </c>
      <c r="I1174" s="69">
        <f t="shared" si="568"/>
        <v>1</v>
      </c>
      <c r="J1174" s="76" t="str">
        <f t="shared" si="568"/>
        <v>Senecio</v>
      </c>
      <c r="K1174" s="76" t="str">
        <f t="shared" si="568"/>
        <v>burtoni</v>
      </c>
      <c r="L1174" s="77">
        <f t="shared" si="568"/>
        <v>0</v>
      </c>
      <c r="M1174" s="77">
        <f t="shared" si="568"/>
        <v>7</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19</v>
      </c>
      <c r="D1175" s="74">
        <f t="shared" si="548"/>
        <v>3</v>
      </c>
      <c r="E1175" s="75">
        <f t="shared" si="549"/>
        <v>20</v>
      </c>
      <c r="F1175" s="79"/>
      <c r="G1175" s="82"/>
      <c r="H1175" s="68" t="str">
        <f t="shared" si="566"/>
        <v>Senbur0_20191119_03_00</v>
      </c>
      <c r="I1175" s="69">
        <f t="shared" si="568"/>
        <v>1</v>
      </c>
      <c r="J1175" s="76" t="str">
        <f t="shared" si="568"/>
        <v>Senecio</v>
      </c>
      <c r="K1175" s="76" t="str">
        <f t="shared" si="568"/>
        <v>burtoni</v>
      </c>
      <c r="L1175" s="77">
        <f t="shared" si="568"/>
        <v>0</v>
      </c>
      <c r="M1175" s="77">
        <f t="shared" si="568"/>
        <v>7</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19</v>
      </c>
      <c r="D1176" s="74">
        <f t="shared" si="548"/>
        <v>3</v>
      </c>
      <c r="E1176" s="75">
        <f t="shared" si="549"/>
        <v>21</v>
      </c>
      <c r="F1176" s="79"/>
      <c r="G1176" s="82"/>
      <c r="H1176" s="68" t="str">
        <f t="shared" si="566"/>
        <v>Senbur0_20191119_03_00</v>
      </c>
      <c r="I1176" s="69">
        <f t="shared" si="568"/>
        <v>1</v>
      </c>
      <c r="J1176" s="76" t="str">
        <f t="shared" si="568"/>
        <v>Senecio</v>
      </c>
      <c r="K1176" s="76" t="str">
        <f t="shared" si="568"/>
        <v>burtoni</v>
      </c>
      <c r="L1176" s="77">
        <f t="shared" si="568"/>
        <v>0</v>
      </c>
      <c r="M1176" s="77">
        <f t="shared" si="568"/>
        <v>7</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19</v>
      </c>
      <c r="D1177" s="74">
        <f t="shared" si="548"/>
        <v>3</v>
      </c>
      <c r="E1177" s="75">
        <f t="shared" si="549"/>
        <v>22</v>
      </c>
      <c r="F1177" s="79"/>
      <c r="G1177" s="82"/>
      <c r="H1177" s="68" t="str">
        <f t="shared" si="566"/>
        <v>Senbur0_20191119_03_00</v>
      </c>
      <c r="I1177" s="69">
        <f t="shared" si="568"/>
        <v>1</v>
      </c>
      <c r="J1177" s="76" t="str">
        <f t="shared" si="568"/>
        <v>Senecio</v>
      </c>
      <c r="K1177" s="76" t="str">
        <f t="shared" si="568"/>
        <v>burtoni</v>
      </c>
      <c r="L1177" s="77">
        <f t="shared" si="568"/>
        <v>0</v>
      </c>
      <c r="M1177" s="77">
        <f t="shared" si="568"/>
        <v>7</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19</v>
      </c>
      <c r="D1178" s="74">
        <f t="shared" si="548"/>
        <v>3</v>
      </c>
      <c r="E1178" s="75">
        <f t="shared" si="549"/>
        <v>23</v>
      </c>
      <c r="F1178" s="79"/>
      <c r="G1178" s="82"/>
      <c r="H1178" s="68" t="str">
        <f t="shared" si="566"/>
        <v>Senbur0_20191119_03_00</v>
      </c>
      <c r="I1178" s="69">
        <f t="shared" si="568"/>
        <v>1</v>
      </c>
      <c r="J1178" s="76" t="str">
        <f t="shared" si="568"/>
        <v>Senecio</v>
      </c>
      <c r="K1178" s="76" t="str">
        <f t="shared" si="568"/>
        <v>burtoni</v>
      </c>
      <c r="L1178" s="77">
        <f t="shared" si="568"/>
        <v>0</v>
      </c>
      <c r="M1178" s="77">
        <f t="shared" si="568"/>
        <v>7</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19</v>
      </c>
      <c r="D1179" s="74">
        <f t="shared" si="548"/>
        <v>3</v>
      </c>
      <c r="E1179" s="75">
        <f t="shared" si="549"/>
        <v>24</v>
      </c>
      <c r="F1179" s="79"/>
      <c r="G1179" s="82"/>
      <c r="H1179" s="68" t="str">
        <f t="shared" si="566"/>
        <v>Senbur0_20191119_03_00</v>
      </c>
      <c r="I1179" s="69">
        <f t="shared" si="568"/>
        <v>1</v>
      </c>
      <c r="J1179" s="76" t="str">
        <f t="shared" si="568"/>
        <v>Senecio</v>
      </c>
      <c r="K1179" s="76" t="str">
        <f t="shared" si="568"/>
        <v>burtoni</v>
      </c>
      <c r="L1179" s="77">
        <f t="shared" si="568"/>
        <v>0</v>
      </c>
      <c r="M1179" s="77">
        <f t="shared" si="568"/>
        <v>7</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19</v>
      </c>
      <c r="D1180" s="74">
        <f t="shared" si="548"/>
        <v>3</v>
      </c>
      <c r="E1180" s="75">
        <f t="shared" si="549"/>
        <v>25</v>
      </c>
      <c r="F1180" s="79"/>
      <c r="G1180" s="82"/>
      <c r="H1180" s="68" t="str">
        <f t="shared" si="566"/>
        <v>Senbur0_20191119_03_00</v>
      </c>
      <c r="I1180" s="69">
        <f t="shared" si="568"/>
        <v>1</v>
      </c>
      <c r="J1180" s="76" t="str">
        <f t="shared" si="568"/>
        <v>Senecio</v>
      </c>
      <c r="K1180" s="76" t="str">
        <f t="shared" si="568"/>
        <v>burtoni</v>
      </c>
      <c r="L1180" s="77">
        <f t="shared" si="568"/>
        <v>0</v>
      </c>
      <c r="M1180" s="77">
        <f t="shared" si="568"/>
        <v>7</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19</v>
      </c>
      <c r="D1181" s="74">
        <f t="shared" si="548"/>
        <v>3</v>
      </c>
      <c r="E1181" s="75">
        <f t="shared" si="549"/>
        <v>26</v>
      </c>
      <c r="F1181" s="79"/>
      <c r="G1181" s="82"/>
      <c r="H1181" s="68" t="str">
        <f t="shared" si="566"/>
        <v>Senbur0_20191119_03_00</v>
      </c>
      <c r="I1181" s="69">
        <f t="shared" si="568"/>
        <v>1</v>
      </c>
      <c r="J1181" s="76" t="str">
        <f t="shared" si="568"/>
        <v>Senecio</v>
      </c>
      <c r="K1181" s="76" t="str">
        <f t="shared" si="568"/>
        <v>burtoni</v>
      </c>
      <c r="L1181" s="77">
        <f t="shared" si="568"/>
        <v>0</v>
      </c>
      <c r="M1181" s="77">
        <f t="shared" si="568"/>
        <v>7</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19</v>
      </c>
      <c r="D1182" s="74">
        <f t="shared" si="548"/>
        <v>3</v>
      </c>
      <c r="E1182" s="75">
        <f t="shared" si="549"/>
        <v>27</v>
      </c>
      <c r="F1182" s="79"/>
      <c r="G1182" s="82"/>
      <c r="H1182" s="68" t="str">
        <f t="shared" si="566"/>
        <v>Senbur0_20191119_03_00</v>
      </c>
      <c r="I1182" s="69">
        <f t="shared" si="568"/>
        <v>1</v>
      </c>
      <c r="J1182" s="76" t="str">
        <f t="shared" si="568"/>
        <v>Senecio</v>
      </c>
      <c r="K1182" s="76" t="str">
        <f t="shared" si="568"/>
        <v>burtoni</v>
      </c>
      <c r="L1182" s="77">
        <f t="shared" si="568"/>
        <v>0</v>
      </c>
      <c r="M1182" s="77">
        <f t="shared" si="568"/>
        <v>7</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19</v>
      </c>
      <c r="D1183" s="74">
        <f t="shared" si="548"/>
        <v>3</v>
      </c>
      <c r="E1183" s="75">
        <f t="shared" si="549"/>
        <v>28</v>
      </c>
      <c r="F1183" s="79"/>
      <c r="G1183" s="82"/>
      <c r="H1183" s="68" t="str">
        <f t="shared" si="566"/>
        <v>Senbur0_20191119_03_00</v>
      </c>
      <c r="I1183" s="69">
        <f t="shared" si="568"/>
        <v>1</v>
      </c>
      <c r="J1183" s="76" t="str">
        <f t="shared" si="568"/>
        <v>Senecio</v>
      </c>
      <c r="K1183" s="76" t="str">
        <f t="shared" si="568"/>
        <v>burtoni</v>
      </c>
      <c r="L1183" s="77">
        <f t="shared" si="568"/>
        <v>0</v>
      </c>
      <c r="M1183" s="77">
        <f t="shared" si="568"/>
        <v>7</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19</v>
      </c>
      <c r="D1184" s="74">
        <f t="shared" si="548"/>
        <v>3</v>
      </c>
      <c r="E1184" s="75">
        <f t="shared" si="549"/>
        <v>29</v>
      </c>
      <c r="F1184" s="79"/>
      <c r="G1184" s="82"/>
      <c r="H1184" s="68" t="str">
        <f t="shared" si="566"/>
        <v>Senbur0_20191119_03_00</v>
      </c>
      <c r="I1184" s="69">
        <f t="shared" si="568"/>
        <v>1</v>
      </c>
      <c r="J1184" s="76" t="str">
        <f t="shared" si="568"/>
        <v>Senecio</v>
      </c>
      <c r="K1184" s="76" t="str">
        <f t="shared" si="568"/>
        <v>burtoni</v>
      </c>
      <c r="L1184" s="77">
        <f t="shared" si="568"/>
        <v>0</v>
      </c>
      <c r="M1184" s="77">
        <f t="shared" si="568"/>
        <v>7</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19</v>
      </c>
      <c r="D1185" s="74">
        <f t="shared" si="548"/>
        <v>3</v>
      </c>
      <c r="E1185" s="75">
        <f t="shared" si="549"/>
        <v>30</v>
      </c>
      <c r="F1185" s="79"/>
      <c r="G1185" s="82"/>
      <c r="H1185" s="68" t="str">
        <f t="shared" si="566"/>
        <v>Senbur0_20191119_03_00</v>
      </c>
      <c r="I1185" s="69">
        <f t="shared" si="568"/>
        <v>1</v>
      </c>
      <c r="J1185" s="76" t="str">
        <f t="shared" si="568"/>
        <v>Senecio</v>
      </c>
      <c r="K1185" s="76" t="str">
        <f t="shared" si="568"/>
        <v>burtoni</v>
      </c>
      <c r="L1185" s="77">
        <f t="shared" si="568"/>
        <v>0</v>
      </c>
      <c r="M1185" s="77">
        <f t="shared" si="568"/>
        <v>7</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19</v>
      </c>
      <c r="D1186" s="74">
        <f t="shared" si="548"/>
        <v>3</v>
      </c>
      <c r="E1186" s="75">
        <f t="shared" si="549"/>
        <v>31</v>
      </c>
      <c r="F1186" s="79"/>
      <c r="G1186" s="82"/>
      <c r="H1186" s="68" t="str">
        <f t="shared" si="566"/>
        <v>Senbur0_20191119_03_00</v>
      </c>
      <c r="I1186" s="69">
        <f t="shared" si="568"/>
        <v>1</v>
      </c>
      <c r="J1186" s="76" t="str">
        <f t="shared" si="568"/>
        <v>Senecio</v>
      </c>
      <c r="K1186" s="76" t="str">
        <f t="shared" si="568"/>
        <v>burtoni</v>
      </c>
      <c r="L1186" s="77">
        <f t="shared" si="568"/>
        <v>0</v>
      </c>
      <c r="M1186" s="77">
        <f t="shared" si="568"/>
        <v>7</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19</v>
      </c>
      <c r="D1187" s="74">
        <f t="shared" si="548"/>
        <v>3</v>
      </c>
      <c r="E1187" s="75">
        <f t="shared" si="549"/>
        <v>32</v>
      </c>
      <c r="F1187" s="79"/>
      <c r="G1187" s="82"/>
      <c r="H1187" s="68" t="str">
        <f t="shared" si="566"/>
        <v>Senbur0_20191119_03_00</v>
      </c>
      <c r="I1187" s="69">
        <f t="shared" si="568"/>
        <v>1</v>
      </c>
      <c r="J1187" s="76" t="str">
        <f t="shared" si="568"/>
        <v>Senecio</v>
      </c>
      <c r="K1187" s="76" t="str">
        <f t="shared" si="568"/>
        <v>burtoni</v>
      </c>
      <c r="L1187" s="77">
        <f t="shared" si="568"/>
        <v>0</v>
      </c>
      <c r="M1187" s="77">
        <f t="shared" si="568"/>
        <v>7</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19</v>
      </c>
      <c r="D1188" s="74">
        <f t="shared" si="548"/>
        <v>3</v>
      </c>
      <c r="E1188" s="75">
        <f t="shared" si="549"/>
        <v>33</v>
      </c>
      <c r="F1188" s="79"/>
      <c r="G1188" s="82"/>
      <c r="H1188" s="68" t="str">
        <f t="shared" si="566"/>
        <v>Senbur0_20191119_03_00</v>
      </c>
      <c r="I1188" s="69">
        <f t="shared" si="568"/>
        <v>1</v>
      </c>
      <c r="J1188" s="76" t="str">
        <f t="shared" si="568"/>
        <v>Senecio</v>
      </c>
      <c r="K1188" s="76" t="str">
        <f t="shared" si="568"/>
        <v>burtoni</v>
      </c>
      <c r="L1188" s="77">
        <f t="shared" si="568"/>
        <v>0</v>
      </c>
      <c r="M1188" s="77">
        <f t="shared" si="568"/>
        <v>7</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19</v>
      </c>
      <c r="D1189" s="74">
        <f t="shared" si="548"/>
        <v>3</v>
      </c>
      <c r="E1189" s="75">
        <f t="shared" si="549"/>
        <v>34</v>
      </c>
      <c r="F1189" s="79"/>
      <c r="G1189" s="82"/>
      <c r="H1189" s="68" t="str">
        <f t="shared" si="566"/>
        <v>Senbur0_20191119_03_00</v>
      </c>
      <c r="I1189" s="69">
        <f t="shared" ref="I1189:N1204" si="569">I1188</f>
        <v>1</v>
      </c>
      <c r="J1189" s="76" t="str">
        <f t="shared" si="569"/>
        <v>Senecio</v>
      </c>
      <c r="K1189" s="76" t="str">
        <f t="shared" si="569"/>
        <v>burtoni</v>
      </c>
      <c r="L1189" s="77">
        <f t="shared" si="569"/>
        <v>0</v>
      </c>
      <c r="M1189" s="77">
        <f t="shared" si="569"/>
        <v>7</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19</v>
      </c>
      <c r="D1190" s="74">
        <f t="shared" si="548"/>
        <v>3</v>
      </c>
      <c r="E1190" s="75">
        <f t="shared" si="549"/>
        <v>35</v>
      </c>
      <c r="F1190" s="79"/>
      <c r="G1190" s="82"/>
      <c r="H1190" s="68" t="str">
        <f t="shared" si="566"/>
        <v>Senbur0_20191119_03_00</v>
      </c>
      <c r="I1190" s="69">
        <f t="shared" si="569"/>
        <v>1</v>
      </c>
      <c r="J1190" s="76" t="str">
        <f t="shared" si="569"/>
        <v>Senecio</v>
      </c>
      <c r="K1190" s="76" t="str">
        <f t="shared" si="569"/>
        <v>burtoni</v>
      </c>
      <c r="L1190" s="77">
        <f t="shared" si="569"/>
        <v>0</v>
      </c>
      <c r="M1190" s="77">
        <f t="shared" si="569"/>
        <v>7</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19</v>
      </c>
      <c r="D1191" s="74">
        <f t="shared" si="548"/>
        <v>3</v>
      </c>
      <c r="E1191" s="75">
        <f t="shared" si="549"/>
        <v>36</v>
      </c>
      <c r="F1191" s="79"/>
      <c r="G1191" s="82"/>
      <c r="H1191" s="68" t="str">
        <f t="shared" si="566"/>
        <v>Senbur0_20191119_03_00</v>
      </c>
      <c r="I1191" s="69">
        <f t="shared" si="569"/>
        <v>1</v>
      </c>
      <c r="J1191" s="76" t="str">
        <f t="shared" si="569"/>
        <v>Senecio</v>
      </c>
      <c r="K1191" s="76" t="str">
        <f t="shared" si="569"/>
        <v>burtoni</v>
      </c>
      <c r="L1191" s="77">
        <f t="shared" si="569"/>
        <v>0</v>
      </c>
      <c r="M1191" s="77">
        <f t="shared" si="569"/>
        <v>7</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19</v>
      </c>
      <c r="D1192" s="74">
        <f t="shared" si="548"/>
        <v>3</v>
      </c>
      <c r="E1192" s="75">
        <f t="shared" si="549"/>
        <v>37</v>
      </c>
      <c r="F1192" s="79"/>
      <c r="G1192" s="82"/>
      <c r="H1192" s="68" t="str">
        <f t="shared" si="566"/>
        <v>Senbur0_20191119_03_00</v>
      </c>
      <c r="I1192" s="69">
        <f t="shared" si="569"/>
        <v>1</v>
      </c>
      <c r="J1192" s="76" t="str">
        <f t="shared" si="569"/>
        <v>Senecio</v>
      </c>
      <c r="K1192" s="76" t="str">
        <f t="shared" si="569"/>
        <v>burtoni</v>
      </c>
      <c r="L1192" s="77">
        <f t="shared" si="569"/>
        <v>0</v>
      </c>
      <c r="M1192" s="77">
        <f t="shared" si="569"/>
        <v>7</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19</v>
      </c>
      <c r="D1193" s="74">
        <f t="shared" si="548"/>
        <v>3</v>
      </c>
      <c r="E1193" s="75">
        <f t="shared" si="549"/>
        <v>38</v>
      </c>
      <c r="F1193" s="79"/>
      <c r="G1193" s="82"/>
      <c r="H1193" s="68" t="str">
        <f t="shared" si="566"/>
        <v>Senbur0_20191119_03_00</v>
      </c>
      <c r="I1193" s="69">
        <f t="shared" si="569"/>
        <v>1</v>
      </c>
      <c r="J1193" s="76" t="str">
        <f t="shared" si="569"/>
        <v>Senecio</v>
      </c>
      <c r="K1193" s="76" t="str">
        <f t="shared" si="569"/>
        <v>burtoni</v>
      </c>
      <c r="L1193" s="77">
        <f t="shared" si="569"/>
        <v>0</v>
      </c>
      <c r="M1193" s="77">
        <f t="shared" si="569"/>
        <v>7</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19</v>
      </c>
      <c r="D1194" s="74">
        <f t="shared" si="548"/>
        <v>3</v>
      </c>
      <c r="E1194" s="75">
        <f t="shared" si="549"/>
        <v>39</v>
      </c>
      <c r="F1194" s="79"/>
      <c r="G1194" s="82"/>
      <c r="H1194" s="68" t="str">
        <f t="shared" si="566"/>
        <v>Senbur0_20191119_03_00</v>
      </c>
      <c r="I1194" s="69">
        <f t="shared" si="569"/>
        <v>1</v>
      </c>
      <c r="J1194" s="76" t="str">
        <f t="shared" si="569"/>
        <v>Senecio</v>
      </c>
      <c r="K1194" s="76" t="str">
        <f t="shared" si="569"/>
        <v>burtoni</v>
      </c>
      <c r="L1194" s="77">
        <f t="shared" si="569"/>
        <v>0</v>
      </c>
      <c r="M1194" s="77">
        <f t="shared" si="569"/>
        <v>7</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19</v>
      </c>
      <c r="D1195" s="74">
        <f t="shared" si="548"/>
        <v>3</v>
      </c>
      <c r="E1195" s="75">
        <f t="shared" si="549"/>
        <v>40</v>
      </c>
      <c r="F1195" s="79"/>
      <c r="G1195" s="82"/>
      <c r="H1195" s="68" t="str">
        <f t="shared" si="566"/>
        <v>Senbur0_20191119_03_00</v>
      </c>
      <c r="I1195" s="69">
        <f t="shared" si="569"/>
        <v>1</v>
      </c>
      <c r="J1195" s="76" t="str">
        <f t="shared" si="569"/>
        <v>Senecio</v>
      </c>
      <c r="K1195" s="76" t="str">
        <f t="shared" si="569"/>
        <v>burtoni</v>
      </c>
      <c r="L1195" s="77">
        <f t="shared" si="569"/>
        <v>0</v>
      </c>
      <c r="M1195" s="77">
        <f t="shared" si="569"/>
        <v>7</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19</v>
      </c>
      <c r="D1196" s="74">
        <f t="shared" si="548"/>
        <v>3</v>
      </c>
      <c r="E1196" s="75">
        <f t="shared" si="549"/>
        <v>41</v>
      </c>
      <c r="F1196" s="79"/>
      <c r="G1196" s="82"/>
      <c r="H1196" s="68" t="str">
        <f t="shared" si="566"/>
        <v>Senbur0_20191119_03_00</v>
      </c>
      <c r="I1196" s="69">
        <f t="shared" si="569"/>
        <v>1</v>
      </c>
      <c r="J1196" s="76" t="str">
        <f t="shared" si="569"/>
        <v>Senecio</v>
      </c>
      <c r="K1196" s="76" t="str">
        <f t="shared" si="569"/>
        <v>burtoni</v>
      </c>
      <c r="L1196" s="77">
        <f t="shared" si="569"/>
        <v>0</v>
      </c>
      <c r="M1196" s="77">
        <f t="shared" si="569"/>
        <v>7</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19</v>
      </c>
      <c r="D1197" s="74">
        <f t="shared" si="548"/>
        <v>3</v>
      </c>
      <c r="E1197" s="75">
        <f t="shared" si="549"/>
        <v>42</v>
      </c>
      <c r="F1197" s="79"/>
      <c r="G1197" s="82"/>
      <c r="H1197" s="68" t="str">
        <f t="shared" si="566"/>
        <v>Senbur0_20191119_03_00</v>
      </c>
      <c r="I1197" s="69">
        <f t="shared" si="569"/>
        <v>1</v>
      </c>
      <c r="J1197" s="76" t="str">
        <f t="shared" si="569"/>
        <v>Senecio</v>
      </c>
      <c r="K1197" s="76" t="str">
        <f t="shared" si="569"/>
        <v>burtoni</v>
      </c>
      <c r="L1197" s="77">
        <f t="shared" si="569"/>
        <v>0</v>
      </c>
      <c r="M1197" s="77">
        <f t="shared" si="569"/>
        <v>7</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19</v>
      </c>
      <c r="D1198" s="74">
        <f t="shared" si="548"/>
        <v>3</v>
      </c>
      <c r="E1198" s="75">
        <f t="shared" si="549"/>
        <v>43</v>
      </c>
      <c r="F1198" s="79"/>
      <c r="G1198" s="82"/>
      <c r="H1198" s="68" t="str">
        <f t="shared" si="566"/>
        <v>Senbur0_20191119_03_00</v>
      </c>
      <c r="I1198" s="69">
        <f t="shared" si="569"/>
        <v>1</v>
      </c>
      <c r="J1198" s="76" t="str">
        <f t="shared" si="569"/>
        <v>Senecio</v>
      </c>
      <c r="K1198" s="76" t="str">
        <f t="shared" si="569"/>
        <v>burtoni</v>
      </c>
      <c r="L1198" s="77">
        <f t="shared" si="569"/>
        <v>0</v>
      </c>
      <c r="M1198" s="77">
        <f t="shared" si="569"/>
        <v>7</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19</v>
      </c>
      <c r="D1199" s="74">
        <f t="shared" si="548"/>
        <v>3</v>
      </c>
      <c r="E1199" s="75">
        <f t="shared" si="549"/>
        <v>44</v>
      </c>
      <c r="F1199" s="79"/>
      <c r="G1199" s="82"/>
      <c r="H1199" s="68" t="str">
        <f t="shared" si="566"/>
        <v>Senbur0_20191119_03_00</v>
      </c>
      <c r="I1199" s="69">
        <f t="shared" si="569"/>
        <v>1</v>
      </c>
      <c r="J1199" s="76" t="str">
        <f t="shared" si="569"/>
        <v>Senecio</v>
      </c>
      <c r="K1199" s="76" t="str">
        <f t="shared" si="569"/>
        <v>burtoni</v>
      </c>
      <c r="L1199" s="77">
        <f t="shared" si="569"/>
        <v>0</v>
      </c>
      <c r="M1199" s="77">
        <f t="shared" si="569"/>
        <v>7</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19</v>
      </c>
      <c r="D1200" s="74">
        <f t="shared" si="548"/>
        <v>3</v>
      </c>
      <c r="E1200" s="75">
        <f t="shared" si="549"/>
        <v>45</v>
      </c>
      <c r="F1200" s="79"/>
      <c r="G1200" s="82"/>
      <c r="H1200" s="68" t="str">
        <f t="shared" si="566"/>
        <v>Senbur0_20191119_03_00</v>
      </c>
      <c r="I1200" s="69">
        <f t="shared" si="569"/>
        <v>1</v>
      </c>
      <c r="J1200" s="76" t="str">
        <f t="shared" si="569"/>
        <v>Senecio</v>
      </c>
      <c r="K1200" s="76" t="str">
        <f t="shared" si="569"/>
        <v>burtoni</v>
      </c>
      <c r="L1200" s="77">
        <f t="shared" si="569"/>
        <v>0</v>
      </c>
      <c r="M1200" s="77">
        <f t="shared" si="569"/>
        <v>7</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19</v>
      </c>
      <c r="D1201" s="74">
        <f t="shared" si="548"/>
        <v>3</v>
      </c>
      <c r="E1201" s="75">
        <f t="shared" si="549"/>
        <v>46</v>
      </c>
      <c r="F1201" s="79"/>
      <c r="G1201" s="82"/>
      <c r="H1201" s="68" t="str">
        <f t="shared" si="566"/>
        <v>Senbur0_20191119_03_00</v>
      </c>
      <c r="I1201" s="69">
        <f t="shared" si="569"/>
        <v>1</v>
      </c>
      <c r="J1201" s="76" t="str">
        <f t="shared" si="569"/>
        <v>Senecio</v>
      </c>
      <c r="K1201" s="76" t="str">
        <f t="shared" si="569"/>
        <v>burtoni</v>
      </c>
      <c r="L1201" s="77">
        <f t="shared" si="569"/>
        <v>0</v>
      </c>
      <c r="M1201" s="77">
        <f t="shared" si="569"/>
        <v>7</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19</v>
      </c>
      <c r="D1202" s="74">
        <f t="shared" si="548"/>
        <v>3</v>
      </c>
      <c r="E1202" s="75">
        <f t="shared" si="549"/>
        <v>47</v>
      </c>
      <c r="F1202" s="79"/>
      <c r="G1202" s="82"/>
      <c r="H1202" s="68" t="str">
        <f t="shared" si="566"/>
        <v>Senbur0_20191119_03_00</v>
      </c>
      <c r="I1202" s="69">
        <f t="shared" si="569"/>
        <v>1</v>
      </c>
      <c r="J1202" s="76" t="str">
        <f t="shared" si="569"/>
        <v>Senecio</v>
      </c>
      <c r="K1202" s="76" t="str">
        <f t="shared" si="569"/>
        <v>burtoni</v>
      </c>
      <c r="L1202" s="77">
        <f t="shared" si="569"/>
        <v>0</v>
      </c>
      <c r="M1202" s="77">
        <f t="shared" si="569"/>
        <v>7</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19</v>
      </c>
      <c r="D1203" s="74">
        <f t="shared" si="548"/>
        <v>3</v>
      </c>
      <c r="E1203" s="75">
        <f t="shared" si="549"/>
        <v>48</v>
      </c>
      <c r="F1203" s="79"/>
      <c r="G1203" s="82"/>
      <c r="H1203" s="68" t="str">
        <f t="shared" si="566"/>
        <v>Senbur0_20191119_03_00</v>
      </c>
      <c r="I1203" s="69">
        <f t="shared" si="569"/>
        <v>1</v>
      </c>
      <c r="J1203" s="76" t="str">
        <f t="shared" si="569"/>
        <v>Senecio</v>
      </c>
      <c r="K1203" s="76" t="str">
        <f t="shared" si="569"/>
        <v>burtoni</v>
      </c>
      <c r="L1203" s="77">
        <f t="shared" si="569"/>
        <v>0</v>
      </c>
      <c r="M1203" s="77">
        <f t="shared" si="569"/>
        <v>7</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19</v>
      </c>
      <c r="D1204" s="74">
        <f t="shared" si="548"/>
        <v>3</v>
      </c>
      <c r="E1204" s="75">
        <f t="shared" si="549"/>
        <v>49</v>
      </c>
      <c r="F1204" s="79"/>
      <c r="G1204" s="82"/>
      <c r="H1204" s="68" t="str">
        <f t="shared" si="566"/>
        <v>Senbur0_20191119_03_00</v>
      </c>
      <c r="I1204" s="69">
        <f t="shared" si="569"/>
        <v>1</v>
      </c>
      <c r="J1204" s="76" t="str">
        <f t="shared" si="569"/>
        <v>Senecio</v>
      </c>
      <c r="K1204" s="76" t="str">
        <f t="shared" si="569"/>
        <v>burtoni</v>
      </c>
      <c r="L1204" s="77">
        <f t="shared" si="569"/>
        <v>0</v>
      </c>
      <c r="M1204" s="77">
        <f t="shared" si="569"/>
        <v>7</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19</v>
      </c>
      <c r="D1205" s="74">
        <f t="shared" si="548"/>
        <v>3</v>
      </c>
      <c r="E1205" s="75">
        <f t="shared" si="549"/>
        <v>50</v>
      </c>
      <c r="F1205" s="79"/>
      <c r="G1205" s="82"/>
      <c r="H1205" s="68" t="str">
        <f t="shared" si="566"/>
        <v>Senbur0_20191119_03_00</v>
      </c>
      <c r="I1205" s="69">
        <f t="shared" ref="I1205:N1220" si="570">I1204</f>
        <v>1</v>
      </c>
      <c r="J1205" s="76" t="str">
        <f t="shared" si="570"/>
        <v>Senecio</v>
      </c>
      <c r="K1205" s="76" t="str">
        <f t="shared" si="570"/>
        <v>burtoni</v>
      </c>
      <c r="L1205" s="77">
        <f t="shared" si="570"/>
        <v>0</v>
      </c>
      <c r="M1205" s="77">
        <f t="shared" si="570"/>
        <v>7</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19</v>
      </c>
      <c r="D1206" s="74">
        <f t="shared" si="548"/>
        <v>3</v>
      </c>
      <c r="E1206" s="75">
        <f t="shared" si="549"/>
        <v>51</v>
      </c>
      <c r="F1206" s="79"/>
      <c r="G1206" s="82"/>
      <c r="H1206" s="68" t="str">
        <f t="shared" si="566"/>
        <v>Senbur0_20191119_03_00</v>
      </c>
      <c r="I1206" s="69">
        <f t="shared" si="570"/>
        <v>1</v>
      </c>
      <c r="J1206" s="76" t="str">
        <f t="shared" si="570"/>
        <v>Senecio</v>
      </c>
      <c r="K1206" s="76" t="str">
        <f t="shared" si="570"/>
        <v>burtoni</v>
      </c>
      <c r="L1206" s="77">
        <f t="shared" si="570"/>
        <v>0</v>
      </c>
      <c r="M1206" s="77">
        <f t="shared" si="570"/>
        <v>7</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19</v>
      </c>
      <c r="D1207" s="74">
        <f t="shared" si="548"/>
        <v>3</v>
      </c>
      <c r="E1207" s="75">
        <f t="shared" si="549"/>
        <v>52</v>
      </c>
      <c r="F1207" s="79"/>
      <c r="G1207" s="82"/>
      <c r="H1207" s="68" t="str">
        <f t="shared" si="566"/>
        <v>Senbur0_20191119_03_00</v>
      </c>
      <c r="I1207" s="69">
        <f t="shared" si="570"/>
        <v>1</v>
      </c>
      <c r="J1207" s="76" t="str">
        <f t="shared" si="570"/>
        <v>Senecio</v>
      </c>
      <c r="K1207" s="76" t="str">
        <f t="shared" si="570"/>
        <v>burtoni</v>
      </c>
      <c r="L1207" s="77">
        <f t="shared" si="570"/>
        <v>0</v>
      </c>
      <c r="M1207" s="77">
        <f t="shared" si="570"/>
        <v>7</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19</v>
      </c>
      <c r="D1208" s="74">
        <f t="shared" si="548"/>
        <v>3</v>
      </c>
      <c r="E1208" s="75">
        <f t="shared" si="549"/>
        <v>53</v>
      </c>
      <c r="F1208" s="79"/>
      <c r="G1208" s="82"/>
      <c r="H1208" s="68" t="str">
        <f t="shared" si="566"/>
        <v>Senbur0_20191119_03_00</v>
      </c>
      <c r="I1208" s="69">
        <f t="shared" si="570"/>
        <v>1</v>
      </c>
      <c r="J1208" s="76" t="str">
        <f t="shared" si="570"/>
        <v>Senecio</v>
      </c>
      <c r="K1208" s="76" t="str">
        <f t="shared" si="570"/>
        <v>burtoni</v>
      </c>
      <c r="L1208" s="77">
        <f t="shared" si="570"/>
        <v>0</v>
      </c>
      <c r="M1208" s="77">
        <f t="shared" si="570"/>
        <v>7</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19</v>
      </c>
      <c r="D1209" s="74">
        <f t="shared" si="548"/>
        <v>3</v>
      </c>
      <c r="E1209" s="75">
        <f t="shared" si="549"/>
        <v>54</v>
      </c>
      <c r="F1209" s="79"/>
      <c r="G1209" s="82"/>
      <c r="H1209" s="68" t="str">
        <f t="shared" si="566"/>
        <v>Senbur0_20191119_03_00</v>
      </c>
      <c r="I1209" s="69">
        <f t="shared" si="570"/>
        <v>1</v>
      </c>
      <c r="J1209" s="76" t="str">
        <f t="shared" si="570"/>
        <v>Senecio</v>
      </c>
      <c r="K1209" s="76" t="str">
        <f t="shared" si="570"/>
        <v>burtoni</v>
      </c>
      <c r="L1209" s="77">
        <f t="shared" si="570"/>
        <v>0</v>
      </c>
      <c r="M1209" s="77">
        <f t="shared" si="570"/>
        <v>7</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19</v>
      </c>
      <c r="D1210" s="74">
        <f t="shared" si="548"/>
        <v>3</v>
      </c>
      <c r="E1210" s="75">
        <f t="shared" si="549"/>
        <v>55</v>
      </c>
      <c r="F1210" s="79"/>
      <c r="G1210" s="82"/>
      <c r="H1210" s="68" t="str">
        <f t="shared" si="566"/>
        <v>Senbur0_20191119_03_00</v>
      </c>
      <c r="I1210" s="69">
        <f t="shared" si="570"/>
        <v>1</v>
      </c>
      <c r="J1210" s="76" t="str">
        <f t="shared" si="570"/>
        <v>Senecio</v>
      </c>
      <c r="K1210" s="76" t="str">
        <f t="shared" si="570"/>
        <v>burtoni</v>
      </c>
      <c r="L1210" s="77">
        <f t="shared" si="570"/>
        <v>0</v>
      </c>
      <c r="M1210" s="77">
        <f t="shared" si="570"/>
        <v>7</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19</v>
      </c>
      <c r="D1211" s="74">
        <f t="shared" si="548"/>
        <v>3</v>
      </c>
      <c r="E1211" s="75">
        <f t="shared" si="549"/>
        <v>56</v>
      </c>
      <c r="F1211" s="79"/>
      <c r="G1211" s="82"/>
      <c r="H1211" s="68" t="str">
        <f t="shared" si="566"/>
        <v>Senbur0_20191119_03_00</v>
      </c>
      <c r="I1211" s="69">
        <f t="shared" si="570"/>
        <v>1</v>
      </c>
      <c r="J1211" s="76" t="str">
        <f t="shared" si="570"/>
        <v>Senecio</v>
      </c>
      <c r="K1211" s="76" t="str">
        <f t="shared" si="570"/>
        <v>burtoni</v>
      </c>
      <c r="L1211" s="77">
        <f t="shared" si="570"/>
        <v>0</v>
      </c>
      <c r="M1211" s="77">
        <f t="shared" si="570"/>
        <v>7</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19</v>
      </c>
      <c r="D1212" s="74">
        <f t="shared" si="548"/>
        <v>3</v>
      </c>
      <c r="E1212" s="75">
        <f t="shared" si="549"/>
        <v>57</v>
      </c>
      <c r="F1212" s="79"/>
      <c r="G1212" s="82"/>
      <c r="H1212" s="68" t="str">
        <f t="shared" si="566"/>
        <v>Senbur0_20191119_03_00</v>
      </c>
      <c r="I1212" s="69">
        <f t="shared" si="570"/>
        <v>1</v>
      </c>
      <c r="J1212" s="76" t="str">
        <f t="shared" si="570"/>
        <v>Senecio</v>
      </c>
      <c r="K1212" s="76" t="str">
        <f t="shared" si="570"/>
        <v>burtoni</v>
      </c>
      <c r="L1212" s="77">
        <f t="shared" si="570"/>
        <v>0</v>
      </c>
      <c r="M1212" s="77">
        <f t="shared" si="570"/>
        <v>7</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19</v>
      </c>
      <c r="D1213" s="74">
        <f t="shared" si="548"/>
        <v>3</v>
      </c>
      <c r="E1213" s="75">
        <f t="shared" si="549"/>
        <v>58</v>
      </c>
      <c r="F1213" s="79"/>
      <c r="G1213" s="82"/>
      <c r="H1213" s="68" t="str">
        <f t="shared" si="566"/>
        <v>Senbur0_20191119_03_00</v>
      </c>
      <c r="I1213" s="69">
        <f t="shared" si="570"/>
        <v>1</v>
      </c>
      <c r="J1213" s="76" t="str">
        <f t="shared" si="570"/>
        <v>Senecio</v>
      </c>
      <c r="K1213" s="76" t="str">
        <f t="shared" si="570"/>
        <v>burtoni</v>
      </c>
      <c r="L1213" s="77">
        <f t="shared" si="570"/>
        <v>0</v>
      </c>
      <c r="M1213" s="77">
        <f t="shared" si="570"/>
        <v>7</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19</v>
      </c>
      <c r="D1214" s="74">
        <f t="shared" si="548"/>
        <v>3</v>
      </c>
      <c r="E1214" s="75">
        <f t="shared" si="549"/>
        <v>59</v>
      </c>
      <c r="F1214" s="79"/>
      <c r="G1214" s="82"/>
      <c r="H1214" s="68" t="str">
        <f t="shared" si="566"/>
        <v>Senbur0_20191119_03_00</v>
      </c>
      <c r="I1214" s="69">
        <f t="shared" si="570"/>
        <v>1</v>
      </c>
      <c r="J1214" s="76" t="str">
        <f t="shared" si="570"/>
        <v>Senecio</v>
      </c>
      <c r="K1214" s="76" t="str">
        <f t="shared" si="570"/>
        <v>burtoni</v>
      </c>
      <c r="L1214" s="77">
        <f t="shared" si="570"/>
        <v>0</v>
      </c>
      <c r="M1214" s="77">
        <f t="shared" si="570"/>
        <v>7</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19</v>
      </c>
      <c r="D1215" s="74">
        <f t="shared" si="548"/>
        <v>4</v>
      </c>
      <c r="E1215" s="75">
        <f t="shared" si="549"/>
        <v>0</v>
      </c>
      <c r="F1215" s="79"/>
      <c r="G1215" s="82"/>
      <c r="H1215" s="68" t="str">
        <f t="shared" si="566"/>
        <v>Senbur0_20191119_04_00</v>
      </c>
      <c r="I1215" s="69">
        <f t="shared" si="570"/>
        <v>1</v>
      </c>
      <c r="J1215" s="76" t="str">
        <f t="shared" si="570"/>
        <v>Senecio</v>
      </c>
      <c r="K1215" s="76" t="str">
        <f t="shared" si="570"/>
        <v>burtoni</v>
      </c>
      <c r="L1215" s="77">
        <f t="shared" si="570"/>
        <v>0</v>
      </c>
      <c r="M1215" s="77">
        <f t="shared" si="570"/>
        <v>7</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19</v>
      </c>
      <c r="D1216" s="74">
        <f t="shared" si="548"/>
        <v>4</v>
      </c>
      <c r="E1216" s="75">
        <f t="shared" si="549"/>
        <v>1</v>
      </c>
      <c r="F1216" s="79"/>
      <c r="G1216" s="82"/>
      <c r="H1216" s="68" t="str">
        <f t="shared" si="566"/>
        <v>Senbur0_20191119_04_00</v>
      </c>
      <c r="I1216" s="69">
        <f t="shared" si="570"/>
        <v>1</v>
      </c>
      <c r="J1216" s="76" t="str">
        <f t="shared" si="570"/>
        <v>Senecio</v>
      </c>
      <c r="K1216" s="76" t="str">
        <f t="shared" si="570"/>
        <v>burtoni</v>
      </c>
      <c r="L1216" s="77">
        <f t="shared" si="570"/>
        <v>0</v>
      </c>
      <c r="M1216" s="77">
        <f t="shared" si="570"/>
        <v>7</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19</v>
      </c>
      <c r="D1217" s="74">
        <f t="shared" si="548"/>
        <v>4</v>
      </c>
      <c r="E1217" s="75">
        <f t="shared" si="549"/>
        <v>2</v>
      </c>
      <c r="F1217" s="79"/>
      <c r="G1217" s="82"/>
      <c r="H1217" s="68" t="str">
        <f t="shared" si="566"/>
        <v>Senbur0_20191119_04_00</v>
      </c>
      <c r="I1217" s="69">
        <f t="shared" si="570"/>
        <v>1</v>
      </c>
      <c r="J1217" s="76" t="str">
        <f t="shared" si="570"/>
        <v>Senecio</v>
      </c>
      <c r="K1217" s="76" t="str">
        <f t="shared" si="570"/>
        <v>burtoni</v>
      </c>
      <c r="L1217" s="77">
        <f t="shared" si="570"/>
        <v>0</v>
      </c>
      <c r="M1217" s="77">
        <f t="shared" si="570"/>
        <v>7</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19</v>
      </c>
      <c r="D1218" s="74">
        <f t="shared" si="548"/>
        <v>4</v>
      </c>
      <c r="E1218" s="75">
        <f t="shared" si="549"/>
        <v>3</v>
      </c>
      <c r="F1218" s="79"/>
      <c r="G1218" s="82"/>
      <c r="H1218" s="68" t="str">
        <f t="shared" si="566"/>
        <v>Senbur0_20191119_04_00</v>
      </c>
      <c r="I1218" s="69">
        <f t="shared" si="570"/>
        <v>1</v>
      </c>
      <c r="J1218" s="76" t="str">
        <f t="shared" si="570"/>
        <v>Senecio</v>
      </c>
      <c r="K1218" s="76" t="str">
        <f t="shared" si="570"/>
        <v>burtoni</v>
      </c>
      <c r="L1218" s="77">
        <f t="shared" si="570"/>
        <v>0</v>
      </c>
      <c r="M1218" s="77">
        <f t="shared" si="570"/>
        <v>7</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19</v>
      </c>
      <c r="D1219" s="74">
        <f t="shared" si="548"/>
        <v>4</v>
      </c>
      <c r="E1219" s="75">
        <f t="shared" si="549"/>
        <v>4</v>
      </c>
      <c r="F1219" s="79"/>
      <c r="G1219" s="82"/>
      <c r="H1219" s="68" t="str">
        <f t="shared" si="566"/>
        <v>Senbur0_20191119_04_00</v>
      </c>
      <c r="I1219" s="69">
        <f t="shared" si="570"/>
        <v>1</v>
      </c>
      <c r="J1219" s="76" t="str">
        <f t="shared" si="570"/>
        <v>Senecio</v>
      </c>
      <c r="K1219" s="76" t="str">
        <f t="shared" si="570"/>
        <v>burtoni</v>
      </c>
      <c r="L1219" s="77">
        <f t="shared" si="570"/>
        <v>0</v>
      </c>
      <c r="M1219" s="77">
        <f t="shared" si="570"/>
        <v>7</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1" si="572">IF(P1219=1,0,"")</f>
        <v/>
      </c>
      <c r="AX1219" s="61" t="str">
        <f t="shared" ref="AX1219:AX1282" si="573">IF(AW1219=1,AD1219,"")</f>
        <v/>
      </c>
      <c r="AY1219" s="60" t="str">
        <f t="shared" ref="AY1219:AY1281"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19</v>
      </c>
      <c r="D1220" s="74">
        <f t="shared" ref="D1220:D1283" si="578">IF(IF(E1219=59,D1219+1,D1219)=24,0,IF(E1219=59,D1219+1,D1219))</f>
        <v>4</v>
      </c>
      <c r="E1220" s="75">
        <f t="shared" ref="E1220:E1283" si="579">IF(E1219&lt;59,E1219+1,0)</f>
        <v>5</v>
      </c>
      <c r="F1220" s="79"/>
      <c r="G1220" s="82"/>
      <c r="H1220" s="68" t="str">
        <f t="shared" si="566"/>
        <v>Senbur0_20191119_04_00</v>
      </c>
      <c r="I1220" s="69">
        <f t="shared" si="570"/>
        <v>1</v>
      </c>
      <c r="J1220" s="76" t="str">
        <f t="shared" si="570"/>
        <v>Senecio</v>
      </c>
      <c r="K1220" s="76" t="str">
        <f t="shared" si="570"/>
        <v>burtoni</v>
      </c>
      <c r="L1220" s="77">
        <f t="shared" si="570"/>
        <v>0</v>
      </c>
      <c r="M1220" s="77">
        <f t="shared" si="570"/>
        <v>7</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19</v>
      </c>
      <c r="D1221" s="74">
        <f t="shared" si="578"/>
        <v>4</v>
      </c>
      <c r="E1221" s="75">
        <f t="shared" si="579"/>
        <v>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Senbur0_20191119_04_00</v>
      </c>
      <c r="I1221" s="69">
        <f t="shared" ref="I1221:N1236" si="597">I1220</f>
        <v>1</v>
      </c>
      <c r="J1221" s="76" t="str">
        <f t="shared" si="597"/>
        <v>Senecio</v>
      </c>
      <c r="K1221" s="76" t="str">
        <f t="shared" si="597"/>
        <v>burtoni</v>
      </c>
      <c r="L1221" s="77">
        <f t="shared" si="597"/>
        <v>0</v>
      </c>
      <c r="M1221" s="77">
        <f t="shared" si="597"/>
        <v>7</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19</v>
      </c>
      <c r="D1222" s="74">
        <f t="shared" si="578"/>
        <v>4</v>
      </c>
      <c r="E1222" s="75">
        <f t="shared" si="579"/>
        <v>7</v>
      </c>
      <c r="F1222" s="79"/>
      <c r="G1222" s="82"/>
      <c r="H1222" s="68" t="str">
        <f t="shared" si="596"/>
        <v>Senbur0_20191119_04_00</v>
      </c>
      <c r="I1222" s="69">
        <f t="shared" si="597"/>
        <v>1</v>
      </c>
      <c r="J1222" s="76" t="str">
        <f t="shared" si="597"/>
        <v>Senecio</v>
      </c>
      <c r="K1222" s="76" t="str">
        <f t="shared" si="597"/>
        <v>burtoni</v>
      </c>
      <c r="L1222" s="77">
        <f t="shared" si="597"/>
        <v>0</v>
      </c>
      <c r="M1222" s="77">
        <f t="shared" si="597"/>
        <v>7</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19</v>
      </c>
      <c r="D1223" s="74">
        <f t="shared" si="578"/>
        <v>4</v>
      </c>
      <c r="E1223" s="75">
        <f t="shared" si="579"/>
        <v>8</v>
      </c>
      <c r="F1223" s="79"/>
      <c r="G1223" s="82"/>
      <c r="H1223" s="68" t="str">
        <f t="shared" si="596"/>
        <v>Senbur0_20191119_04_00</v>
      </c>
      <c r="I1223" s="69">
        <f t="shared" si="597"/>
        <v>1</v>
      </c>
      <c r="J1223" s="76" t="str">
        <f t="shared" si="597"/>
        <v>Senecio</v>
      </c>
      <c r="K1223" s="76" t="str">
        <f t="shared" si="597"/>
        <v>burtoni</v>
      </c>
      <c r="L1223" s="77">
        <f t="shared" si="597"/>
        <v>0</v>
      </c>
      <c r="M1223" s="77">
        <f t="shared" si="597"/>
        <v>7</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19</v>
      </c>
      <c r="D1224" s="74">
        <f t="shared" si="578"/>
        <v>4</v>
      </c>
      <c r="E1224" s="75">
        <f t="shared" si="579"/>
        <v>9</v>
      </c>
      <c r="F1224" s="79"/>
      <c r="G1224" s="82"/>
      <c r="H1224" s="68" t="str">
        <f t="shared" si="596"/>
        <v>Senbur0_20191119_04_00</v>
      </c>
      <c r="I1224" s="69">
        <f t="shared" si="597"/>
        <v>1</v>
      </c>
      <c r="J1224" s="76" t="str">
        <f t="shared" si="597"/>
        <v>Senecio</v>
      </c>
      <c r="K1224" s="76" t="str">
        <f t="shared" si="597"/>
        <v>burtoni</v>
      </c>
      <c r="L1224" s="77">
        <f t="shared" si="597"/>
        <v>0</v>
      </c>
      <c r="M1224" s="77">
        <f t="shared" si="597"/>
        <v>7</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19</v>
      </c>
      <c r="D1225" s="74">
        <f t="shared" si="578"/>
        <v>4</v>
      </c>
      <c r="E1225" s="75">
        <f t="shared" si="579"/>
        <v>10</v>
      </c>
      <c r="F1225" s="79"/>
      <c r="G1225" s="82"/>
      <c r="H1225" s="68" t="str">
        <f t="shared" si="596"/>
        <v>Senbur0_20191119_04_00</v>
      </c>
      <c r="I1225" s="69">
        <f t="shared" si="597"/>
        <v>1</v>
      </c>
      <c r="J1225" s="76" t="str">
        <f t="shared" si="597"/>
        <v>Senecio</v>
      </c>
      <c r="K1225" s="76" t="str">
        <f t="shared" si="597"/>
        <v>burtoni</v>
      </c>
      <c r="L1225" s="77">
        <f t="shared" si="597"/>
        <v>0</v>
      </c>
      <c r="M1225" s="77">
        <f t="shared" si="597"/>
        <v>7</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19</v>
      </c>
      <c r="D1226" s="74">
        <f t="shared" si="578"/>
        <v>4</v>
      </c>
      <c r="E1226" s="75">
        <f t="shared" si="579"/>
        <v>11</v>
      </c>
      <c r="F1226" s="79"/>
      <c r="G1226" s="82"/>
      <c r="H1226" s="68" t="str">
        <f t="shared" si="596"/>
        <v>Senbur0_20191119_04_00</v>
      </c>
      <c r="I1226" s="69">
        <f t="shared" si="597"/>
        <v>1</v>
      </c>
      <c r="J1226" s="76" t="str">
        <f t="shared" si="597"/>
        <v>Senecio</v>
      </c>
      <c r="K1226" s="76" t="str">
        <f t="shared" si="597"/>
        <v>burtoni</v>
      </c>
      <c r="L1226" s="77">
        <f t="shared" si="597"/>
        <v>0</v>
      </c>
      <c r="M1226" s="77">
        <f t="shared" si="597"/>
        <v>7</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19</v>
      </c>
      <c r="D1227" s="74">
        <f t="shared" si="578"/>
        <v>4</v>
      </c>
      <c r="E1227" s="75">
        <f t="shared" si="579"/>
        <v>12</v>
      </c>
      <c r="F1227" s="79"/>
      <c r="G1227" s="82"/>
      <c r="H1227" s="68" t="str">
        <f t="shared" si="596"/>
        <v>Senbur0_20191119_04_00</v>
      </c>
      <c r="I1227" s="69">
        <f t="shared" si="597"/>
        <v>1</v>
      </c>
      <c r="J1227" s="76" t="str">
        <f t="shared" si="597"/>
        <v>Senecio</v>
      </c>
      <c r="K1227" s="76" t="str">
        <f t="shared" si="597"/>
        <v>burtoni</v>
      </c>
      <c r="L1227" s="77">
        <f t="shared" si="597"/>
        <v>0</v>
      </c>
      <c r="M1227" s="77">
        <f t="shared" si="597"/>
        <v>7</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19</v>
      </c>
      <c r="D1228" s="74">
        <f t="shared" si="578"/>
        <v>4</v>
      </c>
      <c r="E1228" s="75">
        <f t="shared" si="579"/>
        <v>13</v>
      </c>
      <c r="F1228" s="79"/>
      <c r="G1228" s="82"/>
      <c r="H1228" s="68" t="str">
        <f t="shared" si="596"/>
        <v>Senbur0_20191119_04_00</v>
      </c>
      <c r="I1228" s="69">
        <f t="shared" si="597"/>
        <v>1</v>
      </c>
      <c r="J1228" s="76" t="str">
        <f t="shared" si="597"/>
        <v>Senecio</v>
      </c>
      <c r="K1228" s="76" t="str">
        <f t="shared" si="597"/>
        <v>burtoni</v>
      </c>
      <c r="L1228" s="77">
        <f t="shared" si="597"/>
        <v>0</v>
      </c>
      <c r="M1228" s="77">
        <f t="shared" si="597"/>
        <v>7</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19</v>
      </c>
      <c r="D1229" s="74">
        <f t="shared" si="578"/>
        <v>4</v>
      </c>
      <c r="E1229" s="75">
        <f t="shared" si="579"/>
        <v>14</v>
      </c>
      <c r="F1229" s="79"/>
      <c r="G1229" s="82"/>
      <c r="H1229" s="68" t="str">
        <f t="shared" si="596"/>
        <v>Senbur0_20191119_04_00</v>
      </c>
      <c r="I1229" s="69">
        <f t="shared" si="597"/>
        <v>1</v>
      </c>
      <c r="J1229" s="76" t="str">
        <f t="shared" si="597"/>
        <v>Senecio</v>
      </c>
      <c r="K1229" s="76" t="str">
        <f t="shared" si="597"/>
        <v>burtoni</v>
      </c>
      <c r="L1229" s="77">
        <f t="shared" si="597"/>
        <v>0</v>
      </c>
      <c r="M1229" s="77">
        <f t="shared" si="597"/>
        <v>7</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19</v>
      </c>
      <c r="D1230" s="74">
        <f t="shared" si="578"/>
        <v>4</v>
      </c>
      <c r="E1230" s="75">
        <f t="shared" si="579"/>
        <v>15</v>
      </c>
      <c r="F1230" s="79"/>
      <c r="G1230" s="82"/>
      <c r="H1230" s="68" t="str">
        <f t="shared" si="596"/>
        <v>Senbur0_20191119_04_00</v>
      </c>
      <c r="I1230" s="69">
        <f t="shared" si="597"/>
        <v>1</v>
      </c>
      <c r="J1230" s="76" t="str">
        <f t="shared" si="597"/>
        <v>Senecio</v>
      </c>
      <c r="K1230" s="76" t="str">
        <f t="shared" si="597"/>
        <v>burtoni</v>
      </c>
      <c r="L1230" s="77">
        <f t="shared" si="597"/>
        <v>0</v>
      </c>
      <c r="M1230" s="77">
        <f t="shared" si="597"/>
        <v>7</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19</v>
      </c>
      <c r="D1231" s="74">
        <f t="shared" si="578"/>
        <v>4</v>
      </c>
      <c r="E1231" s="75">
        <f t="shared" si="579"/>
        <v>16</v>
      </c>
      <c r="F1231" s="79"/>
      <c r="G1231" s="82"/>
      <c r="H1231" s="68" t="str">
        <f t="shared" si="596"/>
        <v>Senbur0_20191119_04_00</v>
      </c>
      <c r="I1231" s="69">
        <f t="shared" si="597"/>
        <v>1</v>
      </c>
      <c r="J1231" s="76" t="str">
        <f t="shared" si="597"/>
        <v>Senecio</v>
      </c>
      <c r="K1231" s="76" t="str">
        <f t="shared" si="597"/>
        <v>burtoni</v>
      </c>
      <c r="L1231" s="77">
        <f t="shared" si="597"/>
        <v>0</v>
      </c>
      <c r="M1231" s="77">
        <f t="shared" si="597"/>
        <v>7</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19</v>
      </c>
      <c r="D1232" s="74">
        <f t="shared" si="578"/>
        <v>4</v>
      </c>
      <c r="E1232" s="75">
        <f t="shared" si="579"/>
        <v>17</v>
      </c>
      <c r="F1232" s="79"/>
      <c r="G1232" s="82"/>
      <c r="H1232" s="68" t="str">
        <f t="shared" si="596"/>
        <v>Senbur0_20191119_04_00</v>
      </c>
      <c r="I1232" s="69">
        <f t="shared" si="597"/>
        <v>1</v>
      </c>
      <c r="J1232" s="76" t="str">
        <f t="shared" si="597"/>
        <v>Senecio</v>
      </c>
      <c r="K1232" s="76" t="str">
        <f t="shared" si="597"/>
        <v>burtoni</v>
      </c>
      <c r="L1232" s="77">
        <f t="shared" si="597"/>
        <v>0</v>
      </c>
      <c r="M1232" s="77">
        <f t="shared" si="597"/>
        <v>7</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19</v>
      </c>
      <c r="D1233" s="74">
        <f t="shared" si="578"/>
        <v>4</v>
      </c>
      <c r="E1233" s="75">
        <f t="shared" si="579"/>
        <v>18</v>
      </c>
      <c r="F1233" s="79"/>
      <c r="G1233" s="82"/>
      <c r="H1233" s="68" t="str">
        <f t="shared" si="596"/>
        <v>Senbur0_20191119_04_00</v>
      </c>
      <c r="I1233" s="69">
        <f t="shared" si="597"/>
        <v>1</v>
      </c>
      <c r="J1233" s="76" t="str">
        <f t="shared" si="597"/>
        <v>Senecio</v>
      </c>
      <c r="K1233" s="76" t="str">
        <f t="shared" si="597"/>
        <v>burtoni</v>
      </c>
      <c r="L1233" s="77">
        <f t="shared" si="597"/>
        <v>0</v>
      </c>
      <c r="M1233" s="77">
        <f t="shared" si="597"/>
        <v>7</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19</v>
      </c>
      <c r="D1234" s="74">
        <f t="shared" si="578"/>
        <v>4</v>
      </c>
      <c r="E1234" s="75">
        <f t="shared" si="579"/>
        <v>19</v>
      </c>
      <c r="F1234" s="79"/>
      <c r="G1234" s="82"/>
      <c r="H1234" s="68" t="str">
        <f t="shared" si="596"/>
        <v>Senbur0_20191119_04_00</v>
      </c>
      <c r="I1234" s="69">
        <f t="shared" si="597"/>
        <v>1</v>
      </c>
      <c r="J1234" s="76" t="str">
        <f t="shared" si="597"/>
        <v>Senecio</v>
      </c>
      <c r="K1234" s="76" t="str">
        <f t="shared" si="597"/>
        <v>burtoni</v>
      </c>
      <c r="L1234" s="77">
        <f t="shared" si="597"/>
        <v>0</v>
      </c>
      <c r="M1234" s="77">
        <f t="shared" si="597"/>
        <v>7</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19</v>
      </c>
      <c r="D1235" s="74">
        <f t="shared" si="578"/>
        <v>4</v>
      </c>
      <c r="E1235" s="75">
        <f t="shared" si="579"/>
        <v>20</v>
      </c>
      <c r="F1235" s="79"/>
      <c r="G1235" s="82"/>
      <c r="H1235" s="68" t="str">
        <f t="shared" si="596"/>
        <v>Senbur0_20191119_04_00</v>
      </c>
      <c r="I1235" s="69">
        <f t="shared" si="597"/>
        <v>1</v>
      </c>
      <c r="J1235" s="76" t="str">
        <f t="shared" si="597"/>
        <v>Senecio</v>
      </c>
      <c r="K1235" s="76" t="str">
        <f t="shared" si="597"/>
        <v>burtoni</v>
      </c>
      <c r="L1235" s="77">
        <f t="shared" si="597"/>
        <v>0</v>
      </c>
      <c r="M1235" s="77">
        <f t="shared" si="597"/>
        <v>7</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19</v>
      </c>
      <c r="D1236" s="74">
        <f t="shared" si="578"/>
        <v>4</v>
      </c>
      <c r="E1236" s="75">
        <f t="shared" si="579"/>
        <v>21</v>
      </c>
      <c r="F1236" s="79"/>
      <c r="G1236" s="82"/>
      <c r="H1236" s="68" t="str">
        <f t="shared" si="596"/>
        <v>Senbur0_20191119_04_00</v>
      </c>
      <c r="I1236" s="69">
        <f t="shared" si="597"/>
        <v>1</v>
      </c>
      <c r="J1236" s="76" t="str">
        <f t="shared" si="597"/>
        <v>Senecio</v>
      </c>
      <c r="K1236" s="76" t="str">
        <f t="shared" si="597"/>
        <v>burtoni</v>
      </c>
      <c r="L1236" s="77">
        <f t="shared" si="597"/>
        <v>0</v>
      </c>
      <c r="M1236" s="77">
        <f t="shared" si="597"/>
        <v>7</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19</v>
      </c>
      <c r="D1237" s="74">
        <f t="shared" si="578"/>
        <v>4</v>
      </c>
      <c r="E1237" s="75">
        <f t="shared" si="579"/>
        <v>22</v>
      </c>
      <c r="F1237" s="79"/>
      <c r="G1237" s="82"/>
      <c r="H1237" s="68" t="str">
        <f t="shared" si="596"/>
        <v>Senbur0_20191119_04_00</v>
      </c>
      <c r="I1237" s="69">
        <f t="shared" ref="I1237:N1252" si="598">I1236</f>
        <v>1</v>
      </c>
      <c r="J1237" s="76" t="str">
        <f t="shared" si="598"/>
        <v>Senecio</v>
      </c>
      <c r="K1237" s="76" t="str">
        <f t="shared" si="598"/>
        <v>burtoni</v>
      </c>
      <c r="L1237" s="77">
        <f t="shared" si="598"/>
        <v>0</v>
      </c>
      <c r="M1237" s="77">
        <f t="shared" si="598"/>
        <v>7</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19</v>
      </c>
      <c r="D1238" s="74">
        <f t="shared" si="578"/>
        <v>4</v>
      </c>
      <c r="E1238" s="75">
        <f t="shared" si="579"/>
        <v>23</v>
      </c>
      <c r="F1238" s="79"/>
      <c r="G1238" s="82"/>
      <c r="H1238" s="68" t="str">
        <f t="shared" si="596"/>
        <v>Senbur0_20191119_04_00</v>
      </c>
      <c r="I1238" s="69">
        <f t="shared" si="598"/>
        <v>1</v>
      </c>
      <c r="J1238" s="76" t="str">
        <f t="shared" si="598"/>
        <v>Senecio</v>
      </c>
      <c r="K1238" s="76" t="str">
        <f t="shared" si="598"/>
        <v>burtoni</v>
      </c>
      <c r="L1238" s="77">
        <f t="shared" si="598"/>
        <v>0</v>
      </c>
      <c r="M1238" s="77">
        <f t="shared" si="598"/>
        <v>7</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19</v>
      </c>
      <c r="D1239" s="74">
        <f t="shared" si="578"/>
        <v>4</v>
      </c>
      <c r="E1239" s="75">
        <f t="shared" si="579"/>
        <v>24</v>
      </c>
      <c r="F1239" s="79"/>
      <c r="G1239" s="82"/>
      <c r="H1239" s="68" t="str">
        <f t="shared" si="596"/>
        <v>Senbur0_20191119_04_00</v>
      </c>
      <c r="I1239" s="69">
        <f t="shared" si="598"/>
        <v>1</v>
      </c>
      <c r="J1239" s="76" t="str">
        <f t="shared" si="598"/>
        <v>Senecio</v>
      </c>
      <c r="K1239" s="76" t="str">
        <f t="shared" si="598"/>
        <v>burtoni</v>
      </c>
      <c r="L1239" s="77">
        <f t="shared" si="598"/>
        <v>0</v>
      </c>
      <c r="M1239" s="77">
        <f t="shared" si="598"/>
        <v>7</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19</v>
      </c>
      <c r="D1240" s="74">
        <f t="shared" si="578"/>
        <v>4</v>
      </c>
      <c r="E1240" s="75">
        <f t="shared" si="579"/>
        <v>25</v>
      </c>
      <c r="F1240" s="79"/>
      <c r="G1240" s="82"/>
      <c r="H1240" s="68" t="str">
        <f t="shared" si="596"/>
        <v>Senbur0_20191119_04_00</v>
      </c>
      <c r="I1240" s="69">
        <f t="shared" si="598"/>
        <v>1</v>
      </c>
      <c r="J1240" s="76" t="str">
        <f t="shared" si="598"/>
        <v>Senecio</v>
      </c>
      <c r="K1240" s="76" t="str">
        <f t="shared" si="598"/>
        <v>burtoni</v>
      </c>
      <c r="L1240" s="77">
        <f t="shared" si="598"/>
        <v>0</v>
      </c>
      <c r="M1240" s="77">
        <f t="shared" si="598"/>
        <v>7</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19</v>
      </c>
      <c r="D1241" s="74">
        <f t="shared" si="578"/>
        <v>4</v>
      </c>
      <c r="E1241" s="75">
        <f t="shared" si="579"/>
        <v>26</v>
      </c>
      <c r="F1241" s="79"/>
      <c r="G1241" s="82"/>
      <c r="H1241" s="68" t="str">
        <f t="shared" si="596"/>
        <v>Senbur0_20191119_04_00</v>
      </c>
      <c r="I1241" s="69">
        <f t="shared" si="598"/>
        <v>1</v>
      </c>
      <c r="J1241" s="76" t="str">
        <f t="shared" si="598"/>
        <v>Senecio</v>
      </c>
      <c r="K1241" s="76" t="str">
        <f t="shared" si="598"/>
        <v>burtoni</v>
      </c>
      <c r="L1241" s="77">
        <f t="shared" si="598"/>
        <v>0</v>
      </c>
      <c r="M1241" s="77">
        <f t="shared" si="598"/>
        <v>7</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19</v>
      </c>
      <c r="D1242" s="74">
        <f t="shared" si="578"/>
        <v>4</v>
      </c>
      <c r="E1242" s="75">
        <f t="shared" si="579"/>
        <v>27</v>
      </c>
      <c r="F1242" s="79"/>
      <c r="G1242" s="82"/>
      <c r="H1242" s="68" t="str">
        <f t="shared" si="596"/>
        <v>Senbur0_20191119_04_00</v>
      </c>
      <c r="I1242" s="69">
        <f t="shared" si="598"/>
        <v>1</v>
      </c>
      <c r="J1242" s="76" t="str">
        <f t="shared" si="598"/>
        <v>Senecio</v>
      </c>
      <c r="K1242" s="76" t="str">
        <f t="shared" si="598"/>
        <v>burtoni</v>
      </c>
      <c r="L1242" s="77">
        <f t="shared" si="598"/>
        <v>0</v>
      </c>
      <c r="M1242" s="77">
        <f t="shared" si="598"/>
        <v>7</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19</v>
      </c>
      <c r="D1243" s="74">
        <f t="shared" si="578"/>
        <v>4</v>
      </c>
      <c r="E1243" s="75">
        <f t="shared" si="579"/>
        <v>28</v>
      </c>
      <c r="F1243" s="79"/>
      <c r="G1243" s="82"/>
      <c r="H1243" s="68" t="str">
        <f t="shared" si="596"/>
        <v>Senbur0_20191119_04_00</v>
      </c>
      <c r="I1243" s="69">
        <f t="shared" si="598"/>
        <v>1</v>
      </c>
      <c r="J1243" s="76" t="str">
        <f t="shared" si="598"/>
        <v>Senecio</v>
      </c>
      <c r="K1243" s="76" t="str">
        <f t="shared" si="598"/>
        <v>burtoni</v>
      </c>
      <c r="L1243" s="77">
        <f t="shared" si="598"/>
        <v>0</v>
      </c>
      <c r="M1243" s="77">
        <f t="shared" si="598"/>
        <v>7</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19</v>
      </c>
      <c r="D1244" s="74">
        <f t="shared" si="578"/>
        <v>4</v>
      </c>
      <c r="E1244" s="75">
        <f t="shared" si="579"/>
        <v>29</v>
      </c>
      <c r="F1244" s="79"/>
      <c r="G1244" s="82"/>
      <c r="H1244" s="68" t="str">
        <f t="shared" si="596"/>
        <v>Senbur0_20191119_04_00</v>
      </c>
      <c r="I1244" s="69">
        <f t="shared" si="598"/>
        <v>1</v>
      </c>
      <c r="J1244" s="76" t="str">
        <f t="shared" si="598"/>
        <v>Senecio</v>
      </c>
      <c r="K1244" s="76" t="str">
        <f t="shared" si="598"/>
        <v>burtoni</v>
      </c>
      <c r="L1244" s="77">
        <f t="shared" si="598"/>
        <v>0</v>
      </c>
      <c r="M1244" s="77">
        <f t="shared" si="598"/>
        <v>7</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19</v>
      </c>
      <c r="D1245" s="74">
        <f t="shared" si="578"/>
        <v>4</v>
      </c>
      <c r="E1245" s="75">
        <f t="shared" si="579"/>
        <v>30</v>
      </c>
      <c r="F1245" s="79"/>
      <c r="G1245" s="82"/>
      <c r="H1245" s="68" t="str">
        <f t="shared" si="596"/>
        <v>Senbur0_20191119_04_00</v>
      </c>
      <c r="I1245" s="69">
        <f t="shared" si="598"/>
        <v>1</v>
      </c>
      <c r="J1245" s="76" t="str">
        <f t="shared" si="598"/>
        <v>Senecio</v>
      </c>
      <c r="K1245" s="76" t="str">
        <f t="shared" si="598"/>
        <v>burtoni</v>
      </c>
      <c r="L1245" s="77">
        <f t="shared" si="598"/>
        <v>0</v>
      </c>
      <c r="M1245" s="77">
        <f t="shared" si="598"/>
        <v>7</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19</v>
      </c>
      <c r="D1246" s="74">
        <f t="shared" si="578"/>
        <v>4</v>
      </c>
      <c r="E1246" s="75">
        <f t="shared" si="579"/>
        <v>31</v>
      </c>
      <c r="F1246" s="79"/>
      <c r="G1246" s="82"/>
      <c r="H1246" s="68" t="str">
        <f t="shared" si="596"/>
        <v>Senbur0_20191119_04_00</v>
      </c>
      <c r="I1246" s="69">
        <f t="shared" si="598"/>
        <v>1</v>
      </c>
      <c r="J1246" s="76" t="str">
        <f t="shared" si="598"/>
        <v>Senecio</v>
      </c>
      <c r="K1246" s="76" t="str">
        <f t="shared" si="598"/>
        <v>burtoni</v>
      </c>
      <c r="L1246" s="77">
        <f t="shared" si="598"/>
        <v>0</v>
      </c>
      <c r="M1246" s="77">
        <f t="shared" si="598"/>
        <v>7</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19</v>
      </c>
      <c r="D1247" s="74">
        <f t="shared" si="578"/>
        <v>4</v>
      </c>
      <c r="E1247" s="75">
        <f t="shared" si="579"/>
        <v>32</v>
      </c>
      <c r="F1247" s="79"/>
      <c r="G1247" s="82"/>
      <c r="H1247" s="68" t="str">
        <f t="shared" si="596"/>
        <v>Senbur0_20191119_04_00</v>
      </c>
      <c r="I1247" s="69">
        <f t="shared" si="598"/>
        <v>1</v>
      </c>
      <c r="J1247" s="76" t="str">
        <f t="shared" si="598"/>
        <v>Senecio</v>
      </c>
      <c r="K1247" s="76" t="str">
        <f t="shared" si="598"/>
        <v>burtoni</v>
      </c>
      <c r="L1247" s="77">
        <f t="shared" si="598"/>
        <v>0</v>
      </c>
      <c r="M1247" s="77">
        <f t="shared" si="598"/>
        <v>7</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19</v>
      </c>
      <c r="D1248" s="74">
        <f t="shared" si="578"/>
        <v>4</v>
      </c>
      <c r="E1248" s="75">
        <f t="shared" si="579"/>
        <v>33</v>
      </c>
      <c r="F1248" s="79"/>
      <c r="G1248" s="82"/>
      <c r="H1248" s="68" t="str">
        <f t="shared" si="596"/>
        <v>Senbur0_20191119_04_00</v>
      </c>
      <c r="I1248" s="69">
        <f t="shared" si="598"/>
        <v>1</v>
      </c>
      <c r="J1248" s="76" t="str">
        <f t="shared" si="598"/>
        <v>Senecio</v>
      </c>
      <c r="K1248" s="76" t="str">
        <f t="shared" si="598"/>
        <v>burtoni</v>
      </c>
      <c r="L1248" s="77">
        <f t="shared" si="598"/>
        <v>0</v>
      </c>
      <c r="M1248" s="77">
        <f t="shared" si="598"/>
        <v>7</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19</v>
      </c>
      <c r="D1249" s="74">
        <f t="shared" si="578"/>
        <v>4</v>
      </c>
      <c r="E1249" s="75">
        <f t="shared" si="579"/>
        <v>34</v>
      </c>
      <c r="F1249" s="79"/>
      <c r="G1249" s="82"/>
      <c r="H1249" s="68" t="str">
        <f t="shared" si="596"/>
        <v>Senbur0_20191119_04_00</v>
      </c>
      <c r="I1249" s="69">
        <f t="shared" si="598"/>
        <v>1</v>
      </c>
      <c r="J1249" s="76" t="str">
        <f t="shared" si="598"/>
        <v>Senecio</v>
      </c>
      <c r="K1249" s="76" t="str">
        <f t="shared" si="598"/>
        <v>burtoni</v>
      </c>
      <c r="L1249" s="77">
        <f t="shared" si="598"/>
        <v>0</v>
      </c>
      <c r="M1249" s="77">
        <f t="shared" si="598"/>
        <v>7</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19</v>
      </c>
      <c r="D1250" s="74">
        <f t="shared" si="578"/>
        <v>4</v>
      </c>
      <c r="E1250" s="75">
        <f t="shared" si="579"/>
        <v>35</v>
      </c>
      <c r="F1250" s="79"/>
      <c r="G1250" s="82"/>
      <c r="H1250" s="68" t="str">
        <f t="shared" si="596"/>
        <v>Senbur0_20191119_04_00</v>
      </c>
      <c r="I1250" s="69">
        <f t="shared" si="598"/>
        <v>1</v>
      </c>
      <c r="J1250" s="76" t="str">
        <f t="shared" si="598"/>
        <v>Senecio</v>
      </c>
      <c r="K1250" s="76" t="str">
        <f t="shared" si="598"/>
        <v>burtoni</v>
      </c>
      <c r="L1250" s="77">
        <f t="shared" si="598"/>
        <v>0</v>
      </c>
      <c r="M1250" s="77">
        <f t="shared" si="598"/>
        <v>7</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19</v>
      </c>
      <c r="D1251" s="74">
        <f t="shared" si="578"/>
        <v>4</v>
      </c>
      <c r="E1251" s="75">
        <f t="shared" si="579"/>
        <v>36</v>
      </c>
      <c r="F1251" s="79"/>
      <c r="G1251" s="82"/>
      <c r="H1251" s="68" t="str">
        <f t="shared" si="596"/>
        <v>Senbur0_20191119_04_00</v>
      </c>
      <c r="I1251" s="69">
        <f t="shared" si="598"/>
        <v>1</v>
      </c>
      <c r="J1251" s="76" t="str">
        <f t="shared" si="598"/>
        <v>Senecio</v>
      </c>
      <c r="K1251" s="76" t="str">
        <f t="shared" si="598"/>
        <v>burtoni</v>
      </c>
      <c r="L1251" s="77">
        <f t="shared" si="598"/>
        <v>0</v>
      </c>
      <c r="M1251" s="77">
        <f t="shared" si="598"/>
        <v>7</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19</v>
      </c>
      <c r="D1252" s="74">
        <f t="shared" si="578"/>
        <v>4</v>
      </c>
      <c r="E1252" s="75">
        <f t="shared" si="579"/>
        <v>37</v>
      </c>
      <c r="F1252" s="79"/>
      <c r="G1252" s="82"/>
      <c r="H1252" s="68" t="str">
        <f t="shared" si="596"/>
        <v>Senbur0_20191119_04_00</v>
      </c>
      <c r="I1252" s="69">
        <f t="shared" si="598"/>
        <v>1</v>
      </c>
      <c r="J1252" s="76" t="str">
        <f t="shared" si="598"/>
        <v>Senecio</v>
      </c>
      <c r="K1252" s="76" t="str">
        <f t="shared" si="598"/>
        <v>burtoni</v>
      </c>
      <c r="L1252" s="77">
        <f t="shared" si="598"/>
        <v>0</v>
      </c>
      <c r="M1252" s="77">
        <f t="shared" si="598"/>
        <v>7</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19</v>
      </c>
      <c r="D1253" s="74">
        <f t="shared" si="578"/>
        <v>4</v>
      </c>
      <c r="E1253" s="75">
        <f t="shared" si="579"/>
        <v>38</v>
      </c>
      <c r="F1253" s="79"/>
      <c r="G1253" s="82"/>
      <c r="H1253" s="68" t="str">
        <f t="shared" si="596"/>
        <v>Senbur0_20191119_04_00</v>
      </c>
      <c r="I1253" s="69">
        <f t="shared" ref="I1253:N1268" si="599">I1252</f>
        <v>1</v>
      </c>
      <c r="J1253" s="76" t="str">
        <f t="shared" si="599"/>
        <v>Senecio</v>
      </c>
      <c r="K1253" s="76" t="str">
        <f t="shared" si="599"/>
        <v>burtoni</v>
      </c>
      <c r="L1253" s="77">
        <f t="shared" si="599"/>
        <v>0</v>
      </c>
      <c r="M1253" s="77">
        <f t="shared" si="599"/>
        <v>7</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19</v>
      </c>
      <c r="D1254" s="74">
        <f t="shared" si="578"/>
        <v>4</v>
      </c>
      <c r="E1254" s="75">
        <f t="shared" si="579"/>
        <v>39</v>
      </c>
      <c r="F1254" s="79"/>
      <c r="G1254" s="82"/>
      <c r="H1254" s="68" t="str">
        <f t="shared" si="596"/>
        <v>Senbur0_20191119_04_00</v>
      </c>
      <c r="I1254" s="69">
        <f t="shared" si="599"/>
        <v>1</v>
      </c>
      <c r="J1254" s="76" t="str">
        <f t="shared" si="599"/>
        <v>Senecio</v>
      </c>
      <c r="K1254" s="76" t="str">
        <f t="shared" si="599"/>
        <v>burtoni</v>
      </c>
      <c r="L1254" s="77">
        <f t="shared" si="599"/>
        <v>0</v>
      </c>
      <c r="M1254" s="77">
        <f t="shared" si="599"/>
        <v>7</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19</v>
      </c>
      <c r="D1255" s="74">
        <f t="shared" si="578"/>
        <v>4</v>
      </c>
      <c r="E1255" s="75">
        <f t="shared" si="579"/>
        <v>40</v>
      </c>
      <c r="F1255" s="79"/>
      <c r="G1255" s="82"/>
      <c r="H1255" s="68" t="str">
        <f t="shared" si="596"/>
        <v>Senbur0_20191119_04_00</v>
      </c>
      <c r="I1255" s="69">
        <f t="shared" si="599"/>
        <v>1</v>
      </c>
      <c r="J1255" s="76" t="str">
        <f t="shared" si="599"/>
        <v>Senecio</v>
      </c>
      <c r="K1255" s="76" t="str">
        <f t="shared" si="599"/>
        <v>burtoni</v>
      </c>
      <c r="L1255" s="77">
        <f t="shared" si="599"/>
        <v>0</v>
      </c>
      <c r="M1255" s="77">
        <f t="shared" si="599"/>
        <v>7</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19</v>
      </c>
      <c r="D1256" s="74">
        <f t="shared" si="578"/>
        <v>4</v>
      </c>
      <c r="E1256" s="75">
        <f t="shared" si="579"/>
        <v>41</v>
      </c>
      <c r="F1256" s="79"/>
      <c r="G1256" s="82"/>
      <c r="H1256" s="68" t="str">
        <f t="shared" si="596"/>
        <v>Senbur0_20191119_04_00</v>
      </c>
      <c r="I1256" s="69">
        <f t="shared" si="599"/>
        <v>1</v>
      </c>
      <c r="J1256" s="76" t="str">
        <f t="shared" si="599"/>
        <v>Senecio</v>
      </c>
      <c r="K1256" s="76" t="str">
        <f t="shared" si="599"/>
        <v>burtoni</v>
      </c>
      <c r="L1256" s="77">
        <f t="shared" si="599"/>
        <v>0</v>
      </c>
      <c r="M1256" s="77">
        <f t="shared" si="599"/>
        <v>7</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19</v>
      </c>
      <c r="D1257" s="74">
        <f t="shared" si="578"/>
        <v>4</v>
      </c>
      <c r="E1257" s="75">
        <f t="shared" si="579"/>
        <v>42</v>
      </c>
      <c r="F1257" s="79"/>
      <c r="G1257" s="82"/>
      <c r="H1257" s="68" t="str">
        <f t="shared" si="596"/>
        <v>Senbur0_20191119_04_00</v>
      </c>
      <c r="I1257" s="69">
        <f t="shared" si="599"/>
        <v>1</v>
      </c>
      <c r="J1257" s="76" t="str">
        <f t="shared" si="599"/>
        <v>Senecio</v>
      </c>
      <c r="K1257" s="76" t="str">
        <f t="shared" si="599"/>
        <v>burtoni</v>
      </c>
      <c r="L1257" s="77">
        <f t="shared" si="599"/>
        <v>0</v>
      </c>
      <c r="M1257" s="77">
        <f t="shared" si="599"/>
        <v>7</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19</v>
      </c>
      <c r="D1258" s="74">
        <f t="shared" si="578"/>
        <v>4</v>
      </c>
      <c r="E1258" s="75">
        <f t="shared" si="579"/>
        <v>43</v>
      </c>
      <c r="F1258" s="79"/>
      <c r="G1258" s="82"/>
      <c r="H1258" s="68" t="str">
        <f t="shared" si="596"/>
        <v>Senbur0_20191119_04_00</v>
      </c>
      <c r="I1258" s="69">
        <f t="shared" si="599"/>
        <v>1</v>
      </c>
      <c r="J1258" s="76" t="str">
        <f t="shared" si="599"/>
        <v>Senecio</v>
      </c>
      <c r="K1258" s="76" t="str">
        <f t="shared" si="599"/>
        <v>burtoni</v>
      </c>
      <c r="L1258" s="77">
        <f t="shared" si="599"/>
        <v>0</v>
      </c>
      <c r="M1258" s="77">
        <f t="shared" si="599"/>
        <v>7</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19</v>
      </c>
      <c r="D1259" s="74">
        <f t="shared" si="578"/>
        <v>4</v>
      </c>
      <c r="E1259" s="75">
        <f t="shared" si="579"/>
        <v>44</v>
      </c>
      <c r="F1259" s="79"/>
      <c r="G1259" s="82"/>
      <c r="H1259" s="68" t="str">
        <f t="shared" si="596"/>
        <v>Senbur0_20191119_04_00</v>
      </c>
      <c r="I1259" s="69">
        <f t="shared" si="599"/>
        <v>1</v>
      </c>
      <c r="J1259" s="76" t="str">
        <f t="shared" si="599"/>
        <v>Senecio</v>
      </c>
      <c r="K1259" s="76" t="str">
        <f t="shared" si="599"/>
        <v>burtoni</v>
      </c>
      <c r="L1259" s="77">
        <f t="shared" si="599"/>
        <v>0</v>
      </c>
      <c r="M1259" s="77">
        <f t="shared" si="599"/>
        <v>7</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19</v>
      </c>
      <c r="D1260" s="74">
        <f t="shared" si="578"/>
        <v>4</v>
      </c>
      <c r="E1260" s="75">
        <f t="shared" si="579"/>
        <v>45</v>
      </c>
      <c r="F1260" s="79"/>
      <c r="G1260" s="82"/>
      <c r="H1260" s="68" t="str">
        <f t="shared" si="596"/>
        <v>Senbur0_20191119_04_00</v>
      </c>
      <c r="I1260" s="69">
        <f t="shared" si="599"/>
        <v>1</v>
      </c>
      <c r="J1260" s="76" t="str">
        <f t="shared" si="599"/>
        <v>Senecio</v>
      </c>
      <c r="K1260" s="76" t="str">
        <f t="shared" si="599"/>
        <v>burtoni</v>
      </c>
      <c r="L1260" s="77">
        <f t="shared" si="599"/>
        <v>0</v>
      </c>
      <c r="M1260" s="77">
        <f t="shared" si="599"/>
        <v>7</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19</v>
      </c>
      <c r="D1261" s="74">
        <f t="shared" si="578"/>
        <v>4</v>
      </c>
      <c r="E1261" s="75">
        <f t="shared" si="579"/>
        <v>46</v>
      </c>
      <c r="F1261" s="79"/>
      <c r="G1261" s="82"/>
      <c r="H1261" s="68" t="str">
        <f t="shared" si="596"/>
        <v>Senbur0_20191119_04_00</v>
      </c>
      <c r="I1261" s="69">
        <f t="shared" si="599"/>
        <v>1</v>
      </c>
      <c r="J1261" s="76" t="str">
        <f t="shared" si="599"/>
        <v>Senecio</v>
      </c>
      <c r="K1261" s="76" t="str">
        <f t="shared" si="599"/>
        <v>burtoni</v>
      </c>
      <c r="L1261" s="77">
        <f t="shared" si="599"/>
        <v>0</v>
      </c>
      <c r="M1261" s="77">
        <f t="shared" si="599"/>
        <v>7</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19</v>
      </c>
      <c r="D1262" s="74">
        <f t="shared" si="578"/>
        <v>4</v>
      </c>
      <c r="E1262" s="75">
        <f t="shared" si="579"/>
        <v>47</v>
      </c>
      <c r="F1262" s="79"/>
      <c r="G1262" s="82"/>
      <c r="H1262" s="68" t="str">
        <f t="shared" si="596"/>
        <v>Senbur0_20191119_04_00</v>
      </c>
      <c r="I1262" s="69">
        <f t="shared" si="599"/>
        <v>1</v>
      </c>
      <c r="J1262" s="76" t="str">
        <f t="shared" si="599"/>
        <v>Senecio</v>
      </c>
      <c r="K1262" s="76" t="str">
        <f t="shared" si="599"/>
        <v>burtoni</v>
      </c>
      <c r="L1262" s="77">
        <f t="shared" si="599"/>
        <v>0</v>
      </c>
      <c r="M1262" s="77">
        <f t="shared" si="599"/>
        <v>7</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19</v>
      </c>
      <c r="D1263" s="74">
        <f t="shared" si="578"/>
        <v>4</v>
      </c>
      <c r="E1263" s="75">
        <f t="shared" si="579"/>
        <v>48</v>
      </c>
      <c r="F1263" s="79"/>
      <c r="G1263" s="82"/>
      <c r="H1263" s="68" t="str">
        <f t="shared" si="596"/>
        <v>Senbur0_20191119_04_00</v>
      </c>
      <c r="I1263" s="69">
        <f t="shared" si="599"/>
        <v>1</v>
      </c>
      <c r="J1263" s="76" t="str">
        <f t="shared" si="599"/>
        <v>Senecio</v>
      </c>
      <c r="K1263" s="76" t="str">
        <f t="shared" si="599"/>
        <v>burtoni</v>
      </c>
      <c r="L1263" s="77">
        <f t="shared" si="599"/>
        <v>0</v>
      </c>
      <c r="M1263" s="77">
        <f t="shared" si="599"/>
        <v>7</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19</v>
      </c>
      <c r="D1264" s="74">
        <f t="shared" si="578"/>
        <v>4</v>
      </c>
      <c r="E1264" s="75">
        <f t="shared" si="579"/>
        <v>49</v>
      </c>
      <c r="F1264" s="79"/>
      <c r="G1264" s="82"/>
      <c r="H1264" s="68" t="str">
        <f t="shared" si="596"/>
        <v>Senbur0_20191119_04_00</v>
      </c>
      <c r="I1264" s="69">
        <f t="shared" si="599"/>
        <v>1</v>
      </c>
      <c r="J1264" s="76" t="str">
        <f t="shared" si="599"/>
        <v>Senecio</v>
      </c>
      <c r="K1264" s="76" t="str">
        <f t="shared" si="599"/>
        <v>burtoni</v>
      </c>
      <c r="L1264" s="77">
        <f t="shared" si="599"/>
        <v>0</v>
      </c>
      <c r="M1264" s="77">
        <f t="shared" si="599"/>
        <v>7</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19</v>
      </c>
      <c r="D1265" s="74">
        <f t="shared" si="578"/>
        <v>4</v>
      </c>
      <c r="E1265" s="75">
        <f t="shared" si="579"/>
        <v>50</v>
      </c>
      <c r="F1265" s="79"/>
      <c r="G1265" s="82"/>
      <c r="H1265" s="68" t="str">
        <f t="shared" si="596"/>
        <v>Senbur0_20191119_04_00</v>
      </c>
      <c r="I1265" s="69">
        <f t="shared" si="599"/>
        <v>1</v>
      </c>
      <c r="J1265" s="76" t="str">
        <f t="shared" si="599"/>
        <v>Senecio</v>
      </c>
      <c r="K1265" s="76" t="str">
        <f t="shared" si="599"/>
        <v>burtoni</v>
      </c>
      <c r="L1265" s="77">
        <f t="shared" si="599"/>
        <v>0</v>
      </c>
      <c r="M1265" s="77">
        <f t="shared" si="599"/>
        <v>7</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19</v>
      </c>
      <c r="D1266" s="74">
        <f t="shared" si="578"/>
        <v>4</v>
      </c>
      <c r="E1266" s="75">
        <f t="shared" si="579"/>
        <v>51</v>
      </c>
      <c r="F1266" s="79"/>
      <c r="G1266" s="82"/>
      <c r="H1266" s="68" t="str">
        <f t="shared" si="596"/>
        <v>Senbur0_20191119_04_00</v>
      </c>
      <c r="I1266" s="69">
        <f t="shared" si="599"/>
        <v>1</v>
      </c>
      <c r="J1266" s="76" t="str">
        <f t="shared" si="599"/>
        <v>Senecio</v>
      </c>
      <c r="K1266" s="76" t="str">
        <f t="shared" si="599"/>
        <v>burtoni</v>
      </c>
      <c r="L1266" s="77">
        <f t="shared" si="599"/>
        <v>0</v>
      </c>
      <c r="M1266" s="77">
        <f t="shared" si="599"/>
        <v>7</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19</v>
      </c>
      <c r="D1267" s="74">
        <f t="shared" si="578"/>
        <v>4</v>
      </c>
      <c r="E1267" s="75">
        <f t="shared" si="579"/>
        <v>52</v>
      </c>
      <c r="F1267" s="79"/>
      <c r="G1267" s="82"/>
      <c r="H1267" s="68" t="str">
        <f t="shared" si="596"/>
        <v>Senbur0_20191119_04_00</v>
      </c>
      <c r="I1267" s="69">
        <f t="shared" si="599"/>
        <v>1</v>
      </c>
      <c r="J1267" s="76" t="str">
        <f t="shared" si="599"/>
        <v>Senecio</v>
      </c>
      <c r="K1267" s="76" t="str">
        <f t="shared" si="599"/>
        <v>burtoni</v>
      </c>
      <c r="L1267" s="77">
        <f t="shared" si="599"/>
        <v>0</v>
      </c>
      <c r="M1267" s="77">
        <f t="shared" si="599"/>
        <v>7</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19</v>
      </c>
      <c r="D1268" s="74">
        <f t="shared" si="578"/>
        <v>4</v>
      </c>
      <c r="E1268" s="75">
        <f t="shared" si="579"/>
        <v>53</v>
      </c>
      <c r="F1268" s="79"/>
      <c r="G1268" s="82"/>
      <c r="H1268" s="68" t="str">
        <f t="shared" si="596"/>
        <v>Senbur0_20191119_04_00</v>
      </c>
      <c r="I1268" s="69">
        <f t="shared" si="599"/>
        <v>1</v>
      </c>
      <c r="J1268" s="76" t="str">
        <f t="shared" si="599"/>
        <v>Senecio</v>
      </c>
      <c r="K1268" s="76" t="str">
        <f t="shared" si="599"/>
        <v>burtoni</v>
      </c>
      <c r="L1268" s="77">
        <f t="shared" si="599"/>
        <v>0</v>
      </c>
      <c r="M1268" s="77">
        <f t="shared" si="599"/>
        <v>7</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19</v>
      </c>
      <c r="D1269" s="74">
        <f t="shared" si="578"/>
        <v>4</v>
      </c>
      <c r="E1269" s="75">
        <f t="shared" si="579"/>
        <v>54</v>
      </c>
      <c r="F1269" s="79"/>
      <c r="G1269" s="82"/>
      <c r="H1269" s="68" t="str">
        <f t="shared" si="596"/>
        <v>Senbur0_20191119_04_00</v>
      </c>
      <c r="I1269" s="69">
        <f t="shared" ref="I1269:N1284" si="600">I1268</f>
        <v>1</v>
      </c>
      <c r="J1269" s="76" t="str">
        <f t="shared" si="600"/>
        <v>Senecio</v>
      </c>
      <c r="K1269" s="76" t="str">
        <f t="shared" si="600"/>
        <v>burtoni</v>
      </c>
      <c r="L1269" s="77">
        <f t="shared" si="600"/>
        <v>0</v>
      </c>
      <c r="M1269" s="77">
        <f t="shared" si="600"/>
        <v>7</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19</v>
      </c>
      <c r="D1270" s="74">
        <f t="shared" si="578"/>
        <v>4</v>
      </c>
      <c r="E1270" s="75">
        <f t="shared" si="579"/>
        <v>55</v>
      </c>
      <c r="F1270" s="79"/>
      <c r="G1270" s="82"/>
      <c r="H1270" s="68" t="str">
        <f t="shared" si="596"/>
        <v>Senbur0_20191119_04_00</v>
      </c>
      <c r="I1270" s="69">
        <f t="shared" si="600"/>
        <v>1</v>
      </c>
      <c r="J1270" s="76" t="str">
        <f t="shared" si="600"/>
        <v>Senecio</v>
      </c>
      <c r="K1270" s="76" t="str">
        <f t="shared" si="600"/>
        <v>burtoni</v>
      </c>
      <c r="L1270" s="77">
        <f t="shared" si="600"/>
        <v>0</v>
      </c>
      <c r="M1270" s="77">
        <f t="shared" si="600"/>
        <v>7</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19</v>
      </c>
      <c r="D1271" s="74">
        <f t="shared" si="578"/>
        <v>4</v>
      </c>
      <c r="E1271" s="75">
        <f t="shared" si="579"/>
        <v>56</v>
      </c>
      <c r="F1271" s="79"/>
      <c r="G1271" s="82"/>
      <c r="H1271" s="68" t="str">
        <f t="shared" si="596"/>
        <v>Senbur0_20191119_04_00</v>
      </c>
      <c r="I1271" s="69">
        <f t="shared" si="600"/>
        <v>1</v>
      </c>
      <c r="J1271" s="76" t="str">
        <f t="shared" si="600"/>
        <v>Senecio</v>
      </c>
      <c r="K1271" s="76" t="str">
        <f t="shared" si="600"/>
        <v>burtoni</v>
      </c>
      <c r="L1271" s="77">
        <f t="shared" si="600"/>
        <v>0</v>
      </c>
      <c r="M1271" s="77">
        <f t="shared" si="600"/>
        <v>7</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19</v>
      </c>
      <c r="D1272" s="74">
        <f t="shared" si="578"/>
        <v>4</v>
      </c>
      <c r="E1272" s="75">
        <f t="shared" si="579"/>
        <v>57</v>
      </c>
      <c r="F1272" s="79"/>
      <c r="G1272" s="82"/>
      <c r="H1272" s="68" t="str">
        <f t="shared" si="596"/>
        <v>Senbur0_20191119_04_00</v>
      </c>
      <c r="I1272" s="69">
        <f t="shared" si="600"/>
        <v>1</v>
      </c>
      <c r="J1272" s="76" t="str">
        <f t="shared" si="600"/>
        <v>Senecio</v>
      </c>
      <c r="K1272" s="76" t="str">
        <f t="shared" si="600"/>
        <v>burtoni</v>
      </c>
      <c r="L1272" s="77">
        <f t="shared" si="600"/>
        <v>0</v>
      </c>
      <c r="M1272" s="77">
        <f t="shared" si="600"/>
        <v>7</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19</v>
      </c>
      <c r="D1273" s="74">
        <f t="shared" si="578"/>
        <v>4</v>
      </c>
      <c r="E1273" s="75">
        <f t="shared" si="579"/>
        <v>58</v>
      </c>
      <c r="F1273" s="79"/>
      <c r="G1273" s="82"/>
      <c r="H1273" s="68" t="str">
        <f t="shared" si="596"/>
        <v>Senbur0_20191119_04_00</v>
      </c>
      <c r="I1273" s="69">
        <f t="shared" si="600"/>
        <v>1</v>
      </c>
      <c r="J1273" s="76" t="str">
        <f t="shared" si="600"/>
        <v>Senecio</v>
      </c>
      <c r="K1273" s="76" t="str">
        <f t="shared" si="600"/>
        <v>burtoni</v>
      </c>
      <c r="L1273" s="77">
        <f t="shared" si="600"/>
        <v>0</v>
      </c>
      <c r="M1273" s="77">
        <f t="shared" si="600"/>
        <v>7</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19</v>
      </c>
      <c r="D1274" s="74">
        <f t="shared" si="578"/>
        <v>4</v>
      </c>
      <c r="E1274" s="75">
        <f t="shared" si="579"/>
        <v>59</v>
      </c>
      <c r="F1274" s="79"/>
      <c r="G1274" s="82"/>
      <c r="H1274" s="68" t="str">
        <f t="shared" si="596"/>
        <v>Senbur0_20191119_04_00</v>
      </c>
      <c r="I1274" s="69">
        <f t="shared" si="600"/>
        <v>1</v>
      </c>
      <c r="J1274" s="76" t="str">
        <f t="shared" si="600"/>
        <v>Senecio</v>
      </c>
      <c r="K1274" s="76" t="str">
        <f t="shared" si="600"/>
        <v>burtoni</v>
      </c>
      <c r="L1274" s="77">
        <f t="shared" si="600"/>
        <v>0</v>
      </c>
      <c r="M1274" s="77">
        <f t="shared" si="600"/>
        <v>7</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19</v>
      </c>
      <c r="D1275" s="74">
        <f t="shared" si="578"/>
        <v>5</v>
      </c>
      <c r="E1275" s="75">
        <f t="shared" si="579"/>
        <v>0</v>
      </c>
      <c r="F1275" s="79"/>
      <c r="G1275" s="82"/>
      <c r="H1275" s="68" t="str">
        <f t="shared" si="596"/>
        <v>Senbur0_20191119_05_00</v>
      </c>
      <c r="I1275" s="69">
        <f t="shared" si="600"/>
        <v>1</v>
      </c>
      <c r="J1275" s="76" t="str">
        <f t="shared" si="600"/>
        <v>Senecio</v>
      </c>
      <c r="K1275" s="76" t="str">
        <f t="shared" si="600"/>
        <v>burtoni</v>
      </c>
      <c r="L1275" s="77">
        <f t="shared" si="600"/>
        <v>0</v>
      </c>
      <c r="M1275" s="77">
        <f t="shared" si="600"/>
        <v>7</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19</v>
      </c>
      <c r="D1276" s="74">
        <f t="shared" si="578"/>
        <v>5</v>
      </c>
      <c r="E1276" s="75">
        <f t="shared" si="579"/>
        <v>1</v>
      </c>
      <c r="F1276" s="79"/>
      <c r="G1276" s="82"/>
      <c r="H1276" s="68" t="str">
        <f t="shared" si="596"/>
        <v>Senbur0_20191119_05_00</v>
      </c>
      <c r="I1276" s="69">
        <f t="shared" si="600"/>
        <v>1</v>
      </c>
      <c r="J1276" s="76" t="str">
        <f t="shared" si="600"/>
        <v>Senecio</v>
      </c>
      <c r="K1276" s="76" t="str">
        <f t="shared" si="600"/>
        <v>burtoni</v>
      </c>
      <c r="L1276" s="77">
        <f t="shared" si="600"/>
        <v>0</v>
      </c>
      <c r="M1276" s="77">
        <f t="shared" si="600"/>
        <v>7</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19</v>
      </c>
      <c r="D1277" s="74">
        <f t="shared" si="578"/>
        <v>5</v>
      </c>
      <c r="E1277" s="75">
        <f t="shared" si="579"/>
        <v>2</v>
      </c>
      <c r="F1277" s="79"/>
      <c r="G1277" s="82"/>
      <c r="H1277" s="68" t="str">
        <f t="shared" si="596"/>
        <v>Senbur0_20191119_05_00</v>
      </c>
      <c r="I1277" s="69">
        <f t="shared" si="600"/>
        <v>1</v>
      </c>
      <c r="J1277" s="76" t="str">
        <f t="shared" si="600"/>
        <v>Senecio</v>
      </c>
      <c r="K1277" s="76" t="str">
        <f t="shared" si="600"/>
        <v>burtoni</v>
      </c>
      <c r="L1277" s="77">
        <f t="shared" si="600"/>
        <v>0</v>
      </c>
      <c r="M1277" s="77">
        <f t="shared" si="600"/>
        <v>7</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19</v>
      </c>
      <c r="D1278" s="74">
        <f t="shared" si="578"/>
        <v>5</v>
      </c>
      <c r="E1278" s="75">
        <f t="shared" si="579"/>
        <v>3</v>
      </c>
      <c r="F1278" s="79"/>
      <c r="G1278" s="82"/>
      <c r="H1278" s="68" t="str">
        <f t="shared" si="596"/>
        <v>Senbur0_20191119_05_00</v>
      </c>
      <c r="I1278" s="69">
        <f t="shared" si="600"/>
        <v>1</v>
      </c>
      <c r="J1278" s="76" t="str">
        <f t="shared" si="600"/>
        <v>Senecio</v>
      </c>
      <c r="K1278" s="76" t="str">
        <f t="shared" si="600"/>
        <v>burtoni</v>
      </c>
      <c r="L1278" s="77">
        <f t="shared" si="600"/>
        <v>0</v>
      </c>
      <c r="M1278" s="77">
        <f t="shared" si="600"/>
        <v>7</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19</v>
      </c>
      <c r="D1279" s="74">
        <f t="shared" si="578"/>
        <v>5</v>
      </c>
      <c r="E1279" s="75">
        <f t="shared" si="579"/>
        <v>4</v>
      </c>
      <c r="F1279" s="79"/>
      <c r="G1279" s="82"/>
      <c r="H1279" s="68" t="str">
        <f t="shared" si="596"/>
        <v>Senbur0_20191119_05_00</v>
      </c>
      <c r="I1279" s="69">
        <f t="shared" si="600"/>
        <v>1</v>
      </c>
      <c r="J1279" s="76" t="str">
        <f t="shared" si="600"/>
        <v>Senecio</v>
      </c>
      <c r="K1279" s="76" t="str">
        <f t="shared" si="600"/>
        <v>burtoni</v>
      </c>
      <c r="L1279" s="77">
        <f t="shared" si="600"/>
        <v>0</v>
      </c>
      <c r="M1279" s="77">
        <f t="shared" si="600"/>
        <v>7</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19</v>
      </c>
      <c r="D1280" s="74">
        <f t="shared" si="578"/>
        <v>5</v>
      </c>
      <c r="E1280" s="75">
        <f t="shared" si="579"/>
        <v>5</v>
      </c>
      <c r="F1280" s="79"/>
      <c r="G1280" s="82"/>
      <c r="H1280" s="68" t="str">
        <f t="shared" si="596"/>
        <v>Senbur0_20191119_05_00</v>
      </c>
      <c r="I1280" s="69">
        <f t="shared" si="600"/>
        <v>1</v>
      </c>
      <c r="J1280" s="76" t="str">
        <f t="shared" si="600"/>
        <v>Senecio</v>
      </c>
      <c r="K1280" s="76" t="str">
        <f t="shared" si="600"/>
        <v>burtoni</v>
      </c>
      <c r="L1280" s="77">
        <f t="shared" si="600"/>
        <v>0</v>
      </c>
      <c r="M1280" s="77">
        <f t="shared" si="600"/>
        <v>7</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19</v>
      </c>
      <c r="D1281" s="74">
        <f t="shared" si="578"/>
        <v>5</v>
      </c>
      <c r="E1281" s="75">
        <f t="shared" si="579"/>
        <v>6</v>
      </c>
      <c r="F1281" s="79"/>
      <c r="G1281" s="82"/>
      <c r="H1281" s="68" t="str">
        <f t="shared" si="596"/>
        <v>Senbur0_20191119_05_00</v>
      </c>
      <c r="I1281" s="69">
        <f t="shared" si="600"/>
        <v>1</v>
      </c>
      <c r="J1281" s="76" t="str">
        <f t="shared" si="600"/>
        <v>Senecio</v>
      </c>
      <c r="K1281" s="76" t="str">
        <f t="shared" si="600"/>
        <v>burtoni</v>
      </c>
      <c r="L1281" s="77">
        <f t="shared" si="600"/>
        <v>0</v>
      </c>
      <c r="M1281" s="77">
        <f t="shared" si="600"/>
        <v>7</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19</v>
      </c>
      <c r="D1282" s="74">
        <f t="shared" si="578"/>
        <v>5</v>
      </c>
      <c r="E1282" s="75">
        <f t="shared" si="579"/>
        <v>7</v>
      </c>
      <c r="F1282" s="79">
        <v>14</v>
      </c>
      <c r="G1282" s="82"/>
      <c r="H1282" s="68" t="str">
        <f t="shared" si="596"/>
        <v>Senbur0_20191119_05_00</v>
      </c>
      <c r="I1282" s="69">
        <f t="shared" si="600"/>
        <v>1</v>
      </c>
      <c r="J1282" s="76" t="str">
        <f t="shared" si="600"/>
        <v>Senecio</v>
      </c>
      <c r="K1282" s="76" t="str">
        <f t="shared" si="600"/>
        <v>burtoni</v>
      </c>
      <c r="L1282" s="77">
        <f t="shared" si="600"/>
        <v>0</v>
      </c>
      <c r="M1282" s="77">
        <f t="shared" si="600"/>
        <v>7</v>
      </c>
      <c r="N1282" s="71">
        <f t="shared" si="600"/>
        <v>0</v>
      </c>
      <c r="O1282" s="44"/>
      <c r="P1282" s="45">
        <f t="shared" si="580"/>
        <v>1</v>
      </c>
      <c r="Q1282" s="46" t="str">
        <f t="shared" si="581"/>
        <v>05:07:14</v>
      </c>
      <c r="R1282" s="47" t="str">
        <f t="shared" si="582"/>
        <v>07:14</v>
      </c>
      <c r="S1282" s="48">
        <f t="shared" si="571"/>
        <v>7</v>
      </c>
      <c r="T1282" s="47" t="str">
        <f t="shared" si="583"/>
        <v>05</v>
      </c>
      <c r="U1282" s="49">
        <v>7</v>
      </c>
      <c r="V1282" s="50">
        <v>21</v>
      </c>
      <c r="W1282" s="51" t="str">
        <f t="shared" si="584"/>
        <v>07:21</v>
      </c>
      <c r="X1282" s="52" t="s">
        <v>74</v>
      </c>
      <c r="Y1282" s="124" t="s">
        <v>97</v>
      </c>
      <c r="Z1282" s="124"/>
      <c r="AA1282" s="47" t="s">
        <v>76</v>
      </c>
      <c r="AB1282" s="47" t="str">
        <f t="shared" si="585"/>
        <v>NA</v>
      </c>
      <c r="AC1282" s="53">
        <f t="shared" si="586"/>
        <v>0</v>
      </c>
      <c r="AD1282" s="54">
        <v>2</v>
      </c>
      <c r="AE1282" s="54"/>
      <c r="AF1282" s="54"/>
      <c r="AG1282" s="55" t="str">
        <f t="shared" si="588"/>
        <v/>
      </c>
      <c r="AH1282" s="56" t="str">
        <f t="shared" si="589"/>
        <v/>
      </c>
      <c r="AI1282" s="55"/>
      <c r="AJ1282" s="56" t="str">
        <f t="shared" si="590"/>
        <v/>
      </c>
      <c r="AK1282" s="55"/>
      <c r="AL1282" s="56" t="str">
        <f t="shared" si="591"/>
        <v/>
      </c>
      <c r="AM1282" s="55">
        <v>1</v>
      </c>
      <c r="AN1282" s="56">
        <f t="shared" si="592"/>
        <v>7</v>
      </c>
      <c r="AO1282" s="55"/>
      <c r="AP1282" s="56" t="str">
        <f t="shared" si="593"/>
        <v/>
      </c>
      <c r="AQ1282" s="55"/>
      <c r="AR1282" s="56" t="str">
        <f t="shared" si="594"/>
        <v/>
      </c>
      <c r="AS1282" s="57"/>
      <c r="AT1282" s="58"/>
      <c r="AU1282" s="58"/>
      <c r="AV1282" s="59"/>
      <c r="AW1282" s="60">
        <v>1</v>
      </c>
      <c r="AX1282" s="61">
        <f t="shared" si="573"/>
        <v>2</v>
      </c>
      <c r="AY1282" s="60">
        <v>1</v>
      </c>
      <c r="AZ1282" s="61">
        <f t="shared" si="575"/>
        <v>2</v>
      </c>
    </row>
    <row r="1283" spans="1:52" s="3" customFormat="1" hidden="1" x14ac:dyDescent="0.35">
      <c r="A1283" s="72">
        <f t="shared" si="576"/>
        <v>2019</v>
      </c>
      <c r="B1283" s="72" t="str">
        <f t="shared" si="577"/>
        <v>Nov</v>
      </c>
      <c r="C1283" s="73">
        <f t="shared" si="595"/>
        <v>19</v>
      </c>
      <c r="D1283" s="74">
        <f t="shared" si="578"/>
        <v>5</v>
      </c>
      <c r="E1283" s="75">
        <f t="shared" si="579"/>
        <v>8</v>
      </c>
      <c r="F1283" s="79"/>
      <c r="G1283" s="82"/>
      <c r="H1283" s="68" t="str">
        <f t="shared" si="596"/>
        <v>Senbur0_20191119_05_00</v>
      </c>
      <c r="I1283" s="69">
        <f t="shared" si="600"/>
        <v>1</v>
      </c>
      <c r="J1283" s="76" t="str">
        <f t="shared" si="600"/>
        <v>Senecio</v>
      </c>
      <c r="K1283" s="76" t="str">
        <f t="shared" si="600"/>
        <v>burtoni</v>
      </c>
      <c r="L1283" s="77">
        <f t="shared" si="600"/>
        <v>0</v>
      </c>
      <c r="M1283" s="77">
        <f t="shared" si="600"/>
        <v>7</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19</v>
      </c>
      <c r="D1284" s="74">
        <f t="shared" ref="D1284:D1347" si="608">IF(IF(E1283=59,D1283+1,D1283)=24,0,IF(E1283=59,D1283+1,D1283))</f>
        <v>5</v>
      </c>
      <c r="E1284" s="75">
        <f t="shared" ref="E1284:E1347" si="609">IF(E1283&lt;59,E1283+1,0)</f>
        <v>9</v>
      </c>
      <c r="F1284" s="79"/>
      <c r="G1284" s="82"/>
      <c r="H1284" s="68" t="str">
        <f t="shared" si="596"/>
        <v>Senbur0_20191119_05_00</v>
      </c>
      <c r="I1284" s="69">
        <f t="shared" si="600"/>
        <v>1</v>
      </c>
      <c r="J1284" s="76" t="str">
        <f t="shared" si="600"/>
        <v>Senecio</v>
      </c>
      <c r="K1284" s="76" t="str">
        <f t="shared" si="600"/>
        <v>burtoni</v>
      </c>
      <c r="L1284" s="77">
        <f t="shared" si="600"/>
        <v>0</v>
      </c>
      <c r="M1284" s="77">
        <f t="shared" si="600"/>
        <v>7</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19</v>
      </c>
      <c r="D1285" s="74">
        <f t="shared" si="608"/>
        <v>5</v>
      </c>
      <c r="E1285" s="75">
        <f t="shared" si="609"/>
        <v>10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Senbur0_20191119_05_00</v>
      </c>
      <c r="I1285" s="69">
        <f t="shared" ref="I1285:N1300" si="627">I1284</f>
        <v>1</v>
      </c>
      <c r="J1285" s="76" t="str">
        <f t="shared" si="627"/>
        <v>Senecio</v>
      </c>
      <c r="K1285" s="76" t="str">
        <f t="shared" si="627"/>
        <v>burtoni</v>
      </c>
      <c r="L1285" s="77">
        <f t="shared" si="627"/>
        <v>0</v>
      </c>
      <c r="M1285" s="77">
        <f t="shared" si="627"/>
        <v>7</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19</v>
      </c>
      <c r="D1286" s="74">
        <f t="shared" si="608"/>
        <v>5</v>
      </c>
      <c r="E1286" s="75">
        <f t="shared" si="609"/>
        <v>11</v>
      </c>
      <c r="F1286" s="79"/>
      <c r="G1286" s="82"/>
      <c r="H1286" s="68" t="str">
        <f t="shared" si="626"/>
        <v>Senbur0_20191119_05_00</v>
      </c>
      <c r="I1286" s="69">
        <f t="shared" si="627"/>
        <v>1</v>
      </c>
      <c r="J1286" s="76" t="str">
        <f t="shared" si="627"/>
        <v>Senecio</v>
      </c>
      <c r="K1286" s="76" t="str">
        <f t="shared" si="627"/>
        <v>burtoni</v>
      </c>
      <c r="L1286" s="77">
        <f t="shared" si="627"/>
        <v>0</v>
      </c>
      <c r="M1286" s="77">
        <f t="shared" si="627"/>
        <v>7</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19</v>
      </c>
      <c r="D1287" s="74">
        <f t="shared" si="608"/>
        <v>5</v>
      </c>
      <c r="E1287" s="75">
        <f t="shared" si="609"/>
        <v>12</v>
      </c>
      <c r="F1287" s="79"/>
      <c r="G1287" s="82"/>
      <c r="H1287" s="68" t="str">
        <f t="shared" si="626"/>
        <v>Senbur0_20191119_05_00</v>
      </c>
      <c r="I1287" s="69">
        <f t="shared" si="627"/>
        <v>1</v>
      </c>
      <c r="J1287" s="76" t="str">
        <f t="shared" si="627"/>
        <v>Senecio</v>
      </c>
      <c r="K1287" s="76" t="str">
        <f t="shared" si="627"/>
        <v>burtoni</v>
      </c>
      <c r="L1287" s="77">
        <f t="shared" si="627"/>
        <v>0</v>
      </c>
      <c r="M1287" s="77">
        <f t="shared" si="627"/>
        <v>7</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19</v>
      </c>
      <c r="D1288" s="74">
        <f t="shared" si="608"/>
        <v>5</v>
      </c>
      <c r="E1288" s="75">
        <f t="shared" si="609"/>
        <v>13</v>
      </c>
      <c r="F1288" s="79"/>
      <c r="G1288" s="82"/>
      <c r="H1288" s="68" t="str">
        <f t="shared" si="626"/>
        <v>Senbur0_20191119_05_00</v>
      </c>
      <c r="I1288" s="69">
        <f t="shared" si="627"/>
        <v>1</v>
      </c>
      <c r="J1288" s="76" t="str">
        <f t="shared" si="627"/>
        <v>Senecio</v>
      </c>
      <c r="K1288" s="76" t="str">
        <f t="shared" si="627"/>
        <v>burtoni</v>
      </c>
      <c r="L1288" s="77">
        <f t="shared" si="627"/>
        <v>0</v>
      </c>
      <c r="M1288" s="77">
        <f t="shared" si="627"/>
        <v>7</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19</v>
      </c>
      <c r="D1289" s="74">
        <f t="shared" si="608"/>
        <v>5</v>
      </c>
      <c r="E1289" s="75">
        <f t="shared" si="609"/>
        <v>14</v>
      </c>
      <c r="F1289" s="79"/>
      <c r="G1289" s="82"/>
      <c r="H1289" s="68" t="str">
        <f t="shared" si="626"/>
        <v>Senbur0_20191119_05_00</v>
      </c>
      <c r="I1289" s="69">
        <f t="shared" si="627"/>
        <v>1</v>
      </c>
      <c r="J1289" s="76" t="str">
        <f t="shared" si="627"/>
        <v>Senecio</v>
      </c>
      <c r="K1289" s="76" t="str">
        <f t="shared" si="627"/>
        <v>burtoni</v>
      </c>
      <c r="L1289" s="77">
        <f t="shared" si="627"/>
        <v>0</v>
      </c>
      <c r="M1289" s="77">
        <f t="shared" si="627"/>
        <v>7</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19</v>
      </c>
      <c r="D1290" s="74">
        <f t="shared" si="608"/>
        <v>5</v>
      </c>
      <c r="E1290" s="75">
        <f t="shared" si="609"/>
        <v>15</v>
      </c>
      <c r="F1290" s="79"/>
      <c r="G1290" s="82"/>
      <c r="H1290" s="68" t="str">
        <f t="shared" si="626"/>
        <v>Senbur0_20191119_05_00</v>
      </c>
      <c r="I1290" s="69">
        <f t="shared" si="627"/>
        <v>1</v>
      </c>
      <c r="J1290" s="76" t="str">
        <f t="shared" si="627"/>
        <v>Senecio</v>
      </c>
      <c r="K1290" s="76" t="str">
        <f t="shared" si="627"/>
        <v>burtoni</v>
      </c>
      <c r="L1290" s="77">
        <f t="shared" si="627"/>
        <v>0</v>
      </c>
      <c r="M1290" s="77">
        <f t="shared" si="627"/>
        <v>7</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19</v>
      </c>
      <c r="D1291" s="74">
        <f t="shared" si="608"/>
        <v>5</v>
      </c>
      <c r="E1291" s="75">
        <f t="shared" si="609"/>
        <v>16</v>
      </c>
      <c r="F1291" s="79"/>
      <c r="G1291" s="82"/>
      <c r="H1291" s="68" t="str">
        <f t="shared" si="626"/>
        <v>Senbur0_20191119_05_00</v>
      </c>
      <c r="I1291" s="69">
        <f t="shared" si="627"/>
        <v>1</v>
      </c>
      <c r="J1291" s="76" t="str">
        <f t="shared" si="627"/>
        <v>Senecio</v>
      </c>
      <c r="K1291" s="76" t="str">
        <f t="shared" si="627"/>
        <v>burtoni</v>
      </c>
      <c r="L1291" s="77">
        <f t="shared" si="627"/>
        <v>0</v>
      </c>
      <c r="M1291" s="77">
        <f t="shared" si="627"/>
        <v>7</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19</v>
      </c>
      <c r="D1292" s="74">
        <f t="shared" si="608"/>
        <v>5</v>
      </c>
      <c r="E1292" s="75">
        <f t="shared" si="609"/>
        <v>17</v>
      </c>
      <c r="F1292" s="79"/>
      <c r="G1292" s="82"/>
      <c r="H1292" s="68" t="str">
        <f t="shared" si="626"/>
        <v>Senbur0_20191119_05_00</v>
      </c>
      <c r="I1292" s="69">
        <f t="shared" si="627"/>
        <v>1</v>
      </c>
      <c r="J1292" s="76" t="str">
        <f t="shared" si="627"/>
        <v>Senecio</v>
      </c>
      <c r="K1292" s="76" t="str">
        <f t="shared" si="627"/>
        <v>burtoni</v>
      </c>
      <c r="L1292" s="77">
        <f t="shared" si="627"/>
        <v>0</v>
      </c>
      <c r="M1292" s="77">
        <f t="shared" si="627"/>
        <v>7</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19</v>
      </c>
      <c r="D1293" s="74">
        <f t="shared" si="608"/>
        <v>5</v>
      </c>
      <c r="E1293" s="75">
        <f t="shared" si="609"/>
        <v>18</v>
      </c>
      <c r="F1293" s="79"/>
      <c r="G1293" s="82"/>
      <c r="H1293" s="68" t="str">
        <f t="shared" si="626"/>
        <v>Senbur0_20191119_05_00</v>
      </c>
      <c r="I1293" s="69">
        <f t="shared" si="627"/>
        <v>1</v>
      </c>
      <c r="J1293" s="76" t="str">
        <f t="shared" si="627"/>
        <v>Senecio</v>
      </c>
      <c r="K1293" s="76" t="str">
        <f t="shared" si="627"/>
        <v>burtoni</v>
      </c>
      <c r="L1293" s="77">
        <f t="shared" si="627"/>
        <v>0</v>
      </c>
      <c r="M1293" s="77">
        <f t="shared" si="627"/>
        <v>7</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19</v>
      </c>
      <c r="D1294" s="74">
        <f t="shared" si="608"/>
        <v>5</v>
      </c>
      <c r="E1294" s="75">
        <f t="shared" si="609"/>
        <v>19</v>
      </c>
      <c r="F1294" s="79"/>
      <c r="G1294" s="82"/>
      <c r="H1294" s="68" t="str">
        <f t="shared" si="626"/>
        <v>Senbur0_20191119_05_00</v>
      </c>
      <c r="I1294" s="69">
        <f t="shared" si="627"/>
        <v>1</v>
      </c>
      <c r="J1294" s="76" t="str">
        <f t="shared" si="627"/>
        <v>Senecio</v>
      </c>
      <c r="K1294" s="76" t="str">
        <f t="shared" si="627"/>
        <v>burtoni</v>
      </c>
      <c r="L1294" s="77">
        <f t="shared" si="627"/>
        <v>0</v>
      </c>
      <c r="M1294" s="77">
        <f t="shared" si="627"/>
        <v>7</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19</v>
      </c>
      <c r="D1295" s="74">
        <f t="shared" si="608"/>
        <v>5</v>
      </c>
      <c r="E1295" s="75">
        <f t="shared" si="609"/>
        <v>20</v>
      </c>
      <c r="F1295" s="79"/>
      <c r="G1295" s="82"/>
      <c r="H1295" s="68" t="str">
        <f t="shared" si="626"/>
        <v>Senbur0_20191119_05_00</v>
      </c>
      <c r="I1295" s="69">
        <f t="shared" si="627"/>
        <v>1</v>
      </c>
      <c r="J1295" s="76" t="str">
        <f t="shared" si="627"/>
        <v>Senecio</v>
      </c>
      <c r="K1295" s="76" t="str">
        <f t="shared" si="627"/>
        <v>burtoni</v>
      </c>
      <c r="L1295" s="77">
        <f t="shared" si="627"/>
        <v>0</v>
      </c>
      <c r="M1295" s="77">
        <f t="shared" si="627"/>
        <v>7</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19</v>
      </c>
      <c r="D1296" s="74">
        <f t="shared" si="608"/>
        <v>5</v>
      </c>
      <c r="E1296" s="75">
        <f t="shared" si="609"/>
        <v>21</v>
      </c>
      <c r="F1296" s="79"/>
      <c r="G1296" s="82"/>
      <c r="H1296" s="68" t="str">
        <f t="shared" si="626"/>
        <v>Senbur0_20191119_05_00</v>
      </c>
      <c r="I1296" s="69">
        <f t="shared" si="627"/>
        <v>1</v>
      </c>
      <c r="J1296" s="76" t="str">
        <f t="shared" si="627"/>
        <v>Senecio</v>
      </c>
      <c r="K1296" s="76" t="str">
        <f t="shared" si="627"/>
        <v>burtoni</v>
      </c>
      <c r="L1296" s="77">
        <f t="shared" si="627"/>
        <v>0</v>
      </c>
      <c r="M1296" s="77">
        <f t="shared" si="627"/>
        <v>7</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19</v>
      </c>
      <c r="D1297" s="74">
        <f t="shared" si="608"/>
        <v>5</v>
      </c>
      <c r="E1297" s="75">
        <f t="shared" si="609"/>
        <v>22</v>
      </c>
      <c r="F1297" s="79"/>
      <c r="G1297" s="82"/>
      <c r="H1297" s="68" t="str">
        <f t="shared" si="626"/>
        <v>Senbur0_20191119_05_00</v>
      </c>
      <c r="I1297" s="69">
        <f t="shared" si="627"/>
        <v>1</v>
      </c>
      <c r="J1297" s="76" t="str">
        <f t="shared" si="627"/>
        <v>Senecio</v>
      </c>
      <c r="K1297" s="76" t="str">
        <f t="shared" si="627"/>
        <v>burtoni</v>
      </c>
      <c r="L1297" s="77">
        <f t="shared" si="627"/>
        <v>0</v>
      </c>
      <c r="M1297" s="77">
        <f t="shared" si="627"/>
        <v>7</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19</v>
      </c>
      <c r="D1298" s="74">
        <f t="shared" si="608"/>
        <v>5</v>
      </c>
      <c r="E1298" s="75">
        <f t="shared" si="609"/>
        <v>23</v>
      </c>
      <c r="F1298" s="79"/>
      <c r="G1298" s="82"/>
      <c r="H1298" s="68" t="str">
        <f t="shared" si="626"/>
        <v>Senbur0_20191119_05_00</v>
      </c>
      <c r="I1298" s="69">
        <f t="shared" si="627"/>
        <v>1</v>
      </c>
      <c r="J1298" s="76" t="str">
        <f t="shared" si="627"/>
        <v>Senecio</v>
      </c>
      <c r="K1298" s="76" t="str">
        <f t="shared" si="627"/>
        <v>burtoni</v>
      </c>
      <c r="L1298" s="77">
        <f t="shared" si="627"/>
        <v>0</v>
      </c>
      <c r="M1298" s="77">
        <f t="shared" si="627"/>
        <v>7</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19</v>
      </c>
      <c r="D1299" s="74">
        <f t="shared" si="608"/>
        <v>5</v>
      </c>
      <c r="E1299" s="75">
        <f t="shared" si="609"/>
        <v>24</v>
      </c>
      <c r="F1299" s="79"/>
      <c r="G1299" s="82"/>
      <c r="H1299" s="68" t="str">
        <f t="shared" si="626"/>
        <v>Senbur0_20191119_05_00</v>
      </c>
      <c r="I1299" s="69">
        <f t="shared" si="627"/>
        <v>1</v>
      </c>
      <c r="J1299" s="76" t="str">
        <f t="shared" si="627"/>
        <v>Senecio</v>
      </c>
      <c r="K1299" s="76" t="str">
        <f t="shared" si="627"/>
        <v>burtoni</v>
      </c>
      <c r="L1299" s="77">
        <f t="shared" si="627"/>
        <v>0</v>
      </c>
      <c r="M1299" s="77">
        <f t="shared" si="627"/>
        <v>7</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19</v>
      </c>
      <c r="D1300" s="74">
        <f t="shared" si="608"/>
        <v>5</v>
      </c>
      <c r="E1300" s="75">
        <f t="shared" si="609"/>
        <v>25</v>
      </c>
      <c r="F1300" s="79"/>
      <c r="G1300" s="82"/>
      <c r="H1300" s="68" t="str">
        <f t="shared" si="626"/>
        <v>Senbur0_20191119_05_00</v>
      </c>
      <c r="I1300" s="69">
        <f t="shared" si="627"/>
        <v>1</v>
      </c>
      <c r="J1300" s="76" t="str">
        <f t="shared" si="627"/>
        <v>Senecio</v>
      </c>
      <c r="K1300" s="76" t="str">
        <f t="shared" si="627"/>
        <v>burtoni</v>
      </c>
      <c r="L1300" s="77">
        <f t="shared" si="627"/>
        <v>0</v>
      </c>
      <c r="M1300" s="77">
        <f t="shared" si="627"/>
        <v>7</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19</v>
      </c>
      <c r="D1301" s="74">
        <f t="shared" si="608"/>
        <v>5</v>
      </c>
      <c r="E1301" s="75">
        <f t="shared" si="609"/>
        <v>26</v>
      </c>
      <c r="F1301" s="79"/>
      <c r="G1301" s="82"/>
      <c r="H1301" s="68" t="str">
        <f t="shared" si="626"/>
        <v>Senbur0_20191119_05_00</v>
      </c>
      <c r="I1301" s="69">
        <f t="shared" ref="I1301:N1316" si="628">I1300</f>
        <v>1</v>
      </c>
      <c r="J1301" s="76" t="str">
        <f t="shared" si="628"/>
        <v>Senecio</v>
      </c>
      <c r="K1301" s="76" t="str">
        <f t="shared" si="628"/>
        <v>burtoni</v>
      </c>
      <c r="L1301" s="77">
        <f t="shared" si="628"/>
        <v>0</v>
      </c>
      <c r="M1301" s="77">
        <f t="shared" si="628"/>
        <v>7</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19</v>
      </c>
      <c r="D1302" s="74">
        <f t="shared" si="608"/>
        <v>5</v>
      </c>
      <c r="E1302" s="75">
        <f t="shared" si="609"/>
        <v>27</v>
      </c>
      <c r="F1302" s="79"/>
      <c r="G1302" s="82"/>
      <c r="H1302" s="68" t="str">
        <f t="shared" si="626"/>
        <v>Senbur0_20191119_05_00</v>
      </c>
      <c r="I1302" s="69">
        <f t="shared" si="628"/>
        <v>1</v>
      </c>
      <c r="J1302" s="76" t="str">
        <f t="shared" si="628"/>
        <v>Senecio</v>
      </c>
      <c r="K1302" s="76" t="str">
        <f t="shared" si="628"/>
        <v>burtoni</v>
      </c>
      <c r="L1302" s="77">
        <f t="shared" si="628"/>
        <v>0</v>
      </c>
      <c r="M1302" s="77">
        <f t="shared" si="628"/>
        <v>7</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19</v>
      </c>
      <c r="D1303" s="74">
        <f t="shared" si="608"/>
        <v>5</v>
      </c>
      <c r="E1303" s="75">
        <f t="shared" si="609"/>
        <v>28</v>
      </c>
      <c r="F1303" s="79"/>
      <c r="G1303" s="82"/>
      <c r="H1303" s="68" t="str">
        <f t="shared" si="626"/>
        <v>Senbur0_20191119_05_00</v>
      </c>
      <c r="I1303" s="69">
        <f t="shared" si="628"/>
        <v>1</v>
      </c>
      <c r="J1303" s="76" t="str">
        <f t="shared" si="628"/>
        <v>Senecio</v>
      </c>
      <c r="K1303" s="76" t="str">
        <f t="shared" si="628"/>
        <v>burtoni</v>
      </c>
      <c r="L1303" s="77">
        <f t="shared" si="628"/>
        <v>0</v>
      </c>
      <c r="M1303" s="77">
        <f t="shared" si="628"/>
        <v>7</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19</v>
      </c>
      <c r="D1304" s="74">
        <f t="shared" si="608"/>
        <v>5</v>
      </c>
      <c r="E1304" s="75">
        <f t="shared" si="609"/>
        <v>29</v>
      </c>
      <c r="F1304" s="79"/>
      <c r="G1304" s="82"/>
      <c r="H1304" s="68" t="str">
        <f t="shared" si="626"/>
        <v>Senbur0_20191119_05_00</v>
      </c>
      <c r="I1304" s="69">
        <f t="shared" si="628"/>
        <v>1</v>
      </c>
      <c r="J1304" s="76" t="str">
        <f t="shared" si="628"/>
        <v>Senecio</v>
      </c>
      <c r="K1304" s="76" t="str">
        <f t="shared" si="628"/>
        <v>burtoni</v>
      </c>
      <c r="L1304" s="77">
        <f t="shared" si="628"/>
        <v>0</v>
      </c>
      <c r="M1304" s="77">
        <f t="shared" si="628"/>
        <v>7</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19</v>
      </c>
      <c r="D1305" s="74">
        <f t="shared" si="608"/>
        <v>5</v>
      </c>
      <c r="E1305" s="75">
        <f t="shared" si="609"/>
        <v>30</v>
      </c>
      <c r="F1305" s="79"/>
      <c r="G1305" s="82"/>
      <c r="H1305" s="68" t="str">
        <f t="shared" si="626"/>
        <v>Senbur0_20191119_05_00</v>
      </c>
      <c r="I1305" s="69">
        <f t="shared" si="628"/>
        <v>1</v>
      </c>
      <c r="J1305" s="76" t="str">
        <f t="shared" si="628"/>
        <v>Senecio</v>
      </c>
      <c r="K1305" s="76" t="str">
        <f t="shared" si="628"/>
        <v>burtoni</v>
      </c>
      <c r="L1305" s="77">
        <f t="shared" si="628"/>
        <v>0</v>
      </c>
      <c r="M1305" s="77">
        <f t="shared" si="628"/>
        <v>7</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19</v>
      </c>
      <c r="D1306" s="74">
        <f t="shared" si="608"/>
        <v>5</v>
      </c>
      <c r="E1306" s="75">
        <f t="shared" si="609"/>
        <v>31</v>
      </c>
      <c r="F1306" s="79"/>
      <c r="G1306" s="82"/>
      <c r="H1306" s="68" t="str">
        <f t="shared" si="626"/>
        <v>Senbur0_20191119_05_00</v>
      </c>
      <c r="I1306" s="69">
        <f t="shared" si="628"/>
        <v>1</v>
      </c>
      <c r="J1306" s="76" t="str">
        <f t="shared" si="628"/>
        <v>Senecio</v>
      </c>
      <c r="K1306" s="76" t="str">
        <f t="shared" si="628"/>
        <v>burtoni</v>
      </c>
      <c r="L1306" s="77">
        <f t="shared" si="628"/>
        <v>0</v>
      </c>
      <c r="M1306" s="77">
        <f t="shared" si="628"/>
        <v>7</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19</v>
      </c>
      <c r="D1307" s="74">
        <f t="shared" si="608"/>
        <v>5</v>
      </c>
      <c r="E1307" s="75">
        <f t="shared" si="609"/>
        <v>32</v>
      </c>
      <c r="F1307" s="79"/>
      <c r="G1307" s="82"/>
      <c r="H1307" s="68" t="str">
        <f t="shared" si="626"/>
        <v>Senbur0_20191119_05_00</v>
      </c>
      <c r="I1307" s="69">
        <f t="shared" si="628"/>
        <v>1</v>
      </c>
      <c r="J1307" s="76" t="str">
        <f t="shared" si="628"/>
        <v>Senecio</v>
      </c>
      <c r="K1307" s="76" t="str">
        <f t="shared" si="628"/>
        <v>burtoni</v>
      </c>
      <c r="L1307" s="77">
        <f t="shared" si="628"/>
        <v>0</v>
      </c>
      <c r="M1307" s="77">
        <f t="shared" si="628"/>
        <v>7</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19</v>
      </c>
      <c r="D1308" s="74">
        <f t="shared" si="608"/>
        <v>5</v>
      </c>
      <c r="E1308" s="75">
        <f t="shared" si="609"/>
        <v>33</v>
      </c>
      <c r="F1308" s="79"/>
      <c r="G1308" s="82"/>
      <c r="H1308" s="68" t="str">
        <f t="shared" si="626"/>
        <v>Senbur0_20191119_05_00</v>
      </c>
      <c r="I1308" s="69">
        <f t="shared" si="628"/>
        <v>1</v>
      </c>
      <c r="J1308" s="76" t="str">
        <f t="shared" si="628"/>
        <v>Senecio</v>
      </c>
      <c r="K1308" s="76" t="str">
        <f t="shared" si="628"/>
        <v>burtoni</v>
      </c>
      <c r="L1308" s="77">
        <f t="shared" si="628"/>
        <v>0</v>
      </c>
      <c r="M1308" s="77">
        <f t="shared" si="628"/>
        <v>7</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19</v>
      </c>
      <c r="D1309" s="74">
        <f t="shared" si="608"/>
        <v>5</v>
      </c>
      <c r="E1309" s="75">
        <f t="shared" si="609"/>
        <v>34</v>
      </c>
      <c r="F1309" s="79">
        <v>0</v>
      </c>
      <c r="G1309" s="82"/>
      <c r="H1309" s="68" t="str">
        <f t="shared" si="626"/>
        <v>Senbur0_20191119_05_00</v>
      </c>
      <c r="I1309" s="69">
        <f t="shared" si="628"/>
        <v>1</v>
      </c>
      <c r="J1309" s="76" t="str">
        <f t="shared" si="628"/>
        <v>Senecio</v>
      </c>
      <c r="K1309" s="76" t="str">
        <f t="shared" si="628"/>
        <v>burtoni</v>
      </c>
      <c r="L1309" s="77">
        <f t="shared" si="628"/>
        <v>0</v>
      </c>
      <c r="M1309" s="77">
        <f t="shared" si="628"/>
        <v>7</v>
      </c>
      <c r="N1309" s="71">
        <f t="shared" si="628"/>
        <v>0</v>
      </c>
      <c r="O1309" s="44"/>
      <c r="P1309" s="45">
        <f t="shared" si="610"/>
        <v>1</v>
      </c>
      <c r="Q1309" s="46" t="str">
        <f t="shared" si="611"/>
        <v>05:34:00</v>
      </c>
      <c r="R1309" s="47" t="str">
        <f t="shared" si="612"/>
        <v>34:00</v>
      </c>
      <c r="S1309" s="48">
        <f t="shared" si="601"/>
        <v>10</v>
      </c>
      <c r="T1309" s="47" t="str">
        <f t="shared" si="613"/>
        <v>05</v>
      </c>
      <c r="U1309" s="49">
        <v>34</v>
      </c>
      <c r="V1309" s="50">
        <v>10</v>
      </c>
      <c r="W1309" s="51" t="str">
        <f t="shared" si="614"/>
        <v>34:10</v>
      </c>
      <c r="X1309" s="52" t="s">
        <v>74</v>
      </c>
      <c r="Y1309" s="124" t="s">
        <v>97</v>
      </c>
      <c r="Z1309" s="124"/>
      <c r="AA1309" s="47" t="s">
        <v>76</v>
      </c>
      <c r="AB1309" s="47" t="str">
        <f t="shared" si="615"/>
        <v>NA</v>
      </c>
      <c r="AC1309" s="53">
        <f t="shared" si="616"/>
        <v>0</v>
      </c>
      <c r="AD1309" s="54">
        <v>2</v>
      </c>
      <c r="AE1309" s="54"/>
      <c r="AF1309" s="54"/>
      <c r="AG1309" s="55" t="str">
        <f t="shared" si="618"/>
        <v/>
      </c>
      <c r="AH1309" s="56" t="str">
        <f t="shared" si="619"/>
        <v/>
      </c>
      <c r="AI1309" s="55"/>
      <c r="AJ1309" s="56" t="str">
        <f t="shared" si="620"/>
        <v/>
      </c>
      <c r="AK1309" s="55"/>
      <c r="AL1309" s="56" t="str">
        <f t="shared" si="621"/>
        <v/>
      </c>
      <c r="AM1309" s="55">
        <v>1</v>
      </c>
      <c r="AN1309" s="56">
        <f t="shared" si="622"/>
        <v>10</v>
      </c>
      <c r="AO1309" s="55"/>
      <c r="AP1309" s="56" t="str">
        <f t="shared" si="623"/>
        <v/>
      </c>
      <c r="AQ1309" s="55"/>
      <c r="AR1309" s="56" t="str">
        <f t="shared" si="624"/>
        <v/>
      </c>
      <c r="AS1309" s="57"/>
      <c r="AT1309" s="58"/>
      <c r="AU1309" s="58"/>
      <c r="AV1309" s="59"/>
      <c r="AW1309" s="60">
        <v>1</v>
      </c>
      <c r="AX1309" s="61">
        <f t="shared" si="603"/>
        <v>2</v>
      </c>
      <c r="AY1309" s="60">
        <v>1</v>
      </c>
      <c r="AZ1309" s="61">
        <f t="shared" si="605"/>
        <v>2</v>
      </c>
    </row>
    <row r="1310" spans="1:52" s="3" customFormat="1" hidden="1" x14ac:dyDescent="0.35">
      <c r="A1310" s="72">
        <f t="shared" si="606"/>
        <v>2019</v>
      </c>
      <c r="B1310" s="72" t="str">
        <f t="shared" si="607"/>
        <v>Nov</v>
      </c>
      <c r="C1310" s="73">
        <f t="shared" si="625"/>
        <v>19</v>
      </c>
      <c r="D1310" s="74">
        <f t="shared" si="608"/>
        <v>5</v>
      </c>
      <c r="E1310" s="75">
        <f t="shared" si="609"/>
        <v>35</v>
      </c>
      <c r="F1310" s="79"/>
      <c r="G1310" s="82"/>
      <c r="H1310" s="68" t="str">
        <f t="shared" si="626"/>
        <v>Senbur0_20191119_05_00</v>
      </c>
      <c r="I1310" s="69">
        <f t="shared" si="628"/>
        <v>1</v>
      </c>
      <c r="J1310" s="76" t="str">
        <f t="shared" si="628"/>
        <v>Senecio</v>
      </c>
      <c r="K1310" s="76" t="str">
        <f t="shared" si="628"/>
        <v>burtoni</v>
      </c>
      <c r="L1310" s="77">
        <f t="shared" si="628"/>
        <v>0</v>
      </c>
      <c r="M1310" s="77">
        <f t="shared" si="628"/>
        <v>7</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19</v>
      </c>
      <c r="D1311" s="74">
        <f t="shared" si="608"/>
        <v>5</v>
      </c>
      <c r="E1311" s="75">
        <f t="shared" si="609"/>
        <v>36</v>
      </c>
      <c r="F1311" s="79"/>
      <c r="G1311" s="82"/>
      <c r="H1311" s="68" t="str">
        <f t="shared" si="626"/>
        <v>Senbur0_20191119_05_00</v>
      </c>
      <c r="I1311" s="69">
        <f t="shared" si="628"/>
        <v>1</v>
      </c>
      <c r="J1311" s="76" t="str">
        <f t="shared" si="628"/>
        <v>Senecio</v>
      </c>
      <c r="K1311" s="76" t="str">
        <f t="shared" si="628"/>
        <v>burtoni</v>
      </c>
      <c r="L1311" s="77">
        <f t="shared" si="628"/>
        <v>0</v>
      </c>
      <c r="M1311" s="77">
        <f t="shared" si="628"/>
        <v>7</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19</v>
      </c>
      <c r="D1312" s="74">
        <f t="shared" si="608"/>
        <v>5</v>
      </c>
      <c r="E1312" s="75">
        <f t="shared" si="609"/>
        <v>37</v>
      </c>
      <c r="F1312" s="79"/>
      <c r="G1312" s="82"/>
      <c r="H1312" s="68" t="str">
        <f t="shared" si="626"/>
        <v>Senbur0_20191119_05_00</v>
      </c>
      <c r="I1312" s="69">
        <f t="shared" si="628"/>
        <v>1</v>
      </c>
      <c r="J1312" s="76" t="str">
        <f t="shared" si="628"/>
        <v>Senecio</v>
      </c>
      <c r="K1312" s="76" t="str">
        <f t="shared" si="628"/>
        <v>burtoni</v>
      </c>
      <c r="L1312" s="77">
        <f t="shared" si="628"/>
        <v>0</v>
      </c>
      <c r="M1312" s="77">
        <f t="shared" si="628"/>
        <v>7</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19</v>
      </c>
      <c r="D1313" s="74">
        <f t="shared" si="608"/>
        <v>5</v>
      </c>
      <c r="E1313" s="75">
        <f t="shared" si="609"/>
        <v>38</v>
      </c>
      <c r="F1313" s="79"/>
      <c r="G1313" s="82"/>
      <c r="H1313" s="68" t="str">
        <f t="shared" si="626"/>
        <v>Senbur0_20191119_05_00</v>
      </c>
      <c r="I1313" s="69">
        <f t="shared" si="628"/>
        <v>1</v>
      </c>
      <c r="J1313" s="76" t="str">
        <f t="shared" si="628"/>
        <v>Senecio</v>
      </c>
      <c r="K1313" s="76" t="str">
        <f t="shared" si="628"/>
        <v>burtoni</v>
      </c>
      <c r="L1313" s="77">
        <f t="shared" si="628"/>
        <v>0</v>
      </c>
      <c r="M1313" s="77">
        <f t="shared" si="628"/>
        <v>7</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19</v>
      </c>
      <c r="D1314" s="74">
        <f t="shared" si="608"/>
        <v>5</v>
      </c>
      <c r="E1314" s="75">
        <f t="shared" si="609"/>
        <v>39</v>
      </c>
      <c r="F1314" s="79"/>
      <c r="G1314" s="82"/>
      <c r="H1314" s="68" t="str">
        <f t="shared" si="626"/>
        <v>Senbur0_20191119_05_00</v>
      </c>
      <c r="I1314" s="69">
        <f t="shared" si="628"/>
        <v>1</v>
      </c>
      <c r="J1314" s="76" t="str">
        <f t="shared" si="628"/>
        <v>Senecio</v>
      </c>
      <c r="K1314" s="76" t="str">
        <f t="shared" si="628"/>
        <v>burtoni</v>
      </c>
      <c r="L1314" s="77">
        <f t="shared" si="628"/>
        <v>0</v>
      </c>
      <c r="M1314" s="77">
        <f t="shared" si="628"/>
        <v>7</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19</v>
      </c>
      <c r="D1315" s="74">
        <f t="shared" si="608"/>
        <v>5</v>
      </c>
      <c r="E1315" s="75">
        <f t="shared" si="609"/>
        <v>40</v>
      </c>
      <c r="F1315" s="79"/>
      <c r="G1315" s="82"/>
      <c r="H1315" s="68" t="str">
        <f t="shared" si="626"/>
        <v>Senbur0_20191119_05_00</v>
      </c>
      <c r="I1315" s="69">
        <f t="shared" si="628"/>
        <v>1</v>
      </c>
      <c r="J1315" s="76" t="str">
        <f t="shared" si="628"/>
        <v>Senecio</v>
      </c>
      <c r="K1315" s="76" t="str">
        <f t="shared" si="628"/>
        <v>burtoni</v>
      </c>
      <c r="L1315" s="77">
        <f t="shared" si="628"/>
        <v>0</v>
      </c>
      <c r="M1315" s="77">
        <f t="shared" si="628"/>
        <v>7</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19</v>
      </c>
      <c r="D1316" s="74">
        <f t="shared" si="608"/>
        <v>5</v>
      </c>
      <c r="E1316" s="75">
        <f t="shared" si="609"/>
        <v>41</v>
      </c>
      <c r="F1316" s="79"/>
      <c r="G1316" s="82"/>
      <c r="H1316" s="68" t="str">
        <f t="shared" si="626"/>
        <v>Senbur0_20191119_05_00</v>
      </c>
      <c r="I1316" s="69">
        <f t="shared" si="628"/>
        <v>1</v>
      </c>
      <c r="J1316" s="76" t="str">
        <f t="shared" si="628"/>
        <v>Senecio</v>
      </c>
      <c r="K1316" s="76" t="str">
        <f t="shared" si="628"/>
        <v>burtoni</v>
      </c>
      <c r="L1316" s="77">
        <f t="shared" si="628"/>
        <v>0</v>
      </c>
      <c r="M1316" s="77">
        <f t="shared" si="628"/>
        <v>7</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19</v>
      </c>
      <c r="D1317" s="74">
        <f t="shared" si="608"/>
        <v>5</v>
      </c>
      <c r="E1317" s="75">
        <f t="shared" si="609"/>
        <v>42</v>
      </c>
      <c r="F1317" s="79"/>
      <c r="G1317" s="82"/>
      <c r="H1317" s="68" t="str">
        <f t="shared" si="626"/>
        <v>Senbur0_20191119_05_00</v>
      </c>
      <c r="I1317" s="69">
        <f t="shared" ref="I1317:N1332" si="629">I1316</f>
        <v>1</v>
      </c>
      <c r="J1317" s="76" t="str">
        <f t="shared" si="629"/>
        <v>Senecio</v>
      </c>
      <c r="K1317" s="76" t="str">
        <f t="shared" si="629"/>
        <v>burtoni</v>
      </c>
      <c r="L1317" s="77">
        <f t="shared" si="629"/>
        <v>0</v>
      </c>
      <c r="M1317" s="77">
        <f t="shared" si="629"/>
        <v>7</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19</v>
      </c>
      <c r="D1318" s="74">
        <f t="shared" si="608"/>
        <v>5</v>
      </c>
      <c r="E1318" s="75">
        <f t="shared" si="609"/>
        <v>43</v>
      </c>
      <c r="F1318" s="79"/>
      <c r="G1318" s="82"/>
      <c r="H1318" s="68" t="str">
        <f t="shared" si="626"/>
        <v>Senbur0_20191119_05_00</v>
      </c>
      <c r="I1318" s="69">
        <f t="shared" si="629"/>
        <v>1</v>
      </c>
      <c r="J1318" s="76" t="str">
        <f t="shared" si="629"/>
        <v>Senecio</v>
      </c>
      <c r="K1318" s="76" t="str">
        <f t="shared" si="629"/>
        <v>burtoni</v>
      </c>
      <c r="L1318" s="77">
        <f t="shared" si="629"/>
        <v>0</v>
      </c>
      <c r="M1318" s="77">
        <f t="shared" si="629"/>
        <v>7</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19</v>
      </c>
      <c r="D1319" s="74">
        <f t="shared" si="608"/>
        <v>5</v>
      </c>
      <c r="E1319" s="75">
        <f t="shared" si="609"/>
        <v>44</v>
      </c>
      <c r="F1319" s="79"/>
      <c r="G1319" s="82"/>
      <c r="H1319" s="68" t="str">
        <f t="shared" si="626"/>
        <v>Senbur0_20191119_05_00</v>
      </c>
      <c r="I1319" s="69">
        <f t="shared" si="629"/>
        <v>1</v>
      </c>
      <c r="J1319" s="76" t="str">
        <f t="shared" si="629"/>
        <v>Senecio</v>
      </c>
      <c r="K1319" s="76" t="str">
        <f t="shared" si="629"/>
        <v>burtoni</v>
      </c>
      <c r="L1319" s="77">
        <f t="shared" si="629"/>
        <v>0</v>
      </c>
      <c r="M1319" s="77">
        <f t="shared" si="629"/>
        <v>7</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19</v>
      </c>
      <c r="D1320" s="74">
        <f t="shared" si="608"/>
        <v>5</v>
      </c>
      <c r="E1320" s="75">
        <f t="shared" si="609"/>
        <v>45</v>
      </c>
      <c r="F1320" s="79"/>
      <c r="G1320" s="82"/>
      <c r="H1320" s="68" t="str">
        <f t="shared" si="626"/>
        <v>Senbur0_20191119_05_00</v>
      </c>
      <c r="I1320" s="69">
        <f t="shared" si="629"/>
        <v>1</v>
      </c>
      <c r="J1320" s="76" t="str">
        <f t="shared" si="629"/>
        <v>Senecio</v>
      </c>
      <c r="K1320" s="76" t="str">
        <f t="shared" si="629"/>
        <v>burtoni</v>
      </c>
      <c r="L1320" s="77">
        <f t="shared" si="629"/>
        <v>0</v>
      </c>
      <c r="M1320" s="77">
        <f t="shared" si="629"/>
        <v>7</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19</v>
      </c>
      <c r="D1321" s="74">
        <f t="shared" si="608"/>
        <v>5</v>
      </c>
      <c r="E1321" s="75">
        <f t="shared" si="609"/>
        <v>46</v>
      </c>
      <c r="F1321" s="79"/>
      <c r="G1321" s="82"/>
      <c r="H1321" s="68" t="str">
        <f t="shared" si="626"/>
        <v>Senbur0_20191119_05_00</v>
      </c>
      <c r="I1321" s="69">
        <f t="shared" si="629"/>
        <v>1</v>
      </c>
      <c r="J1321" s="76" t="str">
        <f t="shared" si="629"/>
        <v>Senecio</v>
      </c>
      <c r="K1321" s="76" t="str">
        <f t="shared" si="629"/>
        <v>burtoni</v>
      </c>
      <c r="L1321" s="77">
        <f t="shared" si="629"/>
        <v>0</v>
      </c>
      <c r="M1321" s="77">
        <f t="shared" si="629"/>
        <v>7</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19</v>
      </c>
      <c r="D1322" s="74">
        <f t="shared" si="608"/>
        <v>5</v>
      </c>
      <c r="E1322" s="75">
        <f t="shared" si="609"/>
        <v>47</v>
      </c>
      <c r="F1322" s="79"/>
      <c r="G1322" s="82"/>
      <c r="H1322" s="68" t="str">
        <f t="shared" si="626"/>
        <v>Senbur0_20191119_05_00</v>
      </c>
      <c r="I1322" s="69">
        <f t="shared" si="629"/>
        <v>1</v>
      </c>
      <c r="J1322" s="76" t="str">
        <f t="shared" si="629"/>
        <v>Senecio</v>
      </c>
      <c r="K1322" s="76" t="str">
        <f t="shared" si="629"/>
        <v>burtoni</v>
      </c>
      <c r="L1322" s="77">
        <f t="shared" si="629"/>
        <v>0</v>
      </c>
      <c r="M1322" s="77">
        <f t="shared" si="629"/>
        <v>7</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19</v>
      </c>
      <c r="D1323" s="74">
        <f t="shared" si="608"/>
        <v>5</v>
      </c>
      <c r="E1323" s="75">
        <f t="shared" si="609"/>
        <v>48</v>
      </c>
      <c r="F1323" s="79"/>
      <c r="G1323" s="82"/>
      <c r="H1323" s="68" t="str">
        <f t="shared" si="626"/>
        <v>Senbur0_20191119_05_00</v>
      </c>
      <c r="I1323" s="69">
        <f t="shared" si="629"/>
        <v>1</v>
      </c>
      <c r="J1323" s="76" t="str">
        <f t="shared" si="629"/>
        <v>Senecio</v>
      </c>
      <c r="K1323" s="76" t="str">
        <f t="shared" si="629"/>
        <v>burtoni</v>
      </c>
      <c r="L1323" s="77">
        <f t="shared" si="629"/>
        <v>0</v>
      </c>
      <c r="M1323" s="77">
        <f t="shared" si="629"/>
        <v>7</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19</v>
      </c>
      <c r="D1324" s="74">
        <f t="shared" si="608"/>
        <v>5</v>
      </c>
      <c r="E1324" s="75">
        <f t="shared" si="609"/>
        <v>49</v>
      </c>
      <c r="F1324" s="79"/>
      <c r="G1324" s="82"/>
      <c r="H1324" s="68" t="str">
        <f t="shared" si="626"/>
        <v>Senbur0_20191119_05_00</v>
      </c>
      <c r="I1324" s="69">
        <f t="shared" si="629"/>
        <v>1</v>
      </c>
      <c r="J1324" s="76" t="str">
        <f t="shared" si="629"/>
        <v>Senecio</v>
      </c>
      <c r="K1324" s="76" t="str">
        <f t="shared" si="629"/>
        <v>burtoni</v>
      </c>
      <c r="L1324" s="77">
        <f t="shared" si="629"/>
        <v>0</v>
      </c>
      <c r="M1324" s="77">
        <f t="shared" si="629"/>
        <v>7</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19</v>
      </c>
      <c r="D1325" s="74">
        <f t="shared" si="608"/>
        <v>5</v>
      </c>
      <c r="E1325" s="75">
        <f t="shared" si="609"/>
        <v>50</v>
      </c>
      <c r="F1325" s="79"/>
      <c r="G1325" s="82"/>
      <c r="H1325" s="68" t="str">
        <f t="shared" si="626"/>
        <v>Senbur0_20191119_05_00</v>
      </c>
      <c r="I1325" s="69">
        <f t="shared" si="629"/>
        <v>1</v>
      </c>
      <c r="J1325" s="76" t="str">
        <f t="shared" si="629"/>
        <v>Senecio</v>
      </c>
      <c r="K1325" s="76" t="str">
        <f t="shared" si="629"/>
        <v>burtoni</v>
      </c>
      <c r="L1325" s="77">
        <f t="shared" si="629"/>
        <v>0</v>
      </c>
      <c r="M1325" s="77">
        <f t="shared" si="629"/>
        <v>7</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19</v>
      </c>
      <c r="D1326" s="74">
        <f t="shared" si="608"/>
        <v>5</v>
      </c>
      <c r="E1326" s="75">
        <f t="shared" si="609"/>
        <v>51</v>
      </c>
      <c r="F1326" s="79"/>
      <c r="G1326" s="82"/>
      <c r="H1326" s="68" t="str">
        <f t="shared" si="626"/>
        <v>Senbur0_20191119_05_00</v>
      </c>
      <c r="I1326" s="69">
        <f t="shared" si="629"/>
        <v>1</v>
      </c>
      <c r="J1326" s="76" t="str">
        <f t="shared" si="629"/>
        <v>Senecio</v>
      </c>
      <c r="K1326" s="76" t="str">
        <f t="shared" si="629"/>
        <v>burtoni</v>
      </c>
      <c r="L1326" s="77">
        <f t="shared" si="629"/>
        <v>0</v>
      </c>
      <c r="M1326" s="77">
        <f t="shared" si="629"/>
        <v>7</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19</v>
      </c>
      <c r="D1327" s="74">
        <f t="shared" si="608"/>
        <v>5</v>
      </c>
      <c r="E1327" s="75">
        <f t="shared" si="609"/>
        <v>52</v>
      </c>
      <c r="F1327" s="79"/>
      <c r="G1327" s="82"/>
      <c r="H1327" s="68" t="str">
        <f t="shared" si="626"/>
        <v>Senbur0_20191119_05_00</v>
      </c>
      <c r="I1327" s="69">
        <f t="shared" si="629"/>
        <v>1</v>
      </c>
      <c r="J1327" s="76" t="str">
        <f t="shared" si="629"/>
        <v>Senecio</v>
      </c>
      <c r="K1327" s="76" t="str">
        <f t="shared" si="629"/>
        <v>burtoni</v>
      </c>
      <c r="L1327" s="77">
        <f t="shared" si="629"/>
        <v>0</v>
      </c>
      <c r="M1327" s="77">
        <f t="shared" si="629"/>
        <v>7</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19</v>
      </c>
      <c r="D1328" s="74">
        <f t="shared" si="608"/>
        <v>5</v>
      </c>
      <c r="E1328" s="75">
        <f t="shared" si="609"/>
        <v>53</v>
      </c>
      <c r="F1328" s="79"/>
      <c r="G1328" s="82"/>
      <c r="H1328" s="68" t="str">
        <f t="shared" si="626"/>
        <v>Senbur0_20191119_05_00</v>
      </c>
      <c r="I1328" s="69">
        <f t="shared" si="629"/>
        <v>1</v>
      </c>
      <c r="J1328" s="76" t="str">
        <f t="shared" si="629"/>
        <v>Senecio</v>
      </c>
      <c r="K1328" s="76" t="str">
        <f t="shared" si="629"/>
        <v>burtoni</v>
      </c>
      <c r="L1328" s="77">
        <f t="shared" si="629"/>
        <v>0</v>
      </c>
      <c r="M1328" s="77">
        <f t="shared" si="629"/>
        <v>7</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19</v>
      </c>
      <c r="D1329" s="74">
        <f t="shared" si="608"/>
        <v>5</v>
      </c>
      <c r="E1329" s="75">
        <f t="shared" si="609"/>
        <v>54</v>
      </c>
      <c r="F1329" s="79"/>
      <c r="G1329" s="82"/>
      <c r="H1329" s="68" t="str">
        <f t="shared" si="626"/>
        <v>Senbur0_20191119_05_00</v>
      </c>
      <c r="I1329" s="69">
        <f t="shared" si="629"/>
        <v>1</v>
      </c>
      <c r="J1329" s="76" t="str">
        <f t="shared" si="629"/>
        <v>Senecio</v>
      </c>
      <c r="K1329" s="76" t="str">
        <f t="shared" si="629"/>
        <v>burtoni</v>
      </c>
      <c r="L1329" s="77">
        <f t="shared" si="629"/>
        <v>0</v>
      </c>
      <c r="M1329" s="77">
        <f t="shared" si="629"/>
        <v>7</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19</v>
      </c>
      <c r="D1330" s="74">
        <f t="shared" si="608"/>
        <v>5</v>
      </c>
      <c r="E1330" s="75">
        <f t="shared" si="609"/>
        <v>55</v>
      </c>
      <c r="F1330" s="79"/>
      <c r="G1330" s="82"/>
      <c r="H1330" s="68" t="str">
        <f t="shared" si="626"/>
        <v>Senbur0_20191119_05_00</v>
      </c>
      <c r="I1330" s="69">
        <f t="shared" si="629"/>
        <v>1</v>
      </c>
      <c r="J1330" s="76" t="str">
        <f t="shared" si="629"/>
        <v>Senecio</v>
      </c>
      <c r="K1330" s="76" t="str">
        <f t="shared" si="629"/>
        <v>burtoni</v>
      </c>
      <c r="L1330" s="77">
        <f t="shared" si="629"/>
        <v>0</v>
      </c>
      <c r="M1330" s="77">
        <f t="shared" si="629"/>
        <v>7</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19</v>
      </c>
      <c r="D1331" s="74">
        <f t="shared" si="608"/>
        <v>5</v>
      </c>
      <c r="E1331" s="75">
        <f t="shared" si="609"/>
        <v>56</v>
      </c>
      <c r="F1331" s="79"/>
      <c r="G1331" s="82"/>
      <c r="H1331" s="68" t="str">
        <f t="shared" si="626"/>
        <v>Senbur0_20191119_05_00</v>
      </c>
      <c r="I1331" s="69">
        <f t="shared" si="629"/>
        <v>1</v>
      </c>
      <c r="J1331" s="76" t="str">
        <f t="shared" si="629"/>
        <v>Senecio</v>
      </c>
      <c r="K1331" s="76" t="str">
        <f t="shared" si="629"/>
        <v>burtoni</v>
      </c>
      <c r="L1331" s="77">
        <f t="shared" si="629"/>
        <v>0</v>
      </c>
      <c r="M1331" s="77">
        <f t="shared" si="629"/>
        <v>7</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19</v>
      </c>
      <c r="D1332" s="74">
        <f t="shared" si="608"/>
        <v>5</v>
      </c>
      <c r="E1332" s="75">
        <f t="shared" si="609"/>
        <v>57</v>
      </c>
      <c r="F1332" s="79"/>
      <c r="G1332" s="82"/>
      <c r="H1332" s="68" t="str">
        <f t="shared" si="626"/>
        <v>Senbur0_20191119_05_00</v>
      </c>
      <c r="I1332" s="69">
        <f t="shared" si="629"/>
        <v>1</v>
      </c>
      <c r="J1332" s="76" t="str">
        <f t="shared" si="629"/>
        <v>Senecio</v>
      </c>
      <c r="K1332" s="76" t="str">
        <f t="shared" si="629"/>
        <v>burtoni</v>
      </c>
      <c r="L1332" s="77">
        <f t="shared" si="629"/>
        <v>0</v>
      </c>
      <c r="M1332" s="77">
        <f t="shared" si="629"/>
        <v>7</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19</v>
      </c>
      <c r="D1333" s="74">
        <f t="shared" si="608"/>
        <v>5</v>
      </c>
      <c r="E1333" s="75">
        <f t="shared" si="609"/>
        <v>58</v>
      </c>
      <c r="F1333" s="79"/>
      <c r="G1333" s="82"/>
      <c r="H1333" s="68" t="str">
        <f t="shared" si="626"/>
        <v>Senbur0_20191119_05_00</v>
      </c>
      <c r="I1333" s="69">
        <f t="shared" ref="I1333:N1348" si="630">I1332</f>
        <v>1</v>
      </c>
      <c r="J1333" s="76" t="str">
        <f t="shared" si="630"/>
        <v>Senecio</v>
      </c>
      <c r="K1333" s="76" t="str">
        <f t="shared" si="630"/>
        <v>burtoni</v>
      </c>
      <c r="L1333" s="77">
        <f t="shared" si="630"/>
        <v>0</v>
      </c>
      <c r="M1333" s="77">
        <f t="shared" si="630"/>
        <v>7</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19</v>
      </c>
      <c r="D1334" s="74">
        <f t="shared" si="608"/>
        <v>5</v>
      </c>
      <c r="E1334" s="75">
        <f t="shared" si="609"/>
        <v>59</v>
      </c>
      <c r="F1334" s="79"/>
      <c r="G1334" s="82"/>
      <c r="H1334" s="68" t="str">
        <f t="shared" si="626"/>
        <v>Senbur0_20191119_05_00</v>
      </c>
      <c r="I1334" s="69">
        <f t="shared" si="630"/>
        <v>1</v>
      </c>
      <c r="J1334" s="76" t="str">
        <f t="shared" si="630"/>
        <v>Senecio</v>
      </c>
      <c r="K1334" s="76" t="str">
        <f t="shared" si="630"/>
        <v>burtoni</v>
      </c>
      <c r="L1334" s="77">
        <f t="shared" si="630"/>
        <v>0</v>
      </c>
      <c r="M1334" s="77">
        <f t="shared" si="630"/>
        <v>7</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19</v>
      </c>
      <c r="D1335" s="74">
        <f t="shared" si="608"/>
        <v>6</v>
      </c>
      <c r="E1335" s="75">
        <f t="shared" si="609"/>
        <v>0</v>
      </c>
      <c r="F1335" s="79"/>
      <c r="G1335" s="82"/>
      <c r="H1335" s="68" t="str">
        <f t="shared" si="626"/>
        <v>Senbur0_20191119_06_00</v>
      </c>
      <c r="I1335" s="69">
        <f t="shared" si="630"/>
        <v>1</v>
      </c>
      <c r="J1335" s="76" t="str">
        <f t="shared" si="630"/>
        <v>Senecio</v>
      </c>
      <c r="K1335" s="76" t="str">
        <f t="shared" si="630"/>
        <v>burtoni</v>
      </c>
      <c r="L1335" s="77">
        <f t="shared" si="630"/>
        <v>0</v>
      </c>
      <c r="M1335" s="77">
        <f t="shared" si="630"/>
        <v>7</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19</v>
      </c>
      <c r="D1336" s="74">
        <f t="shared" si="608"/>
        <v>6</v>
      </c>
      <c r="E1336" s="75">
        <f t="shared" si="609"/>
        <v>1</v>
      </c>
      <c r="F1336" s="79"/>
      <c r="G1336" s="82"/>
      <c r="H1336" s="68" t="str">
        <f t="shared" si="626"/>
        <v>Senbur0_20191119_06_00</v>
      </c>
      <c r="I1336" s="69">
        <f t="shared" si="630"/>
        <v>1</v>
      </c>
      <c r="J1336" s="76" t="str">
        <f t="shared" si="630"/>
        <v>Senecio</v>
      </c>
      <c r="K1336" s="76" t="str">
        <f t="shared" si="630"/>
        <v>burtoni</v>
      </c>
      <c r="L1336" s="77">
        <f t="shared" si="630"/>
        <v>0</v>
      </c>
      <c r="M1336" s="77">
        <f t="shared" si="630"/>
        <v>7</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19</v>
      </c>
      <c r="D1337" s="74">
        <f t="shared" si="608"/>
        <v>6</v>
      </c>
      <c r="E1337" s="75">
        <f t="shared" si="609"/>
        <v>2</v>
      </c>
      <c r="F1337" s="79"/>
      <c r="G1337" s="82"/>
      <c r="H1337" s="68" t="str">
        <f t="shared" si="626"/>
        <v>Senbur0_20191119_06_00</v>
      </c>
      <c r="I1337" s="69">
        <f t="shared" si="630"/>
        <v>1</v>
      </c>
      <c r="J1337" s="76" t="str">
        <f t="shared" si="630"/>
        <v>Senecio</v>
      </c>
      <c r="K1337" s="76" t="str">
        <f t="shared" si="630"/>
        <v>burtoni</v>
      </c>
      <c r="L1337" s="77">
        <f t="shared" si="630"/>
        <v>0</v>
      </c>
      <c r="M1337" s="77">
        <f t="shared" si="630"/>
        <v>7</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19</v>
      </c>
      <c r="D1338" s="74">
        <f t="shared" si="608"/>
        <v>6</v>
      </c>
      <c r="E1338" s="75">
        <f t="shared" si="609"/>
        <v>3</v>
      </c>
      <c r="F1338" s="79"/>
      <c r="G1338" s="82"/>
      <c r="H1338" s="68" t="str">
        <f t="shared" si="626"/>
        <v>Senbur0_20191119_06_00</v>
      </c>
      <c r="I1338" s="69">
        <f t="shared" si="630"/>
        <v>1</v>
      </c>
      <c r="J1338" s="76" t="str">
        <f t="shared" si="630"/>
        <v>Senecio</v>
      </c>
      <c r="K1338" s="76" t="str">
        <f t="shared" si="630"/>
        <v>burtoni</v>
      </c>
      <c r="L1338" s="77">
        <f t="shared" si="630"/>
        <v>0</v>
      </c>
      <c r="M1338" s="77">
        <f t="shared" si="630"/>
        <v>7</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19</v>
      </c>
      <c r="D1339" s="74">
        <f t="shared" si="608"/>
        <v>6</v>
      </c>
      <c r="E1339" s="75">
        <f t="shared" si="609"/>
        <v>4</v>
      </c>
      <c r="F1339" s="79"/>
      <c r="G1339" s="82"/>
      <c r="H1339" s="68" t="str">
        <f t="shared" si="626"/>
        <v>Senbur0_20191119_06_00</v>
      </c>
      <c r="I1339" s="69">
        <f t="shared" si="630"/>
        <v>1</v>
      </c>
      <c r="J1339" s="76" t="str">
        <f t="shared" si="630"/>
        <v>Senecio</v>
      </c>
      <c r="K1339" s="76" t="str">
        <f t="shared" si="630"/>
        <v>burtoni</v>
      </c>
      <c r="L1339" s="77">
        <f t="shared" si="630"/>
        <v>0</v>
      </c>
      <c r="M1339" s="77">
        <f t="shared" si="630"/>
        <v>7</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19</v>
      </c>
      <c r="D1340" s="74">
        <f t="shared" si="608"/>
        <v>6</v>
      </c>
      <c r="E1340" s="75">
        <f t="shared" si="609"/>
        <v>5</v>
      </c>
      <c r="F1340" s="79"/>
      <c r="G1340" s="82"/>
      <c r="H1340" s="68" t="str">
        <f t="shared" si="626"/>
        <v>Senbur0_20191119_06_00</v>
      </c>
      <c r="I1340" s="69">
        <f t="shared" si="630"/>
        <v>1</v>
      </c>
      <c r="J1340" s="76" t="str">
        <f t="shared" si="630"/>
        <v>Senecio</v>
      </c>
      <c r="K1340" s="76" t="str">
        <f t="shared" si="630"/>
        <v>burtoni</v>
      </c>
      <c r="L1340" s="77">
        <f t="shared" si="630"/>
        <v>0</v>
      </c>
      <c r="M1340" s="77">
        <f t="shared" si="630"/>
        <v>7</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19</v>
      </c>
      <c r="D1341" s="74">
        <f t="shared" si="608"/>
        <v>6</v>
      </c>
      <c r="E1341" s="75">
        <f t="shared" si="609"/>
        <v>6</v>
      </c>
      <c r="F1341" s="79"/>
      <c r="G1341" s="82"/>
      <c r="H1341" s="68" t="str">
        <f t="shared" si="626"/>
        <v>Senbur0_20191119_06_00</v>
      </c>
      <c r="I1341" s="69">
        <f t="shared" si="630"/>
        <v>1</v>
      </c>
      <c r="J1341" s="76" t="str">
        <f t="shared" si="630"/>
        <v>Senecio</v>
      </c>
      <c r="K1341" s="76" t="str">
        <f t="shared" si="630"/>
        <v>burtoni</v>
      </c>
      <c r="L1341" s="77">
        <f t="shared" si="630"/>
        <v>0</v>
      </c>
      <c r="M1341" s="77">
        <f t="shared" si="630"/>
        <v>7</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19</v>
      </c>
      <c r="D1342" s="74">
        <f t="shared" si="608"/>
        <v>6</v>
      </c>
      <c r="E1342" s="75">
        <f t="shared" si="609"/>
        <v>7</v>
      </c>
      <c r="F1342" s="79"/>
      <c r="G1342" s="82"/>
      <c r="H1342" s="68" t="str">
        <f t="shared" si="626"/>
        <v>Senbur0_20191119_06_00</v>
      </c>
      <c r="I1342" s="69">
        <f t="shared" si="630"/>
        <v>1</v>
      </c>
      <c r="J1342" s="76" t="str">
        <f t="shared" si="630"/>
        <v>Senecio</v>
      </c>
      <c r="K1342" s="76" t="str">
        <f t="shared" si="630"/>
        <v>burtoni</v>
      </c>
      <c r="L1342" s="77">
        <f t="shared" si="630"/>
        <v>0</v>
      </c>
      <c r="M1342" s="77">
        <f t="shared" si="630"/>
        <v>7</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19</v>
      </c>
      <c r="D1343" s="74">
        <f t="shared" si="608"/>
        <v>6</v>
      </c>
      <c r="E1343" s="75">
        <f t="shared" si="609"/>
        <v>8</v>
      </c>
      <c r="F1343" s="79"/>
      <c r="G1343" s="82"/>
      <c r="H1343" s="68" t="str">
        <f t="shared" si="626"/>
        <v>Senbur0_20191119_06_00</v>
      </c>
      <c r="I1343" s="69">
        <f t="shared" si="630"/>
        <v>1</v>
      </c>
      <c r="J1343" s="76" t="str">
        <f t="shared" si="630"/>
        <v>Senecio</v>
      </c>
      <c r="K1343" s="76" t="str">
        <f t="shared" si="630"/>
        <v>burtoni</v>
      </c>
      <c r="L1343" s="77">
        <f t="shared" si="630"/>
        <v>0</v>
      </c>
      <c r="M1343" s="77">
        <f t="shared" si="630"/>
        <v>7</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19</v>
      </c>
      <c r="D1344" s="74">
        <f t="shared" si="608"/>
        <v>6</v>
      </c>
      <c r="E1344" s="75">
        <f t="shared" si="609"/>
        <v>9</v>
      </c>
      <c r="F1344" s="79"/>
      <c r="G1344" s="82"/>
      <c r="H1344" s="68" t="str">
        <f t="shared" si="626"/>
        <v>Senbur0_20191119_06_00</v>
      </c>
      <c r="I1344" s="69">
        <f t="shared" si="630"/>
        <v>1</v>
      </c>
      <c r="J1344" s="76" t="str">
        <f t="shared" si="630"/>
        <v>Senecio</v>
      </c>
      <c r="K1344" s="76" t="str">
        <f t="shared" si="630"/>
        <v>burtoni</v>
      </c>
      <c r="L1344" s="77">
        <f t="shared" si="630"/>
        <v>0</v>
      </c>
      <c r="M1344" s="77">
        <f t="shared" si="630"/>
        <v>7</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19</v>
      </c>
      <c r="D1345" s="74">
        <f t="shared" si="608"/>
        <v>6</v>
      </c>
      <c r="E1345" s="75">
        <f t="shared" si="609"/>
        <v>10</v>
      </c>
      <c r="F1345" s="79"/>
      <c r="G1345" s="82"/>
      <c r="H1345" s="68" t="str">
        <f t="shared" si="626"/>
        <v>Senbur0_20191119_06_00</v>
      </c>
      <c r="I1345" s="69">
        <f t="shared" si="630"/>
        <v>1</v>
      </c>
      <c r="J1345" s="76" t="str">
        <f t="shared" si="630"/>
        <v>Senecio</v>
      </c>
      <c r="K1345" s="76" t="str">
        <f t="shared" si="630"/>
        <v>burtoni</v>
      </c>
      <c r="L1345" s="77">
        <f t="shared" si="630"/>
        <v>0</v>
      </c>
      <c r="M1345" s="77">
        <f t="shared" si="630"/>
        <v>7</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19</v>
      </c>
      <c r="D1346" s="74">
        <f t="shared" si="608"/>
        <v>6</v>
      </c>
      <c r="E1346" s="75">
        <f t="shared" si="609"/>
        <v>11</v>
      </c>
      <c r="F1346" s="79"/>
      <c r="G1346" s="82"/>
      <c r="H1346" s="68" t="str">
        <f t="shared" si="626"/>
        <v>Senbur0_20191119_06_00</v>
      </c>
      <c r="I1346" s="69">
        <f t="shared" si="630"/>
        <v>1</v>
      </c>
      <c r="J1346" s="76" t="str">
        <f t="shared" si="630"/>
        <v>Senecio</v>
      </c>
      <c r="K1346" s="76" t="str">
        <f t="shared" si="630"/>
        <v>burtoni</v>
      </c>
      <c r="L1346" s="77">
        <f t="shared" si="630"/>
        <v>0</v>
      </c>
      <c r="M1346" s="77">
        <f t="shared" si="630"/>
        <v>7</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19</v>
      </c>
      <c r="D1347" s="74">
        <f t="shared" si="608"/>
        <v>6</v>
      </c>
      <c r="E1347" s="75">
        <f t="shared" si="609"/>
        <v>12</v>
      </c>
      <c r="F1347" s="79"/>
      <c r="G1347" s="82"/>
      <c r="H1347" s="68" t="str">
        <f t="shared" si="626"/>
        <v>Senbur0_20191119_06_00</v>
      </c>
      <c r="I1347" s="69">
        <f t="shared" si="630"/>
        <v>1</v>
      </c>
      <c r="J1347" s="76" t="str">
        <f t="shared" si="630"/>
        <v>Senecio</v>
      </c>
      <c r="K1347" s="76" t="str">
        <f t="shared" si="630"/>
        <v>burtoni</v>
      </c>
      <c r="L1347" s="77">
        <f t="shared" si="630"/>
        <v>0</v>
      </c>
      <c r="M1347" s="77">
        <f t="shared" si="630"/>
        <v>7</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19</v>
      </c>
      <c r="D1348" s="74">
        <f t="shared" ref="D1348:D1411" si="638">IF(IF(E1347=59,D1347+1,D1347)=24,0,IF(E1347=59,D1347+1,D1347))</f>
        <v>6</v>
      </c>
      <c r="E1348" s="75">
        <f t="shared" ref="E1348:E1411" si="639">IF(E1347&lt;59,E1347+1,0)</f>
        <v>13</v>
      </c>
      <c r="F1348" s="79"/>
      <c r="G1348" s="82"/>
      <c r="H1348" s="68" t="str">
        <f t="shared" si="626"/>
        <v>Senbur0_20191119_06_00</v>
      </c>
      <c r="I1348" s="69">
        <f t="shared" si="630"/>
        <v>1</v>
      </c>
      <c r="J1348" s="76" t="str">
        <f t="shared" si="630"/>
        <v>Senecio</v>
      </c>
      <c r="K1348" s="76" t="str">
        <f t="shared" si="630"/>
        <v>burtoni</v>
      </c>
      <c r="L1348" s="77">
        <f t="shared" si="630"/>
        <v>0</v>
      </c>
      <c r="M1348" s="77">
        <f t="shared" si="630"/>
        <v>7</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19</v>
      </c>
      <c r="D1349" s="74">
        <f t="shared" si="638"/>
        <v>6</v>
      </c>
      <c r="E1349" s="75">
        <f t="shared" si="639"/>
        <v>14</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Senbur0_20191119_06_00</v>
      </c>
      <c r="I1349" s="69">
        <f t="shared" ref="I1349:N1364" si="657">I1348</f>
        <v>1</v>
      </c>
      <c r="J1349" s="76" t="str">
        <f t="shared" si="657"/>
        <v>Senecio</v>
      </c>
      <c r="K1349" s="76" t="str">
        <f t="shared" si="657"/>
        <v>burtoni</v>
      </c>
      <c r="L1349" s="77">
        <f t="shared" si="657"/>
        <v>0</v>
      </c>
      <c r="M1349" s="77">
        <f t="shared" si="657"/>
        <v>7</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19</v>
      </c>
      <c r="D1350" s="74">
        <f t="shared" si="638"/>
        <v>6</v>
      </c>
      <c r="E1350" s="75">
        <f t="shared" si="639"/>
        <v>15</v>
      </c>
      <c r="F1350" s="79"/>
      <c r="G1350" s="82"/>
      <c r="H1350" s="68" t="str">
        <f t="shared" si="656"/>
        <v>Senbur0_20191119_06_00</v>
      </c>
      <c r="I1350" s="69">
        <f t="shared" si="657"/>
        <v>1</v>
      </c>
      <c r="J1350" s="76" t="str">
        <f t="shared" si="657"/>
        <v>Senecio</v>
      </c>
      <c r="K1350" s="76" t="str">
        <f t="shared" si="657"/>
        <v>burtoni</v>
      </c>
      <c r="L1350" s="77">
        <f t="shared" si="657"/>
        <v>0</v>
      </c>
      <c r="M1350" s="77">
        <f t="shared" si="657"/>
        <v>7</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19</v>
      </c>
      <c r="D1351" s="74">
        <f t="shared" si="638"/>
        <v>6</v>
      </c>
      <c r="E1351" s="75">
        <f t="shared" si="639"/>
        <v>16</v>
      </c>
      <c r="F1351" s="79"/>
      <c r="G1351" s="82"/>
      <c r="H1351" s="68" t="str">
        <f t="shared" si="656"/>
        <v>Senbur0_20191119_06_00</v>
      </c>
      <c r="I1351" s="69">
        <f t="shared" si="657"/>
        <v>1</v>
      </c>
      <c r="J1351" s="76" t="str">
        <f t="shared" si="657"/>
        <v>Senecio</v>
      </c>
      <c r="K1351" s="76" t="str">
        <f t="shared" si="657"/>
        <v>burtoni</v>
      </c>
      <c r="L1351" s="77">
        <f t="shared" si="657"/>
        <v>0</v>
      </c>
      <c r="M1351" s="77">
        <f t="shared" si="657"/>
        <v>7</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19</v>
      </c>
      <c r="D1352" s="74">
        <f t="shared" si="638"/>
        <v>6</v>
      </c>
      <c r="E1352" s="75">
        <f t="shared" si="639"/>
        <v>17</v>
      </c>
      <c r="F1352" s="79"/>
      <c r="G1352" s="82"/>
      <c r="H1352" s="68" t="str">
        <f t="shared" si="656"/>
        <v>Senbur0_20191119_06_00</v>
      </c>
      <c r="I1352" s="69">
        <f t="shared" si="657"/>
        <v>1</v>
      </c>
      <c r="J1352" s="76" t="str">
        <f t="shared" si="657"/>
        <v>Senecio</v>
      </c>
      <c r="K1352" s="76" t="str">
        <f t="shared" si="657"/>
        <v>burtoni</v>
      </c>
      <c r="L1352" s="77">
        <f t="shared" si="657"/>
        <v>0</v>
      </c>
      <c r="M1352" s="77">
        <f t="shared" si="657"/>
        <v>7</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19</v>
      </c>
      <c r="D1353" s="74">
        <f t="shared" si="638"/>
        <v>6</v>
      </c>
      <c r="E1353" s="75">
        <f t="shared" si="639"/>
        <v>18</v>
      </c>
      <c r="F1353" s="79"/>
      <c r="G1353" s="82"/>
      <c r="H1353" s="68" t="str">
        <f t="shared" si="656"/>
        <v>Senbur0_20191119_06_00</v>
      </c>
      <c r="I1353" s="69">
        <f t="shared" si="657"/>
        <v>1</v>
      </c>
      <c r="J1353" s="76" t="str">
        <f t="shared" si="657"/>
        <v>Senecio</v>
      </c>
      <c r="K1353" s="76" t="str">
        <f t="shared" si="657"/>
        <v>burtoni</v>
      </c>
      <c r="L1353" s="77">
        <f t="shared" si="657"/>
        <v>0</v>
      </c>
      <c r="M1353" s="77">
        <f t="shared" si="657"/>
        <v>7</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19</v>
      </c>
      <c r="D1354" s="74">
        <f t="shared" si="638"/>
        <v>6</v>
      </c>
      <c r="E1354" s="75">
        <f t="shared" si="639"/>
        <v>19</v>
      </c>
      <c r="F1354" s="79"/>
      <c r="G1354" s="82"/>
      <c r="H1354" s="68" t="str">
        <f t="shared" si="656"/>
        <v>Senbur0_20191119_06_00</v>
      </c>
      <c r="I1354" s="69">
        <f t="shared" si="657"/>
        <v>1</v>
      </c>
      <c r="J1354" s="76" t="str">
        <f t="shared" si="657"/>
        <v>Senecio</v>
      </c>
      <c r="K1354" s="76" t="str">
        <f t="shared" si="657"/>
        <v>burtoni</v>
      </c>
      <c r="L1354" s="77">
        <f t="shared" si="657"/>
        <v>0</v>
      </c>
      <c r="M1354" s="77">
        <f t="shared" si="657"/>
        <v>7</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19</v>
      </c>
      <c r="D1355" s="74">
        <f t="shared" si="638"/>
        <v>6</v>
      </c>
      <c r="E1355" s="75">
        <f t="shared" si="639"/>
        <v>20</v>
      </c>
      <c r="F1355" s="79"/>
      <c r="G1355" s="82"/>
      <c r="H1355" s="68" t="str">
        <f t="shared" si="656"/>
        <v>Senbur0_20191119_06_00</v>
      </c>
      <c r="I1355" s="69">
        <f t="shared" si="657"/>
        <v>1</v>
      </c>
      <c r="J1355" s="76" t="str">
        <f t="shared" si="657"/>
        <v>Senecio</v>
      </c>
      <c r="K1355" s="76" t="str">
        <f t="shared" si="657"/>
        <v>burtoni</v>
      </c>
      <c r="L1355" s="77">
        <f t="shared" si="657"/>
        <v>0</v>
      </c>
      <c r="M1355" s="77">
        <f t="shared" si="657"/>
        <v>7</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19</v>
      </c>
      <c r="D1356" s="74">
        <f t="shared" si="638"/>
        <v>6</v>
      </c>
      <c r="E1356" s="75">
        <f t="shared" si="639"/>
        <v>21</v>
      </c>
      <c r="F1356" s="79"/>
      <c r="G1356" s="82"/>
      <c r="H1356" s="68" t="str">
        <f t="shared" si="656"/>
        <v>Senbur0_20191119_06_00</v>
      </c>
      <c r="I1356" s="69">
        <f t="shared" si="657"/>
        <v>1</v>
      </c>
      <c r="J1356" s="76" t="str">
        <f t="shared" si="657"/>
        <v>Senecio</v>
      </c>
      <c r="K1356" s="76" t="str">
        <f t="shared" si="657"/>
        <v>burtoni</v>
      </c>
      <c r="L1356" s="77">
        <f t="shared" si="657"/>
        <v>0</v>
      </c>
      <c r="M1356" s="77">
        <f t="shared" si="657"/>
        <v>7</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19</v>
      </c>
      <c r="D1357" s="74">
        <f t="shared" si="638"/>
        <v>6</v>
      </c>
      <c r="E1357" s="75">
        <f t="shared" si="639"/>
        <v>22</v>
      </c>
      <c r="F1357" s="79"/>
      <c r="G1357" s="82"/>
      <c r="H1357" s="68" t="str">
        <f t="shared" si="656"/>
        <v>Senbur0_20191119_06_00</v>
      </c>
      <c r="I1357" s="69">
        <f t="shared" si="657"/>
        <v>1</v>
      </c>
      <c r="J1357" s="76" t="str">
        <f t="shared" si="657"/>
        <v>Senecio</v>
      </c>
      <c r="K1357" s="76" t="str">
        <f t="shared" si="657"/>
        <v>burtoni</v>
      </c>
      <c r="L1357" s="77">
        <f t="shared" si="657"/>
        <v>0</v>
      </c>
      <c r="M1357" s="77">
        <f t="shared" si="657"/>
        <v>7</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19</v>
      </c>
      <c r="D1358" s="74">
        <f t="shared" si="638"/>
        <v>6</v>
      </c>
      <c r="E1358" s="75">
        <f t="shared" si="639"/>
        <v>23</v>
      </c>
      <c r="F1358" s="79"/>
      <c r="G1358" s="82"/>
      <c r="H1358" s="68" t="str">
        <f t="shared" si="656"/>
        <v>Senbur0_20191119_06_00</v>
      </c>
      <c r="I1358" s="69">
        <f t="shared" si="657"/>
        <v>1</v>
      </c>
      <c r="J1358" s="76" t="str">
        <f t="shared" si="657"/>
        <v>Senecio</v>
      </c>
      <c r="K1358" s="76" t="str">
        <f t="shared" si="657"/>
        <v>burtoni</v>
      </c>
      <c r="L1358" s="77">
        <f t="shared" si="657"/>
        <v>0</v>
      </c>
      <c r="M1358" s="77">
        <f t="shared" si="657"/>
        <v>7</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19</v>
      </c>
      <c r="D1359" s="74">
        <f t="shared" si="638"/>
        <v>6</v>
      </c>
      <c r="E1359" s="75">
        <f t="shared" si="639"/>
        <v>24</v>
      </c>
      <c r="F1359" s="79"/>
      <c r="G1359" s="82"/>
      <c r="H1359" s="68" t="str">
        <f t="shared" si="656"/>
        <v>Senbur0_20191119_06_00</v>
      </c>
      <c r="I1359" s="69">
        <f t="shared" si="657"/>
        <v>1</v>
      </c>
      <c r="J1359" s="76" t="str">
        <f t="shared" si="657"/>
        <v>Senecio</v>
      </c>
      <c r="K1359" s="76" t="str">
        <f t="shared" si="657"/>
        <v>burtoni</v>
      </c>
      <c r="L1359" s="77">
        <f t="shared" si="657"/>
        <v>0</v>
      </c>
      <c r="M1359" s="77">
        <f t="shared" si="657"/>
        <v>7</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19</v>
      </c>
      <c r="D1360" s="74">
        <f t="shared" si="638"/>
        <v>6</v>
      </c>
      <c r="E1360" s="75">
        <f t="shared" si="639"/>
        <v>25</v>
      </c>
      <c r="F1360" s="79"/>
      <c r="G1360" s="82"/>
      <c r="H1360" s="68" t="str">
        <f t="shared" si="656"/>
        <v>Senbur0_20191119_06_00</v>
      </c>
      <c r="I1360" s="69">
        <f t="shared" si="657"/>
        <v>1</v>
      </c>
      <c r="J1360" s="76" t="str">
        <f t="shared" si="657"/>
        <v>Senecio</v>
      </c>
      <c r="K1360" s="76" t="str">
        <f t="shared" si="657"/>
        <v>burtoni</v>
      </c>
      <c r="L1360" s="77">
        <f t="shared" si="657"/>
        <v>0</v>
      </c>
      <c r="M1360" s="77">
        <f t="shared" si="657"/>
        <v>7</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19</v>
      </c>
      <c r="D1361" s="74">
        <f t="shared" si="638"/>
        <v>6</v>
      </c>
      <c r="E1361" s="75">
        <f t="shared" si="639"/>
        <v>26</v>
      </c>
      <c r="F1361" s="79"/>
      <c r="G1361" s="82"/>
      <c r="H1361" s="68" t="str">
        <f t="shared" si="656"/>
        <v>Senbur0_20191119_06_00</v>
      </c>
      <c r="I1361" s="69">
        <f t="shared" si="657"/>
        <v>1</v>
      </c>
      <c r="J1361" s="76" t="str">
        <f t="shared" si="657"/>
        <v>Senecio</v>
      </c>
      <c r="K1361" s="76" t="str">
        <f t="shared" si="657"/>
        <v>burtoni</v>
      </c>
      <c r="L1361" s="77">
        <f t="shared" si="657"/>
        <v>0</v>
      </c>
      <c r="M1361" s="77">
        <f t="shared" si="657"/>
        <v>7</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19</v>
      </c>
      <c r="D1362" s="74">
        <f t="shared" si="638"/>
        <v>6</v>
      </c>
      <c r="E1362" s="75">
        <f t="shared" si="639"/>
        <v>27</v>
      </c>
      <c r="F1362" s="79"/>
      <c r="G1362" s="82"/>
      <c r="H1362" s="68" t="str">
        <f t="shared" si="656"/>
        <v>Senbur0_20191119_06_00</v>
      </c>
      <c r="I1362" s="69">
        <f t="shared" si="657"/>
        <v>1</v>
      </c>
      <c r="J1362" s="76" t="str">
        <f t="shared" si="657"/>
        <v>Senecio</v>
      </c>
      <c r="K1362" s="76" t="str">
        <f t="shared" si="657"/>
        <v>burtoni</v>
      </c>
      <c r="L1362" s="77">
        <f t="shared" si="657"/>
        <v>0</v>
      </c>
      <c r="M1362" s="77">
        <f t="shared" si="657"/>
        <v>7</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19</v>
      </c>
      <c r="D1363" s="74">
        <f t="shared" si="638"/>
        <v>6</v>
      </c>
      <c r="E1363" s="75">
        <f t="shared" si="639"/>
        <v>28</v>
      </c>
      <c r="F1363" s="79"/>
      <c r="G1363" s="82"/>
      <c r="H1363" s="68" t="str">
        <f t="shared" si="656"/>
        <v>Senbur0_20191119_06_00</v>
      </c>
      <c r="I1363" s="69">
        <f t="shared" si="657"/>
        <v>1</v>
      </c>
      <c r="J1363" s="76" t="str">
        <f t="shared" si="657"/>
        <v>Senecio</v>
      </c>
      <c r="K1363" s="76" t="str">
        <f t="shared" si="657"/>
        <v>burtoni</v>
      </c>
      <c r="L1363" s="77">
        <f t="shared" si="657"/>
        <v>0</v>
      </c>
      <c r="M1363" s="77">
        <f t="shared" si="657"/>
        <v>7</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19</v>
      </c>
      <c r="D1364" s="74">
        <f t="shared" si="638"/>
        <v>6</v>
      </c>
      <c r="E1364" s="75">
        <f t="shared" si="639"/>
        <v>29</v>
      </c>
      <c r="F1364" s="79"/>
      <c r="G1364" s="82"/>
      <c r="H1364" s="68" t="str">
        <f t="shared" si="656"/>
        <v>Senbur0_20191119_06_00</v>
      </c>
      <c r="I1364" s="69">
        <f t="shared" si="657"/>
        <v>1</v>
      </c>
      <c r="J1364" s="76" t="str">
        <f t="shared" si="657"/>
        <v>Senecio</v>
      </c>
      <c r="K1364" s="76" t="str">
        <f t="shared" si="657"/>
        <v>burtoni</v>
      </c>
      <c r="L1364" s="77">
        <f t="shared" si="657"/>
        <v>0</v>
      </c>
      <c r="M1364" s="77">
        <f t="shared" si="657"/>
        <v>7</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19</v>
      </c>
      <c r="D1365" s="74">
        <f t="shared" si="638"/>
        <v>6</v>
      </c>
      <c r="E1365" s="75">
        <f t="shared" si="639"/>
        <v>30</v>
      </c>
      <c r="F1365" s="79"/>
      <c r="G1365" s="82"/>
      <c r="H1365" s="68" t="str">
        <f t="shared" si="656"/>
        <v>Senbur0_20191119_06_00</v>
      </c>
      <c r="I1365" s="69">
        <f t="shared" ref="I1365:N1380" si="658">I1364</f>
        <v>1</v>
      </c>
      <c r="J1365" s="76" t="str">
        <f t="shared" si="658"/>
        <v>Senecio</v>
      </c>
      <c r="K1365" s="76" t="str">
        <f t="shared" si="658"/>
        <v>burtoni</v>
      </c>
      <c r="L1365" s="77">
        <f t="shared" si="658"/>
        <v>0</v>
      </c>
      <c r="M1365" s="77">
        <f t="shared" si="658"/>
        <v>7</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19</v>
      </c>
      <c r="D1366" s="74">
        <f t="shared" si="638"/>
        <v>6</v>
      </c>
      <c r="E1366" s="75">
        <f t="shared" si="639"/>
        <v>31</v>
      </c>
      <c r="F1366" s="79"/>
      <c r="G1366" s="82"/>
      <c r="H1366" s="68" t="str">
        <f t="shared" si="656"/>
        <v>Senbur0_20191119_06_00</v>
      </c>
      <c r="I1366" s="69">
        <f t="shared" si="658"/>
        <v>1</v>
      </c>
      <c r="J1366" s="76" t="str">
        <f t="shared" si="658"/>
        <v>Senecio</v>
      </c>
      <c r="K1366" s="76" t="str">
        <f t="shared" si="658"/>
        <v>burtoni</v>
      </c>
      <c r="L1366" s="77">
        <f t="shared" si="658"/>
        <v>0</v>
      </c>
      <c r="M1366" s="77">
        <f t="shared" si="658"/>
        <v>7</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19</v>
      </c>
      <c r="D1367" s="74">
        <f t="shared" si="638"/>
        <v>6</v>
      </c>
      <c r="E1367" s="75">
        <f t="shared" si="639"/>
        <v>32</v>
      </c>
      <c r="F1367" s="79"/>
      <c r="G1367" s="82"/>
      <c r="H1367" s="68" t="str">
        <f t="shared" si="656"/>
        <v>Senbur0_20191119_06_00</v>
      </c>
      <c r="I1367" s="69">
        <f t="shared" si="658"/>
        <v>1</v>
      </c>
      <c r="J1367" s="76" t="str">
        <f t="shared" si="658"/>
        <v>Senecio</v>
      </c>
      <c r="K1367" s="76" t="str">
        <f t="shared" si="658"/>
        <v>burtoni</v>
      </c>
      <c r="L1367" s="77">
        <f t="shared" si="658"/>
        <v>0</v>
      </c>
      <c r="M1367" s="77">
        <f t="shared" si="658"/>
        <v>7</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19</v>
      </c>
      <c r="D1368" s="74">
        <f t="shared" si="638"/>
        <v>6</v>
      </c>
      <c r="E1368" s="75">
        <f t="shared" si="639"/>
        <v>33</v>
      </c>
      <c r="F1368" s="79"/>
      <c r="G1368" s="82"/>
      <c r="H1368" s="68" t="str">
        <f t="shared" si="656"/>
        <v>Senbur0_20191119_06_00</v>
      </c>
      <c r="I1368" s="69">
        <f t="shared" si="658"/>
        <v>1</v>
      </c>
      <c r="J1368" s="76" t="str">
        <f t="shared" si="658"/>
        <v>Senecio</v>
      </c>
      <c r="K1368" s="76" t="str">
        <f t="shared" si="658"/>
        <v>burtoni</v>
      </c>
      <c r="L1368" s="77">
        <f t="shared" si="658"/>
        <v>0</v>
      </c>
      <c r="M1368" s="77">
        <f t="shared" si="658"/>
        <v>7</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19</v>
      </c>
      <c r="D1369" s="74">
        <f t="shared" si="638"/>
        <v>6</v>
      </c>
      <c r="E1369" s="75">
        <f t="shared" si="639"/>
        <v>34</v>
      </c>
      <c r="F1369" s="79"/>
      <c r="G1369" s="82"/>
      <c r="H1369" s="68" t="str">
        <f t="shared" si="656"/>
        <v>Senbur0_20191119_06_00</v>
      </c>
      <c r="I1369" s="69">
        <f t="shared" si="658"/>
        <v>1</v>
      </c>
      <c r="J1369" s="76" t="str">
        <f t="shared" si="658"/>
        <v>Senecio</v>
      </c>
      <c r="K1369" s="76" t="str">
        <f t="shared" si="658"/>
        <v>burtoni</v>
      </c>
      <c r="L1369" s="77">
        <f t="shared" si="658"/>
        <v>0</v>
      </c>
      <c r="M1369" s="77">
        <f t="shared" si="658"/>
        <v>7</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19</v>
      </c>
      <c r="D1370" s="74">
        <f t="shared" si="638"/>
        <v>6</v>
      </c>
      <c r="E1370" s="75">
        <f t="shared" si="639"/>
        <v>35</v>
      </c>
      <c r="F1370" s="79"/>
      <c r="G1370" s="82"/>
      <c r="H1370" s="68" t="str">
        <f t="shared" si="656"/>
        <v>Senbur0_20191119_06_00</v>
      </c>
      <c r="I1370" s="69">
        <f t="shared" si="658"/>
        <v>1</v>
      </c>
      <c r="J1370" s="76" t="str">
        <f t="shared" si="658"/>
        <v>Senecio</v>
      </c>
      <c r="K1370" s="76" t="str">
        <f t="shared" si="658"/>
        <v>burtoni</v>
      </c>
      <c r="L1370" s="77">
        <f t="shared" si="658"/>
        <v>0</v>
      </c>
      <c r="M1370" s="77">
        <f t="shared" si="658"/>
        <v>7</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19</v>
      </c>
      <c r="D1371" s="74">
        <f t="shared" si="638"/>
        <v>6</v>
      </c>
      <c r="E1371" s="75">
        <f t="shared" si="639"/>
        <v>36</v>
      </c>
      <c r="F1371" s="79"/>
      <c r="G1371" s="82"/>
      <c r="H1371" s="68" t="str">
        <f t="shared" si="656"/>
        <v>Senbur0_20191119_06_00</v>
      </c>
      <c r="I1371" s="69">
        <f t="shared" si="658"/>
        <v>1</v>
      </c>
      <c r="J1371" s="76" t="str">
        <f t="shared" si="658"/>
        <v>Senecio</v>
      </c>
      <c r="K1371" s="76" t="str">
        <f t="shared" si="658"/>
        <v>burtoni</v>
      </c>
      <c r="L1371" s="77">
        <f t="shared" si="658"/>
        <v>0</v>
      </c>
      <c r="M1371" s="77">
        <f t="shared" si="658"/>
        <v>7</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19</v>
      </c>
      <c r="D1372" s="74">
        <f t="shared" si="638"/>
        <v>6</v>
      </c>
      <c r="E1372" s="75">
        <f t="shared" si="639"/>
        <v>37</v>
      </c>
      <c r="F1372" s="79"/>
      <c r="G1372" s="82"/>
      <c r="H1372" s="68" t="str">
        <f t="shared" si="656"/>
        <v>Senbur0_20191119_06_00</v>
      </c>
      <c r="I1372" s="69">
        <f t="shared" si="658"/>
        <v>1</v>
      </c>
      <c r="J1372" s="76" t="str">
        <f t="shared" si="658"/>
        <v>Senecio</v>
      </c>
      <c r="K1372" s="76" t="str">
        <f t="shared" si="658"/>
        <v>burtoni</v>
      </c>
      <c r="L1372" s="77">
        <f t="shared" si="658"/>
        <v>0</v>
      </c>
      <c r="M1372" s="77">
        <f t="shared" si="658"/>
        <v>7</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19</v>
      </c>
      <c r="D1373" s="74">
        <f t="shared" si="638"/>
        <v>6</v>
      </c>
      <c r="E1373" s="75">
        <f t="shared" si="639"/>
        <v>38</v>
      </c>
      <c r="F1373" s="79"/>
      <c r="G1373" s="82"/>
      <c r="H1373" s="68" t="str">
        <f t="shared" si="656"/>
        <v>Senbur0_20191119_06_00</v>
      </c>
      <c r="I1373" s="69">
        <f t="shared" si="658"/>
        <v>1</v>
      </c>
      <c r="J1373" s="76" t="str">
        <f t="shared" si="658"/>
        <v>Senecio</v>
      </c>
      <c r="K1373" s="76" t="str">
        <f t="shared" si="658"/>
        <v>burtoni</v>
      </c>
      <c r="L1373" s="77">
        <f t="shared" si="658"/>
        <v>0</v>
      </c>
      <c r="M1373" s="77">
        <f t="shared" si="658"/>
        <v>7</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19</v>
      </c>
      <c r="D1374" s="74">
        <f t="shared" si="638"/>
        <v>6</v>
      </c>
      <c r="E1374" s="75">
        <f t="shared" si="639"/>
        <v>39</v>
      </c>
      <c r="F1374" s="79"/>
      <c r="G1374" s="82"/>
      <c r="H1374" s="68" t="str">
        <f t="shared" si="656"/>
        <v>Senbur0_20191119_06_00</v>
      </c>
      <c r="I1374" s="69">
        <f t="shared" si="658"/>
        <v>1</v>
      </c>
      <c r="J1374" s="76" t="str">
        <f t="shared" si="658"/>
        <v>Senecio</v>
      </c>
      <c r="K1374" s="76" t="str">
        <f t="shared" si="658"/>
        <v>burtoni</v>
      </c>
      <c r="L1374" s="77">
        <f t="shared" si="658"/>
        <v>0</v>
      </c>
      <c r="M1374" s="77">
        <f t="shared" si="658"/>
        <v>7</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19</v>
      </c>
      <c r="D1375" s="74">
        <f t="shared" si="638"/>
        <v>6</v>
      </c>
      <c r="E1375" s="75">
        <f t="shared" si="639"/>
        <v>40</v>
      </c>
      <c r="F1375" s="79"/>
      <c r="G1375" s="82"/>
      <c r="H1375" s="68" t="str">
        <f t="shared" si="656"/>
        <v>Senbur0_20191119_06_00</v>
      </c>
      <c r="I1375" s="69">
        <f t="shared" si="658"/>
        <v>1</v>
      </c>
      <c r="J1375" s="76" t="str">
        <f t="shared" si="658"/>
        <v>Senecio</v>
      </c>
      <c r="K1375" s="76" t="str">
        <f t="shared" si="658"/>
        <v>burtoni</v>
      </c>
      <c r="L1375" s="77">
        <f t="shared" si="658"/>
        <v>0</v>
      </c>
      <c r="M1375" s="77">
        <f t="shared" si="658"/>
        <v>7</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19</v>
      </c>
      <c r="D1376" s="74">
        <f t="shared" si="638"/>
        <v>6</v>
      </c>
      <c r="E1376" s="75">
        <f t="shared" si="639"/>
        <v>41</v>
      </c>
      <c r="F1376" s="79"/>
      <c r="G1376" s="82"/>
      <c r="H1376" s="68" t="str">
        <f t="shared" si="656"/>
        <v>Senbur0_20191119_06_00</v>
      </c>
      <c r="I1376" s="69">
        <f t="shared" si="658"/>
        <v>1</v>
      </c>
      <c r="J1376" s="76" t="str">
        <f t="shared" si="658"/>
        <v>Senecio</v>
      </c>
      <c r="K1376" s="76" t="str">
        <f t="shared" si="658"/>
        <v>burtoni</v>
      </c>
      <c r="L1376" s="77">
        <f t="shared" si="658"/>
        <v>0</v>
      </c>
      <c r="M1376" s="77">
        <f t="shared" si="658"/>
        <v>7</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19</v>
      </c>
      <c r="D1377" s="74">
        <f t="shared" si="638"/>
        <v>6</v>
      </c>
      <c r="E1377" s="75">
        <f t="shared" si="639"/>
        <v>42</v>
      </c>
      <c r="F1377" s="79"/>
      <c r="G1377" s="82"/>
      <c r="H1377" s="68" t="str">
        <f t="shared" si="656"/>
        <v>Senbur0_20191119_06_00</v>
      </c>
      <c r="I1377" s="69">
        <f t="shared" si="658"/>
        <v>1</v>
      </c>
      <c r="J1377" s="76" t="str">
        <f t="shared" si="658"/>
        <v>Senecio</v>
      </c>
      <c r="K1377" s="76" t="str">
        <f t="shared" si="658"/>
        <v>burtoni</v>
      </c>
      <c r="L1377" s="77">
        <f t="shared" si="658"/>
        <v>0</v>
      </c>
      <c r="M1377" s="77">
        <f t="shared" si="658"/>
        <v>7</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19</v>
      </c>
      <c r="D1378" s="74">
        <f t="shared" si="638"/>
        <v>6</v>
      </c>
      <c r="E1378" s="75">
        <f t="shared" si="639"/>
        <v>43</v>
      </c>
      <c r="F1378" s="79"/>
      <c r="G1378" s="82"/>
      <c r="H1378" s="68" t="str">
        <f t="shared" si="656"/>
        <v>Senbur0_20191119_06_00</v>
      </c>
      <c r="I1378" s="69">
        <f t="shared" si="658"/>
        <v>1</v>
      </c>
      <c r="J1378" s="76" t="str">
        <f t="shared" si="658"/>
        <v>Senecio</v>
      </c>
      <c r="K1378" s="76" t="str">
        <f t="shared" si="658"/>
        <v>burtoni</v>
      </c>
      <c r="L1378" s="77">
        <f t="shared" si="658"/>
        <v>0</v>
      </c>
      <c r="M1378" s="77">
        <f t="shared" si="658"/>
        <v>7</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19</v>
      </c>
      <c r="D1379" s="74">
        <f t="shared" si="638"/>
        <v>6</v>
      </c>
      <c r="E1379" s="75">
        <f t="shared" si="639"/>
        <v>44</v>
      </c>
      <c r="F1379" s="79"/>
      <c r="G1379" s="82"/>
      <c r="H1379" s="68" t="str">
        <f t="shared" si="656"/>
        <v>Senbur0_20191119_06_00</v>
      </c>
      <c r="I1379" s="69">
        <f t="shared" si="658"/>
        <v>1</v>
      </c>
      <c r="J1379" s="76" t="str">
        <f t="shared" si="658"/>
        <v>Senecio</v>
      </c>
      <c r="K1379" s="76" t="str">
        <f t="shared" si="658"/>
        <v>burtoni</v>
      </c>
      <c r="L1379" s="77">
        <f t="shared" si="658"/>
        <v>0</v>
      </c>
      <c r="M1379" s="77">
        <f t="shared" si="658"/>
        <v>7</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19</v>
      </c>
      <c r="D1380" s="74">
        <f t="shared" si="638"/>
        <v>6</v>
      </c>
      <c r="E1380" s="75">
        <f t="shared" si="639"/>
        <v>45</v>
      </c>
      <c r="F1380" s="79"/>
      <c r="G1380" s="82"/>
      <c r="H1380" s="68" t="str">
        <f t="shared" si="656"/>
        <v>Senbur0_20191119_06_00</v>
      </c>
      <c r="I1380" s="69">
        <f t="shared" si="658"/>
        <v>1</v>
      </c>
      <c r="J1380" s="76" t="str">
        <f t="shared" si="658"/>
        <v>Senecio</v>
      </c>
      <c r="K1380" s="76" t="str">
        <f t="shared" si="658"/>
        <v>burtoni</v>
      </c>
      <c r="L1380" s="77">
        <f t="shared" si="658"/>
        <v>0</v>
      </c>
      <c r="M1380" s="77">
        <f t="shared" si="658"/>
        <v>7</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19</v>
      </c>
      <c r="D1381" s="74">
        <f t="shared" si="638"/>
        <v>6</v>
      </c>
      <c r="E1381" s="75">
        <f t="shared" si="639"/>
        <v>46</v>
      </c>
      <c r="F1381" s="79"/>
      <c r="G1381" s="82"/>
      <c r="H1381" s="68" t="str">
        <f t="shared" si="656"/>
        <v>Senbur0_20191119_06_00</v>
      </c>
      <c r="I1381" s="69">
        <f t="shared" ref="I1381:N1396" si="659">I1380</f>
        <v>1</v>
      </c>
      <c r="J1381" s="76" t="str">
        <f t="shared" si="659"/>
        <v>Senecio</v>
      </c>
      <c r="K1381" s="76" t="str">
        <f t="shared" si="659"/>
        <v>burtoni</v>
      </c>
      <c r="L1381" s="77">
        <f t="shared" si="659"/>
        <v>0</v>
      </c>
      <c r="M1381" s="77">
        <f t="shared" si="659"/>
        <v>7</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19</v>
      </c>
      <c r="D1382" s="74">
        <f t="shared" si="638"/>
        <v>6</v>
      </c>
      <c r="E1382" s="75">
        <f t="shared" si="639"/>
        <v>47</v>
      </c>
      <c r="F1382" s="79"/>
      <c r="G1382" s="82"/>
      <c r="H1382" s="68" t="str">
        <f t="shared" si="656"/>
        <v>Senbur0_20191119_06_00</v>
      </c>
      <c r="I1382" s="69">
        <f t="shared" si="659"/>
        <v>1</v>
      </c>
      <c r="J1382" s="76" t="str">
        <f t="shared" si="659"/>
        <v>Senecio</v>
      </c>
      <c r="K1382" s="76" t="str">
        <f t="shared" si="659"/>
        <v>burtoni</v>
      </c>
      <c r="L1382" s="77">
        <f t="shared" si="659"/>
        <v>0</v>
      </c>
      <c r="M1382" s="77">
        <f t="shared" si="659"/>
        <v>7</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19</v>
      </c>
      <c r="D1383" s="74">
        <f t="shared" si="638"/>
        <v>6</v>
      </c>
      <c r="E1383" s="75">
        <f t="shared" si="639"/>
        <v>48</v>
      </c>
      <c r="F1383" s="79"/>
      <c r="G1383" s="82"/>
      <c r="H1383" s="68" t="str">
        <f t="shared" si="656"/>
        <v>Senbur0_20191119_06_00</v>
      </c>
      <c r="I1383" s="69">
        <f t="shared" si="659"/>
        <v>1</v>
      </c>
      <c r="J1383" s="76" t="str">
        <f t="shared" si="659"/>
        <v>Senecio</v>
      </c>
      <c r="K1383" s="76" t="str">
        <f t="shared" si="659"/>
        <v>burtoni</v>
      </c>
      <c r="L1383" s="77">
        <f t="shared" si="659"/>
        <v>0</v>
      </c>
      <c r="M1383" s="77">
        <f t="shared" si="659"/>
        <v>7</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19</v>
      </c>
      <c r="D1384" s="74">
        <f t="shared" si="638"/>
        <v>6</v>
      </c>
      <c r="E1384" s="75">
        <f t="shared" si="639"/>
        <v>49</v>
      </c>
      <c r="F1384" s="79"/>
      <c r="G1384" s="82"/>
      <c r="H1384" s="68" t="str">
        <f t="shared" si="656"/>
        <v>Senbur0_20191119_06_00</v>
      </c>
      <c r="I1384" s="69">
        <f t="shared" si="659"/>
        <v>1</v>
      </c>
      <c r="J1384" s="76" t="str">
        <f t="shared" si="659"/>
        <v>Senecio</v>
      </c>
      <c r="K1384" s="76" t="str">
        <f t="shared" si="659"/>
        <v>burtoni</v>
      </c>
      <c r="L1384" s="77">
        <f t="shared" si="659"/>
        <v>0</v>
      </c>
      <c r="M1384" s="77">
        <f t="shared" si="659"/>
        <v>7</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19</v>
      </c>
      <c r="D1385" s="74">
        <f t="shared" si="638"/>
        <v>6</v>
      </c>
      <c r="E1385" s="75">
        <f t="shared" si="639"/>
        <v>50</v>
      </c>
      <c r="F1385" s="79"/>
      <c r="G1385" s="82"/>
      <c r="H1385" s="68" t="str">
        <f t="shared" si="656"/>
        <v>Senbur0_20191119_06_00</v>
      </c>
      <c r="I1385" s="69">
        <f t="shared" si="659"/>
        <v>1</v>
      </c>
      <c r="J1385" s="76" t="str">
        <f t="shared" si="659"/>
        <v>Senecio</v>
      </c>
      <c r="K1385" s="76" t="str">
        <f t="shared" si="659"/>
        <v>burtoni</v>
      </c>
      <c r="L1385" s="77">
        <f t="shared" si="659"/>
        <v>0</v>
      </c>
      <c r="M1385" s="77">
        <f t="shared" si="659"/>
        <v>7</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19</v>
      </c>
      <c r="D1386" s="74">
        <f t="shared" si="638"/>
        <v>6</v>
      </c>
      <c r="E1386" s="75">
        <f t="shared" si="639"/>
        <v>51</v>
      </c>
      <c r="F1386" s="79"/>
      <c r="G1386" s="82"/>
      <c r="H1386" s="68" t="str">
        <f t="shared" si="656"/>
        <v>Senbur0_20191119_06_00</v>
      </c>
      <c r="I1386" s="69">
        <f t="shared" si="659"/>
        <v>1</v>
      </c>
      <c r="J1386" s="76" t="str">
        <f t="shared" si="659"/>
        <v>Senecio</v>
      </c>
      <c r="K1386" s="76" t="str">
        <f t="shared" si="659"/>
        <v>burtoni</v>
      </c>
      <c r="L1386" s="77">
        <f t="shared" si="659"/>
        <v>0</v>
      </c>
      <c r="M1386" s="77">
        <f t="shared" si="659"/>
        <v>7</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19</v>
      </c>
      <c r="D1387" s="74">
        <f t="shared" si="638"/>
        <v>6</v>
      </c>
      <c r="E1387" s="75">
        <f t="shared" si="639"/>
        <v>52</v>
      </c>
      <c r="F1387" s="79"/>
      <c r="G1387" s="82"/>
      <c r="H1387" s="68" t="str">
        <f t="shared" si="656"/>
        <v>Senbur0_20191119_06_00</v>
      </c>
      <c r="I1387" s="69">
        <f t="shared" si="659"/>
        <v>1</v>
      </c>
      <c r="J1387" s="76" t="str">
        <f t="shared" si="659"/>
        <v>Senecio</v>
      </c>
      <c r="K1387" s="76" t="str">
        <f t="shared" si="659"/>
        <v>burtoni</v>
      </c>
      <c r="L1387" s="77">
        <f t="shared" si="659"/>
        <v>0</v>
      </c>
      <c r="M1387" s="77">
        <f t="shared" si="659"/>
        <v>7</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19</v>
      </c>
      <c r="D1388" s="74">
        <f t="shared" si="638"/>
        <v>6</v>
      </c>
      <c r="E1388" s="75">
        <f t="shared" si="639"/>
        <v>53</v>
      </c>
      <c r="F1388" s="79"/>
      <c r="G1388" s="82"/>
      <c r="H1388" s="68" t="str">
        <f t="shared" si="656"/>
        <v>Senbur0_20191119_06_00</v>
      </c>
      <c r="I1388" s="69">
        <f t="shared" si="659"/>
        <v>1</v>
      </c>
      <c r="J1388" s="76" t="str">
        <f t="shared" si="659"/>
        <v>Senecio</v>
      </c>
      <c r="K1388" s="76" t="str">
        <f t="shared" si="659"/>
        <v>burtoni</v>
      </c>
      <c r="L1388" s="77">
        <f t="shared" si="659"/>
        <v>0</v>
      </c>
      <c r="M1388" s="77">
        <f t="shared" si="659"/>
        <v>7</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19</v>
      </c>
      <c r="D1389" s="74">
        <f t="shared" si="638"/>
        <v>6</v>
      </c>
      <c r="E1389" s="75">
        <f t="shared" si="639"/>
        <v>54</v>
      </c>
      <c r="F1389" s="79"/>
      <c r="G1389" s="82"/>
      <c r="H1389" s="68" t="str">
        <f t="shared" si="656"/>
        <v>Senbur0_20191119_06_00</v>
      </c>
      <c r="I1389" s="69">
        <f t="shared" si="659"/>
        <v>1</v>
      </c>
      <c r="J1389" s="76" t="str">
        <f t="shared" si="659"/>
        <v>Senecio</v>
      </c>
      <c r="K1389" s="76" t="str">
        <f t="shared" si="659"/>
        <v>burtoni</v>
      </c>
      <c r="L1389" s="77">
        <f t="shared" si="659"/>
        <v>0</v>
      </c>
      <c r="M1389" s="77">
        <f t="shared" si="659"/>
        <v>7</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19</v>
      </c>
      <c r="D1390" s="74">
        <f t="shared" si="638"/>
        <v>6</v>
      </c>
      <c r="E1390" s="75">
        <f t="shared" si="639"/>
        <v>55</v>
      </c>
      <c r="F1390" s="79"/>
      <c r="G1390" s="82"/>
      <c r="H1390" s="68" t="str">
        <f t="shared" si="656"/>
        <v>Senbur0_20191119_06_00</v>
      </c>
      <c r="I1390" s="69">
        <f t="shared" si="659"/>
        <v>1</v>
      </c>
      <c r="J1390" s="76" t="str">
        <f t="shared" si="659"/>
        <v>Senecio</v>
      </c>
      <c r="K1390" s="76" t="str">
        <f t="shared" si="659"/>
        <v>burtoni</v>
      </c>
      <c r="L1390" s="77">
        <f t="shared" si="659"/>
        <v>0</v>
      </c>
      <c r="M1390" s="77">
        <f t="shared" si="659"/>
        <v>7</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19</v>
      </c>
      <c r="D1391" s="74">
        <f t="shared" si="638"/>
        <v>6</v>
      </c>
      <c r="E1391" s="75">
        <f t="shared" si="639"/>
        <v>56</v>
      </c>
      <c r="F1391" s="79"/>
      <c r="G1391" s="82"/>
      <c r="H1391" s="68" t="str">
        <f t="shared" si="656"/>
        <v>Senbur0_20191119_06_00</v>
      </c>
      <c r="I1391" s="69">
        <f t="shared" si="659"/>
        <v>1</v>
      </c>
      <c r="J1391" s="76" t="str">
        <f t="shared" si="659"/>
        <v>Senecio</v>
      </c>
      <c r="K1391" s="76" t="str">
        <f t="shared" si="659"/>
        <v>burtoni</v>
      </c>
      <c r="L1391" s="77">
        <f t="shared" si="659"/>
        <v>0</v>
      </c>
      <c r="M1391" s="77">
        <f t="shared" si="659"/>
        <v>7</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19</v>
      </c>
      <c r="D1392" s="74">
        <f t="shared" si="638"/>
        <v>6</v>
      </c>
      <c r="E1392" s="75">
        <f t="shared" si="639"/>
        <v>57</v>
      </c>
      <c r="F1392" s="79"/>
      <c r="G1392" s="82"/>
      <c r="H1392" s="68" t="str">
        <f t="shared" si="656"/>
        <v>Senbur0_20191119_06_00</v>
      </c>
      <c r="I1392" s="69">
        <f t="shared" si="659"/>
        <v>1</v>
      </c>
      <c r="J1392" s="76" t="str">
        <f t="shared" si="659"/>
        <v>Senecio</v>
      </c>
      <c r="K1392" s="76" t="str">
        <f t="shared" si="659"/>
        <v>burtoni</v>
      </c>
      <c r="L1392" s="77">
        <f t="shared" si="659"/>
        <v>0</v>
      </c>
      <c r="M1392" s="77">
        <f t="shared" si="659"/>
        <v>7</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19</v>
      </c>
      <c r="D1393" s="74">
        <f t="shared" si="638"/>
        <v>6</v>
      </c>
      <c r="E1393" s="75">
        <f t="shared" si="639"/>
        <v>58</v>
      </c>
      <c r="F1393" s="79"/>
      <c r="G1393" s="82"/>
      <c r="H1393" s="68" t="str">
        <f t="shared" si="656"/>
        <v>Senbur0_20191119_06_00</v>
      </c>
      <c r="I1393" s="69">
        <f t="shared" si="659"/>
        <v>1</v>
      </c>
      <c r="J1393" s="76" t="str">
        <f t="shared" si="659"/>
        <v>Senecio</v>
      </c>
      <c r="K1393" s="76" t="str">
        <f t="shared" si="659"/>
        <v>burtoni</v>
      </c>
      <c r="L1393" s="77">
        <f t="shared" si="659"/>
        <v>0</v>
      </c>
      <c r="M1393" s="77">
        <f t="shared" si="659"/>
        <v>7</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19</v>
      </c>
      <c r="D1394" s="74">
        <f t="shared" si="638"/>
        <v>6</v>
      </c>
      <c r="E1394" s="75">
        <f t="shared" si="639"/>
        <v>59</v>
      </c>
      <c r="F1394" s="79"/>
      <c r="G1394" s="82"/>
      <c r="H1394" s="68" t="str">
        <f t="shared" si="656"/>
        <v>Senbur0_20191119_06_00</v>
      </c>
      <c r="I1394" s="69">
        <f t="shared" si="659"/>
        <v>1</v>
      </c>
      <c r="J1394" s="76" t="str">
        <f t="shared" si="659"/>
        <v>Senecio</v>
      </c>
      <c r="K1394" s="76" t="str">
        <f t="shared" si="659"/>
        <v>burtoni</v>
      </c>
      <c r="L1394" s="77">
        <f t="shared" si="659"/>
        <v>0</v>
      </c>
      <c r="M1394" s="77">
        <f t="shared" si="659"/>
        <v>7</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19</v>
      </c>
      <c r="D1395" s="74">
        <f t="shared" si="638"/>
        <v>7</v>
      </c>
      <c r="E1395" s="75">
        <f t="shared" si="639"/>
        <v>0</v>
      </c>
      <c r="F1395" s="79"/>
      <c r="G1395" s="82"/>
      <c r="H1395" s="68" t="str">
        <f t="shared" si="656"/>
        <v>Senbur0_20191119_07_00</v>
      </c>
      <c r="I1395" s="69">
        <f t="shared" si="659"/>
        <v>1</v>
      </c>
      <c r="J1395" s="76" t="str">
        <f t="shared" si="659"/>
        <v>Senecio</v>
      </c>
      <c r="K1395" s="76" t="str">
        <f t="shared" si="659"/>
        <v>burtoni</v>
      </c>
      <c r="L1395" s="77">
        <f t="shared" si="659"/>
        <v>0</v>
      </c>
      <c r="M1395" s="77">
        <f t="shared" si="659"/>
        <v>7</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19</v>
      </c>
      <c r="D1396" s="74">
        <f t="shared" si="638"/>
        <v>7</v>
      </c>
      <c r="E1396" s="75">
        <f t="shared" si="639"/>
        <v>1</v>
      </c>
      <c r="F1396" s="79"/>
      <c r="G1396" s="82"/>
      <c r="H1396" s="68" t="str">
        <f t="shared" si="656"/>
        <v>Senbur0_20191119_07_00</v>
      </c>
      <c r="I1396" s="69">
        <f t="shared" si="659"/>
        <v>1</v>
      </c>
      <c r="J1396" s="76" t="str">
        <f t="shared" si="659"/>
        <v>Senecio</v>
      </c>
      <c r="K1396" s="76" t="str">
        <f t="shared" si="659"/>
        <v>burtoni</v>
      </c>
      <c r="L1396" s="77">
        <f t="shared" si="659"/>
        <v>0</v>
      </c>
      <c r="M1396" s="77">
        <f t="shared" si="659"/>
        <v>7</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19</v>
      </c>
      <c r="D1397" s="74">
        <f t="shared" si="638"/>
        <v>7</v>
      </c>
      <c r="E1397" s="75">
        <f t="shared" si="639"/>
        <v>2</v>
      </c>
      <c r="F1397" s="79"/>
      <c r="G1397" s="82"/>
      <c r="H1397" s="68" t="str">
        <f t="shared" si="656"/>
        <v>Senbur0_20191119_07_00</v>
      </c>
      <c r="I1397" s="69">
        <f t="shared" ref="I1397:N1412" si="660">I1396</f>
        <v>1</v>
      </c>
      <c r="J1397" s="76" t="str">
        <f t="shared" si="660"/>
        <v>Senecio</v>
      </c>
      <c r="K1397" s="76" t="str">
        <f t="shared" si="660"/>
        <v>burtoni</v>
      </c>
      <c r="L1397" s="77">
        <f t="shared" si="660"/>
        <v>0</v>
      </c>
      <c r="M1397" s="77">
        <f t="shared" si="660"/>
        <v>7</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19</v>
      </c>
      <c r="D1398" s="74">
        <f t="shared" si="638"/>
        <v>7</v>
      </c>
      <c r="E1398" s="75">
        <f t="shared" si="639"/>
        <v>3</v>
      </c>
      <c r="F1398" s="79"/>
      <c r="G1398" s="82"/>
      <c r="H1398" s="68" t="str">
        <f t="shared" si="656"/>
        <v>Senbur0_20191119_07_00</v>
      </c>
      <c r="I1398" s="69">
        <f t="shared" si="660"/>
        <v>1</v>
      </c>
      <c r="J1398" s="76" t="str">
        <f t="shared" si="660"/>
        <v>Senecio</v>
      </c>
      <c r="K1398" s="76" t="str">
        <f t="shared" si="660"/>
        <v>burtoni</v>
      </c>
      <c r="L1398" s="77">
        <f t="shared" si="660"/>
        <v>0</v>
      </c>
      <c r="M1398" s="77">
        <f t="shared" si="660"/>
        <v>7</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19</v>
      </c>
      <c r="D1399" s="74">
        <f t="shared" si="638"/>
        <v>7</v>
      </c>
      <c r="E1399" s="75">
        <f t="shared" si="639"/>
        <v>4</v>
      </c>
      <c r="F1399" s="79"/>
      <c r="G1399" s="82"/>
      <c r="H1399" s="68" t="str">
        <f t="shared" si="656"/>
        <v>Senbur0_20191119_07_00</v>
      </c>
      <c r="I1399" s="69">
        <f t="shared" si="660"/>
        <v>1</v>
      </c>
      <c r="J1399" s="76" t="str">
        <f t="shared" si="660"/>
        <v>Senecio</v>
      </c>
      <c r="K1399" s="76" t="str">
        <f t="shared" si="660"/>
        <v>burtoni</v>
      </c>
      <c r="L1399" s="77">
        <f t="shared" si="660"/>
        <v>0</v>
      </c>
      <c r="M1399" s="77">
        <f t="shared" si="660"/>
        <v>7</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19</v>
      </c>
      <c r="D1400" s="74">
        <f t="shared" si="638"/>
        <v>7</v>
      </c>
      <c r="E1400" s="75">
        <f t="shared" si="639"/>
        <v>5</v>
      </c>
      <c r="F1400" s="79"/>
      <c r="G1400" s="82"/>
      <c r="H1400" s="68" t="str">
        <f t="shared" si="656"/>
        <v>Senbur0_20191119_07_00</v>
      </c>
      <c r="I1400" s="69">
        <f t="shared" si="660"/>
        <v>1</v>
      </c>
      <c r="J1400" s="76" t="str">
        <f t="shared" si="660"/>
        <v>Senecio</v>
      </c>
      <c r="K1400" s="76" t="str">
        <f t="shared" si="660"/>
        <v>burtoni</v>
      </c>
      <c r="L1400" s="77">
        <f t="shared" si="660"/>
        <v>0</v>
      </c>
      <c r="M1400" s="77">
        <f t="shared" si="660"/>
        <v>7</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19</v>
      </c>
      <c r="D1401" s="74">
        <f t="shared" si="638"/>
        <v>7</v>
      </c>
      <c r="E1401" s="75">
        <f t="shared" si="639"/>
        <v>6</v>
      </c>
      <c r="F1401" s="79"/>
      <c r="G1401" s="82"/>
      <c r="H1401" s="68" t="str">
        <f t="shared" si="656"/>
        <v>Senbur0_20191119_07_00</v>
      </c>
      <c r="I1401" s="69">
        <f t="shared" si="660"/>
        <v>1</v>
      </c>
      <c r="J1401" s="76" t="str">
        <f t="shared" si="660"/>
        <v>Senecio</v>
      </c>
      <c r="K1401" s="76" t="str">
        <f t="shared" si="660"/>
        <v>burtoni</v>
      </c>
      <c r="L1401" s="77">
        <f t="shared" si="660"/>
        <v>0</v>
      </c>
      <c r="M1401" s="77">
        <f t="shared" si="660"/>
        <v>7</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19</v>
      </c>
      <c r="D1402" s="74">
        <f t="shared" si="638"/>
        <v>7</v>
      </c>
      <c r="E1402" s="75">
        <f t="shared" si="639"/>
        <v>7</v>
      </c>
      <c r="F1402" s="79"/>
      <c r="G1402" s="82"/>
      <c r="H1402" s="68" t="str">
        <f t="shared" si="656"/>
        <v>Senbur0_20191119_07_00</v>
      </c>
      <c r="I1402" s="69">
        <f t="shared" si="660"/>
        <v>1</v>
      </c>
      <c r="J1402" s="76" t="str">
        <f t="shared" si="660"/>
        <v>Senecio</v>
      </c>
      <c r="K1402" s="76" t="str">
        <f t="shared" si="660"/>
        <v>burtoni</v>
      </c>
      <c r="L1402" s="77">
        <f t="shared" si="660"/>
        <v>0</v>
      </c>
      <c r="M1402" s="77">
        <f t="shared" si="660"/>
        <v>7</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19</v>
      </c>
      <c r="D1403" s="74">
        <f t="shared" si="638"/>
        <v>7</v>
      </c>
      <c r="E1403" s="75">
        <f t="shared" si="639"/>
        <v>8</v>
      </c>
      <c r="F1403" s="79"/>
      <c r="G1403" s="82"/>
      <c r="H1403" s="68" t="str">
        <f t="shared" si="656"/>
        <v>Senbur0_20191119_07_00</v>
      </c>
      <c r="I1403" s="69">
        <f t="shared" si="660"/>
        <v>1</v>
      </c>
      <c r="J1403" s="76" t="str">
        <f t="shared" si="660"/>
        <v>Senecio</v>
      </c>
      <c r="K1403" s="76" t="str">
        <f t="shared" si="660"/>
        <v>burtoni</v>
      </c>
      <c r="L1403" s="77">
        <f t="shared" si="660"/>
        <v>0</v>
      </c>
      <c r="M1403" s="77">
        <f t="shared" si="660"/>
        <v>7</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19</v>
      </c>
      <c r="D1404" s="74">
        <f t="shared" si="638"/>
        <v>7</v>
      </c>
      <c r="E1404" s="75">
        <f t="shared" si="639"/>
        <v>9</v>
      </c>
      <c r="F1404" s="79"/>
      <c r="G1404" s="82"/>
      <c r="H1404" s="68" t="str">
        <f t="shared" si="656"/>
        <v>Senbur0_20191119_07_00</v>
      </c>
      <c r="I1404" s="69">
        <f t="shared" si="660"/>
        <v>1</v>
      </c>
      <c r="J1404" s="76" t="str">
        <f t="shared" si="660"/>
        <v>Senecio</v>
      </c>
      <c r="K1404" s="76" t="str">
        <f t="shared" si="660"/>
        <v>burtoni</v>
      </c>
      <c r="L1404" s="77">
        <f t="shared" si="660"/>
        <v>0</v>
      </c>
      <c r="M1404" s="77">
        <f t="shared" si="660"/>
        <v>7</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19</v>
      </c>
      <c r="D1405" s="74">
        <f t="shared" si="638"/>
        <v>7</v>
      </c>
      <c r="E1405" s="75">
        <f t="shared" si="639"/>
        <v>10</v>
      </c>
      <c r="F1405" s="79"/>
      <c r="G1405" s="82"/>
      <c r="H1405" s="68" t="str">
        <f t="shared" si="656"/>
        <v>Senbur0_20191119_07_00</v>
      </c>
      <c r="I1405" s="69">
        <f t="shared" si="660"/>
        <v>1</v>
      </c>
      <c r="J1405" s="76" t="str">
        <f t="shared" si="660"/>
        <v>Senecio</v>
      </c>
      <c r="K1405" s="76" t="str">
        <f t="shared" si="660"/>
        <v>burtoni</v>
      </c>
      <c r="L1405" s="77">
        <f t="shared" si="660"/>
        <v>0</v>
      </c>
      <c r="M1405" s="77">
        <f t="shared" si="660"/>
        <v>7</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19</v>
      </c>
      <c r="D1406" s="74">
        <f t="shared" si="638"/>
        <v>7</v>
      </c>
      <c r="E1406" s="75">
        <f t="shared" si="639"/>
        <v>11</v>
      </c>
      <c r="F1406" s="79"/>
      <c r="G1406" s="82"/>
      <c r="H1406" s="68" t="str">
        <f t="shared" si="656"/>
        <v>Senbur0_20191119_07_00</v>
      </c>
      <c r="I1406" s="69">
        <f t="shared" si="660"/>
        <v>1</v>
      </c>
      <c r="J1406" s="76" t="str">
        <f t="shared" si="660"/>
        <v>Senecio</v>
      </c>
      <c r="K1406" s="76" t="str">
        <f t="shared" si="660"/>
        <v>burtoni</v>
      </c>
      <c r="L1406" s="77">
        <f t="shared" si="660"/>
        <v>0</v>
      </c>
      <c r="M1406" s="77">
        <f t="shared" si="660"/>
        <v>7</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19</v>
      </c>
      <c r="D1407" s="74">
        <f t="shared" si="638"/>
        <v>7</v>
      </c>
      <c r="E1407" s="75">
        <f t="shared" si="639"/>
        <v>12</v>
      </c>
      <c r="F1407" s="79"/>
      <c r="G1407" s="82"/>
      <c r="H1407" s="68" t="str">
        <f t="shared" si="656"/>
        <v>Senbur0_20191119_07_00</v>
      </c>
      <c r="I1407" s="69">
        <f t="shared" si="660"/>
        <v>1</v>
      </c>
      <c r="J1407" s="76" t="str">
        <f t="shared" si="660"/>
        <v>Senecio</v>
      </c>
      <c r="K1407" s="76" t="str">
        <f t="shared" si="660"/>
        <v>burtoni</v>
      </c>
      <c r="L1407" s="77">
        <f t="shared" si="660"/>
        <v>0</v>
      </c>
      <c r="M1407" s="77">
        <f t="shared" si="660"/>
        <v>7</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19</v>
      </c>
      <c r="D1408" s="74">
        <f t="shared" si="638"/>
        <v>7</v>
      </c>
      <c r="E1408" s="75">
        <f t="shared" si="639"/>
        <v>13</v>
      </c>
      <c r="F1408" s="79"/>
      <c r="G1408" s="82"/>
      <c r="H1408" s="68" t="str">
        <f t="shared" si="656"/>
        <v>Senbur0_20191119_07_00</v>
      </c>
      <c r="I1408" s="69">
        <f t="shared" si="660"/>
        <v>1</v>
      </c>
      <c r="J1408" s="76" t="str">
        <f t="shared" si="660"/>
        <v>Senecio</v>
      </c>
      <c r="K1408" s="76" t="str">
        <f t="shared" si="660"/>
        <v>burtoni</v>
      </c>
      <c r="L1408" s="77">
        <f t="shared" si="660"/>
        <v>0</v>
      </c>
      <c r="M1408" s="77">
        <f t="shared" si="660"/>
        <v>7</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19</v>
      </c>
      <c r="D1409" s="74">
        <f t="shared" si="638"/>
        <v>7</v>
      </c>
      <c r="E1409" s="75">
        <f t="shared" si="639"/>
        <v>14</v>
      </c>
      <c r="F1409" s="79"/>
      <c r="G1409" s="82"/>
      <c r="H1409" s="68" t="str">
        <f t="shared" si="656"/>
        <v>Senbur0_20191119_07_00</v>
      </c>
      <c r="I1409" s="69">
        <f t="shared" si="660"/>
        <v>1</v>
      </c>
      <c r="J1409" s="76" t="str">
        <f t="shared" si="660"/>
        <v>Senecio</v>
      </c>
      <c r="K1409" s="76" t="str">
        <f t="shared" si="660"/>
        <v>burtoni</v>
      </c>
      <c r="L1409" s="77">
        <f t="shared" si="660"/>
        <v>0</v>
      </c>
      <c r="M1409" s="77">
        <f t="shared" si="660"/>
        <v>7</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19</v>
      </c>
      <c r="D1410" s="74">
        <f t="shared" si="638"/>
        <v>7</v>
      </c>
      <c r="E1410" s="75">
        <f t="shared" si="639"/>
        <v>15</v>
      </c>
      <c r="F1410" s="79"/>
      <c r="G1410" s="82"/>
      <c r="H1410" s="68" t="str">
        <f t="shared" si="656"/>
        <v>Senbur0_20191119_07_00</v>
      </c>
      <c r="I1410" s="69">
        <f t="shared" si="660"/>
        <v>1</v>
      </c>
      <c r="J1410" s="76" t="str">
        <f t="shared" si="660"/>
        <v>Senecio</v>
      </c>
      <c r="K1410" s="76" t="str">
        <f t="shared" si="660"/>
        <v>burtoni</v>
      </c>
      <c r="L1410" s="77">
        <f t="shared" si="660"/>
        <v>0</v>
      </c>
      <c r="M1410" s="77">
        <f t="shared" si="660"/>
        <v>7</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19</v>
      </c>
      <c r="D1411" s="74">
        <f t="shared" si="638"/>
        <v>7</v>
      </c>
      <c r="E1411" s="75">
        <f t="shared" si="639"/>
        <v>16</v>
      </c>
      <c r="F1411" s="79"/>
      <c r="G1411" s="82"/>
      <c r="H1411" s="68" t="str">
        <f t="shared" si="656"/>
        <v>Senbur0_20191119_07_00</v>
      </c>
      <c r="I1411" s="69">
        <f t="shared" si="660"/>
        <v>1</v>
      </c>
      <c r="J1411" s="76" t="str">
        <f t="shared" si="660"/>
        <v>Senecio</v>
      </c>
      <c r="K1411" s="76" t="str">
        <f t="shared" si="660"/>
        <v>burtoni</v>
      </c>
      <c r="L1411" s="77">
        <f t="shared" si="660"/>
        <v>0</v>
      </c>
      <c r="M1411" s="77">
        <f t="shared" si="660"/>
        <v>7</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19</v>
      </c>
      <c r="D1412" s="74">
        <f t="shared" ref="D1412:D1417" si="668">IF(IF(E1411=59,D1411+1,D1411)=24,0,IF(E1411=59,D1411+1,D1411))</f>
        <v>7</v>
      </c>
      <c r="E1412" s="75">
        <f t="shared" ref="E1412:E1417" si="669">IF(E1411&lt;59,E1411+1,0)</f>
        <v>17</v>
      </c>
      <c r="F1412" s="79"/>
      <c r="G1412" s="82"/>
      <c r="H1412" s="68" t="str">
        <f t="shared" si="656"/>
        <v>Senbur0_20191119_07_00</v>
      </c>
      <c r="I1412" s="69">
        <f t="shared" si="660"/>
        <v>1</v>
      </c>
      <c r="J1412" s="76" t="str">
        <f t="shared" si="660"/>
        <v>Senecio</v>
      </c>
      <c r="K1412" s="76" t="str">
        <f t="shared" si="660"/>
        <v>burtoni</v>
      </c>
      <c r="L1412" s="77">
        <f t="shared" si="660"/>
        <v>0</v>
      </c>
      <c r="M1412" s="77">
        <f t="shared" si="660"/>
        <v>7</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19</v>
      </c>
      <c r="D1413" s="74">
        <f t="shared" si="668"/>
        <v>7</v>
      </c>
      <c r="E1413" s="75">
        <f t="shared" si="669"/>
        <v>18</v>
      </c>
      <c r="F1413" s="79">
        <v>22</v>
      </c>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Senbur0_20191119_07_00</v>
      </c>
      <c r="I1413" s="69">
        <f t="shared" ref="I1413:N1428" si="687">I1412</f>
        <v>1</v>
      </c>
      <c r="J1413" s="76" t="str">
        <f t="shared" si="687"/>
        <v>Senecio</v>
      </c>
      <c r="K1413" s="76" t="str">
        <f t="shared" si="687"/>
        <v>burtoni</v>
      </c>
      <c r="L1413" s="77">
        <f t="shared" si="687"/>
        <v>0</v>
      </c>
      <c r="M1413" s="77">
        <f t="shared" si="687"/>
        <v>7</v>
      </c>
      <c r="N1413" s="71">
        <f t="shared" si="687"/>
        <v>0</v>
      </c>
      <c r="O1413" s="44"/>
      <c r="P1413" s="45">
        <f t="shared" si="670"/>
        <v>1</v>
      </c>
      <c r="Q1413" s="46" t="str">
        <f t="shared" si="671"/>
        <v>07:18:22</v>
      </c>
      <c r="R1413" s="47" t="str">
        <f t="shared" si="672"/>
        <v>18:22</v>
      </c>
      <c r="S1413" s="48">
        <f t="shared" si="661"/>
        <v>31</v>
      </c>
      <c r="T1413" s="47" t="str">
        <f t="shared" si="673"/>
        <v>07</v>
      </c>
      <c r="U1413" s="49">
        <v>18</v>
      </c>
      <c r="V1413" s="50">
        <v>53</v>
      </c>
      <c r="W1413" s="51" t="str">
        <f t="shared" si="674"/>
        <v>18:53</v>
      </c>
      <c r="X1413" s="52" t="s">
        <v>63</v>
      </c>
      <c r="Y1413" s="124" t="s">
        <v>82</v>
      </c>
      <c r="Z1413" s="124"/>
      <c r="AA1413" s="47" t="s">
        <v>59</v>
      </c>
      <c r="AB1413" s="47" t="str">
        <f t="shared" si="675"/>
        <v>NA</v>
      </c>
      <c r="AC1413" s="53">
        <f t="shared" si="676"/>
        <v>0</v>
      </c>
      <c r="AD1413" s="54">
        <v>2</v>
      </c>
      <c r="AE1413" s="54"/>
      <c r="AF1413" s="54"/>
      <c r="AG1413" s="55">
        <v>1</v>
      </c>
      <c r="AH1413" s="56">
        <f t="shared" si="679"/>
        <v>31</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v>1</v>
      </c>
      <c r="AX1413" s="61">
        <f t="shared" si="663"/>
        <v>2</v>
      </c>
      <c r="AY1413" s="60">
        <f t="shared" si="664"/>
        <v>0</v>
      </c>
      <c r="AZ1413" s="61" t="str">
        <f t="shared" si="665"/>
        <v/>
      </c>
    </row>
    <row r="1414" spans="1:52" s="3" customFormat="1" hidden="1" x14ac:dyDescent="0.35">
      <c r="A1414" s="72">
        <f t="shared" si="666"/>
        <v>2019</v>
      </c>
      <c r="B1414" s="72" t="str">
        <f t="shared" si="667"/>
        <v>Nov</v>
      </c>
      <c r="C1414" s="73">
        <f t="shared" si="685"/>
        <v>19</v>
      </c>
      <c r="D1414" s="74">
        <f t="shared" si="668"/>
        <v>7</v>
      </c>
      <c r="E1414" s="75">
        <f t="shared" si="669"/>
        <v>19</v>
      </c>
      <c r="F1414" s="79">
        <v>31</v>
      </c>
      <c r="G1414" s="82"/>
      <c r="H1414" s="68" t="str">
        <f t="shared" si="686"/>
        <v>Senbur0_20191119_07_00</v>
      </c>
      <c r="I1414" s="69">
        <f t="shared" si="687"/>
        <v>1</v>
      </c>
      <c r="J1414" s="76" t="str">
        <f t="shared" si="687"/>
        <v>Senecio</v>
      </c>
      <c r="K1414" s="76" t="str">
        <f t="shared" si="687"/>
        <v>burtoni</v>
      </c>
      <c r="L1414" s="77">
        <f t="shared" si="687"/>
        <v>0</v>
      </c>
      <c r="M1414" s="77">
        <f t="shared" si="687"/>
        <v>7</v>
      </c>
      <c r="N1414" s="71">
        <f t="shared" si="687"/>
        <v>0</v>
      </c>
      <c r="O1414" s="44"/>
      <c r="P1414" s="45">
        <f t="shared" si="670"/>
        <v>1</v>
      </c>
      <c r="Q1414" s="46" t="str">
        <f t="shared" si="671"/>
        <v>07:19:31</v>
      </c>
      <c r="R1414" s="47" t="str">
        <f t="shared" si="672"/>
        <v>19:31</v>
      </c>
      <c r="S1414" s="48">
        <f t="shared" si="661"/>
        <v>71</v>
      </c>
      <c r="T1414" s="47" t="str">
        <f t="shared" si="673"/>
        <v>07</v>
      </c>
      <c r="U1414" s="49">
        <v>20</v>
      </c>
      <c r="V1414" s="50">
        <v>42</v>
      </c>
      <c r="W1414" s="51" t="str">
        <f t="shared" si="674"/>
        <v>20:42</v>
      </c>
      <c r="X1414" s="52" t="s">
        <v>63</v>
      </c>
      <c r="Y1414" s="124" t="s">
        <v>95</v>
      </c>
      <c r="Z1414" s="124"/>
      <c r="AA1414" s="47" t="s">
        <v>59</v>
      </c>
      <c r="AB1414" s="47" t="str">
        <f t="shared" si="675"/>
        <v>NA</v>
      </c>
      <c r="AC1414" s="53">
        <f t="shared" si="676"/>
        <v>0</v>
      </c>
      <c r="AD1414" s="54">
        <f t="shared" si="677"/>
        <v>1</v>
      </c>
      <c r="AE1414" s="54"/>
      <c r="AF1414" s="54"/>
      <c r="AG1414" s="55">
        <v>1</v>
      </c>
      <c r="AH1414" s="56">
        <v>11</v>
      </c>
      <c r="AI1414" s="55"/>
      <c r="AJ1414" s="56" t="str">
        <f t="shared" si="680"/>
        <v/>
      </c>
      <c r="AK1414" s="55">
        <v>1</v>
      </c>
      <c r="AL1414" s="56">
        <v>30</v>
      </c>
      <c r="AM1414" s="55">
        <v>1</v>
      </c>
      <c r="AN1414" s="56">
        <v>30</v>
      </c>
      <c r="AO1414" s="55"/>
      <c r="AP1414" s="56" t="str">
        <f t="shared" si="683"/>
        <v/>
      </c>
      <c r="AQ1414" s="55"/>
      <c r="AR1414" s="56" t="str">
        <f t="shared" si="684"/>
        <v/>
      </c>
      <c r="AS1414" s="57"/>
      <c r="AT1414" s="58"/>
      <c r="AU1414" s="58"/>
      <c r="AV1414" s="59"/>
      <c r="AW1414" s="60">
        <v>1</v>
      </c>
      <c r="AX1414" s="61">
        <f t="shared" si="663"/>
        <v>1</v>
      </c>
      <c r="AY1414" s="60">
        <v>1</v>
      </c>
      <c r="AZ1414" s="61">
        <f t="shared" si="665"/>
        <v>1</v>
      </c>
    </row>
    <row r="1415" spans="1:52" s="3" customFormat="1" hidden="1" x14ac:dyDescent="0.35">
      <c r="A1415" s="72">
        <f t="shared" si="666"/>
        <v>2019</v>
      </c>
      <c r="B1415" s="72" t="str">
        <f t="shared" si="667"/>
        <v>Nov</v>
      </c>
      <c r="C1415" s="73">
        <f t="shared" si="685"/>
        <v>19</v>
      </c>
      <c r="D1415" s="74">
        <f t="shared" si="668"/>
        <v>7</v>
      </c>
      <c r="E1415" s="75">
        <f t="shared" si="669"/>
        <v>20</v>
      </c>
      <c r="F1415" s="79">
        <v>50</v>
      </c>
      <c r="G1415" s="82"/>
      <c r="H1415" s="68" t="str">
        <f t="shared" si="686"/>
        <v>Senbur0_20191119_07_00</v>
      </c>
      <c r="I1415" s="69">
        <f t="shared" si="687"/>
        <v>1</v>
      </c>
      <c r="J1415" s="76" t="str">
        <f t="shared" si="687"/>
        <v>Senecio</v>
      </c>
      <c r="K1415" s="76" t="str">
        <f t="shared" si="687"/>
        <v>burtoni</v>
      </c>
      <c r="L1415" s="77">
        <f t="shared" si="687"/>
        <v>0</v>
      </c>
      <c r="M1415" s="77">
        <f t="shared" si="687"/>
        <v>7</v>
      </c>
      <c r="N1415" s="71">
        <f t="shared" si="687"/>
        <v>0</v>
      </c>
      <c r="O1415" s="44"/>
      <c r="P1415" s="45">
        <f t="shared" si="670"/>
        <v>1</v>
      </c>
      <c r="Q1415" s="46" t="str">
        <f t="shared" si="671"/>
        <v>07:20:50</v>
      </c>
      <c r="R1415" s="47" t="str">
        <f t="shared" si="672"/>
        <v>20:50</v>
      </c>
      <c r="S1415" s="48">
        <f t="shared" si="661"/>
        <v>11</v>
      </c>
      <c r="T1415" s="47" t="str">
        <f t="shared" si="673"/>
        <v>07</v>
      </c>
      <c r="U1415" s="49">
        <v>21</v>
      </c>
      <c r="V1415" s="50">
        <v>1</v>
      </c>
      <c r="W1415" s="51" t="str">
        <f t="shared" si="674"/>
        <v>21:01</v>
      </c>
      <c r="X1415" s="52" t="s">
        <v>63</v>
      </c>
      <c r="Y1415" s="124" t="s">
        <v>83</v>
      </c>
      <c r="Z1415" s="124"/>
      <c r="AA1415" s="47" t="s">
        <v>59</v>
      </c>
      <c r="AB1415" s="47" t="str">
        <f t="shared" si="675"/>
        <v>NA</v>
      </c>
      <c r="AC1415" s="53">
        <f t="shared" si="676"/>
        <v>0</v>
      </c>
      <c r="AD1415" s="54">
        <f t="shared" si="677"/>
        <v>1</v>
      </c>
      <c r="AE1415" s="54"/>
      <c r="AF1415" s="54"/>
      <c r="AG1415" s="55">
        <v>1</v>
      </c>
      <c r="AH1415" s="56">
        <v>4</v>
      </c>
      <c r="AI1415" s="55"/>
      <c r="AJ1415" s="56" t="str">
        <f t="shared" si="680"/>
        <v/>
      </c>
      <c r="AK1415" s="55">
        <v>1</v>
      </c>
      <c r="AL1415" s="56">
        <v>4</v>
      </c>
      <c r="AM1415" s="55">
        <v>1</v>
      </c>
      <c r="AN1415" s="56">
        <v>3</v>
      </c>
      <c r="AO1415" s="55"/>
      <c r="AP1415" s="56" t="str">
        <f t="shared" si="683"/>
        <v/>
      </c>
      <c r="AQ1415" s="55"/>
      <c r="AR1415" s="56" t="str">
        <f t="shared" si="684"/>
        <v/>
      </c>
      <c r="AS1415" s="57"/>
      <c r="AT1415" s="58"/>
      <c r="AU1415" s="58"/>
      <c r="AV1415" s="59"/>
      <c r="AW1415" s="60">
        <v>1</v>
      </c>
      <c r="AX1415" s="61">
        <f t="shared" si="663"/>
        <v>1</v>
      </c>
      <c r="AY1415" s="60">
        <v>1</v>
      </c>
      <c r="AZ1415" s="61">
        <f t="shared" si="665"/>
        <v>1</v>
      </c>
    </row>
    <row r="1416" spans="1:52" s="3" customFormat="1" hidden="1" x14ac:dyDescent="0.35">
      <c r="A1416" s="72">
        <f t="shared" si="666"/>
        <v>2019</v>
      </c>
      <c r="B1416" s="72" t="str">
        <f t="shared" si="667"/>
        <v>Nov</v>
      </c>
      <c r="C1416" s="73">
        <f t="shared" si="685"/>
        <v>19</v>
      </c>
      <c r="D1416" s="74">
        <f t="shared" si="668"/>
        <v>7</v>
      </c>
      <c r="E1416" s="75">
        <f t="shared" si="669"/>
        <v>21</v>
      </c>
      <c r="F1416" s="79"/>
      <c r="G1416" s="82"/>
      <c r="H1416" s="68" t="str">
        <f t="shared" si="686"/>
        <v>Senbur0_20191119_07_00</v>
      </c>
      <c r="I1416" s="69">
        <f t="shared" si="687"/>
        <v>1</v>
      </c>
      <c r="J1416" s="76" t="str">
        <f t="shared" si="687"/>
        <v>Senecio</v>
      </c>
      <c r="K1416" s="76" t="str">
        <f t="shared" si="687"/>
        <v>burtoni</v>
      </c>
      <c r="L1416" s="77">
        <f t="shared" si="687"/>
        <v>0</v>
      </c>
      <c r="M1416" s="77">
        <f t="shared" si="687"/>
        <v>7</v>
      </c>
      <c r="N1416" s="71">
        <f t="shared" si="687"/>
        <v>0</v>
      </c>
      <c r="O1416" s="44"/>
      <c r="P1416" s="45" t="str">
        <f t="shared" si="670"/>
        <v/>
      </c>
      <c r="Q1416" s="46" t="str">
        <f t="shared" si="671"/>
        <v/>
      </c>
      <c r="R1416" s="47" t="e">
        <f t="shared" si="672"/>
        <v>#VALUE!</v>
      </c>
      <c r="S1416" s="48"/>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f t="shared" si="676"/>
        <v>0</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19</v>
      </c>
      <c r="D1417" s="74">
        <f t="shared" si="668"/>
        <v>7</v>
      </c>
      <c r="E1417" s="75">
        <f t="shared" si="669"/>
        <v>22</v>
      </c>
      <c r="F1417" s="79"/>
      <c r="G1417" s="82"/>
      <c r="H1417" s="68" t="str">
        <f t="shared" si="686"/>
        <v>Senbur0_20191119_07_00</v>
      </c>
      <c r="I1417" s="69">
        <f t="shared" si="687"/>
        <v>1</v>
      </c>
      <c r="J1417" s="76" t="str">
        <f t="shared" si="687"/>
        <v>Senecio</v>
      </c>
      <c r="K1417" s="76" t="str">
        <f t="shared" si="687"/>
        <v>burtoni</v>
      </c>
      <c r="L1417" s="77">
        <f t="shared" si="687"/>
        <v>0</v>
      </c>
      <c r="M1417" s="77">
        <f t="shared" si="687"/>
        <v>7</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19</v>
      </c>
      <c r="D1418" s="74">
        <f>IF(IF(E1417=59,D1417+1,D1417)=24,0,IF(E1417=59,D1417+1,D1417))</f>
        <v>7</v>
      </c>
      <c r="E1418" s="75">
        <f>IF(E1417&lt;59,E1417+1,0)</f>
        <v>23</v>
      </c>
      <c r="F1418" s="79"/>
      <c r="G1418" s="82"/>
      <c r="H1418" s="68" t="str">
        <f t="shared" si="686"/>
        <v>Senbur0_20191119_07_00</v>
      </c>
      <c r="I1418" s="69">
        <f t="shared" si="687"/>
        <v>1</v>
      </c>
      <c r="J1418" s="76" t="str">
        <f>J1417</f>
        <v>Senecio</v>
      </c>
      <c r="K1418" s="76" t="str">
        <f>K1417</f>
        <v>burtoni</v>
      </c>
      <c r="L1418" s="77">
        <f>L1417</f>
        <v>0</v>
      </c>
      <c r="M1418" s="77">
        <f t="shared" si="687"/>
        <v>7</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19</v>
      </c>
      <c r="D1419" s="74">
        <f t="shared" ref="D1419:D1424" si="690">IF(IF(E1418=59,D1418+1,D1418)=24,0,IF(E1418=59,D1418+1,D1418))</f>
        <v>7</v>
      </c>
      <c r="E1419" s="75">
        <f t="shared" ref="E1419:E1424" si="691">IF(E1418&lt;59,E1418+1,0)</f>
        <v>24</v>
      </c>
      <c r="F1419" s="79"/>
      <c r="G1419" s="82"/>
      <c r="H1419" s="68" t="str">
        <f t="shared" si="686"/>
        <v>Senbur0_20191119_07_00</v>
      </c>
      <c r="I1419" s="69">
        <f t="shared" si="687"/>
        <v>1</v>
      </c>
      <c r="J1419" s="76" t="str">
        <f t="shared" si="687"/>
        <v>Senecio</v>
      </c>
      <c r="K1419" s="76" t="str">
        <f t="shared" si="687"/>
        <v>burtoni</v>
      </c>
      <c r="L1419" s="77">
        <f t="shared" si="687"/>
        <v>0</v>
      </c>
      <c r="M1419" s="77">
        <f t="shared" si="687"/>
        <v>7</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19</v>
      </c>
      <c r="D1420" s="74">
        <f t="shared" si="690"/>
        <v>7</v>
      </c>
      <c r="E1420" s="75">
        <f t="shared" si="691"/>
        <v>25</v>
      </c>
      <c r="F1420" s="79"/>
      <c r="G1420" s="82"/>
      <c r="H1420" s="68" t="str">
        <f t="shared" si="686"/>
        <v>Senbur0_20191119_07_00</v>
      </c>
      <c r="I1420" s="69">
        <f t="shared" si="687"/>
        <v>1</v>
      </c>
      <c r="J1420" s="76" t="str">
        <f t="shared" si="687"/>
        <v>Senecio</v>
      </c>
      <c r="K1420" s="76" t="str">
        <f t="shared" si="687"/>
        <v>burtoni</v>
      </c>
      <c r="L1420" s="77">
        <f t="shared" si="687"/>
        <v>0</v>
      </c>
      <c r="M1420" s="77">
        <f t="shared" si="687"/>
        <v>7</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19</v>
      </c>
      <c r="D1421" s="74">
        <f t="shared" si="690"/>
        <v>7</v>
      </c>
      <c r="E1421" s="75">
        <f t="shared" si="691"/>
        <v>26</v>
      </c>
      <c r="F1421" s="79"/>
      <c r="G1421" s="82"/>
      <c r="H1421" s="68" t="str">
        <f t="shared" si="686"/>
        <v>Senbur0_20191119_07_00</v>
      </c>
      <c r="I1421" s="69">
        <f t="shared" si="687"/>
        <v>1</v>
      </c>
      <c r="J1421" s="76" t="str">
        <f t="shared" si="687"/>
        <v>Senecio</v>
      </c>
      <c r="K1421" s="76" t="str">
        <f t="shared" si="687"/>
        <v>burtoni</v>
      </c>
      <c r="L1421" s="77">
        <f t="shared" si="687"/>
        <v>0</v>
      </c>
      <c r="M1421" s="77">
        <f t="shared" si="687"/>
        <v>7</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19</v>
      </c>
      <c r="D1422" s="74">
        <f t="shared" si="690"/>
        <v>7</v>
      </c>
      <c r="E1422" s="75">
        <f t="shared" si="691"/>
        <v>27</v>
      </c>
      <c r="F1422" s="79"/>
      <c r="G1422" s="82"/>
      <c r="H1422" s="68" t="str">
        <f t="shared" si="686"/>
        <v>Senbur0_20191119_07_00</v>
      </c>
      <c r="I1422" s="69">
        <f t="shared" si="687"/>
        <v>1</v>
      </c>
      <c r="J1422" s="76" t="str">
        <f t="shared" si="687"/>
        <v>Senecio</v>
      </c>
      <c r="K1422" s="76" t="str">
        <f t="shared" si="687"/>
        <v>burtoni</v>
      </c>
      <c r="L1422" s="77">
        <f t="shared" si="687"/>
        <v>0</v>
      </c>
      <c r="M1422" s="77">
        <f t="shared" si="687"/>
        <v>7</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19</v>
      </c>
      <c r="D1423" s="74">
        <f t="shared" si="690"/>
        <v>7</v>
      </c>
      <c r="E1423" s="75">
        <f t="shared" si="691"/>
        <v>28</v>
      </c>
      <c r="F1423" s="79"/>
      <c r="G1423" s="82"/>
      <c r="H1423" s="68" t="str">
        <f t="shared" si="686"/>
        <v>Senbur0_20191119_07_00</v>
      </c>
      <c r="I1423" s="69">
        <f t="shared" si="687"/>
        <v>1</v>
      </c>
      <c r="J1423" s="76" t="str">
        <f t="shared" si="687"/>
        <v>Senecio</v>
      </c>
      <c r="K1423" s="76" t="str">
        <f t="shared" si="687"/>
        <v>burtoni</v>
      </c>
      <c r="L1423" s="77">
        <f t="shared" si="687"/>
        <v>0</v>
      </c>
      <c r="M1423" s="77">
        <f t="shared" si="687"/>
        <v>7</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19</v>
      </c>
      <c r="D1424" s="74">
        <f t="shared" si="690"/>
        <v>7</v>
      </c>
      <c r="E1424" s="75">
        <f t="shared" si="691"/>
        <v>29</v>
      </c>
      <c r="F1424" s="79"/>
      <c r="G1424" s="82"/>
      <c r="H1424" s="68" t="str">
        <f t="shared" si="686"/>
        <v>Senbur0_20191119_07_00</v>
      </c>
      <c r="I1424" s="69">
        <f t="shared" si="687"/>
        <v>1</v>
      </c>
      <c r="J1424" s="76" t="str">
        <f t="shared" si="687"/>
        <v>Senecio</v>
      </c>
      <c r="K1424" s="76" t="str">
        <f t="shared" si="687"/>
        <v>burtoni</v>
      </c>
      <c r="L1424" s="77">
        <f t="shared" si="687"/>
        <v>0</v>
      </c>
      <c r="M1424" s="77">
        <f t="shared" si="687"/>
        <v>7</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19</v>
      </c>
      <c r="D1425" s="74">
        <f>IF(IF(E1424=59,D1424+1,D1424)=24,0,IF(E1424=59,D1424+1,D1424))</f>
        <v>7</v>
      </c>
      <c r="E1425" s="75">
        <f>IF(E1424&lt;59,E1424+1,0)</f>
        <v>30</v>
      </c>
      <c r="F1425" s="79"/>
      <c r="G1425" s="82"/>
      <c r="H1425" s="68" t="str">
        <f t="shared" si="686"/>
        <v>Senbur0_20191119_07_00</v>
      </c>
      <c r="I1425" s="69">
        <f t="shared" si="687"/>
        <v>1</v>
      </c>
      <c r="J1425" s="76" t="str">
        <f>J1424</f>
        <v>Senecio</v>
      </c>
      <c r="K1425" s="76" t="str">
        <f>K1424</f>
        <v>burtoni</v>
      </c>
      <c r="L1425" s="77">
        <f>L1424</f>
        <v>0</v>
      </c>
      <c r="M1425" s="77">
        <f t="shared" si="687"/>
        <v>7</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89" si="692">A1425</f>
        <v>2019</v>
      </c>
      <c r="B1426" s="72" t="str">
        <f t="shared" ref="B1426:B1442" si="693">IF(C1425-C1426&gt;0, TEXT(DATE(2016,(MONTH(DATEVALUE(B1425&amp;"1"))+1),1),"mmm"), B1425)</f>
        <v>Nov</v>
      </c>
      <c r="C1426" s="73">
        <f t="shared" si="685"/>
        <v>19</v>
      </c>
      <c r="D1426" s="74">
        <f t="shared" ref="D1426:D1442" si="694">IF(IF(E1425=59,D1425+1,D1425)=24,0,IF(E1425=59,D1425+1,D1425))</f>
        <v>7</v>
      </c>
      <c r="E1426" s="75">
        <f t="shared" ref="E1426:E1489" si="695">IF(E1425&lt;59,E1425+1,0)</f>
        <v>31</v>
      </c>
      <c r="F1426" s="79">
        <v>28</v>
      </c>
      <c r="G1426" s="82"/>
      <c r="H1426" s="68" t="str">
        <f t="shared" si="686"/>
        <v>Senbur0_20191119_07_00</v>
      </c>
      <c r="I1426" s="69">
        <f t="shared" si="687"/>
        <v>1</v>
      </c>
      <c r="J1426" s="76" t="str">
        <f t="shared" si="687"/>
        <v>Senecio</v>
      </c>
      <c r="K1426" s="76" t="str">
        <f t="shared" si="687"/>
        <v>burtoni</v>
      </c>
      <c r="L1426" s="77">
        <f t="shared" si="687"/>
        <v>0</v>
      </c>
      <c r="M1426" s="77">
        <f t="shared" si="687"/>
        <v>7</v>
      </c>
      <c r="N1426" s="71">
        <f t="shared" si="687"/>
        <v>0</v>
      </c>
      <c r="O1426" s="44"/>
      <c r="P1426" s="45">
        <f t="shared" si="670"/>
        <v>1</v>
      </c>
      <c r="Q1426" s="46" t="str">
        <f t="shared" si="671"/>
        <v>07:31:28</v>
      </c>
      <c r="R1426" s="47" t="str">
        <f t="shared" si="672"/>
        <v>31:28</v>
      </c>
      <c r="S1426" s="48">
        <f t="shared" si="661"/>
        <v>19</v>
      </c>
      <c r="T1426" s="47" t="str">
        <f t="shared" si="673"/>
        <v>07</v>
      </c>
      <c r="U1426" s="49">
        <v>31</v>
      </c>
      <c r="V1426" s="50">
        <v>47</v>
      </c>
      <c r="W1426" s="51" t="str">
        <f t="shared" si="674"/>
        <v>31:47</v>
      </c>
      <c r="X1426" s="52" t="s">
        <v>63</v>
      </c>
      <c r="Y1426" s="124" t="s">
        <v>82</v>
      </c>
      <c r="Z1426" s="124"/>
      <c r="AA1426" s="47" t="s">
        <v>59</v>
      </c>
      <c r="AB1426" s="47" t="str">
        <f t="shared" si="675"/>
        <v>NA</v>
      </c>
      <c r="AC1426" s="53">
        <f t="shared" si="676"/>
        <v>0</v>
      </c>
      <c r="AD1426" s="54">
        <f t="shared" si="677"/>
        <v>1</v>
      </c>
      <c r="AE1426" s="54"/>
      <c r="AF1426" s="54"/>
      <c r="AG1426" s="55">
        <v>1</v>
      </c>
      <c r="AH1426" s="56">
        <f t="shared" si="679"/>
        <v>19</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f t="shared" si="662"/>
        <v>0</v>
      </c>
      <c r="AX1426" s="61" t="str">
        <f t="shared" si="663"/>
        <v/>
      </c>
      <c r="AY1426" s="60">
        <f t="shared" si="664"/>
        <v>0</v>
      </c>
      <c r="AZ1426" s="61" t="str">
        <f t="shared" si="665"/>
        <v/>
      </c>
    </row>
    <row r="1427" spans="1:52" s="3" customFormat="1" hidden="1" x14ac:dyDescent="0.35">
      <c r="A1427" s="72">
        <f t="shared" si="692"/>
        <v>2019</v>
      </c>
      <c r="B1427" s="72" t="str">
        <f t="shared" si="693"/>
        <v>Nov</v>
      </c>
      <c r="C1427" s="73">
        <f t="shared" si="685"/>
        <v>19</v>
      </c>
      <c r="D1427" s="74">
        <f t="shared" si="694"/>
        <v>7</v>
      </c>
      <c r="E1427" s="75">
        <f t="shared" si="695"/>
        <v>32</v>
      </c>
      <c r="F1427" s="79"/>
      <c r="G1427" s="82"/>
      <c r="H1427" s="68" t="str">
        <f t="shared" si="686"/>
        <v>Senbur0_20191119_07_00</v>
      </c>
      <c r="I1427" s="69">
        <f t="shared" si="687"/>
        <v>1</v>
      </c>
      <c r="J1427" s="76" t="str">
        <f t="shared" si="687"/>
        <v>Senecio</v>
      </c>
      <c r="K1427" s="76" t="str">
        <f t="shared" si="687"/>
        <v>burtoni</v>
      </c>
      <c r="L1427" s="77">
        <f t="shared" si="687"/>
        <v>0</v>
      </c>
      <c r="M1427" s="77">
        <f t="shared" si="687"/>
        <v>7</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19</v>
      </c>
      <c r="D1428" s="74">
        <f t="shared" si="694"/>
        <v>7</v>
      </c>
      <c r="E1428" s="75">
        <f t="shared" si="695"/>
        <v>33</v>
      </c>
      <c r="F1428" s="79"/>
      <c r="G1428" s="82"/>
      <c r="H1428" s="68" t="str">
        <f t="shared" si="686"/>
        <v>Senbur0_20191119_07_00</v>
      </c>
      <c r="I1428" s="69">
        <f t="shared" si="687"/>
        <v>1</v>
      </c>
      <c r="J1428" s="76" t="str">
        <f t="shared" si="687"/>
        <v>Senecio</v>
      </c>
      <c r="K1428" s="76" t="str">
        <f t="shared" si="687"/>
        <v>burtoni</v>
      </c>
      <c r="L1428" s="77">
        <f t="shared" si="687"/>
        <v>0</v>
      </c>
      <c r="M1428" s="77">
        <f t="shared" si="687"/>
        <v>7</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19</v>
      </c>
      <c r="D1429" s="74">
        <f t="shared" si="694"/>
        <v>7</v>
      </c>
      <c r="E1429" s="75">
        <f t="shared" si="695"/>
        <v>34</v>
      </c>
      <c r="F1429" s="79"/>
      <c r="G1429" s="82"/>
      <c r="H1429" s="68" t="str">
        <f t="shared" si="686"/>
        <v>Senbur0_20191119_07_00</v>
      </c>
      <c r="I1429" s="69">
        <f t="shared" ref="I1429:N1442" si="696">I1428</f>
        <v>1</v>
      </c>
      <c r="J1429" s="76" t="str">
        <f t="shared" si="696"/>
        <v>Senecio</v>
      </c>
      <c r="K1429" s="76" t="str">
        <f t="shared" si="696"/>
        <v>burtoni</v>
      </c>
      <c r="L1429" s="77">
        <f t="shared" si="696"/>
        <v>0</v>
      </c>
      <c r="M1429" s="77">
        <f t="shared" si="696"/>
        <v>7</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19</v>
      </c>
      <c r="D1430" s="74">
        <f t="shared" si="694"/>
        <v>7</v>
      </c>
      <c r="E1430" s="75">
        <f t="shared" si="695"/>
        <v>35</v>
      </c>
      <c r="F1430" s="79"/>
      <c r="G1430" s="82"/>
      <c r="H1430" s="68" t="str">
        <f t="shared" si="686"/>
        <v>Senbur0_20191119_07_00</v>
      </c>
      <c r="I1430" s="69">
        <f t="shared" si="696"/>
        <v>1</v>
      </c>
      <c r="J1430" s="76" t="str">
        <f t="shared" si="696"/>
        <v>Senecio</v>
      </c>
      <c r="K1430" s="76" t="str">
        <f t="shared" si="696"/>
        <v>burtoni</v>
      </c>
      <c r="L1430" s="77">
        <f t="shared" si="696"/>
        <v>0</v>
      </c>
      <c r="M1430" s="77">
        <f t="shared" si="696"/>
        <v>7</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19</v>
      </c>
      <c r="D1431" s="74">
        <f t="shared" si="694"/>
        <v>7</v>
      </c>
      <c r="E1431" s="75">
        <f t="shared" si="695"/>
        <v>36</v>
      </c>
      <c r="F1431" s="79"/>
      <c r="G1431" s="82"/>
      <c r="H1431" s="68" t="str">
        <f t="shared" si="686"/>
        <v>Senbur0_20191119_07_00</v>
      </c>
      <c r="I1431" s="69">
        <f t="shared" si="696"/>
        <v>1</v>
      </c>
      <c r="J1431" s="76" t="str">
        <f t="shared" si="696"/>
        <v>Senecio</v>
      </c>
      <c r="K1431" s="76" t="str">
        <f t="shared" si="696"/>
        <v>burtoni</v>
      </c>
      <c r="L1431" s="77">
        <f t="shared" si="696"/>
        <v>0</v>
      </c>
      <c r="M1431" s="77">
        <f t="shared" si="696"/>
        <v>7</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19</v>
      </c>
      <c r="D1432" s="74">
        <f t="shared" si="694"/>
        <v>7</v>
      </c>
      <c r="E1432" s="75">
        <f t="shared" si="695"/>
        <v>37</v>
      </c>
      <c r="F1432" s="79"/>
      <c r="G1432" s="82"/>
      <c r="H1432" s="68" t="str">
        <f t="shared" si="686"/>
        <v>Senbur0_20191119_07_00</v>
      </c>
      <c r="I1432" s="69">
        <f t="shared" si="696"/>
        <v>1</v>
      </c>
      <c r="J1432" s="76" t="str">
        <f t="shared" si="696"/>
        <v>Senecio</v>
      </c>
      <c r="K1432" s="76" t="str">
        <f t="shared" si="696"/>
        <v>burtoni</v>
      </c>
      <c r="L1432" s="77">
        <f t="shared" si="696"/>
        <v>0</v>
      </c>
      <c r="M1432" s="77">
        <f t="shared" si="696"/>
        <v>7</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19</v>
      </c>
      <c r="D1433" s="74">
        <f t="shared" si="694"/>
        <v>7</v>
      </c>
      <c r="E1433" s="75">
        <f t="shared" si="695"/>
        <v>38</v>
      </c>
      <c r="F1433" s="79"/>
      <c r="G1433" s="82"/>
      <c r="H1433" s="68" t="str">
        <f t="shared" si="686"/>
        <v>Senbur0_20191119_07_00</v>
      </c>
      <c r="I1433" s="69">
        <f t="shared" si="696"/>
        <v>1</v>
      </c>
      <c r="J1433" s="76" t="str">
        <f t="shared" si="696"/>
        <v>Senecio</v>
      </c>
      <c r="K1433" s="76" t="str">
        <f t="shared" si="696"/>
        <v>burtoni</v>
      </c>
      <c r="L1433" s="77">
        <f t="shared" si="696"/>
        <v>0</v>
      </c>
      <c r="M1433" s="77">
        <f t="shared" si="696"/>
        <v>7</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19</v>
      </c>
      <c r="D1434" s="74">
        <f t="shared" si="694"/>
        <v>7</v>
      </c>
      <c r="E1434" s="75">
        <f t="shared" si="695"/>
        <v>39</v>
      </c>
      <c r="F1434" s="79"/>
      <c r="G1434" s="82"/>
      <c r="H1434" s="68" t="str">
        <f t="shared" si="686"/>
        <v>Senbur0_20191119_07_00</v>
      </c>
      <c r="I1434" s="69">
        <f t="shared" si="696"/>
        <v>1</v>
      </c>
      <c r="J1434" s="76" t="str">
        <f t="shared" si="696"/>
        <v>Senecio</v>
      </c>
      <c r="K1434" s="76" t="str">
        <f t="shared" si="696"/>
        <v>burtoni</v>
      </c>
      <c r="L1434" s="77">
        <f t="shared" si="696"/>
        <v>0</v>
      </c>
      <c r="M1434" s="77">
        <f t="shared" si="696"/>
        <v>7</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19</v>
      </c>
      <c r="D1435" s="74">
        <f t="shared" si="694"/>
        <v>7</v>
      </c>
      <c r="E1435" s="75">
        <f t="shared" si="695"/>
        <v>40</v>
      </c>
      <c r="F1435" s="79"/>
      <c r="G1435" s="82"/>
      <c r="H1435" s="68" t="str">
        <f t="shared" si="686"/>
        <v>Senbur0_20191119_07_00</v>
      </c>
      <c r="I1435" s="69">
        <f t="shared" si="696"/>
        <v>1</v>
      </c>
      <c r="J1435" s="76" t="str">
        <f t="shared" si="696"/>
        <v>Senecio</v>
      </c>
      <c r="K1435" s="76" t="str">
        <f t="shared" si="696"/>
        <v>burtoni</v>
      </c>
      <c r="L1435" s="77">
        <f t="shared" si="696"/>
        <v>0</v>
      </c>
      <c r="M1435" s="77">
        <f t="shared" si="696"/>
        <v>7</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19</v>
      </c>
      <c r="D1436" s="74">
        <f t="shared" si="694"/>
        <v>7</v>
      </c>
      <c r="E1436" s="75">
        <f t="shared" si="695"/>
        <v>41</v>
      </c>
      <c r="F1436" s="79"/>
      <c r="G1436" s="82"/>
      <c r="H1436" s="68" t="str">
        <f t="shared" si="686"/>
        <v>Senbur0_20191119_07_00</v>
      </c>
      <c r="I1436" s="69">
        <f t="shared" si="696"/>
        <v>1</v>
      </c>
      <c r="J1436" s="76" t="str">
        <f t="shared" si="696"/>
        <v>Senecio</v>
      </c>
      <c r="K1436" s="76" t="str">
        <f t="shared" si="696"/>
        <v>burtoni</v>
      </c>
      <c r="L1436" s="77">
        <f t="shared" si="696"/>
        <v>0</v>
      </c>
      <c r="M1436" s="77">
        <f t="shared" si="696"/>
        <v>7</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19</v>
      </c>
      <c r="D1437" s="74">
        <f t="shared" si="694"/>
        <v>7</v>
      </c>
      <c r="E1437" s="75">
        <f t="shared" si="695"/>
        <v>42</v>
      </c>
      <c r="F1437" s="79"/>
      <c r="G1437" s="82"/>
      <c r="H1437" s="68" t="str">
        <f t="shared" si="686"/>
        <v>Senbur0_20191119_07_00</v>
      </c>
      <c r="I1437" s="69">
        <f t="shared" si="696"/>
        <v>1</v>
      </c>
      <c r="J1437" s="76" t="str">
        <f t="shared" si="696"/>
        <v>Senecio</v>
      </c>
      <c r="K1437" s="76" t="str">
        <f t="shared" si="696"/>
        <v>burtoni</v>
      </c>
      <c r="L1437" s="77">
        <f t="shared" si="696"/>
        <v>0</v>
      </c>
      <c r="M1437" s="77">
        <f t="shared" si="696"/>
        <v>7</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19</v>
      </c>
      <c r="D1438" s="74">
        <f t="shared" si="694"/>
        <v>7</v>
      </c>
      <c r="E1438" s="75">
        <f t="shared" si="695"/>
        <v>43</v>
      </c>
      <c r="F1438" s="79"/>
      <c r="G1438" s="82"/>
      <c r="H1438" s="68" t="str">
        <f t="shared" si="686"/>
        <v>Senbur0_20191119_07_00</v>
      </c>
      <c r="I1438" s="69">
        <f t="shared" si="696"/>
        <v>1</v>
      </c>
      <c r="J1438" s="76" t="str">
        <f t="shared" si="696"/>
        <v>Senecio</v>
      </c>
      <c r="K1438" s="76" t="str">
        <f t="shared" si="696"/>
        <v>burtoni</v>
      </c>
      <c r="L1438" s="77">
        <f t="shared" si="696"/>
        <v>0</v>
      </c>
      <c r="M1438" s="77">
        <f t="shared" si="696"/>
        <v>7</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19</v>
      </c>
      <c r="D1439" s="74">
        <f t="shared" si="694"/>
        <v>7</v>
      </c>
      <c r="E1439" s="75">
        <f t="shared" si="695"/>
        <v>44</v>
      </c>
      <c r="F1439" s="79">
        <v>35</v>
      </c>
      <c r="G1439" s="82"/>
      <c r="H1439" s="68" t="str">
        <f t="shared" si="686"/>
        <v>Senbur0_20191119_07_00</v>
      </c>
      <c r="I1439" s="69">
        <f t="shared" si="696"/>
        <v>1</v>
      </c>
      <c r="J1439" s="76" t="str">
        <f t="shared" si="696"/>
        <v>Senecio</v>
      </c>
      <c r="K1439" s="76" t="str">
        <f t="shared" si="696"/>
        <v>burtoni</v>
      </c>
      <c r="L1439" s="77">
        <f t="shared" si="696"/>
        <v>0</v>
      </c>
      <c r="M1439" s="77">
        <f t="shared" si="696"/>
        <v>7</v>
      </c>
      <c r="N1439" s="71">
        <f t="shared" si="696"/>
        <v>0</v>
      </c>
      <c r="O1439" s="44"/>
      <c r="P1439" s="45">
        <f t="shared" si="670"/>
        <v>1</v>
      </c>
      <c r="Q1439" s="46" t="str">
        <f t="shared" si="671"/>
        <v>07:44:35</v>
      </c>
      <c r="R1439" s="47" t="str">
        <f t="shared" si="672"/>
        <v>44:35</v>
      </c>
      <c r="S1439" s="48">
        <f t="shared" si="661"/>
        <v>19</v>
      </c>
      <c r="T1439" s="47" t="str">
        <f t="shared" si="673"/>
        <v>07</v>
      </c>
      <c r="U1439" s="49">
        <v>44</v>
      </c>
      <c r="V1439" s="50">
        <v>54</v>
      </c>
      <c r="W1439" s="51" t="str">
        <f t="shared" si="674"/>
        <v>44:54</v>
      </c>
      <c r="X1439" s="52" t="s">
        <v>63</v>
      </c>
      <c r="Y1439" s="124" t="s">
        <v>82</v>
      </c>
      <c r="Z1439" s="124"/>
      <c r="AA1439" s="47" t="s">
        <v>59</v>
      </c>
      <c r="AB1439" s="47" t="str">
        <f t="shared" si="675"/>
        <v>NA</v>
      </c>
      <c r="AC1439" s="53">
        <f t="shared" si="676"/>
        <v>0</v>
      </c>
      <c r="AD1439" s="54">
        <v>4</v>
      </c>
      <c r="AE1439" s="54"/>
      <c r="AF1439" s="54"/>
      <c r="AG1439" s="55" t="str">
        <f t="shared" si="678"/>
        <v/>
      </c>
      <c r="AH1439" s="56" t="str">
        <f t="shared" si="679"/>
        <v/>
      </c>
      <c r="AI1439" s="55"/>
      <c r="AJ1439" s="56" t="str">
        <f t="shared" si="680"/>
        <v/>
      </c>
      <c r="AK1439" s="55">
        <v>1</v>
      </c>
      <c r="AL1439" s="56">
        <v>9</v>
      </c>
      <c r="AM1439" s="55">
        <v>1</v>
      </c>
      <c r="AN1439" s="56">
        <v>10</v>
      </c>
      <c r="AO1439" s="55"/>
      <c r="AP1439" s="56" t="str">
        <f t="shared" si="683"/>
        <v/>
      </c>
      <c r="AQ1439" s="55"/>
      <c r="AR1439" s="56" t="str">
        <f t="shared" si="684"/>
        <v/>
      </c>
      <c r="AS1439" s="57"/>
      <c r="AT1439" s="58"/>
      <c r="AU1439" s="58"/>
      <c r="AV1439" s="59"/>
      <c r="AW1439" s="60">
        <v>1</v>
      </c>
      <c r="AX1439" s="61">
        <f t="shared" si="663"/>
        <v>4</v>
      </c>
      <c r="AY1439" s="60">
        <v>1</v>
      </c>
      <c r="AZ1439" s="61">
        <f t="shared" si="665"/>
        <v>4</v>
      </c>
    </row>
    <row r="1440" spans="1:52" s="3" customFormat="1" ht="11.25" hidden="1" customHeight="1" x14ac:dyDescent="0.35">
      <c r="A1440" s="72">
        <f t="shared" si="692"/>
        <v>2019</v>
      </c>
      <c r="B1440" s="72" t="str">
        <f t="shared" si="693"/>
        <v>Nov</v>
      </c>
      <c r="C1440" s="73">
        <f t="shared" si="685"/>
        <v>19</v>
      </c>
      <c r="D1440" s="74">
        <f t="shared" si="694"/>
        <v>7</v>
      </c>
      <c r="E1440" s="75">
        <f t="shared" si="695"/>
        <v>45</v>
      </c>
      <c r="F1440" s="79"/>
      <c r="G1440" s="82"/>
      <c r="H1440" s="68" t="str">
        <f t="shared" si="686"/>
        <v>Senbur0_20191119_07_00</v>
      </c>
      <c r="I1440" s="69">
        <f t="shared" si="696"/>
        <v>1</v>
      </c>
      <c r="J1440" s="76" t="str">
        <f t="shared" si="696"/>
        <v>Senecio</v>
      </c>
      <c r="K1440" s="76" t="str">
        <f t="shared" si="696"/>
        <v>burtoni</v>
      </c>
      <c r="L1440" s="77">
        <f t="shared" si="696"/>
        <v>0</v>
      </c>
      <c r="M1440" s="77">
        <f t="shared" si="696"/>
        <v>7</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19</v>
      </c>
      <c r="D1441" s="74">
        <f t="shared" si="694"/>
        <v>7</v>
      </c>
      <c r="E1441" s="75">
        <f t="shared" si="695"/>
        <v>46</v>
      </c>
      <c r="F1441" s="79"/>
      <c r="G1441" s="82"/>
      <c r="H1441" s="68" t="str">
        <f t="shared" si="686"/>
        <v>Senbur0_20191119_07_00</v>
      </c>
      <c r="I1441" s="69">
        <f t="shared" si="696"/>
        <v>1</v>
      </c>
      <c r="J1441" s="76" t="str">
        <f t="shared" si="696"/>
        <v>Senecio</v>
      </c>
      <c r="K1441" s="76" t="str">
        <f t="shared" si="696"/>
        <v>burtoni</v>
      </c>
      <c r="L1441" s="77">
        <f t="shared" si="696"/>
        <v>0</v>
      </c>
      <c r="M1441" s="77">
        <f t="shared" si="696"/>
        <v>7</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19</v>
      </c>
      <c r="D1442" s="87">
        <f t="shared" si="694"/>
        <v>7</v>
      </c>
      <c r="E1442" s="88">
        <f t="shared" si="695"/>
        <v>47</v>
      </c>
      <c r="F1442" s="89"/>
      <c r="G1442" s="90"/>
      <c r="H1442" s="68" t="str">
        <f t="shared" si="686"/>
        <v>Senbur0_20191119_07_00</v>
      </c>
      <c r="I1442" s="91">
        <f t="shared" si="696"/>
        <v>1</v>
      </c>
      <c r="J1442" s="92" t="str">
        <f t="shared" si="696"/>
        <v>Senecio</v>
      </c>
      <c r="K1442" s="92" t="str">
        <f t="shared" si="696"/>
        <v>burtoni</v>
      </c>
      <c r="L1442" s="93">
        <f t="shared" si="696"/>
        <v>0</v>
      </c>
      <c r="M1442" s="93">
        <f t="shared" si="696"/>
        <v>7</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ht="11.25" hidden="1" customHeight="1" x14ac:dyDescent="0.35">
      <c r="A1443" s="72">
        <f t="shared" si="692"/>
        <v>2019</v>
      </c>
      <c r="B1443" s="72" t="str">
        <f t="shared" ref="B1443:B1506" si="697">IF(C1442-C1443&gt;0, TEXT(DATE(2016,(MONTH(DATEVALUE(B1442&amp;"1"))+1),1),"mmm"), B1442)</f>
        <v>Nov</v>
      </c>
      <c r="C1443" s="73">
        <f t="shared" ref="C1443:C1506" si="698">IF(AND(D1443=0, E1443=0), IF(TEXT(C1442,"dd")=TEXT(EOMONTH(DATE(A1442,MONTH(DATEVALUE(B1442&amp;"1")),C1442),0), "dd"), 1, C1442+1), C1442)</f>
        <v>19</v>
      </c>
      <c r="D1443" s="74">
        <f t="shared" ref="D1443:D1506" si="699">IF(IF(E1442=59,D1442+1,D1442)=24,0,IF(E1442=59,D1442+1,D1442))</f>
        <v>7</v>
      </c>
      <c r="E1443" s="75">
        <f t="shared" si="695"/>
        <v>48</v>
      </c>
      <c r="F1443" s="79"/>
      <c r="G1443" s="82"/>
      <c r="H1443" s="68" t="str">
        <f t="shared" ref="H1443:H1506"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Senbur0_20191119_07_00</v>
      </c>
      <c r="I1443" s="69">
        <f t="shared" ref="I1443:N1443" si="701">I1442</f>
        <v>1</v>
      </c>
      <c r="J1443" s="76" t="str">
        <f t="shared" si="701"/>
        <v>Senecio</v>
      </c>
      <c r="K1443" s="76" t="str">
        <f t="shared" si="701"/>
        <v>burtoni</v>
      </c>
      <c r="L1443" s="77">
        <f t="shared" si="701"/>
        <v>0</v>
      </c>
      <c r="M1443" s="77">
        <f t="shared" si="701"/>
        <v>7</v>
      </c>
      <c r="N1443" s="71">
        <f t="shared" si="701"/>
        <v>0</v>
      </c>
      <c r="O1443" s="44"/>
      <c r="P1443" s="45" t="str">
        <f t="shared" ref="P1443:P1506" si="702">IF(F1443="","",1)</f>
        <v/>
      </c>
      <c r="Q1443" s="46" t="str">
        <f t="shared" ref="Q1443:Q1506" si="703">TEXT(IF(P1443=1,CONCATENATE($D1443,":",$E1443,":",(LEFT($F1443,2))),""),"hh:mm:ss")</f>
        <v/>
      </c>
      <c r="R1443" s="47" t="e">
        <f t="shared" ref="R1443:R1506" si="704">TEXT(Q1443-TIME(0,RIGHT($H1443,2),$G$9)+(Q1443&gt;TIME(0,RIGHT($H1443,2),$G$9)),"mm:ss")</f>
        <v>#VALUE!</v>
      </c>
      <c r="S1443" s="48" t="e">
        <f t="shared" ref="S1443:S1506" si="705">IF(T1443&lt;D1443, (T1443*3600+U1443*60+V1443)+((23*3600+59*60+60)-(D1443*3600+E1443*60+LEFT(F1443,2))), (T1443*3600+U1443*60+V1443)-(D1443*3600+E1443*60+LEFT(F1443,2)))</f>
        <v>#VALUE!</v>
      </c>
      <c r="T1443" s="47" t="str">
        <f t="shared" ref="T1443:T1506" si="706">TEXT(IF(P1443=1,D1443,""),"00")</f>
        <v/>
      </c>
      <c r="U1443" s="49"/>
      <c r="V1443" s="50"/>
      <c r="W1443" s="51" t="e">
        <f t="shared" ref="W1443:W1506"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506" si="708">IF(AA1443&lt;&gt;0,"NA","")</f>
        <v>#N/A</v>
      </c>
      <c r="AC1443" s="53" t="e">
        <f t="shared" ref="AC1443:AC1506" si="709">IF(SUM(AH1443,AJ1443,AL1443,AN1443,AP1443,AR1443)=S1443,,"")</f>
        <v>#VALUE!</v>
      </c>
      <c r="AD1443" s="54" t="str">
        <f t="shared" ref="AD1443:AD1506" si="710">IF(P1443=1,1,"")</f>
        <v/>
      </c>
      <c r="AE1443" s="54"/>
      <c r="AF1443" s="54"/>
      <c r="AG1443" s="55" t="str">
        <f t="shared" ref="AG1443:AG1505" si="711">IF(OR(X1443="Something small"),1,"")</f>
        <v/>
      </c>
      <c r="AH1443" s="56" t="str">
        <f t="shared" ref="AH1443:AH1505" si="712">IF(AG1443=1,$S1443,"")</f>
        <v/>
      </c>
      <c r="AI1443" s="55"/>
      <c r="AJ1443" s="56" t="str">
        <f t="shared" ref="AJ1443:AJ1506" si="713">IF(AI1443=1,$S1443,"")</f>
        <v/>
      </c>
      <c r="AK1443" s="55"/>
      <c r="AL1443" s="56" t="str">
        <f t="shared" ref="AL1443:AL1505" si="714">IF(AK1443=1,$S1443,"")</f>
        <v/>
      </c>
      <c r="AM1443" s="55"/>
      <c r="AN1443" s="56" t="str">
        <f t="shared" ref="AN1443:AN1505" si="715">IF(AM1443=1,$S1443,"")</f>
        <v/>
      </c>
      <c r="AO1443" s="55"/>
      <c r="AP1443" s="56" t="str">
        <f t="shared" ref="AP1443:AP1506" si="716">IF(AO1443=1,$S1443,"")</f>
        <v/>
      </c>
      <c r="AQ1443" s="55"/>
      <c r="AR1443" s="56" t="str">
        <f t="shared" ref="AR1443:AR1506" si="717">IF(AQ1443=1,$S1443,"")</f>
        <v/>
      </c>
      <c r="AS1443" s="57"/>
      <c r="AT1443" s="58"/>
      <c r="AU1443" s="58"/>
      <c r="AV1443" s="59"/>
      <c r="AW1443" s="60" t="str">
        <f t="shared" ref="AW1443:AW1505" si="718">IF(P1443=1,0,"")</f>
        <v/>
      </c>
      <c r="AX1443" s="61" t="str">
        <f t="shared" ref="AX1443:AX1506" si="719">IF(AW1443=1,AD1443,"")</f>
        <v/>
      </c>
      <c r="AY1443" s="60" t="str">
        <f t="shared" ref="AY1443:AY1505" si="720">IF(P1443=1,0,"")</f>
        <v/>
      </c>
      <c r="AZ1443" s="61" t="str">
        <f t="shared" ref="AZ1443:AZ1506" si="721">IF(AY1443=1,AD1443,"")</f>
        <v/>
      </c>
    </row>
    <row r="1444" spans="1:52" s="3" customFormat="1" hidden="1" x14ac:dyDescent="0.35">
      <c r="A1444" s="72">
        <f t="shared" si="692"/>
        <v>2019</v>
      </c>
      <c r="B1444" s="72" t="str">
        <f t="shared" si="697"/>
        <v>Nov</v>
      </c>
      <c r="C1444" s="73">
        <f t="shared" si="698"/>
        <v>19</v>
      </c>
      <c r="D1444" s="74">
        <f t="shared" si="699"/>
        <v>7</v>
      </c>
      <c r="E1444" s="75">
        <f t="shared" si="695"/>
        <v>49</v>
      </c>
      <c r="F1444" s="79"/>
      <c r="G1444" s="82"/>
      <c r="H1444" s="68" t="str">
        <f t="shared" si="700"/>
        <v>Senbur0_20191119_07_00</v>
      </c>
      <c r="I1444" s="69">
        <f t="shared" ref="I1444:N1444" si="722">I1443</f>
        <v>1</v>
      </c>
      <c r="J1444" s="76" t="str">
        <f t="shared" si="722"/>
        <v>Senecio</v>
      </c>
      <c r="K1444" s="76" t="str">
        <f t="shared" si="722"/>
        <v>burtoni</v>
      </c>
      <c r="L1444" s="77">
        <f t="shared" si="722"/>
        <v>0</v>
      </c>
      <c r="M1444" s="77">
        <f t="shared" si="722"/>
        <v>7</v>
      </c>
      <c r="N1444" s="71">
        <f t="shared" si="722"/>
        <v>0</v>
      </c>
      <c r="O1444" s="44"/>
      <c r="P1444" s="45" t="str">
        <f t="shared" si="702"/>
        <v/>
      </c>
      <c r="Q1444" s="46" t="str">
        <f t="shared" si="703"/>
        <v/>
      </c>
      <c r="R1444" s="47" t="e">
        <f t="shared" si="704"/>
        <v>#VALUE!</v>
      </c>
      <c r="S1444" s="48"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5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59"/>
      <c r="AW1444" s="60" t="str">
        <f t="shared" si="718"/>
        <v/>
      </c>
      <c r="AX1444" s="61" t="str">
        <f t="shared" si="719"/>
        <v/>
      </c>
      <c r="AY1444" s="60" t="str">
        <f t="shared" si="720"/>
        <v/>
      </c>
      <c r="AZ1444" s="61" t="str">
        <f t="shared" si="721"/>
        <v/>
      </c>
    </row>
    <row r="1445" spans="1:52" s="3" customFormat="1" ht="15" hidden="1" thickBot="1" x14ac:dyDescent="0.4">
      <c r="A1445" s="85">
        <f t="shared" si="692"/>
        <v>2019</v>
      </c>
      <c r="B1445" s="85" t="str">
        <f t="shared" si="697"/>
        <v>Nov</v>
      </c>
      <c r="C1445" s="86">
        <f t="shared" si="698"/>
        <v>19</v>
      </c>
      <c r="D1445" s="87">
        <f t="shared" si="699"/>
        <v>7</v>
      </c>
      <c r="E1445" s="88">
        <f t="shared" si="695"/>
        <v>50</v>
      </c>
      <c r="F1445" s="89"/>
      <c r="G1445" s="90"/>
      <c r="H1445" s="68" t="str">
        <f t="shared" si="700"/>
        <v>Senbur0_20191119_07_00</v>
      </c>
      <c r="I1445" s="91">
        <f t="shared" ref="I1445:N1445" si="723">I1444</f>
        <v>1</v>
      </c>
      <c r="J1445" s="92" t="str">
        <f t="shared" si="723"/>
        <v>Senecio</v>
      </c>
      <c r="K1445" s="92" t="str">
        <f t="shared" si="723"/>
        <v>burtoni</v>
      </c>
      <c r="L1445" s="93">
        <f t="shared" si="723"/>
        <v>0</v>
      </c>
      <c r="M1445" s="93">
        <f t="shared" si="723"/>
        <v>7</v>
      </c>
      <c r="N1445" s="94">
        <f t="shared" si="723"/>
        <v>0</v>
      </c>
      <c r="O1445" s="95"/>
      <c r="P1445" s="96" t="str">
        <f t="shared" si="702"/>
        <v/>
      </c>
      <c r="Q1445" s="97" t="str">
        <f t="shared" si="703"/>
        <v/>
      </c>
      <c r="R1445" s="98" t="e">
        <f t="shared" si="704"/>
        <v>#VALUE!</v>
      </c>
      <c r="S1445" s="98" t="e">
        <f t="shared" si="705"/>
        <v>#VALUE!</v>
      </c>
      <c r="T1445" s="98" t="str">
        <f t="shared" si="706"/>
        <v/>
      </c>
      <c r="U1445" s="99"/>
      <c r="V1445" s="100"/>
      <c r="W1445" s="101" t="e">
        <f t="shared" si="707"/>
        <v>#VALUE!</v>
      </c>
      <c r="X1445" s="102"/>
      <c r="Y1445" s="122"/>
      <c r="Z1445" s="122"/>
      <c r="AA1445" s="47" t="e">
        <f>INDEX(VISITORS[INSECT ORDER], MATCH(X1445,VISITORS[NAME USED],0))</f>
        <v>#N/A</v>
      </c>
      <c r="AB1445" s="98" t="e">
        <f t="shared" si="708"/>
        <v>#N/A</v>
      </c>
      <c r="AC1445" s="53" t="e">
        <f t="shared" si="709"/>
        <v>#VALUE!</v>
      </c>
      <c r="AD1445" s="103" t="str">
        <f t="shared" si="710"/>
        <v/>
      </c>
      <c r="AE1445" s="103"/>
      <c r="AF1445" s="103"/>
      <c r="AG1445" s="104" t="str">
        <f t="shared" si="711"/>
        <v/>
      </c>
      <c r="AH1445" s="105" t="str">
        <f t="shared" si="712"/>
        <v/>
      </c>
      <c r="AI1445" s="104"/>
      <c r="AJ1445" s="105" t="str">
        <f t="shared" si="713"/>
        <v/>
      </c>
      <c r="AK1445" s="104"/>
      <c r="AL1445" s="105" t="str">
        <f t="shared" si="714"/>
        <v/>
      </c>
      <c r="AM1445" s="104"/>
      <c r="AN1445" s="105" t="str">
        <f t="shared" si="715"/>
        <v/>
      </c>
      <c r="AO1445" s="104"/>
      <c r="AP1445" s="105" t="str">
        <f t="shared" si="716"/>
        <v/>
      </c>
      <c r="AQ1445" s="104"/>
      <c r="AR1445" s="105" t="str">
        <f t="shared" si="717"/>
        <v/>
      </c>
      <c r="AS1445" s="106"/>
      <c r="AT1445" s="107"/>
      <c r="AU1445" s="107"/>
      <c r="AV1445" s="108"/>
      <c r="AW1445" s="109" t="str">
        <f t="shared" si="718"/>
        <v/>
      </c>
      <c r="AX1445" s="110" t="str">
        <f t="shared" si="719"/>
        <v/>
      </c>
      <c r="AY1445" s="109" t="str">
        <f t="shared" si="720"/>
        <v/>
      </c>
      <c r="AZ1445" s="110" t="str">
        <f t="shared" si="721"/>
        <v/>
      </c>
    </row>
    <row r="1446" spans="1:52" s="3" customFormat="1" ht="11.25" hidden="1" customHeight="1" x14ac:dyDescent="0.35">
      <c r="A1446" s="72">
        <f t="shared" si="692"/>
        <v>2019</v>
      </c>
      <c r="B1446" s="72" t="str">
        <f t="shared" si="697"/>
        <v>Nov</v>
      </c>
      <c r="C1446" s="73">
        <f t="shared" si="698"/>
        <v>19</v>
      </c>
      <c r="D1446" s="74">
        <f t="shared" si="699"/>
        <v>7</v>
      </c>
      <c r="E1446" s="75">
        <f t="shared" si="695"/>
        <v>51</v>
      </c>
      <c r="F1446" s="79"/>
      <c r="G1446" s="82"/>
      <c r="H1446" s="68" t="str">
        <f t="shared" si="700"/>
        <v>Senbur0_20191119_07_00</v>
      </c>
      <c r="I1446" s="69">
        <f t="shared" ref="I1446:N1446" si="724">I1445</f>
        <v>1</v>
      </c>
      <c r="J1446" s="76" t="str">
        <f t="shared" si="724"/>
        <v>Senecio</v>
      </c>
      <c r="K1446" s="76" t="str">
        <f t="shared" si="724"/>
        <v>burtoni</v>
      </c>
      <c r="L1446" s="77">
        <f t="shared" si="724"/>
        <v>0</v>
      </c>
      <c r="M1446" s="77">
        <f t="shared" si="724"/>
        <v>7</v>
      </c>
      <c r="N1446" s="71">
        <f t="shared" si="724"/>
        <v>0</v>
      </c>
      <c r="O1446" s="44"/>
      <c r="P1446" s="45" t="str">
        <f t="shared" si="702"/>
        <v/>
      </c>
      <c r="Q1446" s="46" t="str">
        <f t="shared" si="703"/>
        <v/>
      </c>
      <c r="R1446" s="47" t="e">
        <f t="shared" si="704"/>
        <v>#VALUE!</v>
      </c>
      <c r="S1446" s="48"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5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59"/>
      <c r="AW1446" s="60" t="str">
        <f t="shared" si="718"/>
        <v/>
      </c>
      <c r="AX1446" s="61" t="str">
        <f t="shared" si="719"/>
        <v/>
      </c>
      <c r="AY1446" s="60" t="str">
        <f t="shared" si="720"/>
        <v/>
      </c>
      <c r="AZ1446" s="61" t="str">
        <f t="shared" si="721"/>
        <v/>
      </c>
    </row>
    <row r="1447" spans="1:52" s="3" customFormat="1" hidden="1" x14ac:dyDescent="0.35">
      <c r="A1447" s="72">
        <f t="shared" si="692"/>
        <v>2019</v>
      </c>
      <c r="B1447" s="72" t="str">
        <f t="shared" si="697"/>
        <v>Nov</v>
      </c>
      <c r="C1447" s="73">
        <f t="shared" si="698"/>
        <v>19</v>
      </c>
      <c r="D1447" s="74">
        <f t="shared" si="699"/>
        <v>7</v>
      </c>
      <c r="E1447" s="75">
        <f t="shared" si="695"/>
        <v>52</v>
      </c>
      <c r="F1447" s="79"/>
      <c r="G1447" s="82"/>
      <c r="H1447" s="68" t="str">
        <f t="shared" si="700"/>
        <v>Senbur0_20191119_07_00</v>
      </c>
      <c r="I1447" s="69">
        <f t="shared" ref="I1447:N1447" si="725">I1446</f>
        <v>1</v>
      </c>
      <c r="J1447" s="76" t="str">
        <f t="shared" si="725"/>
        <v>Senecio</v>
      </c>
      <c r="K1447" s="76" t="str">
        <f t="shared" si="725"/>
        <v>burtoni</v>
      </c>
      <c r="L1447" s="77">
        <f t="shared" si="725"/>
        <v>0</v>
      </c>
      <c r="M1447" s="77">
        <f t="shared" si="725"/>
        <v>7</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5" hidden="1" thickBot="1" x14ac:dyDescent="0.4">
      <c r="A1448" s="85">
        <f t="shared" si="692"/>
        <v>2019</v>
      </c>
      <c r="B1448" s="85" t="str">
        <f t="shared" si="697"/>
        <v>Nov</v>
      </c>
      <c r="C1448" s="86">
        <f t="shared" si="698"/>
        <v>19</v>
      </c>
      <c r="D1448" s="87">
        <f t="shared" si="699"/>
        <v>7</v>
      </c>
      <c r="E1448" s="88">
        <f t="shared" si="695"/>
        <v>53</v>
      </c>
      <c r="F1448" s="89"/>
      <c r="G1448" s="90"/>
      <c r="H1448" s="68" t="str">
        <f t="shared" si="700"/>
        <v>Senbur0_20191119_07_00</v>
      </c>
      <c r="I1448" s="91">
        <f t="shared" ref="I1448:N1448" si="726">I1447</f>
        <v>1</v>
      </c>
      <c r="J1448" s="92" t="str">
        <f t="shared" si="726"/>
        <v>Senecio</v>
      </c>
      <c r="K1448" s="92" t="str">
        <f t="shared" si="726"/>
        <v>burtoni</v>
      </c>
      <c r="L1448" s="93">
        <f t="shared" si="726"/>
        <v>0</v>
      </c>
      <c r="M1448" s="93">
        <f t="shared" si="726"/>
        <v>7</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t="e">
        <f t="shared" si="707"/>
        <v>#VALUE!</v>
      </c>
      <c r="X1448" s="102"/>
      <c r="Y1448" s="122"/>
      <c r="Z1448" s="122"/>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t="11.25" hidden="1" customHeight="1" x14ac:dyDescent="0.35">
      <c r="A1449" s="72">
        <f t="shared" si="692"/>
        <v>2019</v>
      </c>
      <c r="B1449" s="72" t="str">
        <f t="shared" si="697"/>
        <v>Nov</v>
      </c>
      <c r="C1449" s="73">
        <f t="shared" si="698"/>
        <v>19</v>
      </c>
      <c r="D1449" s="74">
        <f t="shared" si="699"/>
        <v>7</v>
      </c>
      <c r="E1449" s="75">
        <f t="shared" si="695"/>
        <v>54</v>
      </c>
      <c r="F1449" s="79"/>
      <c r="G1449" s="82"/>
      <c r="H1449" s="68" t="str">
        <f t="shared" si="700"/>
        <v>Senbur0_20191119_07_00</v>
      </c>
      <c r="I1449" s="69">
        <f t="shared" ref="I1449:N1449" si="727">I1448</f>
        <v>1</v>
      </c>
      <c r="J1449" s="76" t="str">
        <f t="shared" si="727"/>
        <v>Senecio</v>
      </c>
      <c r="K1449" s="76" t="str">
        <f t="shared" si="727"/>
        <v>burtoni</v>
      </c>
      <c r="L1449" s="77">
        <f t="shared" si="727"/>
        <v>0</v>
      </c>
      <c r="M1449" s="77">
        <f t="shared" si="727"/>
        <v>7</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idden="1" x14ac:dyDescent="0.35">
      <c r="A1450" s="72">
        <f t="shared" si="692"/>
        <v>2019</v>
      </c>
      <c r="B1450" s="72" t="str">
        <f t="shared" si="697"/>
        <v>Nov</v>
      </c>
      <c r="C1450" s="73">
        <f t="shared" si="698"/>
        <v>19</v>
      </c>
      <c r="D1450" s="74">
        <f t="shared" si="699"/>
        <v>7</v>
      </c>
      <c r="E1450" s="75">
        <f t="shared" si="695"/>
        <v>55</v>
      </c>
      <c r="F1450" s="79"/>
      <c r="G1450" s="82"/>
      <c r="H1450" s="68" t="str">
        <f t="shared" si="700"/>
        <v>Senbur0_20191119_07_00</v>
      </c>
      <c r="I1450" s="69">
        <f t="shared" ref="I1450:N1450" si="728">I1449</f>
        <v>1</v>
      </c>
      <c r="J1450" s="76" t="str">
        <f t="shared" si="728"/>
        <v>Senecio</v>
      </c>
      <c r="K1450" s="76" t="str">
        <f t="shared" si="728"/>
        <v>burtoni</v>
      </c>
      <c r="L1450" s="77">
        <f t="shared" si="728"/>
        <v>0</v>
      </c>
      <c r="M1450" s="77">
        <f t="shared" si="728"/>
        <v>7</v>
      </c>
      <c r="N1450" s="71">
        <f t="shared" si="728"/>
        <v>0</v>
      </c>
      <c r="O1450" s="44"/>
      <c r="P1450" s="45" t="str">
        <f t="shared" si="702"/>
        <v/>
      </c>
      <c r="Q1450" s="46" t="str">
        <f t="shared" si="703"/>
        <v/>
      </c>
      <c r="R1450" s="47" t="e">
        <f t="shared" si="704"/>
        <v>#VALUE!</v>
      </c>
      <c r="S1450" s="48"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5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59"/>
      <c r="AW1450" s="60" t="str">
        <f t="shared" si="718"/>
        <v/>
      </c>
      <c r="AX1450" s="61" t="str">
        <f t="shared" si="719"/>
        <v/>
      </c>
      <c r="AY1450" s="60" t="str">
        <f t="shared" si="720"/>
        <v/>
      </c>
      <c r="AZ1450" s="61" t="str">
        <f t="shared" si="721"/>
        <v/>
      </c>
    </row>
    <row r="1451" spans="1:52" s="3" customFormat="1" ht="15" hidden="1" thickBot="1" x14ac:dyDescent="0.4">
      <c r="A1451" s="85">
        <f t="shared" si="692"/>
        <v>2019</v>
      </c>
      <c r="B1451" s="85" t="str">
        <f t="shared" si="697"/>
        <v>Nov</v>
      </c>
      <c r="C1451" s="86">
        <f t="shared" si="698"/>
        <v>19</v>
      </c>
      <c r="D1451" s="87">
        <f t="shared" si="699"/>
        <v>7</v>
      </c>
      <c r="E1451" s="88">
        <f t="shared" si="695"/>
        <v>56</v>
      </c>
      <c r="F1451" s="89"/>
      <c r="G1451" s="90"/>
      <c r="H1451" s="68" t="str">
        <f t="shared" si="700"/>
        <v>Senbur0_20191119_07_00</v>
      </c>
      <c r="I1451" s="91">
        <f t="shared" ref="I1451:N1451" si="729">I1450</f>
        <v>1</v>
      </c>
      <c r="J1451" s="92" t="str">
        <f t="shared" si="729"/>
        <v>Senecio</v>
      </c>
      <c r="K1451" s="92" t="str">
        <f t="shared" si="729"/>
        <v>burtoni</v>
      </c>
      <c r="L1451" s="93">
        <f t="shared" si="729"/>
        <v>0</v>
      </c>
      <c r="M1451" s="93">
        <f t="shared" si="729"/>
        <v>7</v>
      </c>
      <c r="N1451" s="94">
        <f t="shared" si="729"/>
        <v>0</v>
      </c>
      <c r="O1451" s="95"/>
      <c r="P1451" s="96" t="str">
        <f t="shared" si="702"/>
        <v/>
      </c>
      <c r="Q1451" s="97" t="str">
        <f t="shared" si="703"/>
        <v/>
      </c>
      <c r="R1451" s="98" t="e">
        <f t="shared" si="704"/>
        <v>#VALUE!</v>
      </c>
      <c r="S1451" s="98" t="e">
        <f t="shared" si="705"/>
        <v>#VALUE!</v>
      </c>
      <c r="T1451" s="98" t="str">
        <f t="shared" si="706"/>
        <v/>
      </c>
      <c r="U1451" s="99"/>
      <c r="V1451" s="100"/>
      <c r="W1451" s="101" t="e">
        <f t="shared" si="707"/>
        <v>#VALUE!</v>
      </c>
      <c r="X1451" s="102"/>
      <c r="Y1451" s="122"/>
      <c r="Z1451" s="122"/>
      <c r="AA1451" s="47" t="e">
        <f>INDEX(VISITORS[INSECT ORDER], MATCH(X1451,VISITORS[NAME USED],0))</f>
        <v>#N/A</v>
      </c>
      <c r="AB1451" s="98" t="e">
        <f t="shared" si="708"/>
        <v>#N/A</v>
      </c>
      <c r="AC1451" s="53" t="e">
        <f t="shared" si="709"/>
        <v>#VALUE!</v>
      </c>
      <c r="AD1451" s="103" t="str">
        <f t="shared" si="710"/>
        <v/>
      </c>
      <c r="AE1451" s="103"/>
      <c r="AF1451" s="103"/>
      <c r="AG1451" s="104" t="str">
        <f t="shared" si="711"/>
        <v/>
      </c>
      <c r="AH1451" s="105" t="str">
        <f t="shared" si="712"/>
        <v/>
      </c>
      <c r="AI1451" s="104"/>
      <c r="AJ1451" s="105" t="str">
        <f t="shared" si="713"/>
        <v/>
      </c>
      <c r="AK1451" s="104"/>
      <c r="AL1451" s="105" t="str">
        <f t="shared" si="714"/>
        <v/>
      </c>
      <c r="AM1451" s="104"/>
      <c r="AN1451" s="105" t="str">
        <f t="shared" si="715"/>
        <v/>
      </c>
      <c r="AO1451" s="104"/>
      <c r="AP1451" s="105" t="str">
        <f t="shared" si="716"/>
        <v/>
      </c>
      <c r="AQ1451" s="104"/>
      <c r="AR1451" s="105" t="str">
        <f t="shared" si="717"/>
        <v/>
      </c>
      <c r="AS1451" s="106"/>
      <c r="AT1451" s="107"/>
      <c r="AU1451" s="107"/>
      <c r="AV1451" s="108"/>
      <c r="AW1451" s="109" t="str">
        <f t="shared" si="718"/>
        <v/>
      </c>
      <c r="AX1451" s="110" t="str">
        <f t="shared" si="719"/>
        <v/>
      </c>
      <c r="AY1451" s="109" t="str">
        <f t="shared" si="720"/>
        <v/>
      </c>
      <c r="AZ1451" s="110" t="str">
        <f t="shared" si="721"/>
        <v/>
      </c>
    </row>
    <row r="1452" spans="1:52" s="3" customFormat="1" ht="11.25" hidden="1" customHeight="1" x14ac:dyDescent="0.35">
      <c r="A1452" s="72">
        <f t="shared" si="692"/>
        <v>2019</v>
      </c>
      <c r="B1452" s="72" t="str">
        <f t="shared" si="697"/>
        <v>Nov</v>
      </c>
      <c r="C1452" s="73">
        <f t="shared" si="698"/>
        <v>19</v>
      </c>
      <c r="D1452" s="74">
        <f t="shared" si="699"/>
        <v>7</v>
      </c>
      <c r="E1452" s="75">
        <f t="shared" si="695"/>
        <v>57</v>
      </c>
      <c r="F1452" s="79"/>
      <c r="G1452" s="82"/>
      <c r="H1452" s="68" t="str">
        <f t="shared" si="700"/>
        <v>Senbur0_20191119_07_00</v>
      </c>
      <c r="I1452" s="69">
        <f t="shared" ref="I1452:N1452" si="730">I1451</f>
        <v>1</v>
      </c>
      <c r="J1452" s="76" t="str">
        <f t="shared" si="730"/>
        <v>Senecio</v>
      </c>
      <c r="K1452" s="76" t="str">
        <f t="shared" si="730"/>
        <v>burtoni</v>
      </c>
      <c r="L1452" s="77">
        <f t="shared" si="730"/>
        <v>0</v>
      </c>
      <c r="M1452" s="77">
        <f t="shared" si="730"/>
        <v>7</v>
      </c>
      <c r="N1452" s="71">
        <f t="shared" si="730"/>
        <v>0</v>
      </c>
      <c r="O1452" s="44"/>
      <c r="P1452" s="45" t="str">
        <f t="shared" si="702"/>
        <v/>
      </c>
      <c r="Q1452" s="46" t="str">
        <f t="shared" si="703"/>
        <v/>
      </c>
      <c r="R1452" s="47" t="e">
        <f t="shared" si="704"/>
        <v>#VALUE!</v>
      </c>
      <c r="S1452" s="48" t="e">
        <f t="shared" si="705"/>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5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59"/>
      <c r="AW1452" s="60" t="str">
        <f t="shared" si="718"/>
        <v/>
      </c>
      <c r="AX1452" s="61" t="str">
        <f t="shared" si="719"/>
        <v/>
      </c>
      <c r="AY1452" s="60" t="str">
        <f t="shared" si="720"/>
        <v/>
      </c>
      <c r="AZ1452" s="61" t="str">
        <f t="shared" si="721"/>
        <v/>
      </c>
    </row>
    <row r="1453" spans="1:52" s="3" customFormat="1" hidden="1" x14ac:dyDescent="0.35">
      <c r="A1453" s="72">
        <f t="shared" si="692"/>
        <v>2019</v>
      </c>
      <c r="B1453" s="72" t="str">
        <f t="shared" si="697"/>
        <v>Nov</v>
      </c>
      <c r="C1453" s="73">
        <f t="shared" si="698"/>
        <v>19</v>
      </c>
      <c r="D1453" s="74">
        <f t="shared" si="699"/>
        <v>7</v>
      </c>
      <c r="E1453" s="75">
        <f t="shared" si="695"/>
        <v>58</v>
      </c>
      <c r="F1453" s="79"/>
      <c r="G1453" s="82"/>
      <c r="H1453" s="68" t="str">
        <f t="shared" si="700"/>
        <v>Senbur0_20191119_07_00</v>
      </c>
      <c r="I1453" s="69">
        <f t="shared" ref="I1453:N1453" si="731">I1452</f>
        <v>1</v>
      </c>
      <c r="J1453" s="76" t="str">
        <f t="shared" si="731"/>
        <v>Senecio</v>
      </c>
      <c r="K1453" s="76" t="str">
        <f t="shared" si="731"/>
        <v>burtoni</v>
      </c>
      <c r="L1453" s="77">
        <f t="shared" si="731"/>
        <v>0</v>
      </c>
      <c r="M1453" s="77">
        <f t="shared" si="731"/>
        <v>7</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5" hidden="1" thickBot="1" x14ac:dyDescent="0.4">
      <c r="A1454" s="85">
        <f t="shared" si="692"/>
        <v>2019</v>
      </c>
      <c r="B1454" s="85" t="str">
        <f t="shared" si="697"/>
        <v>Nov</v>
      </c>
      <c r="C1454" s="86">
        <f t="shared" si="698"/>
        <v>19</v>
      </c>
      <c r="D1454" s="87">
        <f t="shared" si="699"/>
        <v>7</v>
      </c>
      <c r="E1454" s="88">
        <f t="shared" si="695"/>
        <v>59</v>
      </c>
      <c r="F1454" s="89">
        <v>5</v>
      </c>
      <c r="G1454" s="90"/>
      <c r="H1454" s="68" t="str">
        <f t="shared" si="700"/>
        <v>Senbur0_20191119_07_00</v>
      </c>
      <c r="I1454" s="91">
        <f t="shared" ref="I1454:N1454" si="732">I1453</f>
        <v>1</v>
      </c>
      <c r="J1454" s="92" t="str">
        <f t="shared" si="732"/>
        <v>Senecio</v>
      </c>
      <c r="K1454" s="92" t="str">
        <f t="shared" si="732"/>
        <v>burtoni</v>
      </c>
      <c r="L1454" s="93">
        <f t="shared" si="732"/>
        <v>0</v>
      </c>
      <c r="M1454" s="93">
        <f t="shared" si="732"/>
        <v>7</v>
      </c>
      <c r="N1454" s="94">
        <f t="shared" si="732"/>
        <v>0</v>
      </c>
      <c r="O1454" s="95"/>
      <c r="P1454" s="96">
        <f t="shared" si="702"/>
        <v>1</v>
      </c>
      <c r="Q1454" s="97" t="str">
        <f t="shared" si="703"/>
        <v>07:59:05</v>
      </c>
      <c r="R1454" s="98" t="str">
        <f t="shared" si="704"/>
        <v>59:05</v>
      </c>
      <c r="S1454" s="98">
        <f t="shared" si="705"/>
        <v>38</v>
      </c>
      <c r="T1454" s="98" t="str">
        <f t="shared" si="706"/>
        <v>07</v>
      </c>
      <c r="U1454" s="99">
        <v>59</v>
      </c>
      <c r="V1454" s="100">
        <v>43</v>
      </c>
      <c r="W1454" s="101" t="str">
        <f t="shared" si="707"/>
        <v>59:43</v>
      </c>
      <c r="X1454" s="102" t="s">
        <v>63</v>
      </c>
      <c r="Y1454" s="124" t="s">
        <v>83</v>
      </c>
      <c r="Z1454" s="126"/>
      <c r="AA1454" s="47" t="s">
        <v>59</v>
      </c>
      <c r="AB1454" s="98" t="str">
        <f t="shared" si="708"/>
        <v>NA</v>
      </c>
      <c r="AC1454" s="53">
        <f t="shared" si="709"/>
        <v>0</v>
      </c>
      <c r="AD1454" s="103">
        <f t="shared" si="710"/>
        <v>1</v>
      </c>
      <c r="AE1454" s="103"/>
      <c r="AF1454" s="103"/>
      <c r="AG1454" s="104" t="str">
        <f t="shared" si="711"/>
        <v/>
      </c>
      <c r="AH1454" s="105" t="str">
        <f t="shared" si="712"/>
        <v/>
      </c>
      <c r="AI1454" s="104"/>
      <c r="AJ1454" s="105" t="str">
        <f t="shared" si="713"/>
        <v/>
      </c>
      <c r="AK1454" s="104">
        <v>1</v>
      </c>
      <c r="AL1454" s="105">
        <v>18</v>
      </c>
      <c r="AM1454" s="104">
        <v>1</v>
      </c>
      <c r="AN1454" s="105">
        <v>20</v>
      </c>
      <c r="AO1454" s="104"/>
      <c r="AP1454" s="105" t="str">
        <f t="shared" si="716"/>
        <v/>
      </c>
      <c r="AQ1454" s="104"/>
      <c r="AR1454" s="105" t="str">
        <f t="shared" si="717"/>
        <v/>
      </c>
      <c r="AS1454" s="106"/>
      <c r="AT1454" s="107"/>
      <c r="AU1454" s="107"/>
      <c r="AV1454" s="108"/>
      <c r="AW1454" s="109">
        <v>1</v>
      </c>
      <c r="AX1454" s="110">
        <f t="shared" si="719"/>
        <v>1</v>
      </c>
      <c r="AY1454" s="109">
        <v>1</v>
      </c>
      <c r="AZ1454" s="110">
        <f t="shared" si="721"/>
        <v>1</v>
      </c>
    </row>
    <row r="1455" spans="1:52" s="3" customFormat="1" ht="11.25" hidden="1" customHeight="1" x14ac:dyDescent="0.35">
      <c r="A1455" s="72">
        <f t="shared" si="692"/>
        <v>2019</v>
      </c>
      <c r="B1455" s="72" t="str">
        <f t="shared" si="697"/>
        <v>Nov</v>
      </c>
      <c r="C1455" s="73">
        <f t="shared" si="698"/>
        <v>19</v>
      </c>
      <c r="D1455" s="74">
        <f t="shared" si="699"/>
        <v>8</v>
      </c>
      <c r="E1455" s="75">
        <f t="shared" si="695"/>
        <v>0</v>
      </c>
      <c r="F1455" s="79"/>
      <c r="G1455" s="82"/>
      <c r="H1455" s="68" t="str">
        <f t="shared" si="700"/>
        <v>Senbur0_20191119_08_00</v>
      </c>
      <c r="I1455" s="69">
        <f t="shared" ref="I1455:N1455" si="733">I1454</f>
        <v>1</v>
      </c>
      <c r="J1455" s="76" t="str">
        <f t="shared" si="733"/>
        <v>Senecio</v>
      </c>
      <c r="K1455" s="76" t="str">
        <f t="shared" si="733"/>
        <v>burtoni</v>
      </c>
      <c r="L1455" s="77">
        <f t="shared" si="733"/>
        <v>0</v>
      </c>
      <c r="M1455" s="77">
        <f t="shared" si="733"/>
        <v>7</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idden="1" x14ac:dyDescent="0.35">
      <c r="A1456" s="72">
        <f t="shared" si="692"/>
        <v>2019</v>
      </c>
      <c r="B1456" s="72" t="str">
        <f t="shared" si="697"/>
        <v>Nov</v>
      </c>
      <c r="C1456" s="73">
        <f t="shared" si="698"/>
        <v>19</v>
      </c>
      <c r="D1456" s="74">
        <f t="shared" si="699"/>
        <v>8</v>
      </c>
      <c r="E1456" s="75">
        <f t="shared" si="695"/>
        <v>1</v>
      </c>
      <c r="F1456" s="79"/>
      <c r="G1456" s="82"/>
      <c r="H1456" s="68" t="str">
        <f t="shared" si="700"/>
        <v>Senbur0_20191119_08_00</v>
      </c>
      <c r="I1456" s="69">
        <f t="shared" ref="I1456:N1456" si="734">I1455</f>
        <v>1</v>
      </c>
      <c r="J1456" s="76" t="str">
        <f t="shared" si="734"/>
        <v>Senecio</v>
      </c>
      <c r="K1456" s="76" t="str">
        <f t="shared" si="734"/>
        <v>burtoni</v>
      </c>
      <c r="L1456" s="77">
        <f t="shared" si="734"/>
        <v>0</v>
      </c>
      <c r="M1456" s="77">
        <f t="shared" si="734"/>
        <v>7</v>
      </c>
      <c r="N1456" s="71">
        <f t="shared" si="734"/>
        <v>0</v>
      </c>
      <c r="O1456" s="44"/>
      <c r="P1456" s="45" t="str">
        <f t="shared" si="702"/>
        <v/>
      </c>
      <c r="Q1456" s="46" t="str">
        <f t="shared" si="703"/>
        <v/>
      </c>
      <c r="R1456" s="47" t="e">
        <f t="shared" si="704"/>
        <v>#VALUE!</v>
      </c>
      <c r="S1456" s="48" t="e">
        <f t="shared" si="705"/>
        <v>#VALUE!</v>
      </c>
      <c r="T1456" s="47" t="str">
        <f t="shared" si="706"/>
        <v/>
      </c>
      <c r="U1456" s="49"/>
      <c r="V1456" s="50"/>
      <c r="W1456" s="51" t="e">
        <f t="shared" si="707"/>
        <v>#VALUE!</v>
      </c>
      <c r="X1456" s="52"/>
      <c r="Y1456" s="52"/>
      <c r="Z1456" s="52"/>
      <c r="AA1456" s="47" t="e">
        <f>INDEX(VISITORS[INSECT ORDER], MATCH(X1456,VISITORS[NAME USED],0))</f>
        <v>#N/A</v>
      </c>
      <c r="AB1456" s="47" t="e">
        <f t="shared" si="708"/>
        <v>#N/A</v>
      </c>
      <c r="AC1456" s="53" t="e">
        <f t="shared" si="709"/>
        <v>#VALUE!</v>
      </c>
      <c r="AD1456" s="54" t="str">
        <f t="shared" si="710"/>
        <v/>
      </c>
      <c r="AE1456" s="54"/>
      <c r="AF1456" s="54"/>
      <c r="AG1456" s="55" t="str">
        <f t="shared" si="711"/>
        <v/>
      </c>
      <c r="AH1456" s="56" t="str">
        <f t="shared" si="712"/>
        <v/>
      </c>
      <c r="AI1456" s="55"/>
      <c r="AJ1456" s="56" t="str">
        <f t="shared" si="713"/>
        <v/>
      </c>
      <c r="AK1456" s="55"/>
      <c r="AL1456" s="56" t="str">
        <f t="shared" si="714"/>
        <v/>
      </c>
      <c r="AM1456" s="55"/>
      <c r="AN1456" s="56" t="str">
        <f t="shared" si="715"/>
        <v/>
      </c>
      <c r="AO1456" s="55"/>
      <c r="AP1456" s="56" t="str">
        <f t="shared" si="716"/>
        <v/>
      </c>
      <c r="AQ1456" s="55"/>
      <c r="AR1456" s="56" t="str">
        <f t="shared" si="717"/>
        <v/>
      </c>
      <c r="AS1456" s="57"/>
      <c r="AT1456" s="58"/>
      <c r="AU1456" s="58"/>
      <c r="AV1456" s="59"/>
      <c r="AW1456" s="60" t="str">
        <f t="shared" si="718"/>
        <v/>
      </c>
      <c r="AX1456" s="61" t="str">
        <f t="shared" si="719"/>
        <v/>
      </c>
      <c r="AY1456" s="60" t="str">
        <f t="shared" si="720"/>
        <v/>
      </c>
      <c r="AZ1456" s="61" t="str">
        <f t="shared" si="721"/>
        <v/>
      </c>
    </row>
    <row r="1457" spans="1:52" s="3" customFormat="1" ht="15" hidden="1" thickBot="1" x14ac:dyDescent="0.4">
      <c r="A1457" s="85">
        <f t="shared" si="692"/>
        <v>2019</v>
      </c>
      <c r="B1457" s="85" t="str">
        <f t="shared" si="697"/>
        <v>Nov</v>
      </c>
      <c r="C1457" s="86">
        <f t="shared" si="698"/>
        <v>19</v>
      </c>
      <c r="D1457" s="87">
        <f t="shared" si="699"/>
        <v>8</v>
      </c>
      <c r="E1457" s="88">
        <f t="shared" si="695"/>
        <v>2</v>
      </c>
      <c r="F1457" s="89"/>
      <c r="G1457" s="90"/>
      <c r="H1457" s="68" t="str">
        <f t="shared" si="700"/>
        <v>Senbur0_20191119_08_00</v>
      </c>
      <c r="I1457" s="91">
        <f t="shared" ref="I1457:N1457" si="735">I1456</f>
        <v>1</v>
      </c>
      <c r="J1457" s="92" t="str">
        <f t="shared" si="735"/>
        <v>Senecio</v>
      </c>
      <c r="K1457" s="92" t="str">
        <f t="shared" si="735"/>
        <v>burtoni</v>
      </c>
      <c r="L1457" s="93">
        <f t="shared" si="735"/>
        <v>0</v>
      </c>
      <c r="M1457" s="93">
        <f t="shared" si="735"/>
        <v>7</v>
      </c>
      <c r="N1457" s="94">
        <f t="shared" si="735"/>
        <v>0</v>
      </c>
      <c r="O1457" s="95"/>
      <c r="P1457" s="96" t="str">
        <f t="shared" si="702"/>
        <v/>
      </c>
      <c r="Q1457" s="97" t="str">
        <f t="shared" si="703"/>
        <v/>
      </c>
      <c r="R1457" s="98" t="e">
        <f t="shared" si="704"/>
        <v>#VALUE!</v>
      </c>
      <c r="S1457" s="98" t="e">
        <f t="shared" si="705"/>
        <v>#VALUE!</v>
      </c>
      <c r="T1457" s="98" t="str">
        <f t="shared" si="706"/>
        <v/>
      </c>
      <c r="U1457" s="99"/>
      <c r="V1457" s="100"/>
      <c r="W1457" s="101" t="e">
        <f t="shared" si="707"/>
        <v>#VALUE!</v>
      </c>
      <c r="X1457" s="102"/>
      <c r="Y1457" s="122"/>
      <c r="Z1457" s="122"/>
      <c r="AA1457" s="47" t="e">
        <f>INDEX(VISITORS[INSECT ORDER], MATCH(X1457,VISITORS[NAME USED],0))</f>
        <v>#N/A</v>
      </c>
      <c r="AB1457" s="98" t="e">
        <f t="shared" si="708"/>
        <v>#N/A</v>
      </c>
      <c r="AC1457" s="53" t="e">
        <f t="shared" si="709"/>
        <v>#VALUE!</v>
      </c>
      <c r="AD1457" s="103" t="str">
        <f t="shared" si="710"/>
        <v/>
      </c>
      <c r="AE1457" s="103"/>
      <c r="AF1457" s="103"/>
      <c r="AG1457" s="104" t="str">
        <f t="shared" si="711"/>
        <v/>
      </c>
      <c r="AH1457" s="105" t="str">
        <f t="shared" si="712"/>
        <v/>
      </c>
      <c r="AI1457" s="104"/>
      <c r="AJ1457" s="105" t="str">
        <f t="shared" si="713"/>
        <v/>
      </c>
      <c r="AK1457" s="104"/>
      <c r="AL1457" s="105" t="str">
        <f t="shared" si="714"/>
        <v/>
      </c>
      <c r="AM1457" s="104"/>
      <c r="AN1457" s="105" t="str">
        <f t="shared" si="715"/>
        <v/>
      </c>
      <c r="AO1457" s="104"/>
      <c r="AP1457" s="105" t="str">
        <f t="shared" si="716"/>
        <v/>
      </c>
      <c r="AQ1457" s="104"/>
      <c r="AR1457" s="105" t="str">
        <f t="shared" si="717"/>
        <v/>
      </c>
      <c r="AS1457" s="106"/>
      <c r="AT1457" s="107"/>
      <c r="AU1457" s="107"/>
      <c r="AV1457" s="108"/>
      <c r="AW1457" s="109" t="str">
        <f t="shared" si="718"/>
        <v/>
      </c>
      <c r="AX1457" s="110" t="str">
        <f t="shared" si="719"/>
        <v/>
      </c>
      <c r="AY1457" s="109" t="str">
        <f t="shared" si="720"/>
        <v/>
      </c>
      <c r="AZ1457" s="110" t="str">
        <f t="shared" si="721"/>
        <v/>
      </c>
    </row>
    <row r="1458" spans="1:52" s="3" customFormat="1" ht="11.25" hidden="1" customHeight="1" x14ac:dyDescent="0.35">
      <c r="A1458" s="72">
        <f t="shared" si="692"/>
        <v>2019</v>
      </c>
      <c r="B1458" s="72" t="str">
        <f t="shared" si="697"/>
        <v>Nov</v>
      </c>
      <c r="C1458" s="73">
        <f t="shared" si="698"/>
        <v>19</v>
      </c>
      <c r="D1458" s="74">
        <f t="shared" si="699"/>
        <v>8</v>
      </c>
      <c r="E1458" s="75">
        <f t="shared" si="695"/>
        <v>3</v>
      </c>
      <c r="F1458" s="79"/>
      <c r="G1458" s="82"/>
      <c r="H1458" s="68" t="str">
        <f t="shared" si="700"/>
        <v>Senbur0_20191119_08_00</v>
      </c>
      <c r="I1458" s="69">
        <f t="shared" ref="I1458:N1458" si="736">I1457</f>
        <v>1</v>
      </c>
      <c r="J1458" s="76" t="str">
        <f t="shared" si="736"/>
        <v>Senecio</v>
      </c>
      <c r="K1458" s="76" t="str">
        <f t="shared" si="736"/>
        <v>burtoni</v>
      </c>
      <c r="L1458" s="77">
        <f t="shared" si="736"/>
        <v>0</v>
      </c>
      <c r="M1458" s="77">
        <f t="shared" si="736"/>
        <v>7</v>
      </c>
      <c r="N1458" s="71">
        <f t="shared" si="736"/>
        <v>0</v>
      </c>
      <c r="O1458" s="44"/>
      <c r="P1458" s="45" t="str">
        <f t="shared" si="702"/>
        <v/>
      </c>
      <c r="Q1458" s="46" t="str">
        <f t="shared" si="703"/>
        <v/>
      </c>
      <c r="R1458" s="47" t="e">
        <f t="shared" si="704"/>
        <v>#VALUE!</v>
      </c>
      <c r="S1458" s="48" t="e">
        <f t="shared" si="705"/>
        <v>#VALUE!</v>
      </c>
      <c r="T1458" s="47" t="str">
        <f t="shared" si="706"/>
        <v/>
      </c>
      <c r="U1458" s="49"/>
      <c r="V1458" s="50"/>
      <c r="W1458" s="51" t="e">
        <f t="shared" si="707"/>
        <v>#VALUE!</v>
      </c>
      <c r="X1458" s="52"/>
      <c r="Y1458" s="52"/>
      <c r="Z1458" s="52"/>
      <c r="AA1458" s="47" t="e">
        <f>INDEX(VISITORS[INSECT ORDER], MATCH(X1458,VISITORS[NAME USED],0))</f>
        <v>#N/A</v>
      </c>
      <c r="AB1458" s="47" t="e">
        <f t="shared" si="708"/>
        <v>#N/A</v>
      </c>
      <c r="AC1458" s="53" t="e">
        <f t="shared" si="709"/>
        <v>#VALUE!</v>
      </c>
      <c r="AD1458" s="54" t="str">
        <f t="shared" si="710"/>
        <v/>
      </c>
      <c r="AE1458" s="54"/>
      <c r="AF1458" s="54"/>
      <c r="AG1458" s="55" t="str">
        <f t="shared" si="711"/>
        <v/>
      </c>
      <c r="AH1458" s="56" t="str">
        <f t="shared" si="712"/>
        <v/>
      </c>
      <c r="AI1458" s="55"/>
      <c r="AJ1458" s="56" t="str">
        <f t="shared" si="713"/>
        <v/>
      </c>
      <c r="AK1458" s="55"/>
      <c r="AL1458" s="56" t="str">
        <f t="shared" si="714"/>
        <v/>
      </c>
      <c r="AM1458" s="55"/>
      <c r="AN1458" s="56" t="str">
        <f t="shared" si="715"/>
        <v/>
      </c>
      <c r="AO1458" s="55"/>
      <c r="AP1458" s="56" t="str">
        <f t="shared" si="716"/>
        <v/>
      </c>
      <c r="AQ1458" s="55"/>
      <c r="AR1458" s="56" t="str">
        <f t="shared" si="717"/>
        <v/>
      </c>
      <c r="AS1458" s="57"/>
      <c r="AT1458" s="58"/>
      <c r="AU1458" s="58"/>
      <c r="AV1458" s="59"/>
      <c r="AW1458" s="60" t="str">
        <f t="shared" si="718"/>
        <v/>
      </c>
      <c r="AX1458" s="61" t="str">
        <f t="shared" si="719"/>
        <v/>
      </c>
      <c r="AY1458" s="60" t="str">
        <f t="shared" si="720"/>
        <v/>
      </c>
      <c r="AZ1458" s="61" t="str">
        <f t="shared" si="721"/>
        <v/>
      </c>
    </row>
    <row r="1459" spans="1:52" s="3" customFormat="1" hidden="1" x14ac:dyDescent="0.35">
      <c r="A1459" s="72">
        <f t="shared" si="692"/>
        <v>2019</v>
      </c>
      <c r="B1459" s="72" t="str">
        <f t="shared" si="697"/>
        <v>Nov</v>
      </c>
      <c r="C1459" s="73">
        <f t="shared" si="698"/>
        <v>19</v>
      </c>
      <c r="D1459" s="74">
        <f t="shared" si="699"/>
        <v>8</v>
      </c>
      <c r="E1459" s="75">
        <f t="shared" si="695"/>
        <v>4</v>
      </c>
      <c r="F1459" s="79"/>
      <c r="G1459" s="82"/>
      <c r="H1459" s="68" t="str">
        <f t="shared" si="700"/>
        <v>Senbur0_20191119_08_00</v>
      </c>
      <c r="I1459" s="69">
        <f t="shared" ref="I1459:N1459" si="737">I1458</f>
        <v>1</v>
      </c>
      <c r="J1459" s="76" t="str">
        <f t="shared" si="737"/>
        <v>Senecio</v>
      </c>
      <c r="K1459" s="76" t="str">
        <f t="shared" si="737"/>
        <v>burtoni</v>
      </c>
      <c r="L1459" s="77">
        <f t="shared" si="737"/>
        <v>0</v>
      </c>
      <c r="M1459" s="77">
        <f t="shared" si="737"/>
        <v>7</v>
      </c>
      <c r="N1459" s="71">
        <f t="shared" si="737"/>
        <v>0</v>
      </c>
      <c r="O1459" s="44"/>
      <c r="P1459" s="45" t="str">
        <f t="shared" si="702"/>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s="3" customFormat="1" ht="15" hidden="1" thickBot="1" x14ac:dyDescent="0.4">
      <c r="A1460" s="85">
        <f t="shared" si="692"/>
        <v>2019</v>
      </c>
      <c r="B1460" s="85" t="str">
        <f t="shared" si="697"/>
        <v>Nov</v>
      </c>
      <c r="C1460" s="86">
        <f t="shared" si="698"/>
        <v>19</v>
      </c>
      <c r="D1460" s="87">
        <f t="shared" si="699"/>
        <v>8</v>
      </c>
      <c r="E1460" s="88">
        <f t="shared" si="695"/>
        <v>5</v>
      </c>
      <c r="F1460" s="89"/>
      <c r="G1460" s="90"/>
      <c r="H1460" s="68" t="str">
        <f t="shared" si="700"/>
        <v>Senbur0_20191119_08_00</v>
      </c>
      <c r="I1460" s="91">
        <f t="shared" ref="I1460:N1460" si="738">I1459</f>
        <v>1</v>
      </c>
      <c r="J1460" s="92" t="str">
        <f t="shared" si="738"/>
        <v>Senecio</v>
      </c>
      <c r="K1460" s="92" t="str">
        <f t="shared" si="738"/>
        <v>burtoni</v>
      </c>
      <c r="L1460" s="93">
        <f t="shared" si="738"/>
        <v>0</v>
      </c>
      <c r="M1460" s="93">
        <f t="shared" si="738"/>
        <v>7</v>
      </c>
      <c r="N1460" s="94">
        <f t="shared" si="738"/>
        <v>0</v>
      </c>
      <c r="O1460" s="95"/>
      <c r="P1460" s="96" t="str">
        <f t="shared" si="702"/>
        <v/>
      </c>
      <c r="Q1460" s="97" t="str">
        <f t="shared" si="703"/>
        <v/>
      </c>
      <c r="R1460" s="98" t="e">
        <f t="shared" si="704"/>
        <v>#VALUE!</v>
      </c>
      <c r="S1460" s="98" t="e">
        <f t="shared" si="705"/>
        <v>#VALUE!</v>
      </c>
      <c r="T1460" s="98" t="str">
        <f t="shared" si="706"/>
        <v/>
      </c>
      <c r="U1460" s="99"/>
      <c r="V1460" s="100"/>
      <c r="W1460" s="101" t="e">
        <f t="shared" si="707"/>
        <v>#VALUE!</v>
      </c>
      <c r="X1460" s="102"/>
      <c r="Y1460" s="122"/>
      <c r="Z1460" s="122"/>
      <c r="AA1460" s="47" t="e">
        <f>INDEX(VISITORS[INSECT ORDER], MATCH(X1460,VISITORS[NAME USED],0))</f>
        <v>#N/A</v>
      </c>
      <c r="AB1460" s="98" t="e">
        <f t="shared" si="708"/>
        <v>#N/A</v>
      </c>
      <c r="AC1460" s="53" t="e">
        <f t="shared" si="709"/>
        <v>#VALUE!</v>
      </c>
      <c r="AD1460" s="103" t="str">
        <f t="shared" si="710"/>
        <v/>
      </c>
      <c r="AE1460" s="103"/>
      <c r="AF1460" s="103"/>
      <c r="AG1460" s="104" t="str">
        <f t="shared" si="711"/>
        <v/>
      </c>
      <c r="AH1460" s="105" t="str">
        <f t="shared" si="712"/>
        <v/>
      </c>
      <c r="AI1460" s="104"/>
      <c r="AJ1460" s="105" t="str">
        <f t="shared" si="713"/>
        <v/>
      </c>
      <c r="AK1460" s="104"/>
      <c r="AL1460" s="105" t="str">
        <f t="shared" si="714"/>
        <v/>
      </c>
      <c r="AM1460" s="104"/>
      <c r="AN1460" s="105" t="str">
        <f t="shared" si="715"/>
        <v/>
      </c>
      <c r="AO1460" s="104"/>
      <c r="AP1460" s="105" t="str">
        <f t="shared" si="716"/>
        <v/>
      </c>
      <c r="AQ1460" s="104"/>
      <c r="AR1460" s="105" t="str">
        <f t="shared" si="717"/>
        <v/>
      </c>
      <c r="AS1460" s="106"/>
      <c r="AT1460" s="107"/>
      <c r="AU1460" s="107"/>
      <c r="AV1460" s="108"/>
      <c r="AW1460" s="109" t="str">
        <f t="shared" si="718"/>
        <v/>
      </c>
      <c r="AX1460" s="110" t="str">
        <f t="shared" si="719"/>
        <v/>
      </c>
      <c r="AY1460" s="109" t="str">
        <f t="shared" si="720"/>
        <v/>
      </c>
      <c r="AZ1460" s="110" t="str">
        <f t="shared" si="721"/>
        <v/>
      </c>
    </row>
    <row r="1461" spans="1:52" s="3" customFormat="1" ht="11.25" hidden="1" customHeight="1" x14ac:dyDescent="0.35">
      <c r="A1461" s="72">
        <f t="shared" si="692"/>
        <v>2019</v>
      </c>
      <c r="B1461" s="72" t="str">
        <f t="shared" si="697"/>
        <v>Nov</v>
      </c>
      <c r="C1461" s="73">
        <f t="shared" si="698"/>
        <v>19</v>
      </c>
      <c r="D1461" s="74">
        <f t="shared" si="699"/>
        <v>8</v>
      </c>
      <c r="E1461" s="75">
        <f t="shared" si="695"/>
        <v>6</v>
      </c>
      <c r="F1461" s="79"/>
      <c r="G1461" s="82"/>
      <c r="H1461" s="68" t="str">
        <f t="shared" si="700"/>
        <v>Senbur0_20191119_08_00</v>
      </c>
      <c r="I1461" s="69">
        <f t="shared" ref="I1461:N1461" si="739">I1460</f>
        <v>1</v>
      </c>
      <c r="J1461" s="76" t="str">
        <f t="shared" si="739"/>
        <v>Senecio</v>
      </c>
      <c r="K1461" s="76" t="str">
        <f t="shared" si="739"/>
        <v>burtoni</v>
      </c>
      <c r="L1461" s="77">
        <f t="shared" si="739"/>
        <v>0</v>
      </c>
      <c r="M1461" s="77">
        <f t="shared" si="739"/>
        <v>7</v>
      </c>
      <c r="N1461" s="71">
        <f t="shared" si="739"/>
        <v>0</v>
      </c>
      <c r="O1461" s="44"/>
      <c r="P1461" s="45" t="str">
        <f t="shared" si="702"/>
        <v/>
      </c>
      <c r="Q1461" s="46" t="str">
        <f t="shared" si="703"/>
        <v/>
      </c>
      <c r="R1461" s="47" t="e">
        <f t="shared" si="704"/>
        <v>#VALUE!</v>
      </c>
      <c r="S1461" s="48" t="e">
        <f t="shared" si="705"/>
        <v>#VALUE!</v>
      </c>
      <c r="T1461" s="47" t="str">
        <f t="shared" si="706"/>
        <v/>
      </c>
      <c r="U1461" s="49"/>
      <c r="V1461" s="50"/>
      <c r="W1461" s="51" t="e">
        <f t="shared" si="707"/>
        <v>#VALUE!</v>
      </c>
      <c r="X1461" s="52"/>
      <c r="Y1461" s="52"/>
      <c r="Z1461" s="52"/>
      <c r="AA1461" s="47" t="e">
        <f>INDEX(VISITORS[INSECT ORDER], MATCH(X1461,VISITORS[NAME USED],0))</f>
        <v>#N/A</v>
      </c>
      <c r="AB1461" s="47" t="e">
        <f t="shared" si="708"/>
        <v>#N/A</v>
      </c>
      <c r="AC1461" s="53" t="e">
        <f t="shared" si="709"/>
        <v>#VALUE!</v>
      </c>
      <c r="AD1461" s="54" t="str">
        <f t="shared" si="710"/>
        <v/>
      </c>
      <c r="AE1461" s="54"/>
      <c r="AF1461" s="54"/>
      <c r="AG1461" s="55" t="str">
        <f t="shared" si="711"/>
        <v/>
      </c>
      <c r="AH1461" s="56" t="str">
        <f t="shared" si="712"/>
        <v/>
      </c>
      <c r="AI1461" s="55"/>
      <c r="AJ1461" s="56" t="str">
        <f t="shared" si="713"/>
        <v/>
      </c>
      <c r="AK1461" s="55"/>
      <c r="AL1461" s="56" t="str">
        <f t="shared" si="714"/>
        <v/>
      </c>
      <c r="AM1461" s="55"/>
      <c r="AN1461" s="56" t="str">
        <f t="shared" si="715"/>
        <v/>
      </c>
      <c r="AO1461" s="55"/>
      <c r="AP1461" s="56" t="str">
        <f t="shared" si="716"/>
        <v/>
      </c>
      <c r="AQ1461" s="55"/>
      <c r="AR1461" s="56" t="str">
        <f t="shared" si="717"/>
        <v/>
      </c>
      <c r="AS1461" s="57"/>
      <c r="AT1461" s="58"/>
      <c r="AU1461" s="58"/>
      <c r="AV1461" s="59"/>
      <c r="AW1461" s="60" t="str">
        <f t="shared" si="718"/>
        <v/>
      </c>
      <c r="AX1461" s="61" t="str">
        <f t="shared" si="719"/>
        <v/>
      </c>
      <c r="AY1461" s="60" t="str">
        <f t="shared" si="720"/>
        <v/>
      </c>
      <c r="AZ1461" s="61" t="str">
        <f t="shared" si="721"/>
        <v/>
      </c>
    </row>
    <row r="1462" spans="1:52" s="3" customFormat="1" hidden="1" x14ac:dyDescent="0.35">
      <c r="A1462" s="72">
        <f t="shared" si="692"/>
        <v>2019</v>
      </c>
      <c r="B1462" s="72" t="str">
        <f t="shared" si="697"/>
        <v>Nov</v>
      </c>
      <c r="C1462" s="73">
        <f t="shared" si="698"/>
        <v>19</v>
      </c>
      <c r="D1462" s="74">
        <f t="shared" si="699"/>
        <v>8</v>
      </c>
      <c r="E1462" s="75">
        <f t="shared" si="695"/>
        <v>7</v>
      </c>
      <c r="F1462" s="79"/>
      <c r="G1462" s="82"/>
      <c r="H1462" s="68" t="str">
        <f t="shared" si="700"/>
        <v>Senbur0_20191119_08_00</v>
      </c>
      <c r="I1462" s="69">
        <f t="shared" ref="I1462:N1462" si="740">I1461</f>
        <v>1</v>
      </c>
      <c r="J1462" s="76" t="str">
        <f t="shared" si="740"/>
        <v>Senecio</v>
      </c>
      <c r="K1462" s="76" t="str">
        <f t="shared" si="740"/>
        <v>burtoni</v>
      </c>
      <c r="L1462" s="77">
        <f t="shared" si="740"/>
        <v>0</v>
      </c>
      <c r="M1462" s="77">
        <f t="shared" si="740"/>
        <v>7</v>
      </c>
      <c r="N1462" s="71">
        <f t="shared" si="740"/>
        <v>0</v>
      </c>
      <c r="O1462" s="44"/>
      <c r="P1462" s="45" t="str">
        <f t="shared" si="702"/>
        <v/>
      </c>
      <c r="Q1462" s="46" t="str">
        <f t="shared" si="703"/>
        <v/>
      </c>
      <c r="R1462" s="47" t="e">
        <f t="shared" si="704"/>
        <v>#VALUE!</v>
      </c>
      <c r="S1462" s="48" t="e">
        <f t="shared" si="705"/>
        <v>#VALUE!</v>
      </c>
      <c r="T1462" s="47" t="str">
        <f t="shared" si="706"/>
        <v/>
      </c>
      <c r="U1462" s="49"/>
      <c r="V1462" s="50"/>
      <c r="W1462" s="51" t="e">
        <f t="shared" si="707"/>
        <v>#VALUE!</v>
      </c>
      <c r="X1462" s="52"/>
      <c r="Y1462" s="52"/>
      <c r="Z1462" s="52"/>
      <c r="AA1462" s="47" t="e">
        <f>INDEX(VISITORS[INSECT ORDER], MATCH(X1462,VISITORS[NAME USED],0))</f>
        <v>#N/A</v>
      </c>
      <c r="AB1462" s="47" t="e">
        <f t="shared" si="708"/>
        <v>#N/A</v>
      </c>
      <c r="AC1462" s="53" t="e">
        <f t="shared" si="709"/>
        <v>#VALUE!</v>
      </c>
      <c r="AD1462" s="54" t="str">
        <f t="shared" si="710"/>
        <v/>
      </c>
      <c r="AE1462" s="54"/>
      <c r="AF1462" s="54"/>
      <c r="AG1462" s="55" t="str">
        <f t="shared" si="711"/>
        <v/>
      </c>
      <c r="AH1462" s="56" t="str">
        <f t="shared" si="712"/>
        <v/>
      </c>
      <c r="AI1462" s="55"/>
      <c r="AJ1462" s="56" t="str">
        <f t="shared" si="713"/>
        <v/>
      </c>
      <c r="AK1462" s="55"/>
      <c r="AL1462" s="56" t="str">
        <f t="shared" si="714"/>
        <v/>
      </c>
      <c r="AM1462" s="55"/>
      <c r="AN1462" s="56" t="str">
        <f t="shared" si="715"/>
        <v/>
      </c>
      <c r="AO1462" s="55"/>
      <c r="AP1462" s="56" t="str">
        <f t="shared" si="716"/>
        <v/>
      </c>
      <c r="AQ1462" s="55"/>
      <c r="AR1462" s="56" t="str">
        <f t="shared" si="717"/>
        <v/>
      </c>
      <c r="AS1462" s="57"/>
      <c r="AT1462" s="58"/>
      <c r="AU1462" s="58"/>
      <c r="AV1462" s="59"/>
      <c r="AW1462" s="60" t="str">
        <f t="shared" si="718"/>
        <v/>
      </c>
      <c r="AX1462" s="61" t="str">
        <f t="shared" si="719"/>
        <v/>
      </c>
      <c r="AY1462" s="60" t="str">
        <f t="shared" si="720"/>
        <v/>
      </c>
      <c r="AZ1462" s="61" t="str">
        <f t="shared" si="721"/>
        <v/>
      </c>
    </row>
    <row r="1463" spans="1:52" s="3" customFormat="1" ht="15" hidden="1" thickBot="1" x14ac:dyDescent="0.4">
      <c r="A1463" s="85">
        <f t="shared" si="692"/>
        <v>2019</v>
      </c>
      <c r="B1463" s="85" t="str">
        <f t="shared" si="697"/>
        <v>Nov</v>
      </c>
      <c r="C1463" s="86">
        <f t="shared" si="698"/>
        <v>19</v>
      </c>
      <c r="D1463" s="87">
        <f t="shared" si="699"/>
        <v>8</v>
      </c>
      <c r="E1463" s="88">
        <f t="shared" si="695"/>
        <v>8</v>
      </c>
      <c r="F1463" s="89"/>
      <c r="G1463" s="90"/>
      <c r="H1463" s="68" t="str">
        <f t="shared" si="700"/>
        <v>Senbur0_20191119_08_00</v>
      </c>
      <c r="I1463" s="91">
        <f t="shared" ref="I1463:N1463" si="741">I1462</f>
        <v>1</v>
      </c>
      <c r="J1463" s="92" t="str">
        <f t="shared" si="741"/>
        <v>Senecio</v>
      </c>
      <c r="K1463" s="92" t="str">
        <f t="shared" si="741"/>
        <v>burtoni</v>
      </c>
      <c r="L1463" s="93">
        <f t="shared" si="741"/>
        <v>0</v>
      </c>
      <c r="M1463" s="93">
        <f t="shared" si="741"/>
        <v>7</v>
      </c>
      <c r="N1463" s="94">
        <f t="shared" si="741"/>
        <v>0</v>
      </c>
      <c r="O1463" s="95"/>
      <c r="P1463" s="96" t="str">
        <f t="shared" si="702"/>
        <v/>
      </c>
      <c r="Q1463" s="97" t="str">
        <f t="shared" si="703"/>
        <v/>
      </c>
      <c r="R1463" s="98" t="e">
        <f t="shared" si="704"/>
        <v>#VALUE!</v>
      </c>
      <c r="S1463" s="98" t="e">
        <f t="shared" si="705"/>
        <v>#VALUE!</v>
      </c>
      <c r="T1463" s="98" t="str">
        <f t="shared" si="706"/>
        <v/>
      </c>
      <c r="U1463" s="99"/>
      <c r="V1463" s="100"/>
      <c r="W1463" s="101" t="e">
        <f t="shared" si="707"/>
        <v>#VALUE!</v>
      </c>
      <c r="X1463" s="102"/>
      <c r="Y1463" s="122"/>
      <c r="Z1463" s="122"/>
      <c r="AA1463" s="47" t="e">
        <f>INDEX(VISITORS[INSECT ORDER], MATCH(X1463,VISITORS[NAME USED],0))</f>
        <v>#N/A</v>
      </c>
      <c r="AB1463" s="98" t="e">
        <f t="shared" si="708"/>
        <v>#N/A</v>
      </c>
      <c r="AC1463" s="53" t="e">
        <f t="shared" si="709"/>
        <v>#VALUE!</v>
      </c>
      <c r="AD1463" s="103" t="str">
        <f t="shared" si="710"/>
        <v/>
      </c>
      <c r="AE1463" s="103"/>
      <c r="AF1463" s="103"/>
      <c r="AG1463" s="104" t="str">
        <f t="shared" si="711"/>
        <v/>
      </c>
      <c r="AH1463" s="105" t="str">
        <f t="shared" si="712"/>
        <v/>
      </c>
      <c r="AI1463" s="104"/>
      <c r="AJ1463" s="105" t="str">
        <f t="shared" si="713"/>
        <v/>
      </c>
      <c r="AK1463" s="104"/>
      <c r="AL1463" s="105" t="str">
        <f t="shared" si="714"/>
        <v/>
      </c>
      <c r="AM1463" s="104"/>
      <c r="AN1463" s="105" t="str">
        <f t="shared" si="715"/>
        <v/>
      </c>
      <c r="AO1463" s="104"/>
      <c r="AP1463" s="105" t="str">
        <f t="shared" si="716"/>
        <v/>
      </c>
      <c r="AQ1463" s="104"/>
      <c r="AR1463" s="105" t="str">
        <f t="shared" si="717"/>
        <v/>
      </c>
      <c r="AS1463" s="106"/>
      <c r="AT1463" s="107"/>
      <c r="AU1463" s="107"/>
      <c r="AV1463" s="108"/>
      <c r="AW1463" s="109" t="str">
        <f t="shared" si="718"/>
        <v/>
      </c>
      <c r="AX1463" s="110" t="str">
        <f t="shared" si="719"/>
        <v/>
      </c>
      <c r="AY1463" s="109" t="str">
        <f t="shared" si="720"/>
        <v/>
      </c>
      <c r="AZ1463" s="110" t="str">
        <f t="shared" si="721"/>
        <v/>
      </c>
    </row>
    <row r="1464" spans="1:52" s="3" customFormat="1" ht="11.25" hidden="1" customHeight="1" x14ac:dyDescent="0.35">
      <c r="A1464" s="72">
        <f t="shared" si="692"/>
        <v>2019</v>
      </c>
      <c r="B1464" s="72" t="str">
        <f t="shared" si="697"/>
        <v>Nov</v>
      </c>
      <c r="C1464" s="73">
        <f t="shared" si="698"/>
        <v>19</v>
      </c>
      <c r="D1464" s="74">
        <f t="shared" si="699"/>
        <v>8</v>
      </c>
      <c r="E1464" s="75">
        <f t="shared" si="695"/>
        <v>9</v>
      </c>
      <c r="F1464" s="79"/>
      <c r="G1464" s="82"/>
      <c r="H1464" s="68" t="str">
        <f t="shared" si="700"/>
        <v>Senbur0_20191119_08_00</v>
      </c>
      <c r="I1464" s="69">
        <f t="shared" ref="I1464:N1464" si="742">I1463</f>
        <v>1</v>
      </c>
      <c r="J1464" s="76" t="str">
        <f t="shared" si="742"/>
        <v>Senecio</v>
      </c>
      <c r="K1464" s="76" t="str">
        <f t="shared" si="742"/>
        <v>burtoni</v>
      </c>
      <c r="L1464" s="77">
        <f t="shared" si="742"/>
        <v>0</v>
      </c>
      <c r="M1464" s="77">
        <f t="shared" si="742"/>
        <v>7</v>
      </c>
      <c r="N1464" s="71">
        <f t="shared" si="742"/>
        <v>0</v>
      </c>
      <c r="O1464" s="44"/>
      <c r="P1464" s="45" t="str">
        <f t="shared" si="702"/>
        <v/>
      </c>
      <c r="Q1464" s="46" t="str">
        <f t="shared" si="703"/>
        <v/>
      </c>
      <c r="R1464" s="47" t="e">
        <f t="shared" si="704"/>
        <v>#VALUE!</v>
      </c>
      <c r="S1464" s="48" t="e">
        <f t="shared" si="705"/>
        <v>#VALUE!</v>
      </c>
      <c r="T1464" s="47" t="str">
        <f t="shared" si="706"/>
        <v/>
      </c>
      <c r="U1464" s="49"/>
      <c r="V1464" s="50"/>
      <c r="W1464" s="51" t="e">
        <f t="shared" si="707"/>
        <v>#VALUE!</v>
      </c>
      <c r="X1464" s="52"/>
      <c r="Y1464" s="52"/>
      <c r="Z1464" s="52"/>
      <c r="AA1464" s="47" t="e">
        <f>INDEX(VISITORS[INSECT ORDER], MATCH(X1464,VISITORS[NAME USED],0))</f>
        <v>#N/A</v>
      </c>
      <c r="AB1464" s="47" t="e">
        <f t="shared" si="708"/>
        <v>#N/A</v>
      </c>
      <c r="AC1464" s="53" t="e">
        <f t="shared" si="709"/>
        <v>#VALUE!</v>
      </c>
      <c r="AD1464" s="54" t="str">
        <f t="shared" si="710"/>
        <v/>
      </c>
      <c r="AE1464" s="54"/>
      <c r="AF1464" s="54"/>
      <c r="AG1464" s="55" t="str">
        <f t="shared" si="711"/>
        <v/>
      </c>
      <c r="AH1464" s="56" t="str">
        <f t="shared" si="712"/>
        <v/>
      </c>
      <c r="AI1464" s="55"/>
      <c r="AJ1464" s="56" t="str">
        <f t="shared" si="713"/>
        <v/>
      </c>
      <c r="AK1464" s="55"/>
      <c r="AL1464" s="56" t="str">
        <f t="shared" si="714"/>
        <v/>
      </c>
      <c r="AM1464" s="55"/>
      <c r="AN1464" s="56" t="str">
        <f t="shared" si="715"/>
        <v/>
      </c>
      <c r="AO1464" s="55"/>
      <c r="AP1464" s="56" t="str">
        <f t="shared" si="716"/>
        <v/>
      </c>
      <c r="AQ1464" s="55"/>
      <c r="AR1464" s="56" t="str">
        <f t="shared" si="717"/>
        <v/>
      </c>
      <c r="AS1464" s="57"/>
      <c r="AT1464" s="58"/>
      <c r="AU1464" s="58"/>
      <c r="AV1464" s="59"/>
      <c r="AW1464" s="60" t="str">
        <f t="shared" si="718"/>
        <v/>
      </c>
      <c r="AX1464" s="61" t="str">
        <f t="shared" si="719"/>
        <v/>
      </c>
      <c r="AY1464" s="60" t="str">
        <f t="shared" si="720"/>
        <v/>
      </c>
      <c r="AZ1464" s="61" t="str">
        <f t="shared" si="721"/>
        <v/>
      </c>
    </row>
    <row r="1465" spans="1:52" s="3" customFormat="1" hidden="1" x14ac:dyDescent="0.35">
      <c r="A1465" s="72">
        <f t="shared" si="692"/>
        <v>2019</v>
      </c>
      <c r="B1465" s="72" t="str">
        <f t="shared" si="697"/>
        <v>Nov</v>
      </c>
      <c r="C1465" s="73">
        <f t="shared" si="698"/>
        <v>19</v>
      </c>
      <c r="D1465" s="74">
        <f t="shared" si="699"/>
        <v>8</v>
      </c>
      <c r="E1465" s="75">
        <f t="shared" si="695"/>
        <v>10</v>
      </c>
      <c r="F1465" s="79"/>
      <c r="G1465" s="82"/>
      <c r="H1465" s="68" t="str">
        <f t="shared" si="700"/>
        <v>Senbur0_20191119_08_00</v>
      </c>
      <c r="I1465" s="69">
        <f t="shared" ref="I1465:N1465" si="743">I1464</f>
        <v>1</v>
      </c>
      <c r="J1465" s="76" t="str">
        <f t="shared" si="743"/>
        <v>Senecio</v>
      </c>
      <c r="K1465" s="76" t="str">
        <f t="shared" si="743"/>
        <v>burtoni</v>
      </c>
      <c r="L1465" s="77">
        <f t="shared" si="743"/>
        <v>0</v>
      </c>
      <c r="M1465" s="77">
        <f t="shared" si="743"/>
        <v>7</v>
      </c>
      <c r="N1465" s="71">
        <f t="shared" si="743"/>
        <v>0</v>
      </c>
      <c r="O1465" s="44"/>
      <c r="P1465" s="45" t="str">
        <f t="shared" si="702"/>
        <v/>
      </c>
      <c r="Q1465" s="46" t="str">
        <f t="shared" si="703"/>
        <v/>
      </c>
      <c r="R1465" s="47" t="e">
        <f t="shared" si="704"/>
        <v>#VALUE!</v>
      </c>
      <c r="S1465" s="48" t="e">
        <f t="shared" si="705"/>
        <v>#VALUE!</v>
      </c>
      <c r="T1465" s="47" t="str">
        <f t="shared" si="706"/>
        <v/>
      </c>
      <c r="U1465" s="49"/>
      <c r="V1465" s="50"/>
      <c r="W1465" s="51" t="e">
        <f t="shared" si="707"/>
        <v>#VALUE!</v>
      </c>
      <c r="X1465" s="52"/>
      <c r="Y1465" s="52"/>
      <c r="Z1465" s="52"/>
      <c r="AA1465" s="47" t="e">
        <f>INDEX(VISITORS[INSECT ORDER], MATCH(X1465,VISITORS[NAME USED],0))</f>
        <v>#N/A</v>
      </c>
      <c r="AB1465" s="47" t="e">
        <f t="shared" si="708"/>
        <v>#N/A</v>
      </c>
      <c r="AC1465" s="53" t="e">
        <f t="shared" si="709"/>
        <v>#VALUE!</v>
      </c>
      <c r="AD1465" s="54" t="str">
        <f t="shared" si="710"/>
        <v/>
      </c>
      <c r="AE1465" s="54"/>
      <c r="AF1465" s="54"/>
      <c r="AG1465" s="55" t="str">
        <f t="shared" si="711"/>
        <v/>
      </c>
      <c r="AH1465" s="56" t="str">
        <f t="shared" si="712"/>
        <v/>
      </c>
      <c r="AI1465" s="55"/>
      <c r="AJ1465" s="56" t="str">
        <f t="shared" si="713"/>
        <v/>
      </c>
      <c r="AK1465" s="55"/>
      <c r="AL1465" s="56" t="str">
        <f t="shared" si="714"/>
        <v/>
      </c>
      <c r="AM1465" s="55"/>
      <c r="AN1465" s="56" t="str">
        <f t="shared" si="715"/>
        <v/>
      </c>
      <c r="AO1465" s="55"/>
      <c r="AP1465" s="56" t="str">
        <f t="shared" si="716"/>
        <v/>
      </c>
      <c r="AQ1465" s="55"/>
      <c r="AR1465" s="56" t="str">
        <f t="shared" si="717"/>
        <v/>
      </c>
      <c r="AS1465" s="57"/>
      <c r="AT1465" s="58"/>
      <c r="AU1465" s="58"/>
      <c r="AV1465" s="59"/>
      <c r="AW1465" s="60" t="str">
        <f t="shared" si="718"/>
        <v/>
      </c>
      <c r="AX1465" s="61" t="str">
        <f t="shared" si="719"/>
        <v/>
      </c>
      <c r="AY1465" s="60" t="str">
        <f t="shared" si="720"/>
        <v/>
      </c>
      <c r="AZ1465" s="61" t="str">
        <f t="shared" si="721"/>
        <v/>
      </c>
    </row>
    <row r="1466" spans="1:52" s="3" customFormat="1" ht="15" hidden="1" thickBot="1" x14ac:dyDescent="0.4">
      <c r="A1466" s="85">
        <f t="shared" si="692"/>
        <v>2019</v>
      </c>
      <c r="B1466" s="85" t="str">
        <f t="shared" si="697"/>
        <v>Nov</v>
      </c>
      <c r="C1466" s="86">
        <f t="shared" si="698"/>
        <v>19</v>
      </c>
      <c r="D1466" s="87">
        <f t="shared" si="699"/>
        <v>8</v>
      </c>
      <c r="E1466" s="88">
        <f t="shared" si="695"/>
        <v>11</v>
      </c>
      <c r="F1466" s="89"/>
      <c r="G1466" s="90"/>
      <c r="H1466" s="68" t="str">
        <f t="shared" si="700"/>
        <v>Senbur0_20191119_08_00</v>
      </c>
      <c r="I1466" s="91">
        <f t="shared" ref="I1466:N1466" si="744">I1465</f>
        <v>1</v>
      </c>
      <c r="J1466" s="92" t="str">
        <f t="shared" si="744"/>
        <v>Senecio</v>
      </c>
      <c r="K1466" s="92" t="str">
        <f t="shared" si="744"/>
        <v>burtoni</v>
      </c>
      <c r="L1466" s="93">
        <f t="shared" si="744"/>
        <v>0</v>
      </c>
      <c r="M1466" s="93">
        <f t="shared" si="744"/>
        <v>7</v>
      </c>
      <c r="N1466" s="94">
        <f t="shared" si="744"/>
        <v>0</v>
      </c>
      <c r="O1466" s="95"/>
      <c r="P1466" s="96" t="str">
        <f t="shared" si="702"/>
        <v/>
      </c>
      <c r="Q1466" s="97" t="str">
        <f t="shared" si="703"/>
        <v/>
      </c>
      <c r="R1466" s="98" t="e">
        <f t="shared" si="704"/>
        <v>#VALUE!</v>
      </c>
      <c r="S1466" s="98" t="e">
        <f t="shared" si="705"/>
        <v>#VALUE!</v>
      </c>
      <c r="T1466" s="98" t="str">
        <f t="shared" si="706"/>
        <v/>
      </c>
      <c r="U1466" s="99"/>
      <c r="V1466" s="100"/>
      <c r="W1466" s="101" t="e">
        <f t="shared" si="707"/>
        <v>#VALUE!</v>
      </c>
      <c r="X1466" s="102"/>
      <c r="Y1466" s="122"/>
      <c r="Z1466" s="122"/>
      <c r="AA1466" s="47" t="e">
        <f>INDEX(VISITORS[INSECT ORDER], MATCH(X1466,VISITORS[NAME USED],0))</f>
        <v>#N/A</v>
      </c>
      <c r="AB1466" s="98" t="e">
        <f t="shared" si="708"/>
        <v>#N/A</v>
      </c>
      <c r="AC1466" s="53" t="e">
        <f t="shared" si="709"/>
        <v>#VALUE!</v>
      </c>
      <c r="AD1466" s="103" t="str">
        <f t="shared" si="710"/>
        <v/>
      </c>
      <c r="AE1466" s="103"/>
      <c r="AF1466" s="103"/>
      <c r="AG1466" s="104" t="str">
        <f t="shared" si="711"/>
        <v/>
      </c>
      <c r="AH1466" s="105" t="str">
        <f t="shared" si="712"/>
        <v/>
      </c>
      <c r="AI1466" s="104"/>
      <c r="AJ1466" s="105" t="str">
        <f t="shared" si="713"/>
        <v/>
      </c>
      <c r="AK1466" s="104"/>
      <c r="AL1466" s="105" t="str">
        <f t="shared" si="714"/>
        <v/>
      </c>
      <c r="AM1466" s="104"/>
      <c r="AN1466" s="105" t="str">
        <f t="shared" si="715"/>
        <v/>
      </c>
      <c r="AO1466" s="104"/>
      <c r="AP1466" s="105" t="str">
        <f t="shared" si="716"/>
        <v/>
      </c>
      <c r="AQ1466" s="104"/>
      <c r="AR1466" s="105" t="str">
        <f t="shared" si="717"/>
        <v/>
      </c>
      <c r="AS1466" s="106"/>
      <c r="AT1466" s="107"/>
      <c r="AU1466" s="107"/>
      <c r="AV1466" s="108"/>
      <c r="AW1466" s="109" t="str">
        <f t="shared" si="718"/>
        <v/>
      </c>
      <c r="AX1466" s="110" t="str">
        <f t="shared" si="719"/>
        <v/>
      </c>
      <c r="AY1466" s="109" t="str">
        <f t="shared" si="720"/>
        <v/>
      </c>
      <c r="AZ1466" s="110" t="str">
        <f t="shared" si="721"/>
        <v/>
      </c>
    </row>
    <row r="1467" spans="1:52" s="3" customFormat="1" ht="11.25" hidden="1" customHeight="1" x14ac:dyDescent="0.35">
      <c r="A1467" s="72">
        <f t="shared" si="692"/>
        <v>2019</v>
      </c>
      <c r="B1467" s="72" t="str">
        <f t="shared" si="697"/>
        <v>Nov</v>
      </c>
      <c r="C1467" s="73">
        <f t="shared" si="698"/>
        <v>19</v>
      </c>
      <c r="D1467" s="74">
        <f t="shared" si="699"/>
        <v>8</v>
      </c>
      <c r="E1467" s="75">
        <f t="shared" si="695"/>
        <v>12</v>
      </c>
      <c r="F1467" s="79">
        <v>23</v>
      </c>
      <c r="G1467" s="82"/>
      <c r="H1467" s="68" t="str">
        <f t="shared" si="700"/>
        <v>Senbur0_20191119_08_00</v>
      </c>
      <c r="I1467" s="69">
        <f t="shared" ref="I1467:N1467" si="745">I1466</f>
        <v>1</v>
      </c>
      <c r="J1467" s="76" t="str">
        <f t="shared" si="745"/>
        <v>Senecio</v>
      </c>
      <c r="K1467" s="76" t="str">
        <f t="shared" si="745"/>
        <v>burtoni</v>
      </c>
      <c r="L1467" s="77">
        <f t="shared" si="745"/>
        <v>0</v>
      </c>
      <c r="M1467" s="77">
        <f t="shared" si="745"/>
        <v>7</v>
      </c>
      <c r="N1467" s="71">
        <f t="shared" si="745"/>
        <v>0</v>
      </c>
      <c r="O1467" s="44"/>
      <c r="P1467" s="45">
        <f t="shared" si="702"/>
        <v>1</v>
      </c>
      <c r="Q1467" s="46" t="str">
        <f t="shared" si="703"/>
        <v>08:12:23</v>
      </c>
      <c r="R1467" s="47" t="str">
        <f t="shared" si="704"/>
        <v>12:23</v>
      </c>
      <c r="S1467" s="48">
        <f t="shared" si="705"/>
        <v>84</v>
      </c>
      <c r="T1467" s="47" t="str">
        <f t="shared" si="706"/>
        <v>08</v>
      </c>
      <c r="U1467" s="49">
        <v>13</v>
      </c>
      <c r="V1467" s="50">
        <v>47</v>
      </c>
      <c r="W1467" s="51" t="str">
        <f t="shared" si="707"/>
        <v>13:47</v>
      </c>
      <c r="X1467" s="52" t="s">
        <v>63</v>
      </c>
      <c r="Y1467" s="124" t="s">
        <v>95</v>
      </c>
      <c r="Z1467" s="124"/>
      <c r="AA1467" s="47" t="s">
        <v>59</v>
      </c>
      <c r="AB1467" s="47" t="str">
        <f t="shared" si="708"/>
        <v>NA</v>
      </c>
      <c r="AC1467" s="53">
        <f t="shared" si="709"/>
        <v>0</v>
      </c>
      <c r="AD1467" s="54">
        <f t="shared" si="710"/>
        <v>1</v>
      </c>
      <c r="AE1467" s="54"/>
      <c r="AF1467" s="54"/>
      <c r="AG1467" s="55" t="str">
        <f t="shared" si="711"/>
        <v/>
      </c>
      <c r="AH1467" s="56" t="str">
        <f t="shared" si="712"/>
        <v/>
      </c>
      <c r="AI1467" s="55"/>
      <c r="AJ1467" s="56" t="str">
        <f t="shared" si="713"/>
        <v/>
      </c>
      <c r="AK1467" s="55">
        <v>1</v>
      </c>
      <c r="AL1467" s="56">
        <v>40</v>
      </c>
      <c r="AM1467" s="55">
        <v>1</v>
      </c>
      <c r="AN1467" s="56">
        <v>44</v>
      </c>
      <c r="AO1467" s="55"/>
      <c r="AP1467" s="56" t="str">
        <f t="shared" si="716"/>
        <v/>
      </c>
      <c r="AQ1467" s="55"/>
      <c r="AR1467" s="56" t="str">
        <f t="shared" si="717"/>
        <v/>
      </c>
      <c r="AS1467" s="57"/>
      <c r="AT1467" s="58"/>
      <c r="AU1467" s="58"/>
      <c r="AV1467" s="59"/>
      <c r="AW1467" s="60">
        <v>1</v>
      </c>
      <c r="AX1467" s="61">
        <f t="shared" si="719"/>
        <v>1</v>
      </c>
      <c r="AY1467" s="60">
        <v>1</v>
      </c>
      <c r="AZ1467" s="61">
        <f t="shared" si="721"/>
        <v>1</v>
      </c>
    </row>
    <row r="1468" spans="1:52" s="3" customFormat="1" hidden="1" x14ac:dyDescent="0.35">
      <c r="A1468" s="72">
        <f t="shared" si="692"/>
        <v>2019</v>
      </c>
      <c r="B1468" s="72" t="str">
        <f t="shared" si="697"/>
        <v>Nov</v>
      </c>
      <c r="C1468" s="73">
        <f t="shared" si="698"/>
        <v>19</v>
      </c>
      <c r="D1468" s="74">
        <f t="shared" si="699"/>
        <v>8</v>
      </c>
      <c r="E1468" s="75">
        <f t="shared" si="695"/>
        <v>13</v>
      </c>
      <c r="F1468" s="79"/>
      <c r="G1468" s="82"/>
      <c r="H1468" s="68" t="str">
        <f t="shared" si="700"/>
        <v>Senbur0_20191119_08_00</v>
      </c>
      <c r="I1468" s="69">
        <f t="shared" ref="I1468:N1468" si="746">I1467</f>
        <v>1</v>
      </c>
      <c r="J1468" s="76" t="str">
        <f t="shared" si="746"/>
        <v>Senecio</v>
      </c>
      <c r="K1468" s="76" t="str">
        <f t="shared" si="746"/>
        <v>burtoni</v>
      </c>
      <c r="L1468" s="77">
        <f t="shared" si="746"/>
        <v>0</v>
      </c>
      <c r="M1468" s="77">
        <f t="shared" si="746"/>
        <v>7</v>
      </c>
      <c r="N1468" s="71">
        <f t="shared" si="746"/>
        <v>0</v>
      </c>
      <c r="O1468" s="44"/>
      <c r="P1468" s="45" t="str">
        <f t="shared" si="702"/>
        <v/>
      </c>
      <c r="Q1468" s="46" t="str">
        <f t="shared" si="703"/>
        <v/>
      </c>
      <c r="R1468" s="47" t="e">
        <f t="shared" si="704"/>
        <v>#VALUE!</v>
      </c>
      <c r="S1468" s="48" t="e">
        <f t="shared" si="705"/>
        <v>#VALUE!</v>
      </c>
      <c r="T1468" s="47" t="str">
        <f t="shared" si="706"/>
        <v/>
      </c>
      <c r="U1468" s="49"/>
      <c r="V1468" s="50"/>
      <c r="W1468" s="51" t="e">
        <f t="shared" si="707"/>
        <v>#VALUE!</v>
      </c>
      <c r="X1468" s="52"/>
      <c r="Y1468" s="52"/>
      <c r="Z1468" s="52"/>
      <c r="AA1468" s="47" t="e">
        <f>INDEX(VISITORS[INSECT ORDER], MATCH(X1468,VISITORS[NAME USED],0))</f>
        <v>#N/A</v>
      </c>
      <c r="AB1468" s="47" t="e">
        <f t="shared" si="708"/>
        <v>#N/A</v>
      </c>
      <c r="AC1468" s="53" t="e">
        <f t="shared" si="709"/>
        <v>#VALUE!</v>
      </c>
      <c r="AD1468" s="54" t="str">
        <f t="shared" si="710"/>
        <v/>
      </c>
      <c r="AE1468" s="54"/>
      <c r="AF1468" s="54"/>
      <c r="AG1468" s="55" t="str">
        <f t="shared" si="711"/>
        <v/>
      </c>
      <c r="AH1468" s="56" t="str">
        <f t="shared" si="712"/>
        <v/>
      </c>
      <c r="AI1468" s="55"/>
      <c r="AJ1468" s="56" t="str">
        <f t="shared" si="713"/>
        <v/>
      </c>
      <c r="AK1468" s="55"/>
      <c r="AL1468" s="56" t="str">
        <f t="shared" si="714"/>
        <v/>
      </c>
      <c r="AM1468" s="55"/>
      <c r="AN1468" s="56" t="str">
        <f t="shared" si="715"/>
        <v/>
      </c>
      <c r="AO1468" s="55"/>
      <c r="AP1468" s="56" t="str">
        <f t="shared" si="716"/>
        <v/>
      </c>
      <c r="AQ1468" s="55"/>
      <c r="AR1468" s="56" t="str">
        <f t="shared" si="717"/>
        <v/>
      </c>
      <c r="AS1468" s="57"/>
      <c r="AT1468" s="58"/>
      <c r="AU1468" s="58"/>
      <c r="AV1468" s="59"/>
      <c r="AW1468" s="60" t="str">
        <f t="shared" si="718"/>
        <v/>
      </c>
      <c r="AX1468" s="61" t="str">
        <f t="shared" si="719"/>
        <v/>
      </c>
      <c r="AY1468" s="60" t="str">
        <f t="shared" si="720"/>
        <v/>
      </c>
      <c r="AZ1468" s="61" t="str">
        <f t="shared" si="721"/>
        <v/>
      </c>
    </row>
    <row r="1469" spans="1:52" s="3" customFormat="1" ht="15" hidden="1" thickBot="1" x14ac:dyDescent="0.4">
      <c r="A1469" s="85">
        <f t="shared" si="692"/>
        <v>2019</v>
      </c>
      <c r="B1469" s="85" t="str">
        <f t="shared" si="697"/>
        <v>Nov</v>
      </c>
      <c r="C1469" s="86">
        <f t="shared" si="698"/>
        <v>19</v>
      </c>
      <c r="D1469" s="87">
        <f t="shared" si="699"/>
        <v>8</v>
      </c>
      <c r="E1469" s="88">
        <f t="shared" si="695"/>
        <v>14</v>
      </c>
      <c r="F1469" s="89"/>
      <c r="G1469" s="90"/>
      <c r="H1469" s="68" t="str">
        <f t="shared" si="700"/>
        <v>Senbur0_20191119_08_00</v>
      </c>
      <c r="I1469" s="91">
        <f t="shared" ref="I1469:N1469" si="747">I1468</f>
        <v>1</v>
      </c>
      <c r="J1469" s="92" t="str">
        <f t="shared" si="747"/>
        <v>Senecio</v>
      </c>
      <c r="K1469" s="92" t="str">
        <f t="shared" si="747"/>
        <v>burtoni</v>
      </c>
      <c r="L1469" s="93">
        <f t="shared" si="747"/>
        <v>0</v>
      </c>
      <c r="M1469" s="93">
        <f t="shared" si="747"/>
        <v>7</v>
      </c>
      <c r="N1469" s="94">
        <f t="shared" si="747"/>
        <v>0</v>
      </c>
      <c r="O1469" s="95"/>
      <c r="P1469" s="96" t="str">
        <f t="shared" si="702"/>
        <v/>
      </c>
      <c r="Q1469" s="97" t="str">
        <f t="shared" si="703"/>
        <v/>
      </c>
      <c r="R1469" s="98" t="e">
        <f t="shared" si="704"/>
        <v>#VALUE!</v>
      </c>
      <c r="S1469" s="98" t="e">
        <f t="shared" si="705"/>
        <v>#VALUE!</v>
      </c>
      <c r="T1469" s="98" t="str">
        <f t="shared" si="706"/>
        <v/>
      </c>
      <c r="U1469" s="99"/>
      <c r="V1469" s="100"/>
      <c r="W1469" s="101" t="e">
        <f t="shared" si="707"/>
        <v>#VALUE!</v>
      </c>
      <c r="X1469" s="102"/>
      <c r="Y1469" s="122"/>
      <c r="Z1469" s="122"/>
      <c r="AA1469" s="47" t="e">
        <f>INDEX(VISITORS[INSECT ORDER], MATCH(X1469,VISITORS[NAME USED],0))</f>
        <v>#N/A</v>
      </c>
      <c r="AB1469" s="98" t="e">
        <f t="shared" si="708"/>
        <v>#N/A</v>
      </c>
      <c r="AC1469" s="53" t="e">
        <f t="shared" si="709"/>
        <v>#VALUE!</v>
      </c>
      <c r="AD1469" s="103" t="str">
        <f t="shared" si="710"/>
        <v/>
      </c>
      <c r="AE1469" s="103"/>
      <c r="AF1469" s="103"/>
      <c r="AG1469" s="104" t="str">
        <f t="shared" si="711"/>
        <v/>
      </c>
      <c r="AH1469" s="105" t="str">
        <f t="shared" si="712"/>
        <v/>
      </c>
      <c r="AI1469" s="104"/>
      <c r="AJ1469" s="105" t="str">
        <f t="shared" si="713"/>
        <v/>
      </c>
      <c r="AK1469" s="104"/>
      <c r="AL1469" s="105" t="str">
        <f t="shared" si="714"/>
        <v/>
      </c>
      <c r="AM1469" s="104"/>
      <c r="AN1469" s="105" t="str">
        <f t="shared" si="715"/>
        <v/>
      </c>
      <c r="AO1469" s="104"/>
      <c r="AP1469" s="105" t="str">
        <f t="shared" si="716"/>
        <v/>
      </c>
      <c r="AQ1469" s="104"/>
      <c r="AR1469" s="105" t="str">
        <f t="shared" si="717"/>
        <v/>
      </c>
      <c r="AS1469" s="106"/>
      <c r="AT1469" s="107"/>
      <c r="AU1469" s="107"/>
      <c r="AV1469" s="108"/>
      <c r="AW1469" s="109" t="str">
        <f t="shared" si="718"/>
        <v/>
      </c>
      <c r="AX1469" s="110" t="str">
        <f t="shared" si="719"/>
        <v/>
      </c>
      <c r="AY1469" s="109" t="str">
        <f t="shared" si="720"/>
        <v/>
      </c>
      <c r="AZ1469" s="110" t="str">
        <f t="shared" si="721"/>
        <v/>
      </c>
    </row>
    <row r="1470" spans="1:52" s="3" customFormat="1" ht="11.25" hidden="1" customHeight="1" x14ac:dyDescent="0.35">
      <c r="A1470" s="72">
        <f t="shared" si="692"/>
        <v>2019</v>
      </c>
      <c r="B1470" s="72" t="str">
        <f t="shared" si="697"/>
        <v>Nov</v>
      </c>
      <c r="C1470" s="73">
        <f t="shared" si="698"/>
        <v>19</v>
      </c>
      <c r="D1470" s="74">
        <f t="shared" si="699"/>
        <v>8</v>
      </c>
      <c r="E1470" s="75">
        <f t="shared" si="695"/>
        <v>15</v>
      </c>
      <c r="F1470" s="79"/>
      <c r="G1470" s="82"/>
      <c r="H1470" s="68" t="str">
        <f t="shared" si="700"/>
        <v>Senbur0_20191119_08_00</v>
      </c>
      <c r="I1470" s="69">
        <f t="shared" ref="I1470:N1470" si="748">I1469</f>
        <v>1</v>
      </c>
      <c r="J1470" s="76" t="str">
        <f t="shared" si="748"/>
        <v>Senecio</v>
      </c>
      <c r="K1470" s="76" t="str">
        <f t="shared" si="748"/>
        <v>burtoni</v>
      </c>
      <c r="L1470" s="77">
        <f t="shared" si="748"/>
        <v>0</v>
      </c>
      <c r="M1470" s="77">
        <f t="shared" si="748"/>
        <v>7</v>
      </c>
      <c r="N1470" s="71">
        <f t="shared" si="748"/>
        <v>0</v>
      </c>
      <c r="O1470" s="44"/>
      <c r="P1470" s="45" t="str">
        <f t="shared" si="702"/>
        <v/>
      </c>
      <c r="Q1470" s="46" t="str">
        <f t="shared" si="703"/>
        <v/>
      </c>
      <c r="R1470" s="47" t="e">
        <f t="shared" si="704"/>
        <v>#VALUE!</v>
      </c>
      <c r="S1470" s="48" t="e">
        <f t="shared" si="705"/>
        <v>#VALUE!</v>
      </c>
      <c r="T1470" s="47" t="str">
        <f t="shared" si="706"/>
        <v/>
      </c>
      <c r="U1470" s="49"/>
      <c r="V1470" s="50"/>
      <c r="W1470" s="51" t="e">
        <f t="shared" si="707"/>
        <v>#VALUE!</v>
      </c>
      <c r="X1470" s="52"/>
      <c r="Y1470" s="52"/>
      <c r="Z1470" s="52"/>
      <c r="AA1470" s="47" t="e">
        <f>INDEX(VISITORS[INSECT ORDER], MATCH(X1470,VISITORS[NAME USED],0))</f>
        <v>#N/A</v>
      </c>
      <c r="AB1470" s="47" t="e">
        <f t="shared" si="708"/>
        <v>#N/A</v>
      </c>
      <c r="AC1470" s="53" t="e">
        <f t="shared" si="709"/>
        <v>#VALUE!</v>
      </c>
      <c r="AD1470" s="54" t="str">
        <f t="shared" si="710"/>
        <v/>
      </c>
      <c r="AE1470" s="54"/>
      <c r="AF1470" s="54"/>
      <c r="AG1470" s="55" t="str">
        <f t="shared" si="711"/>
        <v/>
      </c>
      <c r="AH1470" s="56" t="str">
        <f t="shared" si="712"/>
        <v/>
      </c>
      <c r="AI1470" s="55"/>
      <c r="AJ1470" s="56" t="str">
        <f t="shared" si="713"/>
        <v/>
      </c>
      <c r="AK1470" s="55"/>
      <c r="AL1470" s="56" t="str">
        <f t="shared" si="714"/>
        <v/>
      </c>
      <c r="AM1470" s="55"/>
      <c r="AN1470" s="56" t="str">
        <f t="shared" si="715"/>
        <v/>
      </c>
      <c r="AO1470" s="55"/>
      <c r="AP1470" s="56" t="str">
        <f t="shared" si="716"/>
        <v/>
      </c>
      <c r="AQ1470" s="55"/>
      <c r="AR1470" s="56" t="str">
        <f t="shared" si="717"/>
        <v/>
      </c>
      <c r="AS1470" s="57"/>
      <c r="AT1470" s="58"/>
      <c r="AU1470" s="58"/>
      <c r="AV1470" s="59"/>
      <c r="AW1470" s="60" t="str">
        <f t="shared" si="718"/>
        <v/>
      </c>
      <c r="AX1470" s="61" t="str">
        <f t="shared" si="719"/>
        <v/>
      </c>
      <c r="AY1470" s="60" t="str">
        <f t="shared" si="720"/>
        <v/>
      </c>
      <c r="AZ1470" s="61" t="str">
        <f t="shared" si="721"/>
        <v/>
      </c>
    </row>
    <row r="1471" spans="1:52" s="3" customFormat="1" hidden="1" x14ac:dyDescent="0.35">
      <c r="A1471" s="72">
        <f t="shared" si="692"/>
        <v>2019</v>
      </c>
      <c r="B1471" s="72" t="str">
        <f t="shared" si="697"/>
        <v>Nov</v>
      </c>
      <c r="C1471" s="73">
        <f t="shared" si="698"/>
        <v>19</v>
      </c>
      <c r="D1471" s="74">
        <f t="shared" si="699"/>
        <v>8</v>
      </c>
      <c r="E1471" s="75">
        <f t="shared" si="695"/>
        <v>16</v>
      </c>
      <c r="F1471" s="79"/>
      <c r="G1471" s="82"/>
      <c r="H1471" s="68" t="str">
        <f t="shared" si="700"/>
        <v>Senbur0_20191119_08_00</v>
      </c>
      <c r="I1471" s="69">
        <f t="shared" ref="I1471:N1471" si="749">I1470</f>
        <v>1</v>
      </c>
      <c r="J1471" s="76" t="str">
        <f t="shared" si="749"/>
        <v>Senecio</v>
      </c>
      <c r="K1471" s="76" t="str">
        <f t="shared" si="749"/>
        <v>burtoni</v>
      </c>
      <c r="L1471" s="77">
        <f t="shared" si="749"/>
        <v>0</v>
      </c>
      <c r="M1471" s="77">
        <f t="shared" si="749"/>
        <v>7</v>
      </c>
      <c r="N1471" s="71">
        <f t="shared" si="749"/>
        <v>0</v>
      </c>
      <c r="O1471" s="44"/>
      <c r="P1471" s="45" t="str">
        <f t="shared" si="702"/>
        <v/>
      </c>
      <c r="Q1471" s="46" t="str">
        <f t="shared" si="703"/>
        <v/>
      </c>
      <c r="R1471" s="47" t="e">
        <f t="shared" si="704"/>
        <v>#VALUE!</v>
      </c>
      <c r="S1471" s="48" t="e">
        <f t="shared" si="705"/>
        <v>#VALUE!</v>
      </c>
      <c r="T1471" s="47" t="str">
        <f t="shared" si="706"/>
        <v/>
      </c>
      <c r="U1471" s="49"/>
      <c r="V1471" s="50"/>
      <c r="W1471" s="51" t="e">
        <f t="shared" si="707"/>
        <v>#VALUE!</v>
      </c>
      <c r="X1471" s="52"/>
      <c r="Y1471" s="52"/>
      <c r="Z1471" s="52"/>
      <c r="AA1471" s="47" t="e">
        <f>INDEX(VISITORS[INSECT ORDER], MATCH(X1471,VISITORS[NAME USED],0))</f>
        <v>#N/A</v>
      </c>
      <c r="AB1471" s="47" t="e">
        <f t="shared" si="708"/>
        <v>#N/A</v>
      </c>
      <c r="AC1471" s="53" t="e">
        <f t="shared" si="709"/>
        <v>#VALUE!</v>
      </c>
      <c r="AD1471" s="54" t="str">
        <f t="shared" si="710"/>
        <v/>
      </c>
      <c r="AE1471" s="54"/>
      <c r="AF1471" s="54"/>
      <c r="AG1471" s="55" t="str">
        <f t="shared" si="711"/>
        <v/>
      </c>
      <c r="AH1471" s="56" t="str">
        <f t="shared" si="712"/>
        <v/>
      </c>
      <c r="AI1471" s="55"/>
      <c r="AJ1471" s="56" t="str">
        <f t="shared" si="713"/>
        <v/>
      </c>
      <c r="AK1471" s="55"/>
      <c r="AL1471" s="56" t="str">
        <f t="shared" si="714"/>
        <v/>
      </c>
      <c r="AM1471" s="55"/>
      <c r="AN1471" s="56" t="str">
        <f t="shared" si="715"/>
        <v/>
      </c>
      <c r="AO1471" s="55"/>
      <c r="AP1471" s="56" t="str">
        <f t="shared" si="716"/>
        <v/>
      </c>
      <c r="AQ1471" s="55"/>
      <c r="AR1471" s="56" t="str">
        <f t="shared" si="717"/>
        <v/>
      </c>
      <c r="AS1471" s="57"/>
      <c r="AT1471" s="58"/>
      <c r="AU1471" s="58"/>
      <c r="AV1471" s="59"/>
      <c r="AW1471" s="60" t="str">
        <f t="shared" si="718"/>
        <v/>
      </c>
      <c r="AX1471" s="61" t="str">
        <f t="shared" si="719"/>
        <v/>
      </c>
      <c r="AY1471" s="60" t="str">
        <f t="shared" si="720"/>
        <v/>
      </c>
      <c r="AZ1471" s="61" t="str">
        <f t="shared" si="721"/>
        <v/>
      </c>
    </row>
    <row r="1472" spans="1:52" s="3" customFormat="1" ht="15" hidden="1" thickBot="1" x14ac:dyDescent="0.4">
      <c r="A1472" s="85">
        <f t="shared" si="692"/>
        <v>2019</v>
      </c>
      <c r="B1472" s="85" t="str">
        <f t="shared" si="697"/>
        <v>Nov</v>
      </c>
      <c r="C1472" s="86">
        <f t="shared" si="698"/>
        <v>19</v>
      </c>
      <c r="D1472" s="87">
        <f t="shared" si="699"/>
        <v>8</v>
      </c>
      <c r="E1472" s="88">
        <f t="shared" si="695"/>
        <v>17</v>
      </c>
      <c r="F1472" s="89"/>
      <c r="G1472" s="90"/>
      <c r="H1472" s="68" t="str">
        <f t="shared" si="700"/>
        <v>Senbur0_20191119_08_00</v>
      </c>
      <c r="I1472" s="91">
        <f t="shared" ref="I1472:N1472" si="750">I1471</f>
        <v>1</v>
      </c>
      <c r="J1472" s="92" t="str">
        <f t="shared" si="750"/>
        <v>Senecio</v>
      </c>
      <c r="K1472" s="92" t="str">
        <f t="shared" si="750"/>
        <v>burtoni</v>
      </c>
      <c r="L1472" s="93">
        <f t="shared" si="750"/>
        <v>0</v>
      </c>
      <c r="M1472" s="93">
        <f t="shared" si="750"/>
        <v>7</v>
      </c>
      <c r="N1472" s="94">
        <f t="shared" si="750"/>
        <v>0</v>
      </c>
      <c r="O1472" s="95"/>
      <c r="P1472" s="96" t="str">
        <f t="shared" si="702"/>
        <v/>
      </c>
      <c r="Q1472" s="97" t="str">
        <f t="shared" si="703"/>
        <v/>
      </c>
      <c r="R1472" s="98" t="e">
        <f t="shared" si="704"/>
        <v>#VALUE!</v>
      </c>
      <c r="S1472" s="98" t="e">
        <f t="shared" si="705"/>
        <v>#VALUE!</v>
      </c>
      <c r="T1472" s="98" t="str">
        <f t="shared" si="706"/>
        <v/>
      </c>
      <c r="U1472" s="99"/>
      <c r="V1472" s="100"/>
      <c r="W1472" s="101" t="e">
        <f t="shared" si="707"/>
        <v>#VALUE!</v>
      </c>
      <c r="X1472" s="102"/>
      <c r="Y1472" s="122"/>
      <c r="Z1472" s="122"/>
      <c r="AA1472" s="47" t="e">
        <f>INDEX(VISITORS[INSECT ORDER], MATCH(X1472,VISITORS[NAME USED],0))</f>
        <v>#N/A</v>
      </c>
      <c r="AB1472" s="98" t="e">
        <f t="shared" si="708"/>
        <v>#N/A</v>
      </c>
      <c r="AC1472" s="53" t="e">
        <f t="shared" si="709"/>
        <v>#VALUE!</v>
      </c>
      <c r="AD1472" s="103" t="str">
        <f t="shared" si="710"/>
        <v/>
      </c>
      <c r="AE1472" s="103"/>
      <c r="AF1472" s="103"/>
      <c r="AG1472" s="104" t="str">
        <f t="shared" si="711"/>
        <v/>
      </c>
      <c r="AH1472" s="105" t="str">
        <f t="shared" si="712"/>
        <v/>
      </c>
      <c r="AI1472" s="104"/>
      <c r="AJ1472" s="105" t="str">
        <f t="shared" si="713"/>
        <v/>
      </c>
      <c r="AK1472" s="104"/>
      <c r="AL1472" s="105" t="str">
        <f t="shared" si="714"/>
        <v/>
      </c>
      <c r="AM1472" s="104"/>
      <c r="AN1472" s="105" t="str">
        <f t="shared" si="715"/>
        <v/>
      </c>
      <c r="AO1472" s="104"/>
      <c r="AP1472" s="105" t="str">
        <f t="shared" si="716"/>
        <v/>
      </c>
      <c r="AQ1472" s="104"/>
      <c r="AR1472" s="105" t="str">
        <f t="shared" si="717"/>
        <v/>
      </c>
      <c r="AS1472" s="106"/>
      <c r="AT1472" s="107"/>
      <c r="AU1472" s="107"/>
      <c r="AV1472" s="108"/>
      <c r="AW1472" s="109" t="str">
        <f t="shared" si="718"/>
        <v/>
      </c>
      <c r="AX1472" s="110" t="str">
        <f t="shared" si="719"/>
        <v/>
      </c>
      <c r="AY1472" s="109" t="str">
        <f t="shared" si="720"/>
        <v/>
      </c>
      <c r="AZ1472" s="110" t="str">
        <f t="shared" si="721"/>
        <v/>
      </c>
    </row>
    <row r="1473" spans="1:52" s="3" customFormat="1" ht="11.25" hidden="1" customHeight="1" x14ac:dyDescent="0.35">
      <c r="A1473" s="72">
        <f t="shared" si="692"/>
        <v>2019</v>
      </c>
      <c r="B1473" s="72" t="str">
        <f t="shared" si="697"/>
        <v>Nov</v>
      </c>
      <c r="C1473" s="73">
        <f t="shared" si="698"/>
        <v>19</v>
      </c>
      <c r="D1473" s="74">
        <f t="shared" si="699"/>
        <v>8</v>
      </c>
      <c r="E1473" s="75">
        <f t="shared" si="695"/>
        <v>18</v>
      </c>
      <c r="F1473" s="79"/>
      <c r="G1473" s="82"/>
      <c r="H1473" s="68" t="str">
        <f t="shared" si="700"/>
        <v>Senbur0_20191119_08_00</v>
      </c>
      <c r="I1473" s="69">
        <f t="shared" ref="I1473:N1473" si="751">I1472</f>
        <v>1</v>
      </c>
      <c r="J1473" s="76" t="str">
        <f t="shared" si="751"/>
        <v>Senecio</v>
      </c>
      <c r="K1473" s="76" t="str">
        <f t="shared" si="751"/>
        <v>burtoni</v>
      </c>
      <c r="L1473" s="77">
        <f t="shared" si="751"/>
        <v>0</v>
      </c>
      <c r="M1473" s="77">
        <f t="shared" si="751"/>
        <v>7</v>
      </c>
      <c r="N1473" s="71">
        <f t="shared" si="751"/>
        <v>0</v>
      </c>
      <c r="O1473" s="44"/>
      <c r="P1473" s="45" t="str">
        <f t="shared" si="702"/>
        <v/>
      </c>
      <c r="Q1473" s="46" t="str">
        <f t="shared" si="703"/>
        <v/>
      </c>
      <c r="R1473" s="47" t="e">
        <f t="shared" si="704"/>
        <v>#VALUE!</v>
      </c>
      <c r="S1473" s="48" t="e">
        <f t="shared" si="705"/>
        <v>#VALUE!</v>
      </c>
      <c r="T1473" s="47" t="str">
        <f t="shared" si="706"/>
        <v/>
      </c>
      <c r="U1473" s="49"/>
      <c r="V1473" s="50"/>
      <c r="W1473" s="51" t="e">
        <f t="shared" si="707"/>
        <v>#VALUE!</v>
      </c>
      <c r="X1473" s="52"/>
      <c r="Y1473" s="52"/>
      <c r="Z1473" s="52"/>
      <c r="AA1473" s="47" t="e">
        <f>INDEX(VISITORS[INSECT ORDER], MATCH(X1473,VISITORS[NAME USED],0))</f>
        <v>#N/A</v>
      </c>
      <c r="AB1473" s="47" t="e">
        <f t="shared" si="708"/>
        <v>#N/A</v>
      </c>
      <c r="AC1473" s="53" t="e">
        <f t="shared" si="709"/>
        <v>#VALUE!</v>
      </c>
      <c r="AD1473" s="54" t="str">
        <f t="shared" si="710"/>
        <v/>
      </c>
      <c r="AE1473" s="54"/>
      <c r="AF1473" s="54"/>
      <c r="AG1473" s="55" t="str">
        <f t="shared" si="711"/>
        <v/>
      </c>
      <c r="AH1473" s="56" t="str">
        <f t="shared" si="712"/>
        <v/>
      </c>
      <c r="AI1473" s="55"/>
      <c r="AJ1473" s="56" t="str">
        <f t="shared" si="713"/>
        <v/>
      </c>
      <c r="AK1473" s="55"/>
      <c r="AL1473" s="56" t="str">
        <f t="shared" si="714"/>
        <v/>
      </c>
      <c r="AM1473" s="55"/>
      <c r="AN1473" s="56" t="str">
        <f t="shared" si="715"/>
        <v/>
      </c>
      <c r="AO1473" s="55"/>
      <c r="AP1473" s="56" t="str">
        <f t="shared" si="716"/>
        <v/>
      </c>
      <c r="AQ1473" s="55"/>
      <c r="AR1473" s="56" t="str">
        <f t="shared" si="717"/>
        <v/>
      </c>
      <c r="AS1473" s="57"/>
      <c r="AT1473" s="58"/>
      <c r="AU1473" s="58"/>
      <c r="AV1473" s="59"/>
      <c r="AW1473" s="60" t="str">
        <f t="shared" si="718"/>
        <v/>
      </c>
      <c r="AX1473" s="61" t="str">
        <f t="shared" si="719"/>
        <v/>
      </c>
      <c r="AY1473" s="60" t="str">
        <f t="shared" si="720"/>
        <v/>
      </c>
      <c r="AZ1473" s="61" t="str">
        <f t="shared" si="721"/>
        <v/>
      </c>
    </row>
    <row r="1474" spans="1:52" s="3" customFormat="1" hidden="1" x14ac:dyDescent="0.35">
      <c r="A1474" s="72">
        <f t="shared" si="692"/>
        <v>2019</v>
      </c>
      <c r="B1474" s="72" t="str">
        <f t="shared" si="697"/>
        <v>Nov</v>
      </c>
      <c r="C1474" s="73">
        <f t="shared" si="698"/>
        <v>19</v>
      </c>
      <c r="D1474" s="74">
        <f t="shared" si="699"/>
        <v>8</v>
      </c>
      <c r="E1474" s="75">
        <f t="shared" si="695"/>
        <v>19</v>
      </c>
      <c r="F1474" s="79">
        <v>34</v>
      </c>
      <c r="G1474" s="82"/>
      <c r="H1474" s="68" t="str">
        <f t="shared" si="700"/>
        <v>Senbur0_20191119_08_00</v>
      </c>
      <c r="I1474" s="69">
        <f t="shared" ref="I1474:N1474" si="752">I1473</f>
        <v>1</v>
      </c>
      <c r="J1474" s="76" t="str">
        <f t="shared" si="752"/>
        <v>Senecio</v>
      </c>
      <c r="K1474" s="76" t="str">
        <f t="shared" si="752"/>
        <v>burtoni</v>
      </c>
      <c r="L1474" s="77">
        <f t="shared" si="752"/>
        <v>0</v>
      </c>
      <c r="M1474" s="77">
        <f t="shared" si="752"/>
        <v>7</v>
      </c>
      <c r="N1474" s="71">
        <f t="shared" si="752"/>
        <v>0</v>
      </c>
      <c r="O1474" s="44"/>
      <c r="P1474" s="45">
        <f t="shared" si="702"/>
        <v>1</v>
      </c>
      <c r="Q1474" s="46" t="str">
        <f t="shared" si="703"/>
        <v>08:19:34</v>
      </c>
      <c r="R1474" s="47" t="str">
        <f t="shared" si="704"/>
        <v>19:34</v>
      </c>
      <c r="S1474" s="48">
        <f t="shared" si="705"/>
        <v>-1174</v>
      </c>
      <c r="T1474" s="47" t="str">
        <f t="shared" si="706"/>
        <v>08</v>
      </c>
      <c r="U1474" s="49"/>
      <c r="V1474" s="50"/>
      <c r="W1474" s="51" t="str">
        <f t="shared" si="707"/>
        <v>00:00</v>
      </c>
      <c r="X1474" s="52" t="s">
        <v>63</v>
      </c>
      <c r="Y1474" s="124" t="s">
        <v>95</v>
      </c>
      <c r="Z1474" s="124"/>
      <c r="AA1474" s="47" t="s">
        <v>59</v>
      </c>
      <c r="AB1474" s="47" t="str">
        <f t="shared" si="708"/>
        <v>NA</v>
      </c>
      <c r="AC1474" s="53" t="str">
        <f t="shared" si="709"/>
        <v/>
      </c>
      <c r="AD1474" s="54">
        <f t="shared" si="710"/>
        <v>1</v>
      </c>
      <c r="AE1474" s="54"/>
      <c r="AF1474" s="54"/>
      <c r="AG1474" s="55" t="str">
        <f t="shared" si="711"/>
        <v/>
      </c>
      <c r="AH1474" s="56" t="str">
        <f t="shared" si="712"/>
        <v/>
      </c>
      <c r="AI1474" s="55"/>
      <c r="AJ1474" s="56" t="str">
        <f t="shared" si="713"/>
        <v/>
      </c>
      <c r="AK1474" s="55"/>
      <c r="AL1474" s="56" t="str">
        <f t="shared" si="714"/>
        <v/>
      </c>
      <c r="AM1474" s="55"/>
      <c r="AN1474" s="56" t="str">
        <f t="shared" si="715"/>
        <v/>
      </c>
      <c r="AO1474" s="55"/>
      <c r="AP1474" s="56" t="str">
        <f t="shared" si="716"/>
        <v/>
      </c>
      <c r="AQ1474" s="55"/>
      <c r="AR1474" s="56" t="str">
        <f t="shared" si="717"/>
        <v/>
      </c>
      <c r="AS1474" s="57"/>
      <c r="AT1474" s="58"/>
      <c r="AU1474" s="58"/>
      <c r="AV1474" s="59"/>
      <c r="AW1474" s="60">
        <f t="shared" si="718"/>
        <v>0</v>
      </c>
      <c r="AX1474" s="61" t="str">
        <f t="shared" si="719"/>
        <v/>
      </c>
      <c r="AY1474" s="60">
        <f t="shared" si="720"/>
        <v>0</v>
      </c>
      <c r="AZ1474" s="61" t="str">
        <f t="shared" si="721"/>
        <v/>
      </c>
    </row>
    <row r="1475" spans="1:52" s="3" customFormat="1" ht="15" hidden="1" thickBot="1" x14ac:dyDescent="0.4">
      <c r="A1475" s="85">
        <f t="shared" si="692"/>
        <v>2019</v>
      </c>
      <c r="B1475" s="85" t="str">
        <f t="shared" si="697"/>
        <v>Nov</v>
      </c>
      <c r="C1475" s="86">
        <f t="shared" si="698"/>
        <v>19</v>
      </c>
      <c r="D1475" s="87">
        <f t="shared" si="699"/>
        <v>8</v>
      </c>
      <c r="E1475" s="88">
        <f t="shared" si="695"/>
        <v>20</v>
      </c>
      <c r="F1475" s="89">
        <v>24</v>
      </c>
      <c r="G1475" s="90"/>
      <c r="H1475" s="68" t="str">
        <f t="shared" si="700"/>
        <v>Senbur0_20191119_08_00</v>
      </c>
      <c r="I1475" s="91">
        <f t="shared" ref="I1475:N1475" si="753">I1474</f>
        <v>1</v>
      </c>
      <c r="J1475" s="92" t="str">
        <f t="shared" si="753"/>
        <v>Senecio</v>
      </c>
      <c r="K1475" s="92" t="str">
        <f t="shared" si="753"/>
        <v>burtoni</v>
      </c>
      <c r="L1475" s="93">
        <f t="shared" si="753"/>
        <v>0</v>
      </c>
      <c r="M1475" s="93">
        <f t="shared" si="753"/>
        <v>7</v>
      </c>
      <c r="N1475" s="94">
        <f t="shared" si="753"/>
        <v>0</v>
      </c>
      <c r="O1475" s="95"/>
      <c r="P1475" s="96">
        <f t="shared" si="702"/>
        <v>1</v>
      </c>
      <c r="Q1475" s="97" t="str">
        <f t="shared" si="703"/>
        <v>08:20:24</v>
      </c>
      <c r="R1475" s="98" t="str">
        <f t="shared" si="704"/>
        <v>20:24</v>
      </c>
      <c r="S1475" s="98">
        <f t="shared" si="705"/>
        <v>9</v>
      </c>
      <c r="T1475" s="98" t="str">
        <f t="shared" si="706"/>
        <v>08</v>
      </c>
      <c r="U1475" s="99">
        <v>20</v>
      </c>
      <c r="V1475" s="100">
        <v>33</v>
      </c>
      <c r="W1475" s="101" t="str">
        <f t="shared" si="707"/>
        <v>20:33</v>
      </c>
      <c r="X1475" s="102" t="s">
        <v>63</v>
      </c>
      <c r="Y1475" s="126" t="s">
        <v>88</v>
      </c>
      <c r="Z1475" s="126"/>
      <c r="AA1475" s="47" t="s">
        <v>59</v>
      </c>
      <c r="AB1475" s="98" t="str">
        <f t="shared" si="708"/>
        <v>NA</v>
      </c>
      <c r="AC1475" s="53">
        <f t="shared" si="709"/>
        <v>0</v>
      </c>
      <c r="AD1475" s="103">
        <f t="shared" si="710"/>
        <v>1</v>
      </c>
      <c r="AE1475" s="103"/>
      <c r="AF1475" s="103"/>
      <c r="AG1475" s="104">
        <v>1</v>
      </c>
      <c r="AH1475" s="105">
        <v>3</v>
      </c>
      <c r="AI1475" s="104"/>
      <c r="AJ1475" s="105" t="str">
        <f t="shared" si="713"/>
        <v/>
      </c>
      <c r="AK1475" s="104"/>
      <c r="AL1475" s="105" t="str">
        <f t="shared" si="714"/>
        <v/>
      </c>
      <c r="AM1475" s="104">
        <v>1</v>
      </c>
      <c r="AN1475" s="105">
        <v>6</v>
      </c>
      <c r="AO1475" s="104"/>
      <c r="AP1475" s="105" t="str">
        <f t="shared" si="716"/>
        <v/>
      </c>
      <c r="AQ1475" s="104"/>
      <c r="AR1475" s="105" t="str">
        <f t="shared" si="717"/>
        <v/>
      </c>
      <c r="AS1475" s="106"/>
      <c r="AT1475" s="107"/>
      <c r="AU1475" s="107"/>
      <c r="AV1475" s="108"/>
      <c r="AW1475" s="109">
        <v>1</v>
      </c>
      <c r="AX1475" s="110">
        <f t="shared" si="719"/>
        <v>1</v>
      </c>
      <c r="AY1475" s="109">
        <v>1</v>
      </c>
      <c r="AZ1475" s="110">
        <f t="shared" si="721"/>
        <v>1</v>
      </c>
    </row>
    <row r="1476" spans="1:52" s="3" customFormat="1" ht="11.25" hidden="1" customHeight="1" x14ac:dyDescent="0.35">
      <c r="A1476" s="72">
        <f t="shared" si="692"/>
        <v>2019</v>
      </c>
      <c r="B1476" s="72" t="str">
        <f t="shared" si="697"/>
        <v>Nov</v>
      </c>
      <c r="C1476" s="73">
        <f t="shared" si="698"/>
        <v>19</v>
      </c>
      <c r="D1476" s="74">
        <f t="shared" si="699"/>
        <v>8</v>
      </c>
      <c r="E1476" s="75">
        <f t="shared" si="695"/>
        <v>21</v>
      </c>
      <c r="F1476" s="79"/>
      <c r="G1476" s="82"/>
      <c r="H1476" s="68" t="str">
        <f t="shared" si="700"/>
        <v>Senbur0_20191119_08_00</v>
      </c>
      <c r="I1476" s="69">
        <f t="shared" ref="I1476:N1476" si="754">I1475</f>
        <v>1</v>
      </c>
      <c r="J1476" s="76" t="str">
        <f t="shared" si="754"/>
        <v>Senecio</v>
      </c>
      <c r="K1476" s="76" t="str">
        <f t="shared" si="754"/>
        <v>burtoni</v>
      </c>
      <c r="L1476" s="77">
        <f t="shared" si="754"/>
        <v>0</v>
      </c>
      <c r="M1476" s="77">
        <f t="shared" si="754"/>
        <v>7</v>
      </c>
      <c r="N1476" s="71">
        <f t="shared" si="754"/>
        <v>0</v>
      </c>
      <c r="O1476" s="44"/>
      <c r="P1476" s="45" t="str">
        <f t="shared" si="702"/>
        <v/>
      </c>
      <c r="Q1476" s="46" t="str">
        <f t="shared" si="703"/>
        <v/>
      </c>
      <c r="R1476" s="47" t="e">
        <f t="shared" si="704"/>
        <v>#VALUE!</v>
      </c>
      <c r="S1476" s="48" t="e">
        <f t="shared" si="705"/>
        <v>#VALUE!</v>
      </c>
      <c r="T1476" s="47" t="str">
        <f t="shared" si="706"/>
        <v/>
      </c>
      <c r="U1476" s="49"/>
      <c r="V1476" s="50"/>
      <c r="W1476" s="51" t="e">
        <f t="shared" si="707"/>
        <v>#VALUE!</v>
      </c>
      <c r="X1476" s="52"/>
      <c r="Y1476" s="52"/>
      <c r="Z1476" s="52"/>
      <c r="AA1476" s="47" t="e">
        <f>INDEX(VISITORS[INSECT ORDER], MATCH(X1476,VISITORS[NAME USED],0))</f>
        <v>#N/A</v>
      </c>
      <c r="AB1476" s="47" t="e">
        <f t="shared" si="708"/>
        <v>#N/A</v>
      </c>
      <c r="AC1476" s="53" t="e">
        <f t="shared" si="709"/>
        <v>#VALUE!</v>
      </c>
      <c r="AD1476" s="54" t="str">
        <f t="shared" si="710"/>
        <v/>
      </c>
      <c r="AE1476" s="54"/>
      <c r="AF1476" s="54"/>
      <c r="AG1476" s="55" t="str">
        <f t="shared" si="711"/>
        <v/>
      </c>
      <c r="AH1476" s="56" t="str">
        <f t="shared" si="712"/>
        <v/>
      </c>
      <c r="AI1476" s="55"/>
      <c r="AJ1476" s="56" t="str">
        <f t="shared" si="713"/>
        <v/>
      </c>
      <c r="AK1476" s="55"/>
      <c r="AL1476" s="56" t="str">
        <f t="shared" si="714"/>
        <v/>
      </c>
      <c r="AM1476" s="55"/>
      <c r="AN1476" s="56" t="str">
        <f t="shared" si="715"/>
        <v/>
      </c>
      <c r="AO1476" s="55"/>
      <c r="AP1476" s="56" t="str">
        <f t="shared" si="716"/>
        <v/>
      </c>
      <c r="AQ1476" s="55"/>
      <c r="AR1476" s="56" t="str">
        <f t="shared" si="717"/>
        <v/>
      </c>
      <c r="AS1476" s="57"/>
      <c r="AT1476" s="58"/>
      <c r="AU1476" s="58"/>
      <c r="AV1476" s="59"/>
      <c r="AW1476" s="60" t="str">
        <f t="shared" si="718"/>
        <v/>
      </c>
      <c r="AX1476" s="61" t="str">
        <f t="shared" si="719"/>
        <v/>
      </c>
      <c r="AY1476" s="60" t="str">
        <f t="shared" si="720"/>
        <v/>
      </c>
      <c r="AZ1476" s="61" t="str">
        <f t="shared" si="721"/>
        <v/>
      </c>
    </row>
    <row r="1477" spans="1:52" s="3" customFormat="1" hidden="1" x14ac:dyDescent="0.35">
      <c r="A1477" s="72">
        <f t="shared" si="692"/>
        <v>2019</v>
      </c>
      <c r="B1477" s="72" t="str">
        <f t="shared" si="697"/>
        <v>Nov</v>
      </c>
      <c r="C1477" s="73">
        <f t="shared" si="698"/>
        <v>19</v>
      </c>
      <c r="D1477" s="74">
        <f t="shared" si="699"/>
        <v>8</v>
      </c>
      <c r="E1477" s="75">
        <f t="shared" si="695"/>
        <v>22</v>
      </c>
      <c r="F1477" s="79"/>
      <c r="G1477" s="82"/>
      <c r="H1477" s="68" t="str">
        <f t="shared" si="700"/>
        <v>Senbur0_20191119_08_00</v>
      </c>
      <c r="I1477" s="69">
        <f t="shared" ref="I1477:N1477" si="755">I1476</f>
        <v>1</v>
      </c>
      <c r="J1477" s="76" t="str">
        <f t="shared" si="755"/>
        <v>Senecio</v>
      </c>
      <c r="K1477" s="76" t="str">
        <f t="shared" si="755"/>
        <v>burtoni</v>
      </c>
      <c r="L1477" s="77">
        <f t="shared" si="755"/>
        <v>0</v>
      </c>
      <c r="M1477" s="77">
        <f t="shared" si="755"/>
        <v>7</v>
      </c>
      <c r="N1477" s="71">
        <f t="shared" si="755"/>
        <v>0</v>
      </c>
      <c r="O1477" s="44"/>
      <c r="P1477" s="45" t="str">
        <f t="shared" si="702"/>
        <v/>
      </c>
      <c r="Q1477" s="46" t="str">
        <f t="shared" si="703"/>
        <v/>
      </c>
      <c r="R1477" s="47" t="e">
        <f t="shared" si="704"/>
        <v>#VALUE!</v>
      </c>
      <c r="S1477" s="48" t="e">
        <f t="shared" si="705"/>
        <v>#VALUE!</v>
      </c>
      <c r="T1477" s="47" t="str">
        <f t="shared" si="706"/>
        <v/>
      </c>
      <c r="U1477" s="49"/>
      <c r="V1477" s="50"/>
      <c r="W1477" s="51" t="e">
        <f t="shared" si="707"/>
        <v>#VALUE!</v>
      </c>
      <c r="X1477" s="52"/>
      <c r="Y1477" s="52"/>
      <c r="Z1477" s="52"/>
      <c r="AA1477" s="47" t="e">
        <f>INDEX(VISITORS[INSECT ORDER], MATCH(X1477,VISITORS[NAME USED],0))</f>
        <v>#N/A</v>
      </c>
      <c r="AB1477" s="47" t="e">
        <f t="shared" si="708"/>
        <v>#N/A</v>
      </c>
      <c r="AC1477" s="53" t="e">
        <f t="shared" si="709"/>
        <v>#VALUE!</v>
      </c>
      <c r="AD1477" s="54" t="str">
        <f t="shared" si="710"/>
        <v/>
      </c>
      <c r="AE1477" s="54"/>
      <c r="AF1477" s="54"/>
      <c r="AG1477" s="55" t="str">
        <f t="shared" si="711"/>
        <v/>
      </c>
      <c r="AH1477" s="56" t="str">
        <f t="shared" si="712"/>
        <v/>
      </c>
      <c r="AI1477" s="55"/>
      <c r="AJ1477" s="56" t="str">
        <f t="shared" si="713"/>
        <v/>
      </c>
      <c r="AK1477" s="55"/>
      <c r="AL1477" s="56" t="str">
        <f t="shared" si="714"/>
        <v/>
      </c>
      <c r="AM1477" s="55"/>
      <c r="AN1477" s="56" t="str">
        <f t="shared" si="715"/>
        <v/>
      </c>
      <c r="AO1477" s="55"/>
      <c r="AP1477" s="56" t="str">
        <f t="shared" si="716"/>
        <v/>
      </c>
      <c r="AQ1477" s="55"/>
      <c r="AR1477" s="56" t="str">
        <f t="shared" si="717"/>
        <v/>
      </c>
      <c r="AS1477" s="57"/>
      <c r="AT1477" s="58"/>
      <c r="AU1477" s="58"/>
      <c r="AV1477" s="59"/>
      <c r="AW1477" s="60" t="str">
        <f t="shared" si="718"/>
        <v/>
      </c>
      <c r="AX1477" s="61" t="str">
        <f t="shared" si="719"/>
        <v/>
      </c>
      <c r="AY1477" s="60" t="str">
        <f t="shared" si="720"/>
        <v/>
      </c>
      <c r="AZ1477" s="61" t="str">
        <f t="shared" si="721"/>
        <v/>
      </c>
    </row>
    <row r="1478" spans="1:52" s="3" customFormat="1" ht="15" hidden="1" thickBot="1" x14ac:dyDescent="0.4">
      <c r="A1478" s="85">
        <f t="shared" si="692"/>
        <v>2019</v>
      </c>
      <c r="B1478" s="85" t="str">
        <f t="shared" si="697"/>
        <v>Nov</v>
      </c>
      <c r="C1478" s="86">
        <f t="shared" si="698"/>
        <v>19</v>
      </c>
      <c r="D1478" s="87">
        <f t="shared" si="699"/>
        <v>8</v>
      </c>
      <c r="E1478" s="88">
        <f t="shared" si="695"/>
        <v>23</v>
      </c>
      <c r="F1478" s="89"/>
      <c r="G1478" s="90"/>
      <c r="H1478" s="68" t="str">
        <f t="shared" si="700"/>
        <v>Senbur0_20191119_08_00</v>
      </c>
      <c r="I1478" s="91">
        <f t="shared" ref="I1478:N1478" si="756">I1477</f>
        <v>1</v>
      </c>
      <c r="J1478" s="92" t="str">
        <f t="shared" si="756"/>
        <v>Senecio</v>
      </c>
      <c r="K1478" s="92" t="str">
        <f t="shared" si="756"/>
        <v>burtoni</v>
      </c>
      <c r="L1478" s="93">
        <f t="shared" si="756"/>
        <v>0</v>
      </c>
      <c r="M1478" s="93">
        <f t="shared" si="756"/>
        <v>7</v>
      </c>
      <c r="N1478" s="94">
        <f t="shared" si="756"/>
        <v>0</v>
      </c>
      <c r="O1478" s="95"/>
      <c r="P1478" s="96" t="str">
        <f t="shared" si="702"/>
        <v/>
      </c>
      <c r="Q1478" s="97" t="str">
        <f t="shared" si="703"/>
        <v/>
      </c>
      <c r="R1478" s="98" t="e">
        <f t="shared" si="704"/>
        <v>#VALUE!</v>
      </c>
      <c r="S1478" s="98" t="e">
        <f t="shared" si="705"/>
        <v>#VALUE!</v>
      </c>
      <c r="T1478" s="98" t="str">
        <f t="shared" si="706"/>
        <v/>
      </c>
      <c r="U1478" s="99"/>
      <c r="V1478" s="100"/>
      <c r="W1478" s="101" t="e">
        <f t="shared" si="707"/>
        <v>#VALUE!</v>
      </c>
      <c r="X1478" s="102"/>
      <c r="Y1478" s="122"/>
      <c r="Z1478" s="122"/>
      <c r="AA1478" s="47" t="e">
        <f>INDEX(VISITORS[INSECT ORDER], MATCH(X1478,VISITORS[NAME USED],0))</f>
        <v>#N/A</v>
      </c>
      <c r="AB1478" s="98" t="e">
        <f t="shared" si="708"/>
        <v>#N/A</v>
      </c>
      <c r="AC1478" s="53" t="e">
        <f t="shared" si="709"/>
        <v>#VALUE!</v>
      </c>
      <c r="AD1478" s="103" t="str">
        <f t="shared" si="710"/>
        <v/>
      </c>
      <c r="AE1478" s="103"/>
      <c r="AF1478" s="103"/>
      <c r="AG1478" s="104" t="str">
        <f t="shared" si="711"/>
        <v/>
      </c>
      <c r="AH1478" s="105" t="str">
        <f t="shared" si="712"/>
        <v/>
      </c>
      <c r="AI1478" s="104"/>
      <c r="AJ1478" s="105" t="str">
        <f t="shared" si="713"/>
        <v/>
      </c>
      <c r="AK1478" s="104"/>
      <c r="AL1478" s="105" t="str">
        <f t="shared" si="714"/>
        <v/>
      </c>
      <c r="AM1478" s="104"/>
      <c r="AN1478" s="105" t="str">
        <f t="shared" si="715"/>
        <v/>
      </c>
      <c r="AO1478" s="104"/>
      <c r="AP1478" s="105" t="str">
        <f t="shared" si="716"/>
        <v/>
      </c>
      <c r="AQ1478" s="104"/>
      <c r="AR1478" s="105" t="str">
        <f t="shared" si="717"/>
        <v/>
      </c>
      <c r="AS1478" s="106"/>
      <c r="AT1478" s="107"/>
      <c r="AU1478" s="107"/>
      <c r="AV1478" s="108"/>
      <c r="AW1478" s="109" t="str">
        <f t="shared" si="718"/>
        <v/>
      </c>
      <c r="AX1478" s="110" t="str">
        <f t="shared" si="719"/>
        <v/>
      </c>
      <c r="AY1478" s="109" t="str">
        <f t="shared" si="720"/>
        <v/>
      </c>
      <c r="AZ1478" s="110" t="str">
        <f t="shared" si="721"/>
        <v/>
      </c>
    </row>
    <row r="1479" spans="1:52" s="3" customFormat="1" ht="11.25" hidden="1" customHeight="1" x14ac:dyDescent="0.35">
      <c r="A1479" s="72">
        <f t="shared" si="692"/>
        <v>2019</v>
      </c>
      <c r="B1479" s="72" t="str">
        <f t="shared" si="697"/>
        <v>Nov</v>
      </c>
      <c r="C1479" s="73">
        <f t="shared" si="698"/>
        <v>19</v>
      </c>
      <c r="D1479" s="74">
        <f t="shared" si="699"/>
        <v>8</v>
      </c>
      <c r="E1479" s="75">
        <f t="shared" si="695"/>
        <v>24</v>
      </c>
      <c r="F1479" s="79">
        <v>29</v>
      </c>
      <c r="G1479" s="82"/>
      <c r="H1479" s="68" t="str">
        <f t="shared" si="700"/>
        <v>Senbur0_20191119_08_00</v>
      </c>
      <c r="I1479" s="69">
        <f t="shared" ref="I1479:N1479" si="757">I1478</f>
        <v>1</v>
      </c>
      <c r="J1479" s="76" t="str">
        <f t="shared" si="757"/>
        <v>Senecio</v>
      </c>
      <c r="K1479" s="76" t="str">
        <f t="shared" si="757"/>
        <v>burtoni</v>
      </c>
      <c r="L1479" s="77">
        <f t="shared" si="757"/>
        <v>0</v>
      </c>
      <c r="M1479" s="77">
        <f t="shared" si="757"/>
        <v>7</v>
      </c>
      <c r="N1479" s="71">
        <f t="shared" si="757"/>
        <v>0</v>
      </c>
      <c r="O1479" s="44"/>
      <c r="P1479" s="45">
        <f t="shared" si="702"/>
        <v>1</v>
      </c>
      <c r="Q1479" s="46" t="str">
        <f t="shared" si="703"/>
        <v>08:24:29</v>
      </c>
      <c r="R1479" s="47" t="str">
        <f t="shared" si="704"/>
        <v>24:29</v>
      </c>
      <c r="S1479" s="48">
        <f t="shared" si="705"/>
        <v>18</v>
      </c>
      <c r="T1479" s="47" t="str">
        <f t="shared" si="706"/>
        <v>08</v>
      </c>
      <c r="U1479" s="49">
        <v>24</v>
      </c>
      <c r="V1479" s="50">
        <v>47</v>
      </c>
      <c r="W1479" s="51" t="str">
        <f t="shared" si="707"/>
        <v>24:47</v>
      </c>
      <c r="X1479" s="52" t="s">
        <v>63</v>
      </c>
      <c r="Y1479" s="124" t="s">
        <v>82</v>
      </c>
      <c r="Z1479" s="124"/>
      <c r="AA1479" s="47" t="s">
        <v>59</v>
      </c>
      <c r="AB1479" s="47" t="str">
        <f t="shared" si="708"/>
        <v>NA</v>
      </c>
      <c r="AC1479" s="53">
        <f t="shared" si="709"/>
        <v>0</v>
      </c>
      <c r="AD1479" s="54">
        <f t="shared" si="710"/>
        <v>1</v>
      </c>
      <c r="AE1479" s="54"/>
      <c r="AF1479" s="54"/>
      <c r="AG1479" s="55">
        <v>1</v>
      </c>
      <c r="AH1479" s="56">
        <f t="shared" si="712"/>
        <v>18</v>
      </c>
      <c r="AI1479" s="55"/>
      <c r="AJ1479" s="56" t="str">
        <f t="shared" si="713"/>
        <v/>
      </c>
      <c r="AK1479" s="55"/>
      <c r="AL1479" s="56" t="str">
        <f t="shared" si="714"/>
        <v/>
      </c>
      <c r="AM1479" s="55"/>
      <c r="AN1479" s="56" t="str">
        <f t="shared" si="715"/>
        <v/>
      </c>
      <c r="AO1479" s="55"/>
      <c r="AP1479" s="56" t="str">
        <f t="shared" si="716"/>
        <v/>
      </c>
      <c r="AQ1479" s="55"/>
      <c r="AR1479" s="56" t="str">
        <f t="shared" si="717"/>
        <v/>
      </c>
      <c r="AS1479" s="57"/>
      <c r="AT1479" s="58"/>
      <c r="AU1479" s="58"/>
      <c r="AV1479" s="59"/>
      <c r="AW1479" s="60">
        <v>1</v>
      </c>
      <c r="AX1479" s="61">
        <f t="shared" si="719"/>
        <v>1</v>
      </c>
      <c r="AY1479" s="60">
        <f t="shared" si="720"/>
        <v>0</v>
      </c>
      <c r="AZ1479" s="61" t="str">
        <f t="shared" si="721"/>
        <v/>
      </c>
    </row>
    <row r="1480" spans="1:52" s="3" customFormat="1" hidden="1" x14ac:dyDescent="0.35">
      <c r="A1480" s="72">
        <f t="shared" si="692"/>
        <v>2019</v>
      </c>
      <c r="B1480" s="72" t="str">
        <f t="shared" si="697"/>
        <v>Nov</v>
      </c>
      <c r="C1480" s="73">
        <f t="shared" si="698"/>
        <v>19</v>
      </c>
      <c r="D1480" s="74">
        <f t="shared" si="699"/>
        <v>8</v>
      </c>
      <c r="E1480" s="75">
        <f t="shared" si="695"/>
        <v>25</v>
      </c>
      <c r="F1480" s="79"/>
      <c r="G1480" s="82"/>
      <c r="H1480" s="68" t="str">
        <f t="shared" si="700"/>
        <v>Senbur0_20191119_08_00</v>
      </c>
      <c r="I1480" s="69">
        <f t="shared" ref="I1480:N1480" si="758">I1479</f>
        <v>1</v>
      </c>
      <c r="J1480" s="76" t="str">
        <f t="shared" si="758"/>
        <v>Senecio</v>
      </c>
      <c r="K1480" s="76" t="str">
        <f t="shared" si="758"/>
        <v>burtoni</v>
      </c>
      <c r="L1480" s="77">
        <f t="shared" si="758"/>
        <v>0</v>
      </c>
      <c r="M1480" s="77">
        <f t="shared" si="758"/>
        <v>7</v>
      </c>
      <c r="N1480" s="71">
        <f t="shared" si="758"/>
        <v>0</v>
      </c>
      <c r="O1480" s="44"/>
      <c r="P1480" s="45" t="str">
        <f t="shared" si="702"/>
        <v/>
      </c>
      <c r="Q1480" s="46" t="str">
        <f t="shared" si="703"/>
        <v/>
      </c>
      <c r="R1480" s="47" t="e">
        <f t="shared" si="704"/>
        <v>#VALUE!</v>
      </c>
      <c r="S1480" s="48" t="e">
        <f t="shared" si="705"/>
        <v>#VALUE!</v>
      </c>
      <c r="T1480" s="47" t="str">
        <f t="shared" si="706"/>
        <v/>
      </c>
      <c r="U1480" s="49"/>
      <c r="V1480" s="50"/>
      <c r="W1480" s="51" t="e">
        <f t="shared" si="707"/>
        <v>#VALUE!</v>
      </c>
      <c r="X1480" s="52"/>
      <c r="Y1480" s="52"/>
      <c r="Z1480" s="52"/>
      <c r="AA1480" s="47" t="e">
        <f>INDEX(VISITORS[INSECT ORDER], MATCH(X1480,VISITORS[NAME USED],0))</f>
        <v>#N/A</v>
      </c>
      <c r="AB1480" s="47" t="e">
        <f t="shared" si="708"/>
        <v>#N/A</v>
      </c>
      <c r="AC1480" s="53" t="e">
        <f t="shared" si="709"/>
        <v>#VALUE!</v>
      </c>
      <c r="AD1480" s="54" t="str">
        <f t="shared" si="710"/>
        <v/>
      </c>
      <c r="AE1480" s="54"/>
      <c r="AF1480" s="54"/>
      <c r="AG1480" s="55" t="str">
        <f t="shared" si="711"/>
        <v/>
      </c>
      <c r="AH1480" s="56" t="str">
        <f t="shared" si="712"/>
        <v/>
      </c>
      <c r="AI1480" s="55"/>
      <c r="AJ1480" s="56" t="str">
        <f t="shared" si="713"/>
        <v/>
      </c>
      <c r="AK1480" s="55"/>
      <c r="AL1480" s="56" t="str">
        <f t="shared" si="714"/>
        <v/>
      </c>
      <c r="AM1480" s="55"/>
      <c r="AN1480" s="56" t="str">
        <f t="shared" si="715"/>
        <v/>
      </c>
      <c r="AO1480" s="55"/>
      <c r="AP1480" s="56" t="str">
        <f t="shared" si="716"/>
        <v/>
      </c>
      <c r="AQ1480" s="55"/>
      <c r="AR1480" s="56" t="str">
        <f t="shared" si="717"/>
        <v/>
      </c>
      <c r="AS1480" s="57"/>
      <c r="AT1480" s="58"/>
      <c r="AU1480" s="58"/>
      <c r="AV1480" s="59"/>
      <c r="AW1480" s="60" t="str">
        <f t="shared" si="718"/>
        <v/>
      </c>
      <c r="AX1480" s="61" t="str">
        <f t="shared" si="719"/>
        <v/>
      </c>
      <c r="AY1480" s="60" t="str">
        <f t="shared" si="720"/>
        <v/>
      </c>
      <c r="AZ1480" s="61" t="str">
        <f t="shared" si="721"/>
        <v/>
      </c>
    </row>
    <row r="1481" spans="1:52" s="3" customFormat="1" ht="15" hidden="1" thickBot="1" x14ac:dyDescent="0.4">
      <c r="A1481" s="85">
        <f t="shared" si="692"/>
        <v>2019</v>
      </c>
      <c r="B1481" s="85" t="str">
        <f t="shared" si="697"/>
        <v>Nov</v>
      </c>
      <c r="C1481" s="86">
        <f t="shared" si="698"/>
        <v>19</v>
      </c>
      <c r="D1481" s="87">
        <f t="shared" si="699"/>
        <v>8</v>
      </c>
      <c r="E1481" s="88">
        <f t="shared" si="695"/>
        <v>26</v>
      </c>
      <c r="F1481" s="89">
        <v>17</v>
      </c>
      <c r="G1481" s="90"/>
      <c r="H1481" s="68" t="str">
        <f t="shared" si="700"/>
        <v>Senbur0_20191119_08_00</v>
      </c>
      <c r="I1481" s="91">
        <f t="shared" ref="I1481:N1481" si="759">I1480</f>
        <v>1</v>
      </c>
      <c r="J1481" s="92" t="str">
        <f t="shared" si="759"/>
        <v>Senecio</v>
      </c>
      <c r="K1481" s="92" t="str">
        <f t="shared" si="759"/>
        <v>burtoni</v>
      </c>
      <c r="L1481" s="93">
        <f t="shared" si="759"/>
        <v>0</v>
      </c>
      <c r="M1481" s="93">
        <f t="shared" si="759"/>
        <v>7</v>
      </c>
      <c r="N1481" s="94">
        <f t="shared" si="759"/>
        <v>0</v>
      </c>
      <c r="O1481" s="95"/>
      <c r="P1481" s="96">
        <f t="shared" si="702"/>
        <v>1</v>
      </c>
      <c r="Q1481" s="97" t="str">
        <f t="shared" si="703"/>
        <v>08:26:17</v>
      </c>
      <c r="R1481" s="98" t="str">
        <f t="shared" si="704"/>
        <v>26:17</v>
      </c>
      <c r="S1481" s="98">
        <f t="shared" si="705"/>
        <v>45</v>
      </c>
      <c r="T1481" s="98" t="str">
        <f t="shared" si="706"/>
        <v>08</v>
      </c>
      <c r="U1481" s="99">
        <v>27</v>
      </c>
      <c r="V1481" s="100">
        <v>2</v>
      </c>
      <c r="W1481" s="101" t="str">
        <f t="shared" si="707"/>
        <v>27:02</v>
      </c>
      <c r="X1481" s="102" t="s">
        <v>63</v>
      </c>
      <c r="Y1481" s="124" t="s">
        <v>82</v>
      </c>
      <c r="Z1481" s="126"/>
      <c r="AA1481" s="47" t="s">
        <v>59</v>
      </c>
      <c r="AB1481" s="98" t="str">
        <f t="shared" si="708"/>
        <v>NA</v>
      </c>
      <c r="AC1481" s="53">
        <f t="shared" si="709"/>
        <v>0</v>
      </c>
      <c r="AD1481" s="103">
        <f t="shared" si="710"/>
        <v>1</v>
      </c>
      <c r="AE1481" s="103"/>
      <c r="AF1481" s="103"/>
      <c r="AG1481" s="104" t="str">
        <f t="shared" si="711"/>
        <v/>
      </c>
      <c r="AH1481" s="105" t="str">
        <f t="shared" si="712"/>
        <v/>
      </c>
      <c r="AI1481" s="104"/>
      <c r="AJ1481" s="105" t="str">
        <f t="shared" si="713"/>
        <v/>
      </c>
      <c r="AK1481" s="104">
        <v>1</v>
      </c>
      <c r="AL1481" s="105">
        <v>15</v>
      </c>
      <c r="AM1481" s="104">
        <v>1</v>
      </c>
      <c r="AN1481" s="105">
        <v>30</v>
      </c>
      <c r="AO1481" s="104"/>
      <c r="AP1481" s="105" t="str">
        <f t="shared" si="716"/>
        <v/>
      </c>
      <c r="AQ1481" s="104"/>
      <c r="AR1481" s="105" t="str">
        <f t="shared" si="717"/>
        <v/>
      </c>
      <c r="AS1481" s="106"/>
      <c r="AT1481" s="107"/>
      <c r="AU1481" s="107"/>
      <c r="AV1481" s="108"/>
      <c r="AW1481" s="109">
        <v>1</v>
      </c>
      <c r="AX1481" s="110">
        <f t="shared" si="719"/>
        <v>1</v>
      </c>
      <c r="AY1481" s="109">
        <v>1</v>
      </c>
      <c r="AZ1481" s="110">
        <f t="shared" si="721"/>
        <v>1</v>
      </c>
    </row>
    <row r="1482" spans="1:52" s="3" customFormat="1" ht="11.25" hidden="1" customHeight="1" x14ac:dyDescent="0.35">
      <c r="A1482" s="72">
        <f t="shared" si="692"/>
        <v>2019</v>
      </c>
      <c r="B1482" s="72" t="str">
        <f t="shared" si="697"/>
        <v>Nov</v>
      </c>
      <c r="C1482" s="73">
        <f t="shared" si="698"/>
        <v>19</v>
      </c>
      <c r="D1482" s="74">
        <f t="shared" si="699"/>
        <v>8</v>
      </c>
      <c r="E1482" s="75">
        <f t="shared" si="695"/>
        <v>27</v>
      </c>
      <c r="F1482" s="79"/>
      <c r="G1482" s="82"/>
      <c r="H1482" s="68" t="str">
        <f t="shared" si="700"/>
        <v>Senbur0_20191119_08_00</v>
      </c>
      <c r="I1482" s="69">
        <f t="shared" ref="I1482:N1482" si="760">I1481</f>
        <v>1</v>
      </c>
      <c r="J1482" s="76" t="str">
        <f t="shared" si="760"/>
        <v>Senecio</v>
      </c>
      <c r="K1482" s="76" t="str">
        <f t="shared" si="760"/>
        <v>burtoni</v>
      </c>
      <c r="L1482" s="77">
        <f t="shared" si="760"/>
        <v>0</v>
      </c>
      <c r="M1482" s="77">
        <f t="shared" si="760"/>
        <v>7</v>
      </c>
      <c r="N1482" s="71">
        <f t="shared" si="760"/>
        <v>0</v>
      </c>
      <c r="O1482" s="44"/>
      <c r="P1482" s="45" t="str">
        <f t="shared" si="702"/>
        <v/>
      </c>
      <c r="Q1482" s="46" t="str">
        <f t="shared" si="703"/>
        <v/>
      </c>
      <c r="R1482" s="47" t="e">
        <f t="shared" si="704"/>
        <v>#VALUE!</v>
      </c>
      <c r="S1482" s="48" t="e">
        <f t="shared" si="705"/>
        <v>#VALUE!</v>
      </c>
      <c r="T1482" s="47" t="str">
        <f t="shared" si="706"/>
        <v/>
      </c>
      <c r="U1482" s="49"/>
      <c r="V1482" s="50"/>
      <c r="W1482" s="51" t="e">
        <f t="shared" si="707"/>
        <v>#VALUE!</v>
      </c>
      <c r="X1482" s="52"/>
      <c r="Y1482" s="52"/>
      <c r="Z1482" s="52"/>
      <c r="AA1482" s="47" t="e">
        <f>INDEX(VISITORS[INSECT ORDER], MATCH(X1482,VISITORS[NAME USED],0))</f>
        <v>#N/A</v>
      </c>
      <c r="AB1482" s="47" t="e">
        <f t="shared" si="708"/>
        <v>#N/A</v>
      </c>
      <c r="AC1482" s="53" t="e">
        <f t="shared" si="709"/>
        <v>#VALUE!</v>
      </c>
      <c r="AD1482" s="54" t="str">
        <f t="shared" si="710"/>
        <v/>
      </c>
      <c r="AE1482" s="54"/>
      <c r="AF1482" s="54"/>
      <c r="AG1482" s="55" t="str">
        <f t="shared" si="711"/>
        <v/>
      </c>
      <c r="AH1482" s="56" t="str">
        <f t="shared" si="712"/>
        <v/>
      </c>
      <c r="AI1482" s="55"/>
      <c r="AJ1482" s="56" t="str">
        <f t="shared" si="713"/>
        <v/>
      </c>
      <c r="AK1482" s="55"/>
      <c r="AL1482" s="56" t="str">
        <f t="shared" si="714"/>
        <v/>
      </c>
      <c r="AM1482" s="55"/>
      <c r="AN1482" s="56" t="str">
        <f t="shared" si="715"/>
        <v/>
      </c>
      <c r="AO1482" s="55"/>
      <c r="AP1482" s="56" t="str">
        <f t="shared" si="716"/>
        <v/>
      </c>
      <c r="AQ1482" s="55"/>
      <c r="AR1482" s="56" t="str">
        <f t="shared" si="717"/>
        <v/>
      </c>
      <c r="AS1482" s="57"/>
      <c r="AT1482" s="58"/>
      <c r="AU1482" s="58"/>
      <c r="AV1482" s="59"/>
      <c r="AW1482" s="60" t="str">
        <f t="shared" si="718"/>
        <v/>
      </c>
      <c r="AX1482" s="61" t="str">
        <f t="shared" si="719"/>
        <v/>
      </c>
      <c r="AY1482" s="60" t="str">
        <f t="shared" si="720"/>
        <v/>
      </c>
      <c r="AZ1482" s="61" t="str">
        <f t="shared" si="721"/>
        <v/>
      </c>
    </row>
    <row r="1483" spans="1:52" s="3" customFormat="1" hidden="1" x14ac:dyDescent="0.35">
      <c r="A1483" s="72">
        <f t="shared" si="692"/>
        <v>2019</v>
      </c>
      <c r="B1483" s="72" t="str">
        <f t="shared" si="697"/>
        <v>Nov</v>
      </c>
      <c r="C1483" s="73">
        <f t="shared" si="698"/>
        <v>19</v>
      </c>
      <c r="D1483" s="74">
        <f t="shared" si="699"/>
        <v>8</v>
      </c>
      <c r="E1483" s="75">
        <f t="shared" si="695"/>
        <v>28</v>
      </c>
      <c r="F1483" s="79"/>
      <c r="G1483" s="82"/>
      <c r="H1483" s="68" t="str">
        <f t="shared" si="700"/>
        <v>Senbur0_20191119_08_00</v>
      </c>
      <c r="I1483" s="69">
        <f t="shared" ref="I1483:N1483" si="761">I1482</f>
        <v>1</v>
      </c>
      <c r="J1483" s="76" t="str">
        <f t="shared" si="761"/>
        <v>Senecio</v>
      </c>
      <c r="K1483" s="76" t="str">
        <f t="shared" si="761"/>
        <v>burtoni</v>
      </c>
      <c r="L1483" s="77">
        <f t="shared" si="761"/>
        <v>0</v>
      </c>
      <c r="M1483" s="77">
        <f t="shared" si="761"/>
        <v>7</v>
      </c>
      <c r="N1483" s="71">
        <f t="shared" si="761"/>
        <v>0</v>
      </c>
      <c r="O1483" s="44"/>
      <c r="P1483" s="45" t="str">
        <f t="shared" si="702"/>
        <v/>
      </c>
      <c r="Q1483" s="46" t="str">
        <f t="shared" si="703"/>
        <v/>
      </c>
      <c r="R1483" s="47" t="e">
        <f t="shared" si="704"/>
        <v>#VALUE!</v>
      </c>
      <c r="S1483" s="48" t="e">
        <f t="shared" si="705"/>
        <v>#VALUE!</v>
      </c>
      <c r="T1483" s="47" t="str">
        <f t="shared" si="706"/>
        <v/>
      </c>
      <c r="U1483" s="49"/>
      <c r="V1483" s="50"/>
      <c r="W1483" s="51" t="e">
        <f t="shared" si="707"/>
        <v>#VALUE!</v>
      </c>
      <c r="X1483" s="52"/>
      <c r="Y1483" s="52"/>
      <c r="Z1483" s="52"/>
      <c r="AA1483" s="47" t="e">
        <f>INDEX(VISITORS[INSECT ORDER], MATCH(X1483,VISITORS[NAME USED],0))</f>
        <v>#N/A</v>
      </c>
      <c r="AB1483" s="47" t="e">
        <f t="shared" si="708"/>
        <v>#N/A</v>
      </c>
      <c r="AC1483" s="53" t="e">
        <f t="shared" si="709"/>
        <v>#VALUE!</v>
      </c>
      <c r="AD1483" s="54" t="str">
        <f t="shared" si="710"/>
        <v/>
      </c>
      <c r="AE1483" s="54"/>
      <c r="AF1483" s="54"/>
      <c r="AG1483" s="55" t="str">
        <f t="shared" si="711"/>
        <v/>
      </c>
      <c r="AH1483" s="56" t="str">
        <f t="shared" si="712"/>
        <v/>
      </c>
      <c r="AI1483" s="55"/>
      <c r="AJ1483" s="56" t="str">
        <f t="shared" si="713"/>
        <v/>
      </c>
      <c r="AK1483" s="55"/>
      <c r="AL1483" s="56" t="str">
        <f t="shared" si="714"/>
        <v/>
      </c>
      <c r="AM1483" s="55"/>
      <c r="AN1483" s="56" t="str">
        <f t="shared" si="715"/>
        <v/>
      </c>
      <c r="AO1483" s="55"/>
      <c r="AP1483" s="56" t="str">
        <f t="shared" si="716"/>
        <v/>
      </c>
      <c r="AQ1483" s="55"/>
      <c r="AR1483" s="56" t="str">
        <f t="shared" si="717"/>
        <v/>
      </c>
      <c r="AS1483" s="57"/>
      <c r="AT1483" s="58"/>
      <c r="AU1483" s="58"/>
      <c r="AV1483" s="59"/>
      <c r="AW1483" s="60" t="str">
        <f t="shared" si="718"/>
        <v/>
      </c>
      <c r="AX1483" s="61" t="str">
        <f t="shared" si="719"/>
        <v/>
      </c>
      <c r="AY1483" s="60" t="str">
        <f t="shared" si="720"/>
        <v/>
      </c>
      <c r="AZ1483" s="61" t="str">
        <f t="shared" si="721"/>
        <v/>
      </c>
    </row>
    <row r="1484" spans="1:52" s="3" customFormat="1" ht="15" hidden="1" thickBot="1" x14ac:dyDescent="0.4">
      <c r="A1484" s="85">
        <f t="shared" si="692"/>
        <v>2019</v>
      </c>
      <c r="B1484" s="85" t="str">
        <f t="shared" si="697"/>
        <v>Nov</v>
      </c>
      <c r="C1484" s="86">
        <f t="shared" si="698"/>
        <v>19</v>
      </c>
      <c r="D1484" s="87">
        <f t="shared" si="699"/>
        <v>8</v>
      </c>
      <c r="E1484" s="88">
        <f t="shared" si="695"/>
        <v>29</v>
      </c>
      <c r="F1484" s="89"/>
      <c r="G1484" s="90"/>
      <c r="H1484" s="68" t="str">
        <f t="shared" si="700"/>
        <v>Senbur0_20191119_08_00</v>
      </c>
      <c r="I1484" s="91">
        <f t="shared" ref="I1484:N1484" si="762">I1483</f>
        <v>1</v>
      </c>
      <c r="J1484" s="92" t="str">
        <f t="shared" si="762"/>
        <v>Senecio</v>
      </c>
      <c r="K1484" s="92" t="str">
        <f t="shared" si="762"/>
        <v>burtoni</v>
      </c>
      <c r="L1484" s="93">
        <f t="shared" si="762"/>
        <v>0</v>
      </c>
      <c r="M1484" s="93">
        <f t="shared" si="762"/>
        <v>7</v>
      </c>
      <c r="N1484" s="94">
        <f t="shared" si="762"/>
        <v>0</v>
      </c>
      <c r="O1484" s="95"/>
      <c r="P1484" s="96" t="str">
        <f t="shared" si="702"/>
        <v/>
      </c>
      <c r="Q1484" s="97" t="str">
        <f t="shared" si="703"/>
        <v/>
      </c>
      <c r="R1484" s="98" t="e">
        <f t="shared" si="704"/>
        <v>#VALUE!</v>
      </c>
      <c r="S1484" s="98" t="e">
        <f t="shared" si="705"/>
        <v>#VALUE!</v>
      </c>
      <c r="T1484" s="98" t="str">
        <f t="shared" si="706"/>
        <v/>
      </c>
      <c r="U1484" s="99"/>
      <c r="V1484" s="100"/>
      <c r="W1484" s="101" t="e">
        <f t="shared" si="707"/>
        <v>#VALUE!</v>
      </c>
      <c r="X1484" s="102"/>
      <c r="Y1484" s="122"/>
      <c r="Z1484" s="122"/>
      <c r="AA1484" s="47" t="e">
        <f>INDEX(VISITORS[INSECT ORDER], MATCH(X1484,VISITORS[NAME USED],0))</f>
        <v>#N/A</v>
      </c>
      <c r="AB1484" s="98" t="e">
        <f t="shared" si="708"/>
        <v>#N/A</v>
      </c>
      <c r="AC1484" s="53" t="e">
        <f t="shared" si="709"/>
        <v>#VALUE!</v>
      </c>
      <c r="AD1484" s="103" t="str">
        <f t="shared" si="710"/>
        <v/>
      </c>
      <c r="AE1484" s="103"/>
      <c r="AF1484" s="103"/>
      <c r="AG1484" s="104" t="str">
        <f t="shared" si="711"/>
        <v/>
      </c>
      <c r="AH1484" s="105" t="str">
        <f t="shared" si="712"/>
        <v/>
      </c>
      <c r="AI1484" s="104"/>
      <c r="AJ1484" s="105" t="str">
        <f t="shared" si="713"/>
        <v/>
      </c>
      <c r="AK1484" s="104"/>
      <c r="AL1484" s="105" t="str">
        <f t="shared" si="714"/>
        <v/>
      </c>
      <c r="AM1484" s="104"/>
      <c r="AN1484" s="105" t="str">
        <f t="shared" si="715"/>
        <v/>
      </c>
      <c r="AO1484" s="104"/>
      <c r="AP1484" s="105" t="str">
        <f t="shared" si="716"/>
        <v/>
      </c>
      <c r="AQ1484" s="104"/>
      <c r="AR1484" s="105" t="str">
        <f t="shared" si="717"/>
        <v/>
      </c>
      <c r="AS1484" s="106"/>
      <c r="AT1484" s="107"/>
      <c r="AU1484" s="107"/>
      <c r="AV1484" s="108"/>
      <c r="AW1484" s="109" t="str">
        <f t="shared" si="718"/>
        <v/>
      </c>
      <c r="AX1484" s="110" t="str">
        <f t="shared" si="719"/>
        <v/>
      </c>
      <c r="AY1484" s="109" t="str">
        <f t="shared" si="720"/>
        <v/>
      </c>
      <c r="AZ1484" s="110" t="str">
        <f t="shared" si="721"/>
        <v/>
      </c>
    </row>
    <row r="1485" spans="1:52" s="3" customFormat="1" ht="11.25" hidden="1" customHeight="1" x14ac:dyDescent="0.35">
      <c r="A1485" s="72">
        <f t="shared" si="692"/>
        <v>2019</v>
      </c>
      <c r="B1485" s="72" t="str">
        <f t="shared" si="697"/>
        <v>Nov</v>
      </c>
      <c r="C1485" s="73">
        <f t="shared" si="698"/>
        <v>19</v>
      </c>
      <c r="D1485" s="74">
        <f t="shared" si="699"/>
        <v>8</v>
      </c>
      <c r="E1485" s="75">
        <f t="shared" si="695"/>
        <v>30</v>
      </c>
      <c r="F1485" s="79"/>
      <c r="G1485" s="82"/>
      <c r="H1485" s="68" t="str">
        <f t="shared" si="700"/>
        <v>Senbur0_20191119_08_00</v>
      </c>
      <c r="I1485" s="69">
        <f t="shared" ref="I1485:N1485" si="763">I1484</f>
        <v>1</v>
      </c>
      <c r="J1485" s="76" t="str">
        <f t="shared" si="763"/>
        <v>Senecio</v>
      </c>
      <c r="K1485" s="76" t="str">
        <f t="shared" si="763"/>
        <v>burtoni</v>
      </c>
      <c r="L1485" s="77">
        <f t="shared" si="763"/>
        <v>0</v>
      </c>
      <c r="M1485" s="77">
        <f t="shared" si="763"/>
        <v>7</v>
      </c>
      <c r="N1485" s="71">
        <f t="shared" si="763"/>
        <v>0</v>
      </c>
      <c r="O1485" s="44"/>
      <c r="P1485" s="45" t="str">
        <f t="shared" si="702"/>
        <v/>
      </c>
      <c r="Q1485" s="46" t="str">
        <f t="shared" si="703"/>
        <v/>
      </c>
      <c r="R1485" s="47" t="e">
        <f t="shared" si="704"/>
        <v>#VALUE!</v>
      </c>
      <c r="S1485" s="48" t="e">
        <f t="shared" si="705"/>
        <v>#VALUE!</v>
      </c>
      <c r="T1485" s="47" t="str">
        <f t="shared" si="706"/>
        <v/>
      </c>
      <c r="U1485" s="49"/>
      <c r="V1485" s="50"/>
      <c r="W1485" s="51" t="e">
        <f t="shared" si="707"/>
        <v>#VALUE!</v>
      </c>
      <c r="X1485" s="52"/>
      <c r="Y1485" s="52"/>
      <c r="Z1485" s="52"/>
      <c r="AA1485" s="47" t="e">
        <f>INDEX(VISITORS[INSECT ORDER], MATCH(X1485,VISITORS[NAME USED],0))</f>
        <v>#N/A</v>
      </c>
      <c r="AB1485" s="47" t="e">
        <f t="shared" si="708"/>
        <v>#N/A</v>
      </c>
      <c r="AC1485" s="53" t="e">
        <f t="shared" si="709"/>
        <v>#VALUE!</v>
      </c>
      <c r="AD1485" s="54" t="str">
        <f t="shared" si="710"/>
        <v/>
      </c>
      <c r="AE1485" s="54"/>
      <c r="AF1485" s="54"/>
      <c r="AG1485" s="55" t="str">
        <f t="shared" si="711"/>
        <v/>
      </c>
      <c r="AH1485" s="56" t="str">
        <f t="shared" si="712"/>
        <v/>
      </c>
      <c r="AI1485" s="55"/>
      <c r="AJ1485" s="56" t="str">
        <f t="shared" si="713"/>
        <v/>
      </c>
      <c r="AK1485" s="55"/>
      <c r="AL1485" s="56" t="str">
        <f t="shared" si="714"/>
        <v/>
      </c>
      <c r="AM1485" s="55"/>
      <c r="AN1485" s="56" t="str">
        <f t="shared" si="715"/>
        <v/>
      </c>
      <c r="AO1485" s="55"/>
      <c r="AP1485" s="56" t="str">
        <f t="shared" si="716"/>
        <v/>
      </c>
      <c r="AQ1485" s="55"/>
      <c r="AR1485" s="56" t="str">
        <f t="shared" si="717"/>
        <v/>
      </c>
      <c r="AS1485" s="57"/>
      <c r="AT1485" s="58"/>
      <c r="AU1485" s="58"/>
      <c r="AV1485" s="59"/>
      <c r="AW1485" s="60" t="str">
        <f t="shared" si="718"/>
        <v/>
      </c>
      <c r="AX1485" s="61" t="str">
        <f t="shared" si="719"/>
        <v/>
      </c>
      <c r="AY1485" s="60" t="str">
        <f t="shared" si="720"/>
        <v/>
      </c>
      <c r="AZ1485" s="61" t="str">
        <f t="shared" si="721"/>
        <v/>
      </c>
    </row>
    <row r="1486" spans="1:52" s="3" customFormat="1" hidden="1" x14ac:dyDescent="0.35">
      <c r="A1486" s="72">
        <f t="shared" si="692"/>
        <v>2019</v>
      </c>
      <c r="B1486" s="72" t="str">
        <f t="shared" si="697"/>
        <v>Nov</v>
      </c>
      <c r="C1486" s="73">
        <f t="shared" si="698"/>
        <v>19</v>
      </c>
      <c r="D1486" s="74">
        <f t="shared" si="699"/>
        <v>8</v>
      </c>
      <c r="E1486" s="75">
        <f t="shared" si="695"/>
        <v>31</v>
      </c>
      <c r="F1486" s="79"/>
      <c r="G1486" s="82"/>
      <c r="H1486" s="68" t="str">
        <f t="shared" si="700"/>
        <v>Senbur0_20191119_08_00</v>
      </c>
      <c r="I1486" s="69">
        <f t="shared" ref="I1486:N1486" si="764">I1485</f>
        <v>1</v>
      </c>
      <c r="J1486" s="76" t="str">
        <f t="shared" si="764"/>
        <v>Senecio</v>
      </c>
      <c r="K1486" s="76" t="str">
        <f t="shared" si="764"/>
        <v>burtoni</v>
      </c>
      <c r="L1486" s="77">
        <f t="shared" si="764"/>
        <v>0</v>
      </c>
      <c r="M1486" s="77">
        <f t="shared" si="764"/>
        <v>7</v>
      </c>
      <c r="N1486" s="71">
        <f t="shared" si="764"/>
        <v>0</v>
      </c>
      <c r="O1486" s="44"/>
      <c r="P1486" s="45" t="str">
        <f t="shared" si="702"/>
        <v/>
      </c>
      <c r="Q1486" s="46" t="str">
        <f t="shared" si="703"/>
        <v/>
      </c>
      <c r="R1486" s="47" t="e">
        <f t="shared" si="704"/>
        <v>#VALUE!</v>
      </c>
      <c r="S1486" s="48" t="e">
        <f t="shared" si="705"/>
        <v>#VALUE!</v>
      </c>
      <c r="T1486" s="47" t="str">
        <f t="shared" si="706"/>
        <v/>
      </c>
      <c r="U1486" s="49"/>
      <c r="V1486" s="50"/>
      <c r="W1486" s="51" t="e">
        <f t="shared" si="707"/>
        <v>#VALUE!</v>
      </c>
      <c r="X1486" s="52"/>
      <c r="Y1486" s="52"/>
      <c r="Z1486" s="52"/>
      <c r="AA1486" s="47" t="e">
        <f>INDEX(VISITORS[INSECT ORDER], MATCH(X1486,VISITORS[NAME USED],0))</f>
        <v>#N/A</v>
      </c>
      <c r="AB1486" s="47" t="e">
        <f t="shared" si="708"/>
        <v>#N/A</v>
      </c>
      <c r="AC1486" s="53" t="e">
        <f t="shared" si="709"/>
        <v>#VALUE!</v>
      </c>
      <c r="AD1486" s="54" t="str">
        <f t="shared" si="710"/>
        <v/>
      </c>
      <c r="AE1486" s="54"/>
      <c r="AF1486" s="54"/>
      <c r="AG1486" s="55" t="str">
        <f t="shared" si="711"/>
        <v/>
      </c>
      <c r="AH1486" s="56" t="str">
        <f t="shared" si="712"/>
        <v/>
      </c>
      <c r="AI1486" s="55"/>
      <c r="AJ1486" s="56" t="str">
        <f t="shared" si="713"/>
        <v/>
      </c>
      <c r="AK1486" s="55"/>
      <c r="AL1486" s="56" t="str">
        <f t="shared" si="714"/>
        <v/>
      </c>
      <c r="AM1486" s="55"/>
      <c r="AN1486" s="56" t="str">
        <f t="shared" si="715"/>
        <v/>
      </c>
      <c r="AO1486" s="55"/>
      <c r="AP1486" s="56" t="str">
        <f t="shared" si="716"/>
        <v/>
      </c>
      <c r="AQ1486" s="55"/>
      <c r="AR1486" s="56" t="str">
        <f t="shared" si="717"/>
        <v/>
      </c>
      <c r="AS1486" s="57"/>
      <c r="AT1486" s="58"/>
      <c r="AU1486" s="58"/>
      <c r="AV1486" s="59"/>
      <c r="AW1486" s="60" t="str">
        <f t="shared" si="718"/>
        <v/>
      </c>
      <c r="AX1486" s="61" t="str">
        <f t="shared" si="719"/>
        <v/>
      </c>
      <c r="AY1486" s="60" t="str">
        <f t="shared" si="720"/>
        <v/>
      </c>
      <c r="AZ1486" s="61" t="str">
        <f t="shared" si="721"/>
        <v/>
      </c>
    </row>
    <row r="1487" spans="1:52" s="3" customFormat="1" ht="15" hidden="1" thickBot="1" x14ac:dyDescent="0.4">
      <c r="A1487" s="85">
        <f t="shared" si="692"/>
        <v>2019</v>
      </c>
      <c r="B1487" s="85" t="str">
        <f t="shared" si="697"/>
        <v>Nov</v>
      </c>
      <c r="C1487" s="86">
        <f t="shared" si="698"/>
        <v>19</v>
      </c>
      <c r="D1487" s="87">
        <f t="shared" si="699"/>
        <v>8</v>
      </c>
      <c r="E1487" s="88">
        <f t="shared" si="695"/>
        <v>32</v>
      </c>
      <c r="F1487" s="89"/>
      <c r="G1487" s="90"/>
      <c r="H1487" s="68" t="str">
        <f t="shared" si="700"/>
        <v>Senbur0_20191119_08_00</v>
      </c>
      <c r="I1487" s="91">
        <f t="shared" ref="I1487:N1487" si="765">I1486</f>
        <v>1</v>
      </c>
      <c r="J1487" s="92" t="str">
        <f t="shared" si="765"/>
        <v>Senecio</v>
      </c>
      <c r="K1487" s="92" t="str">
        <f t="shared" si="765"/>
        <v>burtoni</v>
      </c>
      <c r="L1487" s="93">
        <f t="shared" si="765"/>
        <v>0</v>
      </c>
      <c r="M1487" s="93">
        <f t="shared" si="765"/>
        <v>7</v>
      </c>
      <c r="N1487" s="94">
        <f t="shared" si="765"/>
        <v>0</v>
      </c>
      <c r="O1487" s="95"/>
      <c r="P1487" s="96" t="str">
        <f t="shared" si="702"/>
        <v/>
      </c>
      <c r="Q1487" s="97" t="str">
        <f t="shared" si="703"/>
        <v/>
      </c>
      <c r="R1487" s="98" t="e">
        <f t="shared" si="704"/>
        <v>#VALUE!</v>
      </c>
      <c r="S1487" s="98" t="e">
        <f t="shared" si="705"/>
        <v>#VALUE!</v>
      </c>
      <c r="T1487" s="98" t="str">
        <f t="shared" si="706"/>
        <v/>
      </c>
      <c r="U1487" s="99"/>
      <c r="V1487" s="100"/>
      <c r="W1487" s="101" t="e">
        <f t="shared" si="707"/>
        <v>#VALUE!</v>
      </c>
      <c r="X1487" s="102"/>
      <c r="Y1487" s="122"/>
      <c r="Z1487" s="122"/>
      <c r="AA1487" s="47" t="e">
        <f>INDEX(VISITORS[INSECT ORDER], MATCH(X1487,VISITORS[NAME USED],0))</f>
        <v>#N/A</v>
      </c>
      <c r="AB1487" s="98" t="e">
        <f t="shared" si="708"/>
        <v>#N/A</v>
      </c>
      <c r="AC1487" s="53" t="e">
        <f t="shared" si="709"/>
        <v>#VALUE!</v>
      </c>
      <c r="AD1487" s="103" t="str">
        <f t="shared" si="710"/>
        <v/>
      </c>
      <c r="AE1487" s="103"/>
      <c r="AF1487" s="103"/>
      <c r="AG1487" s="104" t="str">
        <f t="shared" si="711"/>
        <v/>
      </c>
      <c r="AH1487" s="105" t="str">
        <f t="shared" si="712"/>
        <v/>
      </c>
      <c r="AI1487" s="104"/>
      <c r="AJ1487" s="105" t="str">
        <f t="shared" si="713"/>
        <v/>
      </c>
      <c r="AK1487" s="104"/>
      <c r="AL1487" s="105" t="str">
        <f t="shared" si="714"/>
        <v/>
      </c>
      <c r="AM1487" s="104"/>
      <c r="AN1487" s="105" t="str">
        <f t="shared" si="715"/>
        <v/>
      </c>
      <c r="AO1487" s="104"/>
      <c r="AP1487" s="105" t="str">
        <f t="shared" si="716"/>
        <v/>
      </c>
      <c r="AQ1487" s="104"/>
      <c r="AR1487" s="105" t="str">
        <f t="shared" si="717"/>
        <v/>
      </c>
      <c r="AS1487" s="106"/>
      <c r="AT1487" s="107"/>
      <c r="AU1487" s="107"/>
      <c r="AV1487" s="108"/>
      <c r="AW1487" s="109" t="str">
        <f t="shared" si="718"/>
        <v/>
      </c>
      <c r="AX1487" s="110" t="str">
        <f t="shared" si="719"/>
        <v/>
      </c>
      <c r="AY1487" s="109" t="str">
        <f t="shared" si="720"/>
        <v/>
      </c>
      <c r="AZ1487" s="110" t="str">
        <f t="shared" si="721"/>
        <v/>
      </c>
    </row>
    <row r="1488" spans="1:52" s="3" customFormat="1" ht="11.25" hidden="1" customHeight="1" x14ac:dyDescent="0.35">
      <c r="A1488" s="72">
        <f t="shared" si="692"/>
        <v>2019</v>
      </c>
      <c r="B1488" s="72" t="str">
        <f t="shared" si="697"/>
        <v>Nov</v>
      </c>
      <c r="C1488" s="73">
        <f t="shared" si="698"/>
        <v>19</v>
      </c>
      <c r="D1488" s="74">
        <f t="shared" si="699"/>
        <v>8</v>
      </c>
      <c r="E1488" s="75">
        <f t="shared" si="695"/>
        <v>33</v>
      </c>
      <c r="F1488" s="79"/>
      <c r="G1488" s="82"/>
      <c r="H1488" s="68" t="str">
        <f t="shared" si="700"/>
        <v>Senbur0_20191119_08_00</v>
      </c>
      <c r="I1488" s="69">
        <f t="shared" ref="I1488:N1488" si="766">I1487</f>
        <v>1</v>
      </c>
      <c r="J1488" s="76" t="str">
        <f t="shared" si="766"/>
        <v>Senecio</v>
      </c>
      <c r="K1488" s="76" t="str">
        <f t="shared" si="766"/>
        <v>burtoni</v>
      </c>
      <c r="L1488" s="77">
        <f t="shared" si="766"/>
        <v>0</v>
      </c>
      <c r="M1488" s="77">
        <f t="shared" si="766"/>
        <v>7</v>
      </c>
      <c r="N1488" s="71">
        <f t="shared" si="766"/>
        <v>0</v>
      </c>
      <c r="O1488" s="44"/>
      <c r="P1488" s="45" t="str">
        <f t="shared" si="702"/>
        <v/>
      </c>
      <c r="Q1488" s="46" t="str">
        <f t="shared" si="703"/>
        <v/>
      </c>
      <c r="R1488" s="47" t="e">
        <f t="shared" si="704"/>
        <v>#VALUE!</v>
      </c>
      <c r="S1488" s="48" t="e">
        <f t="shared" si="705"/>
        <v>#VALUE!</v>
      </c>
      <c r="T1488" s="47" t="str">
        <f t="shared" si="706"/>
        <v/>
      </c>
      <c r="U1488" s="49"/>
      <c r="V1488" s="50"/>
      <c r="W1488" s="51" t="e">
        <f t="shared" si="707"/>
        <v>#VALUE!</v>
      </c>
      <c r="X1488" s="52"/>
      <c r="Y1488" s="52"/>
      <c r="Z1488" s="52"/>
      <c r="AA1488" s="47" t="e">
        <f>INDEX(VISITORS[INSECT ORDER], MATCH(X1488,VISITORS[NAME USED],0))</f>
        <v>#N/A</v>
      </c>
      <c r="AB1488" s="47" t="e">
        <f t="shared" si="708"/>
        <v>#N/A</v>
      </c>
      <c r="AC1488" s="53" t="e">
        <f t="shared" si="709"/>
        <v>#VALUE!</v>
      </c>
      <c r="AD1488" s="54" t="str">
        <f t="shared" si="710"/>
        <v/>
      </c>
      <c r="AE1488" s="54"/>
      <c r="AF1488" s="54"/>
      <c r="AG1488" s="55" t="str">
        <f t="shared" si="711"/>
        <v/>
      </c>
      <c r="AH1488" s="56" t="str">
        <f t="shared" si="712"/>
        <v/>
      </c>
      <c r="AI1488" s="55"/>
      <c r="AJ1488" s="56" t="str">
        <f t="shared" si="713"/>
        <v/>
      </c>
      <c r="AK1488" s="55"/>
      <c r="AL1488" s="56" t="str">
        <f t="shared" si="714"/>
        <v/>
      </c>
      <c r="AM1488" s="55"/>
      <c r="AN1488" s="56" t="str">
        <f t="shared" si="715"/>
        <v/>
      </c>
      <c r="AO1488" s="55"/>
      <c r="AP1488" s="56" t="str">
        <f t="shared" si="716"/>
        <v/>
      </c>
      <c r="AQ1488" s="55"/>
      <c r="AR1488" s="56" t="str">
        <f t="shared" si="717"/>
        <v/>
      </c>
      <c r="AS1488" s="57"/>
      <c r="AT1488" s="58"/>
      <c r="AU1488" s="58"/>
      <c r="AV1488" s="59"/>
      <c r="AW1488" s="60" t="str">
        <f t="shared" si="718"/>
        <v/>
      </c>
      <c r="AX1488" s="61" t="str">
        <f t="shared" si="719"/>
        <v/>
      </c>
      <c r="AY1488" s="60" t="str">
        <f t="shared" si="720"/>
        <v/>
      </c>
      <c r="AZ1488" s="61" t="str">
        <f t="shared" si="721"/>
        <v/>
      </c>
    </row>
    <row r="1489" spans="1:52" s="3" customFormat="1" hidden="1" x14ac:dyDescent="0.35">
      <c r="A1489" s="72">
        <f t="shared" si="692"/>
        <v>2019</v>
      </c>
      <c r="B1489" s="72" t="str">
        <f t="shared" si="697"/>
        <v>Nov</v>
      </c>
      <c r="C1489" s="73">
        <f t="shared" si="698"/>
        <v>19</v>
      </c>
      <c r="D1489" s="74">
        <f t="shared" si="699"/>
        <v>8</v>
      </c>
      <c r="E1489" s="75">
        <f t="shared" si="695"/>
        <v>34</v>
      </c>
      <c r="F1489" s="79"/>
      <c r="G1489" s="82"/>
      <c r="H1489" s="68" t="str">
        <f t="shared" si="700"/>
        <v>Senbur0_20191119_08_00</v>
      </c>
      <c r="I1489" s="69">
        <f t="shared" ref="I1489:N1489" si="767">I1488</f>
        <v>1</v>
      </c>
      <c r="J1489" s="76" t="str">
        <f t="shared" si="767"/>
        <v>Senecio</v>
      </c>
      <c r="K1489" s="76" t="str">
        <f t="shared" si="767"/>
        <v>burtoni</v>
      </c>
      <c r="L1489" s="77">
        <f t="shared" si="767"/>
        <v>0</v>
      </c>
      <c r="M1489" s="77">
        <f t="shared" si="767"/>
        <v>7</v>
      </c>
      <c r="N1489" s="71">
        <f t="shared" si="767"/>
        <v>0</v>
      </c>
      <c r="O1489" s="44"/>
      <c r="P1489" s="45" t="str">
        <f t="shared" si="702"/>
        <v/>
      </c>
      <c r="Q1489" s="46" t="str">
        <f t="shared" si="703"/>
        <v/>
      </c>
      <c r="R1489" s="47" t="e">
        <f t="shared" si="704"/>
        <v>#VALUE!</v>
      </c>
      <c r="S1489" s="48" t="e">
        <f t="shared" si="705"/>
        <v>#VALUE!</v>
      </c>
      <c r="T1489" s="47" t="str">
        <f t="shared" si="706"/>
        <v/>
      </c>
      <c r="U1489" s="49"/>
      <c r="V1489" s="50"/>
      <c r="W1489" s="51" t="e">
        <f t="shared" si="707"/>
        <v>#VALUE!</v>
      </c>
      <c r="X1489" s="52"/>
      <c r="Y1489" s="52"/>
      <c r="Z1489" s="52"/>
      <c r="AA1489" s="47" t="e">
        <f>INDEX(VISITORS[INSECT ORDER], MATCH(X1489,VISITORS[NAME USED],0))</f>
        <v>#N/A</v>
      </c>
      <c r="AB1489" s="47" t="e">
        <f t="shared" si="708"/>
        <v>#N/A</v>
      </c>
      <c r="AC1489" s="53" t="e">
        <f t="shared" si="709"/>
        <v>#VALUE!</v>
      </c>
      <c r="AD1489" s="54" t="str">
        <f t="shared" si="710"/>
        <v/>
      </c>
      <c r="AE1489" s="54"/>
      <c r="AF1489" s="54"/>
      <c r="AG1489" s="55" t="str">
        <f t="shared" si="711"/>
        <v/>
      </c>
      <c r="AH1489" s="56" t="str">
        <f t="shared" si="712"/>
        <v/>
      </c>
      <c r="AI1489" s="55"/>
      <c r="AJ1489" s="56" t="str">
        <f t="shared" si="713"/>
        <v/>
      </c>
      <c r="AK1489" s="55"/>
      <c r="AL1489" s="56" t="str">
        <f t="shared" si="714"/>
        <v/>
      </c>
      <c r="AM1489" s="55"/>
      <c r="AN1489" s="56" t="str">
        <f t="shared" si="715"/>
        <v/>
      </c>
      <c r="AO1489" s="55"/>
      <c r="AP1489" s="56" t="str">
        <f t="shared" si="716"/>
        <v/>
      </c>
      <c r="AQ1489" s="55"/>
      <c r="AR1489" s="56" t="str">
        <f t="shared" si="717"/>
        <v/>
      </c>
      <c r="AS1489" s="57"/>
      <c r="AT1489" s="58"/>
      <c r="AU1489" s="58"/>
      <c r="AV1489" s="59"/>
      <c r="AW1489" s="60" t="str">
        <f t="shared" si="718"/>
        <v/>
      </c>
      <c r="AX1489" s="61" t="str">
        <f t="shared" si="719"/>
        <v/>
      </c>
      <c r="AY1489" s="60" t="str">
        <f t="shared" si="720"/>
        <v/>
      </c>
      <c r="AZ1489" s="61" t="str">
        <f t="shared" si="721"/>
        <v/>
      </c>
    </row>
    <row r="1490" spans="1:52" s="3" customFormat="1" ht="15" hidden="1" thickBot="1" x14ac:dyDescent="0.4">
      <c r="A1490" s="85">
        <f t="shared" ref="A1490:A1553" si="768">A1489</f>
        <v>2019</v>
      </c>
      <c r="B1490" s="85" t="str">
        <f t="shared" si="697"/>
        <v>Nov</v>
      </c>
      <c r="C1490" s="86">
        <f t="shared" si="698"/>
        <v>19</v>
      </c>
      <c r="D1490" s="87">
        <f t="shared" si="699"/>
        <v>8</v>
      </c>
      <c r="E1490" s="88">
        <f t="shared" ref="E1490:E1553" si="769">IF(E1489&lt;59,E1489+1,0)</f>
        <v>35</v>
      </c>
      <c r="F1490" s="89"/>
      <c r="G1490" s="90"/>
      <c r="H1490" s="68" t="str">
        <f t="shared" si="700"/>
        <v>Senbur0_20191119_08_00</v>
      </c>
      <c r="I1490" s="91">
        <f t="shared" ref="I1490:N1490" si="770">I1489</f>
        <v>1</v>
      </c>
      <c r="J1490" s="92" t="str">
        <f t="shared" si="770"/>
        <v>Senecio</v>
      </c>
      <c r="K1490" s="92" t="str">
        <f t="shared" si="770"/>
        <v>burtoni</v>
      </c>
      <c r="L1490" s="93">
        <f t="shared" si="770"/>
        <v>0</v>
      </c>
      <c r="M1490" s="93">
        <f t="shared" si="770"/>
        <v>7</v>
      </c>
      <c r="N1490" s="94">
        <f t="shared" si="770"/>
        <v>0</v>
      </c>
      <c r="O1490" s="95"/>
      <c r="P1490" s="96" t="str">
        <f t="shared" si="702"/>
        <v/>
      </c>
      <c r="Q1490" s="97" t="str">
        <f t="shared" si="703"/>
        <v/>
      </c>
      <c r="R1490" s="98" t="e">
        <f t="shared" si="704"/>
        <v>#VALUE!</v>
      </c>
      <c r="S1490" s="98" t="e">
        <f t="shared" si="705"/>
        <v>#VALUE!</v>
      </c>
      <c r="T1490" s="98" t="str">
        <f t="shared" si="706"/>
        <v/>
      </c>
      <c r="U1490" s="99"/>
      <c r="V1490" s="100"/>
      <c r="W1490" s="101" t="e">
        <f t="shared" si="707"/>
        <v>#VALUE!</v>
      </c>
      <c r="X1490" s="102"/>
      <c r="Y1490" s="122"/>
      <c r="Z1490" s="122"/>
      <c r="AA1490" s="47" t="e">
        <f>INDEX(VISITORS[INSECT ORDER], MATCH(X1490,VISITORS[NAME USED],0))</f>
        <v>#N/A</v>
      </c>
      <c r="AB1490" s="98" t="e">
        <f t="shared" si="708"/>
        <v>#N/A</v>
      </c>
      <c r="AC1490" s="53" t="e">
        <f t="shared" si="709"/>
        <v>#VALUE!</v>
      </c>
      <c r="AD1490" s="103" t="str">
        <f t="shared" si="710"/>
        <v/>
      </c>
      <c r="AE1490" s="103"/>
      <c r="AF1490" s="103"/>
      <c r="AG1490" s="104" t="str">
        <f t="shared" si="711"/>
        <v/>
      </c>
      <c r="AH1490" s="105" t="str">
        <f t="shared" si="712"/>
        <v/>
      </c>
      <c r="AI1490" s="104"/>
      <c r="AJ1490" s="105" t="str">
        <f t="shared" si="713"/>
        <v/>
      </c>
      <c r="AK1490" s="104"/>
      <c r="AL1490" s="105" t="str">
        <f t="shared" si="714"/>
        <v/>
      </c>
      <c r="AM1490" s="104"/>
      <c r="AN1490" s="105" t="str">
        <f t="shared" si="715"/>
        <v/>
      </c>
      <c r="AO1490" s="104"/>
      <c r="AP1490" s="105" t="str">
        <f t="shared" si="716"/>
        <v/>
      </c>
      <c r="AQ1490" s="104"/>
      <c r="AR1490" s="105" t="str">
        <f t="shared" si="717"/>
        <v/>
      </c>
      <c r="AS1490" s="106"/>
      <c r="AT1490" s="107"/>
      <c r="AU1490" s="107"/>
      <c r="AV1490" s="108"/>
      <c r="AW1490" s="109" t="str">
        <f t="shared" si="718"/>
        <v/>
      </c>
      <c r="AX1490" s="110" t="str">
        <f t="shared" si="719"/>
        <v/>
      </c>
      <c r="AY1490" s="109" t="str">
        <f t="shared" si="720"/>
        <v/>
      </c>
      <c r="AZ1490" s="110" t="str">
        <f t="shared" si="721"/>
        <v/>
      </c>
    </row>
    <row r="1491" spans="1:52" s="3" customFormat="1" ht="11.25" hidden="1" customHeight="1" x14ac:dyDescent="0.35">
      <c r="A1491" s="72">
        <f t="shared" si="768"/>
        <v>2019</v>
      </c>
      <c r="B1491" s="72" t="str">
        <f t="shared" si="697"/>
        <v>Nov</v>
      </c>
      <c r="C1491" s="73">
        <f t="shared" si="698"/>
        <v>19</v>
      </c>
      <c r="D1491" s="74">
        <f t="shared" si="699"/>
        <v>8</v>
      </c>
      <c r="E1491" s="75">
        <f t="shared" si="769"/>
        <v>36</v>
      </c>
      <c r="F1491" s="79"/>
      <c r="G1491" s="82"/>
      <c r="H1491" s="68" t="str">
        <f t="shared" si="700"/>
        <v>Senbur0_20191119_08_00</v>
      </c>
      <c r="I1491" s="69">
        <f t="shared" ref="I1491:N1491" si="771">I1490</f>
        <v>1</v>
      </c>
      <c r="J1491" s="76" t="str">
        <f t="shared" si="771"/>
        <v>Senecio</v>
      </c>
      <c r="K1491" s="76" t="str">
        <f t="shared" si="771"/>
        <v>burtoni</v>
      </c>
      <c r="L1491" s="77">
        <f t="shared" si="771"/>
        <v>0</v>
      </c>
      <c r="M1491" s="77">
        <f t="shared" si="771"/>
        <v>7</v>
      </c>
      <c r="N1491" s="71">
        <f t="shared" si="771"/>
        <v>0</v>
      </c>
      <c r="O1491" s="44"/>
      <c r="P1491" s="45" t="str">
        <f t="shared" si="702"/>
        <v/>
      </c>
      <c r="Q1491" s="46" t="str">
        <f t="shared" si="703"/>
        <v/>
      </c>
      <c r="R1491" s="47" t="e">
        <f t="shared" si="704"/>
        <v>#VALUE!</v>
      </c>
      <c r="S1491" s="48" t="e">
        <f t="shared" si="705"/>
        <v>#VALUE!</v>
      </c>
      <c r="T1491" s="47" t="str">
        <f t="shared" si="706"/>
        <v/>
      </c>
      <c r="U1491" s="49"/>
      <c r="V1491" s="50"/>
      <c r="W1491" s="51" t="e">
        <f t="shared" si="707"/>
        <v>#VALUE!</v>
      </c>
      <c r="X1491" s="52"/>
      <c r="Y1491" s="52"/>
      <c r="Z1491" s="52"/>
      <c r="AA1491" s="47" t="e">
        <f>INDEX(VISITORS[INSECT ORDER], MATCH(X1491,VISITORS[NAME USED],0))</f>
        <v>#N/A</v>
      </c>
      <c r="AB1491" s="47" t="e">
        <f t="shared" si="708"/>
        <v>#N/A</v>
      </c>
      <c r="AC1491" s="53" t="e">
        <f t="shared" si="709"/>
        <v>#VALUE!</v>
      </c>
      <c r="AD1491" s="54" t="str">
        <f t="shared" si="710"/>
        <v/>
      </c>
      <c r="AE1491" s="54"/>
      <c r="AF1491" s="54"/>
      <c r="AG1491" s="55" t="str">
        <f t="shared" si="711"/>
        <v/>
      </c>
      <c r="AH1491" s="56" t="str">
        <f t="shared" si="712"/>
        <v/>
      </c>
      <c r="AI1491" s="55"/>
      <c r="AJ1491" s="56" t="str">
        <f t="shared" si="713"/>
        <v/>
      </c>
      <c r="AK1491" s="55"/>
      <c r="AL1491" s="56" t="str">
        <f t="shared" si="714"/>
        <v/>
      </c>
      <c r="AM1491" s="55"/>
      <c r="AN1491" s="56" t="str">
        <f t="shared" si="715"/>
        <v/>
      </c>
      <c r="AO1491" s="55"/>
      <c r="AP1491" s="56" t="str">
        <f t="shared" si="716"/>
        <v/>
      </c>
      <c r="AQ1491" s="55"/>
      <c r="AR1491" s="56" t="str">
        <f t="shared" si="717"/>
        <v/>
      </c>
      <c r="AS1491" s="57"/>
      <c r="AT1491" s="58"/>
      <c r="AU1491" s="58"/>
      <c r="AV1491" s="59"/>
      <c r="AW1491" s="60" t="str">
        <f t="shared" si="718"/>
        <v/>
      </c>
      <c r="AX1491" s="61" t="str">
        <f t="shared" si="719"/>
        <v/>
      </c>
      <c r="AY1491" s="60" t="str">
        <f t="shared" si="720"/>
        <v/>
      </c>
      <c r="AZ1491" s="61" t="str">
        <f t="shared" si="721"/>
        <v/>
      </c>
    </row>
    <row r="1492" spans="1:52" s="3" customFormat="1" hidden="1" x14ac:dyDescent="0.35">
      <c r="A1492" s="72">
        <f t="shared" si="768"/>
        <v>2019</v>
      </c>
      <c r="B1492" s="72" t="str">
        <f t="shared" si="697"/>
        <v>Nov</v>
      </c>
      <c r="C1492" s="73">
        <f t="shared" si="698"/>
        <v>19</v>
      </c>
      <c r="D1492" s="74">
        <f t="shared" si="699"/>
        <v>8</v>
      </c>
      <c r="E1492" s="75">
        <f t="shared" si="769"/>
        <v>37</v>
      </c>
      <c r="F1492" s="79"/>
      <c r="G1492" s="82"/>
      <c r="H1492" s="68" t="str">
        <f t="shared" si="700"/>
        <v>Senbur0_20191119_08_00</v>
      </c>
      <c r="I1492" s="69">
        <f t="shared" ref="I1492:N1492" si="772">I1491</f>
        <v>1</v>
      </c>
      <c r="J1492" s="76" t="str">
        <f t="shared" si="772"/>
        <v>Senecio</v>
      </c>
      <c r="K1492" s="76" t="str">
        <f t="shared" si="772"/>
        <v>burtoni</v>
      </c>
      <c r="L1492" s="77">
        <f t="shared" si="772"/>
        <v>0</v>
      </c>
      <c r="M1492" s="77">
        <f t="shared" si="772"/>
        <v>7</v>
      </c>
      <c r="N1492" s="71">
        <f t="shared" si="772"/>
        <v>0</v>
      </c>
      <c r="O1492" s="44"/>
      <c r="P1492" s="45" t="str">
        <f t="shared" si="702"/>
        <v/>
      </c>
      <c r="Q1492" s="46" t="str">
        <f t="shared" si="703"/>
        <v/>
      </c>
      <c r="R1492" s="47" t="e">
        <f t="shared" si="704"/>
        <v>#VALUE!</v>
      </c>
      <c r="S1492" s="48" t="e">
        <f t="shared" si="705"/>
        <v>#VALUE!</v>
      </c>
      <c r="T1492" s="47" t="str">
        <f t="shared" si="706"/>
        <v/>
      </c>
      <c r="U1492" s="49"/>
      <c r="V1492" s="50"/>
      <c r="W1492" s="51" t="e">
        <f t="shared" si="707"/>
        <v>#VALUE!</v>
      </c>
      <c r="X1492" s="52"/>
      <c r="Y1492" s="52"/>
      <c r="Z1492" s="52"/>
      <c r="AA1492" s="47" t="e">
        <f>INDEX(VISITORS[INSECT ORDER], MATCH(X1492,VISITORS[NAME USED],0))</f>
        <v>#N/A</v>
      </c>
      <c r="AB1492" s="47" t="e">
        <f t="shared" si="708"/>
        <v>#N/A</v>
      </c>
      <c r="AC1492" s="53" t="e">
        <f t="shared" si="709"/>
        <v>#VALUE!</v>
      </c>
      <c r="AD1492" s="54" t="str">
        <f t="shared" si="710"/>
        <v/>
      </c>
      <c r="AE1492" s="54"/>
      <c r="AF1492" s="54"/>
      <c r="AG1492" s="55" t="str">
        <f t="shared" si="711"/>
        <v/>
      </c>
      <c r="AH1492" s="56" t="str">
        <f t="shared" si="712"/>
        <v/>
      </c>
      <c r="AI1492" s="55"/>
      <c r="AJ1492" s="56" t="str">
        <f t="shared" si="713"/>
        <v/>
      </c>
      <c r="AK1492" s="55"/>
      <c r="AL1492" s="56" t="str">
        <f t="shared" si="714"/>
        <v/>
      </c>
      <c r="AM1492" s="55"/>
      <c r="AN1492" s="56" t="str">
        <f t="shared" si="715"/>
        <v/>
      </c>
      <c r="AO1492" s="55"/>
      <c r="AP1492" s="56" t="str">
        <f t="shared" si="716"/>
        <v/>
      </c>
      <c r="AQ1492" s="55"/>
      <c r="AR1492" s="56" t="str">
        <f t="shared" si="717"/>
        <v/>
      </c>
      <c r="AS1492" s="57"/>
      <c r="AT1492" s="58"/>
      <c r="AU1492" s="58"/>
      <c r="AV1492" s="59"/>
      <c r="AW1492" s="60" t="str">
        <f t="shared" si="718"/>
        <v/>
      </c>
      <c r="AX1492" s="61" t="str">
        <f t="shared" si="719"/>
        <v/>
      </c>
      <c r="AY1492" s="60" t="str">
        <f t="shared" si="720"/>
        <v/>
      </c>
      <c r="AZ1492" s="61" t="str">
        <f t="shared" si="721"/>
        <v/>
      </c>
    </row>
    <row r="1493" spans="1:52" s="3" customFormat="1" ht="15" hidden="1" thickBot="1" x14ac:dyDescent="0.4">
      <c r="A1493" s="85">
        <f t="shared" si="768"/>
        <v>2019</v>
      </c>
      <c r="B1493" s="85" t="str">
        <f t="shared" si="697"/>
        <v>Nov</v>
      </c>
      <c r="C1493" s="86">
        <f t="shared" si="698"/>
        <v>19</v>
      </c>
      <c r="D1493" s="87">
        <f t="shared" si="699"/>
        <v>8</v>
      </c>
      <c r="E1493" s="88">
        <f t="shared" si="769"/>
        <v>38</v>
      </c>
      <c r="F1493" s="89"/>
      <c r="G1493" s="90"/>
      <c r="H1493" s="68" t="str">
        <f t="shared" si="700"/>
        <v>Senbur0_20191119_08_00</v>
      </c>
      <c r="I1493" s="91">
        <f t="shared" ref="I1493:N1493" si="773">I1492</f>
        <v>1</v>
      </c>
      <c r="J1493" s="92" t="str">
        <f t="shared" si="773"/>
        <v>Senecio</v>
      </c>
      <c r="K1493" s="92" t="str">
        <f t="shared" si="773"/>
        <v>burtoni</v>
      </c>
      <c r="L1493" s="93">
        <f t="shared" si="773"/>
        <v>0</v>
      </c>
      <c r="M1493" s="93">
        <f t="shared" si="773"/>
        <v>7</v>
      </c>
      <c r="N1493" s="94">
        <f t="shared" si="773"/>
        <v>0</v>
      </c>
      <c r="O1493" s="95"/>
      <c r="P1493" s="96" t="str">
        <f t="shared" si="702"/>
        <v/>
      </c>
      <c r="Q1493" s="97" t="str">
        <f t="shared" si="703"/>
        <v/>
      </c>
      <c r="R1493" s="98" t="e">
        <f t="shared" si="704"/>
        <v>#VALUE!</v>
      </c>
      <c r="S1493" s="98" t="e">
        <f t="shared" si="705"/>
        <v>#VALUE!</v>
      </c>
      <c r="T1493" s="98" t="str">
        <f t="shared" si="706"/>
        <v/>
      </c>
      <c r="U1493" s="99"/>
      <c r="V1493" s="100"/>
      <c r="W1493" s="101" t="e">
        <f t="shared" si="707"/>
        <v>#VALUE!</v>
      </c>
      <c r="X1493" s="102"/>
      <c r="Y1493" s="122"/>
      <c r="Z1493" s="122"/>
      <c r="AA1493" s="47" t="e">
        <f>INDEX(VISITORS[INSECT ORDER], MATCH(X1493,VISITORS[NAME USED],0))</f>
        <v>#N/A</v>
      </c>
      <c r="AB1493" s="98" t="e">
        <f t="shared" si="708"/>
        <v>#N/A</v>
      </c>
      <c r="AC1493" s="53" t="e">
        <f t="shared" si="709"/>
        <v>#VALUE!</v>
      </c>
      <c r="AD1493" s="103" t="str">
        <f t="shared" si="710"/>
        <v/>
      </c>
      <c r="AE1493" s="103"/>
      <c r="AF1493" s="103"/>
      <c r="AG1493" s="104" t="str">
        <f t="shared" si="711"/>
        <v/>
      </c>
      <c r="AH1493" s="105" t="str">
        <f t="shared" si="712"/>
        <v/>
      </c>
      <c r="AI1493" s="104"/>
      <c r="AJ1493" s="105" t="str">
        <f t="shared" si="713"/>
        <v/>
      </c>
      <c r="AK1493" s="104"/>
      <c r="AL1493" s="105" t="str">
        <f t="shared" si="714"/>
        <v/>
      </c>
      <c r="AM1493" s="104"/>
      <c r="AN1493" s="105" t="str">
        <f t="shared" si="715"/>
        <v/>
      </c>
      <c r="AO1493" s="104"/>
      <c r="AP1493" s="105" t="str">
        <f t="shared" si="716"/>
        <v/>
      </c>
      <c r="AQ1493" s="104"/>
      <c r="AR1493" s="105" t="str">
        <f t="shared" si="717"/>
        <v/>
      </c>
      <c r="AS1493" s="106"/>
      <c r="AT1493" s="107"/>
      <c r="AU1493" s="107"/>
      <c r="AV1493" s="108"/>
      <c r="AW1493" s="109" t="str">
        <f t="shared" si="718"/>
        <v/>
      </c>
      <c r="AX1493" s="110" t="str">
        <f t="shared" si="719"/>
        <v/>
      </c>
      <c r="AY1493" s="109" t="str">
        <f t="shared" si="720"/>
        <v/>
      </c>
      <c r="AZ1493" s="110" t="str">
        <f t="shared" si="721"/>
        <v/>
      </c>
    </row>
    <row r="1494" spans="1:52" s="3" customFormat="1" ht="11.25" hidden="1" customHeight="1" x14ac:dyDescent="0.35">
      <c r="A1494" s="72">
        <f t="shared" si="768"/>
        <v>2019</v>
      </c>
      <c r="B1494" s="72" t="str">
        <f t="shared" si="697"/>
        <v>Nov</v>
      </c>
      <c r="C1494" s="73">
        <f t="shared" si="698"/>
        <v>19</v>
      </c>
      <c r="D1494" s="74">
        <f t="shared" si="699"/>
        <v>8</v>
      </c>
      <c r="E1494" s="75">
        <f t="shared" si="769"/>
        <v>39</v>
      </c>
      <c r="F1494" s="79"/>
      <c r="G1494" s="82"/>
      <c r="H1494" s="68" t="str">
        <f t="shared" si="700"/>
        <v>Senbur0_20191119_08_00</v>
      </c>
      <c r="I1494" s="69">
        <f t="shared" ref="I1494:N1494" si="774">I1493</f>
        <v>1</v>
      </c>
      <c r="J1494" s="76" t="str">
        <f t="shared" si="774"/>
        <v>Senecio</v>
      </c>
      <c r="K1494" s="76" t="str">
        <f t="shared" si="774"/>
        <v>burtoni</v>
      </c>
      <c r="L1494" s="77">
        <f t="shared" si="774"/>
        <v>0</v>
      </c>
      <c r="M1494" s="77">
        <f t="shared" si="774"/>
        <v>7</v>
      </c>
      <c r="N1494" s="71">
        <f t="shared" si="774"/>
        <v>0</v>
      </c>
      <c r="O1494" s="44"/>
      <c r="P1494" s="45" t="str">
        <f t="shared" si="702"/>
        <v/>
      </c>
      <c r="Q1494" s="46" t="str">
        <f t="shared" si="703"/>
        <v/>
      </c>
      <c r="R1494" s="47" t="e">
        <f t="shared" si="704"/>
        <v>#VALUE!</v>
      </c>
      <c r="S1494" s="48" t="e">
        <f t="shared" si="705"/>
        <v>#VALUE!</v>
      </c>
      <c r="T1494" s="47" t="str">
        <f t="shared" si="706"/>
        <v/>
      </c>
      <c r="U1494" s="49"/>
      <c r="V1494" s="50"/>
      <c r="W1494" s="51" t="e">
        <f t="shared" si="707"/>
        <v>#VALUE!</v>
      </c>
      <c r="X1494" s="52"/>
      <c r="Y1494" s="52"/>
      <c r="Z1494" s="52"/>
      <c r="AA1494" s="47" t="e">
        <f>INDEX(VISITORS[INSECT ORDER], MATCH(X1494,VISITORS[NAME USED],0))</f>
        <v>#N/A</v>
      </c>
      <c r="AB1494" s="47" t="e">
        <f t="shared" si="708"/>
        <v>#N/A</v>
      </c>
      <c r="AC1494" s="53" t="e">
        <f t="shared" si="709"/>
        <v>#VALUE!</v>
      </c>
      <c r="AD1494" s="54" t="str">
        <f t="shared" si="710"/>
        <v/>
      </c>
      <c r="AE1494" s="54"/>
      <c r="AF1494" s="54"/>
      <c r="AG1494" s="55" t="str">
        <f t="shared" si="711"/>
        <v/>
      </c>
      <c r="AH1494" s="56" t="str">
        <f t="shared" si="712"/>
        <v/>
      </c>
      <c r="AI1494" s="55"/>
      <c r="AJ1494" s="56" t="str">
        <f t="shared" si="713"/>
        <v/>
      </c>
      <c r="AK1494" s="55"/>
      <c r="AL1494" s="56" t="str">
        <f t="shared" si="714"/>
        <v/>
      </c>
      <c r="AM1494" s="55"/>
      <c r="AN1494" s="56" t="str">
        <f t="shared" si="715"/>
        <v/>
      </c>
      <c r="AO1494" s="55"/>
      <c r="AP1494" s="56" t="str">
        <f t="shared" si="716"/>
        <v/>
      </c>
      <c r="AQ1494" s="55"/>
      <c r="AR1494" s="56" t="str">
        <f t="shared" si="717"/>
        <v/>
      </c>
      <c r="AS1494" s="57"/>
      <c r="AT1494" s="58"/>
      <c r="AU1494" s="58"/>
      <c r="AV1494" s="59"/>
      <c r="AW1494" s="60" t="str">
        <f t="shared" si="718"/>
        <v/>
      </c>
      <c r="AX1494" s="61" t="str">
        <f t="shared" si="719"/>
        <v/>
      </c>
      <c r="AY1494" s="60" t="str">
        <f t="shared" si="720"/>
        <v/>
      </c>
      <c r="AZ1494" s="61" t="str">
        <f t="shared" si="721"/>
        <v/>
      </c>
    </row>
    <row r="1495" spans="1:52" s="3" customFormat="1" hidden="1" x14ac:dyDescent="0.35">
      <c r="A1495" s="72">
        <f t="shared" si="768"/>
        <v>2019</v>
      </c>
      <c r="B1495" s="72" t="str">
        <f t="shared" si="697"/>
        <v>Nov</v>
      </c>
      <c r="C1495" s="73">
        <f t="shared" si="698"/>
        <v>19</v>
      </c>
      <c r="D1495" s="74">
        <f t="shared" si="699"/>
        <v>8</v>
      </c>
      <c r="E1495" s="75">
        <f t="shared" si="769"/>
        <v>40</v>
      </c>
      <c r="F1495" s="79"/>
      <c r="G1495" s="82"/>
      <c r="H1495" s="68" t="str">
        <f t="shared" si="700"/>
        <v>Senbur0_20191119_08_00</v>
      </c>
      <c r="I1495" s="69">
        <f t="shared" ref="I1495:N1495" si="775">I1494</f>
        <v>1</v>
      </c>
      <c r="J1495" s="76" t="str">
        <f t="shared" si="775"/>
        <v>Senecio</v>
      </c>
      <c r="K1495" s="76" t="str">
        <f t="shared" si="775"/>
        <v>burtoni</v>
      </c>
      <c r="L1495" s="77">
        <f t="shared" si="775"/>
        <v>0</v>
      </c>
      <c r="M1495" s="77">
        <f t="shared" si="775"/>
        <v>7</v>
      </c>
      <c r="N1495" s="71">
        <f t="shared" si="775"/>
        <v>0</v>
      </c>
      <c r="O1495" s="44"/>
      <c r="P1495" s="45" t="str">
        <f t="shared" si="702"/>
        <v/>
      </c>
      <c r="Q1495" s="46" t="str">
        <f t="shared" si="703"/>
        <v/>
      </c>
      <c r="R1495" s="47" t="e">
        <f t="shared" si="704"/>
        <v>#VALUE!</v>
      </c>
      <c r="S1495" s="48" t="e">
        <f t="shared" si="705"/>
        <v>#VALUE!</v>
      </c>
      <c r="T1495" s="47" t="str">
        <f t="shared" si="706"/>
        <v/>
      </c>
      <c r="U1495" s="49"/>
      <c r="V1495" s="50"/>
      <c r="W1495" s="51" t="e">
        <f t="shared" si="707"/>
        <v>#VALUE!</v>
      </c>
      <c r="X1495" s="52"/>
      <c r="Y1495" s="52"/>
      <c r="Z1495" s="52"/>
      <c r="AA1495" s="47" t="e">
        <f>INDEX(VISITORS[INSECT ORDER], MATCH(X1495,VISITORS[NAME USED],0))</f>
        <v>#N/A</v>
      </c>
      <c r="AB1495" s="47" t="e">
        <f t="shared" si="708"/>
        <v>#N/A</v>
      </c>
      <c r="AC1495" s="53" t="e">
        <f t="shared" si="709"/>
        <v>#VALUE!</v>
      </c>
      <c r="AD1495" s="54" t="str">
        <f t="shared" si="710"/>
        <v/>
      </c>
      <c r="AE1495" s="54"/>
      <c r="AF1495" s="54"/>
      <c r="AG1495" s="55" t="str">
        <f t="shared" si="711"/>
        <v/>
      </c>
      <c r="AH1495" s="56" t="str">
        <f t="shared" si="712"/>
        <v/>
      </c>
      <c r="AI1495" s="55"/>
      <c r="AJ1495" s="56" t="str">
        <f t="shared" si="713"/>
        <v/>
      </c>
      <c r="AK1495" s="55"/>
      <c r="AL1495" s="56" t="str">
        <f t="shared" si="714"/>
        <v/>
      </c>
      <c r="AM1495" s="55"/>
      <c r="AN1495" s="56" t="str">
        <f t="shared" si="715"/>
        <v/>
      </c>
      <c r="AO1495" s="55"/>
      <c r="AP1495" s="56" t="str">
        <f t="shared" si="716"/>
        <v/>
      </c>
      <c r="AQ1495" s="55"/>
      <c r="AR1495" s="56" t="str">
        <f t="shared" si="717"/>
        <v/>
      </c>
      <c r="AS1495" s="57"/>
      <c r="AT1495" s="58"/>
      <c r="AU1495" s="58"/>
      <c r="AV1495" s="59"/>
      <c r="AW1495" s="60" t="str">
        <f t="shared" si="718"/>
        <v/>
      </c>
      <c r="AX1495" s="61" t="str">
        <f t="shared" si="719"/>
        <v/>
      </c>
      <c r="AY1495" s="60" t="str">
        <f t="shared" si="720"/>
        <v/>
      </c>
      <c r="AZ1495" s="61" t="str">
        <f t="shared" si="721"/>
        <v/>
      </c>
    </row>
    <row r="1496" spans="1:52" s="3" customFormat="1" ht="15" hidden="1" thickBot="1" x14ac:dyDescent="0.4">
      <c r="A1496" s="85">
        <f t="shared" si="768"/>
        <v>2019</v>
      </c>
      <c r="B1496" s="85" t="str">
        <f t="shared" si="697"/>
        <v>Nov</v>
      </c>
      <c r="C1496" s="86">
        <f t="shared" si="698"/>
        <v>19</v>
      </c>
      <c r="D1496" s="87">
        <f t="shared" si="699"/>
        <v>8</v>
      </c>
      <c r="E1496" s="88">
        <f t="shared" si="769"/>
        <v>41</v>
      </c>
      <c r="F1496" s="89"/>
      <c r="G1496" s="90"/>
      <c r="H1496" s="68" t="str">
        <f t="shared" si="700"/>
        <v>Senbur0_20191119_08_00</v>
      </c>
      <c r="I1496" s="91">
        <f t="shared" ref="I1496:N1496" si="776">I1495</f>
        <v>1</v>
      </c>
      <c r="J1496" s="92" t="str">
        <f t="shared" si="776"/>
        <v>Senecio</v>
      </c>
      <c r="K1496" s="92" t="str">
        <f t="shared" si="776"/>
        <v>burtoni</v>
      </c>
      <c r="L1496" s="93">
        <f t="shared" si="776"/>
        <v>0</v>
      </c>
      <c r="M1496" s="93">
        <f t="shared" si="776"/>
        <v>7</v>
      </c>
      <c r="N1496" s="94">
        <f t="shared" si="776"/>
        <v>0</v>
      </c>
      <c r="O1496" s="95"/>
      <c r="P1496" s="96" t="str">
        <f t="shared" si="702"/>
        <v/>
      </c>
      <c r="Q1496" s="97" t="str">
        <f t="shared" si="703"/>
        <v/>
      </c>
      <c r="R1496" s="98" t="e">
        <f t="shared" si="704"/>
        <v>#VALUE!</v>
      </c>
      <c r="S1496" s="98" t="e">
        <f t="shared" si="705"/>
        <v>#VALUE!</v>
      </c>
      <c r="T1496" s="98" t="str">
        <f t="shared" si="706"/>
        <v/>
      </c>
      <c r="U1496" s="99"/>
      <c r="V1496" s="100"/>
      <c r="W1496" s="101" t="e">
        <f t="shared" si="707"/>
        <v>#VALUE!</v>
      </c>
      <c r="X1496" s="102"/>
      <c r="Y1496" s="122"/>
      <c r="Z1496" s="122"/>
      <c r="AA1496" s="47" t="e">
        <f>INDEX(VISITORS[INSECT ORDER], MATCH(X1496,VISITORS[NAME USED],0))</f>
        <v>#N/A</v>
      </c>
      <c r="AB1496" s="98" t="e">
        <f t="shared" si="708"/>
        <v>#N/A</v>
      </c>
      <c r="AC1496" s="53" t="e">
        <f t="shared" si="709"/>
        <v>#VALUE!</v>
      </c>
      <c r="AD1496" s="103" t="str">
        <f t="shared" si="710"/>
        <v/>
      </c>
      <c r="AE1496" s="103"/>
      <c r="AF1496" s="103"/>
      <c r="AG1496" s="104" t="str">
        <f t="shared" si="711"/>
        <v/>
      </c>
      <c r="AH1496" s="105" t="str">
        <f t="shared" si="712"/>
        <v/>
      </c>
      <c r="AI1496" s="104"/>
      <c r="AJ1496" s="105" t="str">
        <f t="shared" si="713"/>
        <v/>
      </c>
      <c r="AK1496" s="104"/>
      <c r="AL1496" s="105" t="str">
        <f t="shared" si="714"/>
        <v/>
      </c>
      <c r="AM1496" s="104"/>
      <c r="AN1496" s="105" t="str">
        <f t="shared" si="715"/>
        <v/>
      </c>
      <c r="AO1496" s="104"/>
      <c r="AP1496" s="105" t="str">
        <f t="shared" si="716"/>
        <v/>
      </c>
      <c r="AQ1496" s="104"/>
      <c r="AR1496" s="105" t="str">
        <f t="shared" si="717"/>
        <v/>
      </c>
      <c r="AS1496" s="106"/>
      <c r="AT1496" s="107"/>
      <c r="AU1496" s="107"/>
      <c r="AV1496" s="108"/>
      <c r="AW1496" s="109" t="str">
        <f t="shared" si="718"/>
        <v/>
      </c>
      <c r="AX1496" s="110" t="str">
        <f t="shared" si="719"/>
        <v/>
      </c>
      <c r="AY1496" s="109" t="str">
        <f t="shared" si="720"/>
        <v/>
      </c>
      <c r="AZ1496" s="110" t="str">
        <f t="shared" si="721"/>
        <v/>
      </c>
    </row>
    <row r="1497" spans="1:52" s="3" customFormat="1" ht="11.25" hidden="1" customHeight="1" x14ac:dyDescent="0.35">
      <c r="A1497" s="72">
        <f t="shared" si="768"/>
        <v>2019</v>
      </c>
      <c r="B1497" s="72" t="str">
        <f t="shared" si="697"/>
        <v>Nov</v>
      </c>
      <c r="C1497" s="73">
        <f t="shared" si="698"/>
        <v>19</v>
      </c>
      <c r="D1497" s="74">
        <f t="shared" si="699"/>
        <v>8</v>
      </c>
      <c r="E1497" s="75">
        <f t="shared" si="769"/>
        <v>42</v>
      </c>
      <c r="F1497" s="79"/>
      <c r="G1497" s="82"/>
      <c r="H1497" s="68" t="str">
        <f t="shared" si="700"/>
        <v>Senbur0_20191119_08_00</v>
      </c>
      <c r="I1497" s="69">
        <f t="shared" ref="I1497:N1497" si="777">I1496</f>
        <v>1</v>
      </c>
      <c r="J1497" s="76" t="str">
        <f t="shared" si="777"/>
        <v>Senecio</v>
      </c>
      <c r="K1497" s="76" t="str">
        <f t="shared" si="777"/>
        <v>burtoni</v>
      </c>
      <c r="L1497" s="77">
        <f t="shared" si="777"/>
        <v>0</v>
      </c>
      <c r="M1497" s="77">
        <f t="shared" si="777"/>
        <v>7</v>
      </c>
      <c r="N1497" s="71">
        <f t="shared" si="777"/>
        <v>0</v>
      </c>
      <c r="O1497" s="44"/>
      <c r="P1497" s="45" t="str">
        <f t="shared" si="702"/>
        <v/>
      </c>
      <c r="Q1497" s="46" t="str">
        <f t="shared" si="703"/>
        <v/>
      </c>
      <c r="R1497" s="47" t="e">
        <f t="shared" si="704"/>
        <v>#VALUE!</v>
      </c>
      <c r="S1497" s="48" t="e">
        <f t="shared" si="705"/>
        <v>#VALUE!</v>
      </c>
      <c r="T1497" s="47" t="str">
        <f t="shared" si="706"/>
        <v/>
      </c>
      <c r="U1497" s="49"/>
      <c r="V1497" s="50"/>
      <c r="W1497" s="51" t="e">
        <f t="shared" si="707"/>
        <v>#VALUE!</v>
      </c>
      <c r="X1497" s="52"/>
      <c r="Y1497" s="52"/>
      <c r="Z1497" s="52"/>
      <c r="AA1497" s="47" t="e">
        <f>INDEX(VISITORS[INSECT ORDER], MATCH(X1497,VISITORS[NAME USED],0))</f>
        <v>#N/A</v>
      </c>
      <c r="AB1497" s="47" t="e">
        <f t="shared" si="708"/>
        <v>#N/A</v>
      </c>
      <c r="AC1497" s="53" t="e">
        <f t="shared" si="709"/>
        <v>#VALUE!</v>
      </c>
      <c r="AD1497" s="54" t="str">
        <f t="shared" si="710"/>
        <v/>
      </c>
      <c r="AE1497" s="54"/>
      <c r="AF1497" s="54"/>
      <c r="AG1497" s="55" t="str">
        <f t="shared" si="711"/>
        <v/>
      </c>
      <c r="AH1497" s="56" t="str">
        <f t="shared" si="712"/>
        <v/>
      </c>
      <c r="AI1497" s="55"/>
      <c r="AJ1497" s="56" t="str">
        <f t="shared" si="713"/>
        <v/>
      </c>
      <c r="AK1497" s="55"/>
      <c r="AL1497" s="56" t="str">
        <f t="shared" si="714"/>
        <v/>
      </c>
      <c r="AM1497" s="55"/>
      <c r="AN1497" s="56" t="str">
        <f t="shared" si="715"/>
        <v/>
      </c>
      <c r="AO1497" s="55"/>
      <c r="AP1497" s="56" t="str">
        <f t="shared" si="716"/>
        <v/>
      </c>
      <c r="AQ1497" s="55"/>
      <c r="AR1497" s="56" t="str">
        <f t="shared" si="717"/>
        <v/>
      </c>
      <c r="AS1497" s="57"/>
      <c r="AT1497" s="58"/>
      <c r="AU1497" s="58"/>
      <c r="AV1497" s="59"/>
      <c r="AW1497" s="60" t="str">
        <f t="shared" si="718"/>
        <v/>
      </c>
      <c r="AX1497" s="61" t="str">
        <f t="shared" si="719"/>
        <v/>
      </c>
      <c r="AY1497" s="60" t="str">
        <f t="shared" si="720"/>
        <v/>
      </c>
      <c r="AZ1497" s="61" t="str">
        <f t="shared" si="721"/>
        <v/>
      </c>
    </row>
    <row r="1498" spans="1:52" s="3" customFormat="1" hidden="1" x14ac:dyDescent="0.35">
      <c r="A1498" s="72">
        <f t="shared" si="768"/>
        <v>2019</v>
      </c>
      <c r="B1498" s="72" t="str">
        <f t="shared" si="697"/>
        <v>Nov</v>
      </c>
      <c r="C1498" s="73">
        <f t="shared" si="698"/>
        <v>19</v>
      </c>
      <c r="D1498" s="74">
        <f t="shared" si="699"/>
        <v>8</v>
      </c>
      <c r="E1498" s="75">
        <f t="shared" si="769"/>
        <v>43</v>
      </c>
      <c r="F1498" s="79"/>
      <c r="G1498" s="82"/>
      <c r="H1498" s="68" t="str">
        <f t="shared" si="700"/>
        <v>Senbur0_20191119_08_00</v>
      </c>
      <c r="I1498" s="69">
        <f t="shared" ref="I1498:N1498" si="778">I1497</f>
        <v>1</v>
      </c>
      <c r="J1498" s="76" t="str">
        <f t="shared" si="778"/>
        <v>Senecio</v>
      </c>
      <c r="K1498" s="76" t="str">
        <f t="shared" si="778"/>
        <v>burtoni</v>
      </c>
      <c r="L1498" s="77">
        <f t="shared" si="778"/>
        <v>0</v>
      </c>
      <c r="M1498" s="77">
        <f t="shared" si="778"/>
        <v>7</v>
      </c>
      <c r="N1498" s="71">
        <f t="shared" si="778"/>
        <v>0</v>
      </c>
      <c r="O1498" s="44"/>
      <c r="P1498" s="45" t="str">
        <f t="shared" si="702"/>
        <v/>
      </c>
      <c r="Q1498" s="46" t="str">
        <f t="shared" si="703"/>
        <v/>
      </c>
      <c r="R1498" s="47" t="e">
        <f t="shared" si="704"/>
        <v>#VALUE!</v>
      </c>
      <c r="S1498" s="48" t="e">
        <f t="shared" si="705"/>
        <v>#VALUE!</v>
      </c>
      <c r="T1498" s="47" t="str">
        <f t="shared" si="706"/>
        <v/>
      </c>
      <c r="U1498" s="49"/>
      <c r="V1498" s="50"/>
      <c r="W1498" s="51" t="e">
        <f t="shared" si="707"/>
        <v>#VALUE!</v>
      </c>
      <c r="X1498" s="52"/>
      <c r="Y1498" s="52"/>
      <c r="Z1498" s="52"/>
      <c r="AA1498" s="47" t="e">
        <f>INDEX(VISITORS[INSECT ORDER], MATCH(X1498,VISITORS[NAME USED],0))</f>
        <v>#N/A</v>
      </c>
      <c r="AB1498" s="47" t="e">
        <f t="shared" si="708"/>
        <v>#N/A</v>
      </c>
      <c r="AC1498" s="53" t="e">
        <f t="shared" si="709"/>
        <v>#VALUE!</v>
      </c>
      <c r="AD1498" s="54" t="str">
        <f t="shared" si="710"/>
        <v/>
      </c>
      <c r="AE1498" s="54"/>
      <c r="AF1498" s="54"/>
      <c r="AG1498" s="55" t="str">
        <f t="shared" si="711"/>
        <v/>
      </c>
      <c r="AH1498" s="56" t="str">
        <f t="shared" si="712"/>
        <v/>
      </c>
      <c r="AI1498" s="55"/>
      <c r="AJ1498" s="56" t="str">
        <f t="shared" si="713"/>
        <v/>
      </c>
      <c r="AK1498" s="55"/>
      <c r="AL1498" s="56" t="str">
        <f t="shared" si="714"/>
        <v/>
      </c>
      <c r="AM1498" s="55"/>
      <c r="AN1498" s="56" t="str">
        <f t="shared" si="715"/>
        <v/>
      </c>
      <c r="AO1498" s="55"/>
      <c r="AP1498" s="56" t="str">
        <f t="shared" si="716"/>
        <v/>
      </c>
      <c r="AQ1498" s="55"/>
      <c r="AR1498" s="56" t="str">
        <f t="shared" si="717"/>
        <v/>
      </c>
      <c r="AS1498" s="57"/>
      <c r="AT1498" s="58"/>
      <c r="AU1498" s="58"/>
      <c r="AV1498" s="59"/>
      <c r="AW1498" s="60" t="str">
        <f t="shared" si="718"/>
        <v/>
      </c>
      <c r="AX1498" s="61" t="str">
        <f t="shared" si="719"/>
        <v/>
      </c>
      <c r="AY1498" s="60" t="str">
        <f t="shared" si="720"/>
        <v/>
      </c>
      <c r="AZ1498" s="61" t="str">
        <f t="shared" si="721"/>
        <v/>
      </c>
    </row>
    <row r="1499" spans="1:52" s="3" customFormat="1" ht="15" hidden="1" thickBot="1" x14ac:dyDescent="0.4">
      <c r="A1499" s="85">
        <f t="shared" si="768"/>
        <v>2019</v>
      </c>
      <c r="B1499" s="85" t="str">
        <f t="shared" si="697"/>
        <v>Nov</v>
      </c>
      <c r="C1499" s="86">
        <f t="shared" si="698"/>
        <v>19</v>
      </c>
      <c r="D1499" s="87">
        <f t="shared" si="699"/>
        <v>8</v>
      </c>
      <c r="E1499" s="88">
        <f t="shared" si="769"/>
        <v>44</v>
      </c>
      <c r="F1499" s="89"/>
      <c r="G1499" s="90"/>
      <c r="H1499" s="68" t="str">
        <f t="shared" si="700"/>
        <v>Senbur0_20191119_08_00</v>
      </c>
      <c r="I1499" s="91">
        <f t="shared" ref="I1499:N1499" si="779">I1498</f>
        <v>1</v>
      </c>
      <c r="J1499" s="92" t="str">
        <f t="shared" si="779"/>
        <v>Senecio</v>
      </c>
      <c r="K1499" s="92" t="str">
        <f t="shared" si="779"/>
        <v>burtoni</v>
      </c>
      <c r="L1499" s="93">
        <f t="shared" si="779"/>
        <v>0</v>
      </c>
      <c r="M1499" s="93">
        <f t="shared" si="779"/>
        <v>7</v>
      </c>
      <c r="N1499" s="94">
        <f t="shared" si="779"/>
        <v>0</v>
      </c>
      <c r="O1499" s="95"/>
      <c r="P1499" s="96" t="str">
        <f t="shared" si="702"/>
        <v/>
      </c>
      <c r="Q1499" s="97" t="str">
        <f t="shared" si="703"/>
        <v/>
      </c>
      <c r="R1499" s="98" t="e">
        <f t="shared" si="704"/>
        <v>#VALUE!</v>
      </c>
      <c r="S1499" s="98" t="e">
        <f t="shared" si="705"/>
        <v>#VALUE!</v>
      </c>
      <c r="T1499" s="98" t="str">
        <f t="shared" si="706"/>
        <v/>
      </c>
      <c r="U1499" s="99"/>
      <c r="V1499" s="100"/>
      <c r="W1499" s="101" t="e">
        <f t="shared" si="707"/>
        <v>#VALUE!</v>
      </c>
      <c r="X1499" s="102"/>
      <c r="Y1499" s="122"/>
      <c r="Z1499" s="122"/>
      <c r="AA1499" s="47" t="e">
        <f>INDEX(VISITORS[INSECT ORDER], MATCH(X1499,VISITORS[NAME USED],0))</f>
        <v>#N/A</v>
      </c>
      <c r="AB1499" s="98" t="e">
        <f t="shared" si="708"/>
        <v>#N/A</v>
      </c>
      <c r="AC1499" s="53" t="e">
        <f t="shared" si="709"/>
        <v>#VALUE!</v>
      </c>
      <c r="AD1499" s="103" t="str">
        <f t="shared" si="710"/>
        <v/>
      </c>
      <c r="AE1499" s="103"/>
      <c r="AF1499" s="103"/>
      <c r="AG1499" s="104" t="str">
        <f t="shared" si="711"/>
        <v/>
      </c>
      <c r="AH1499" s="105" t="str">
        <f t="shared" si="712"/>
        <v/>
      </c>
      <c r="AI1499" s="104"/>
      <c r="AJ1499" s="105" t="str">
        <f t="shared" si="713"/>
        <v/>
      </c>
      <c r="AK1499" s="104"/>
      <c r="AL1499" s="105" t="str">
        <f t="shared" si="714"/>
        <v/>
      </c>
      <c r="AM1499" s="104"/>
      <c r="AN1499" s="105" t="str">
        <f t="shared" si="715"/>
        <v/>
      </c>
      <c r="AO1499" s="104"/>
      <c r="AP1499" s="105" t="str">
        <f t="shared" si="716"/>
        <v/>
      </c>
      <c r="AQ1499" s="104"/>
      <c r="AR1499" s="105" t="str">
        <f t="shared" si="717"/>
        <v/>
      </c>
      <c r="AS1499" s="106"/>
      <c r="AT1499" s="107"/>
      <c r="AU1499" s="107"/>
      <c r="AV1499" s="108"/>
      <c r="AW1499" s="109" t="str">
        <f t="shared" si="718"/>
        <v/>
      </c>
      <c r="AX1499" s="110" t="str">
        <f t="shared" si="719"/>
        <v/>
      </c>
      <c r="AY1499" s="109" t="str">
        <f t="shared" si="720"/>
        <v/>
      </c>
      <c r="AZ1499" s="110" t="str">
        <f t="shared" si="721"/>
        <v/>
      </c>
    </row>
    <row r="1500" spans="1:52" s="3" customFormat="1" ht="11.25" hidden="1" customHeight="1" x14ac:dyDescent="0.35">
      <c r="A1500" s="72">
        <f t="shared" si="768"/>
        <v>2019</v>
      </c>
      <c r="B1500" s="72" t="str">
        <f t="shared" si="697"/>
        <v>Nov</v>
      </c>
      <c r="C1500" s="73">
        <f t="shared" si="698"/>
        <v>19</v>
      </c>
      <c r="D1500" s="74">
        <f t="shared" si="699"/>
        <v>8</v>
      </c>
      <c r="E1500" s="75">
        <f t="shared" si="769"/>
        <v>45</v>
      </c>
      <c r="F1500" s="79"/>
      <c r="G1500" s="82"/>
      <c r="H1500" s="68" t="str">
        <f t="shared" si="700"/>
        <v>Senbur0_20191119_08_00</v>
      </c>
      <c r="I1500" s="69">
        <f t="shared" ref="I1500:N1500" si="780">I1499</f>
        <v>1</v>
      </c>
      <c r="J1500" s="76" t="str">
        <f t="shared" si="780"/>
        <v>Senecio</v>
      </c>
      <c r="K1500" s="76" t="str">
        <f t="shared" si="780"/>
        <v>burtoni</v>
      </c>
      <c r="L1500" s="77">
        <f t="shared" si="780"/>
        <v>0</v>
      </c>
      <c r="M1500" s="77">
        <f t="shared" si="780"/>
        <v>7</v>
      </c>
      <c r="N1500" s="71">
        <f t="shared" si="780"/>
        <v>0</v>
      </c>
      <c r="O1500" s="44"/>
      <c r="P1500" s="45" t="str">
        <f t="shared" si="702"/>
        <v/>
      </c>
      <c r="Q1500" s="46" t="str">
        <f t="shared" si="703"/>
        <v/>
      </c>
      <c r="R1500" s="47" t="e">
        <f t="shared" si="704"/>
        <v>#VALUE!</v>
      </c>
      <c r="S1500" s="48" t="e">
        <f t="shared" si="705"/>
        <v>#VALUE!</v>
      </c>
      <c r="T1500" s="47" t="str">
        <f t="shared" si="706"/>
        <v/>
      </c>
      <c r="U1500" s="49"/>
      <c r="V1500" s="50"/>
      <c r="W1500" s="51" t="e">
        <f t="shared" si="707"/>
        <v>#VALUE!</v>
      </c>
      <c r="X1500" s="52"/>
      <c r="Y1500" s="52"/>
      <c r="Z1500" s="52"/>
      <c r="AA1500" s="47" t="e">
        <f>INDEX(VISITORS[INSECT ORDER], MATCH(X1500,VISITORS[NAME USED],0))</f>
        <v>#N/A</v>
      </c>
      <c r="AB1500" s="47" t="e">
        <f t="shared" si="708"/>
        <v>#N/A</v>
      </c>
      <c r="AC1500" s="53" t="e">
        <f t="shared" si="709"/>
        <v>#VALUE!</v>
      </c>
      <c r="AD1500" s="54" t="str">
        <f t="shared" si="710"/>
        <v/>
      </c>
      <c r="AE1500" s="54"/>
      <c r="AF1500" s="54"/>
      <c r="AG1500" s="55" t="str">
        <f t="shared" si="711"/>
        <v/>
      </c>
      <c r="AH1500" s="56" t="str">
        <f t="shared" si="712"/>
        <v/>
      </c>
      <c r="AI1500" s="55"/>
      <c r="AJ1500" s="56" t="str">
        <f t="shared" si="713"/>
        <v/>
      </c>
      <c r="AK1500" s="55"/>
      <c r="AL1500" s="56" t="str">
        <f t="shared" si="714"/>
        <v/>
      </c>
      <c r="AM1500" s="55"/>
      <c r="AN1500" s="56" t="str">
        <f t="shared" si="715"/>
        <v/>
      </c>
      <c r="AO1500" s="55"/>
      <c r="AP1500" s="56" t="str">
        <f t="shared" si="716"/>
        <v/>
      </c>
      <c r="AQ1500" s="55"/>
      <c r="AR1500" s="56" t="str">
        <f t="shared" si="717"/>
        <v/>
      </c>
      <c r="AS1500" s="57"/>
      <c r="AT1500" s="58"/>
      <c r="AU1500" s="58"/>
      <c r="AV1500" s="59"/>
      <c r="AW1500" s="60" t="str">
        <f t="shared" si="718"/>
        <v/>
      </c>
      <c r="AX1500" s="61" t="str">
        <f t="shared" si="719"/>
        <v/>
      </c>
      <c r="AY1500" s="60" t="str">
        <f t="shared" si="720"/>
        <v/>
      </c>
      <c r="AZ1500" s="61" t="str">
        <f t="shared" si="721"/>
        <v/>
      </c>
    </row>
    <row r="1501" spans="1:52" s="3" customFormat="1" hidden="1" x14ac:dyDescent="0.35">
      <c r="A1501" s="72">
        <f t="shared" si="768"/>
        <v>2019</v>
      </c>
      <c r="B1501" s="72" t="str">
        <f t="shared" si="697"/>
        <v>Nov</v>
      </c>
      <c r="C1501" s="73">
        <f t="shared" si="698"/>
        <v>19</v>
      </c>
      <c r="D1501" s="74">
        <f t="shared" si="699"/>
        <v>8</v>
      </c>
      <c r="E1501" s="75">
        <f t="shared" si="769"/>
        <v>46</v>
      </c>
      <c r="F1501" s="79"/>
      <c r="G1501" s="82"/>
      <c r="H1501" s="68" t="str">
        <f t="shared" si="700"/>
        <v>Senbur0_20191119_08_00</v>
      </c>
      <c r="I1501" s="69">
        <f t="shared" ref="I1501:N1501" si="781">I1500</f>
        <v>1</v>
      </c>
      <c r="J1501" s="76" t="str">
        <f t="shared" si="781"/>
        <v>Senecio</v>
      </c>
      <c r="K1501" s="76" t="str">
        <f t="shared" si="781"/>
        <v>burtoni</v>
      </c>
      <c r="L1501" s="77">
        <f t="shared" si="781"/>
        <v>0</v>
      </c>
      <c r="M1501" s="77">
        <f t="shared" si="781"/>
        <v>7</v>
      </c>
      <c r="N1501" s="71">
        <f t="shared" si="781"/>
        <v>0</v>
      </c>
      <c r="O1501" s="44"/>
      <c r="P1501" s="45" t="str">
        <f t="shared" si="702"/>
        <v/>
      </c>
      <c r="Q1501" s="46" t="str">
        <f t="shared" si="703"/>
        <v/>
      </c>
      <c r="R1501" s="47" t="e">
        <f t="shared" si="704"/>
        <v>#VALUE!</v>
      </c>
      <c r="S1501" s="48" t="e">
        <f t="shared" si="705"/>
        <v>#VALUE!</v>
      </c>
      <c r="T1501" s="47" t="str">
        <f t="shared" si="706"/>
        <v/>
      </c>
      <c r="U1501" s="49"/>
      <c r="V1501" s="50"/>
      <c r="W1501" s="51" t="e">
        <f t="shared" si="707"/>
        <v>#VALUE!</v>
      </c>
      <c r="X1501" s="52"/>
      <c r="Y1501" s="52"/>
      <c r="Z1501" s="52"/>
      <c r="AA1501" s="47" t="e">
        <f>INDEX(VISITORS[INSECT ORDER], MATCH(X1501,VISITORS[NAME USED],0))</f>
        <v>#N/A</v>
      </c>
      <c r="AB1501" s="47" t="e">
        <f t="shared" si="708"/>
        <v>#N/A</v>
      </c>
      <c r="AC1501" s="53" t="e">
        <f t="shared" si="709"/>
        <v>#VALUE!</v>
      </c>
      <c r="AD1501" s="54" t="str">
        <f t="shared" si="710"/>
        <v/>
      </c>
      <c r="AE1501" s="54"/>
      <c r="AF1501" s="54"/>
      <c r="AG1501" s="55" t="str">
        <f t="shared" si="711"/>
        <v/>
      </c>
      <c r="AH1501" s="56" t="str">
        <f t="shared" si="712"/>
        <v/>
      </c>
      <c r="AI1501" s="55"/>
      <c r="AJ1501" s="56" t="str">
        <f t="shared" si="713"/>
        <v/>
      </c>
      <c r="AK1501" s="55"/>
      <c r="AL1501" s="56" t="str">
        <f t="shared" si="714"/>
        <v/>
      </c>
      <c r="AM1501" s="55"/>
      <c r="AN1501" s="56" t="str">
        <f t="shared" si="715"/>
        <v/>
      </c>
      <c r="AO1501" s="55"/>
      <c r="AP1501" s="56" t="str">
        <f t="shared" si="716"/>
        <v/>
      </c>
      <c r="AQ1501" s="55"/>
      <c r="AR1501" s="56" t="str">
        <f t="shared" si="717"/>
        <v/>
      </c>
      <c r="AS1501" s="57"/>
      <c r="AT1501" s="58"/>
      <c r="AU1501" s="58"/>
      <c r="AV1501" s="59"/>
      <c r="AW1501" s="60" t="str">
        <f t="shared" si="718"/>
        <v/>
      </c>
      <c r="AX1501" s="61" t="str">
        <f t="shared" si="719"/>
        <v/>
      </c>
      <c r="AY1501" s="60" t="str">
        <f t="shared" si="720"/>
        <v/>
      </c>
      <c r="AZ1501" s="61" t="str">
        <f t="shared" si="721"/>
        <v/>
      </c>
    </row>
    <row r="1502" spans="1:52" s="3" customFormat="1" ht="15" hidden="1" thickBot="1" x14ac:dyDescent="0.4">
      <c r="A1502" s="85">
        <f t="shared" si="768"/>
        <v>2019</v>
      </c>
      <c r="B1502" s="85" t="str">
        <f t="shared" si="697"/>
        <v>Nov</v>
      </c>
      <c r="C1502" s="86">
        <f t="shared" si="698"/>
        <v>19</v>
      </c>
      <c r="D1502" s="87">
        <f t="shared" si="699"/>
        <v>8</v>
      </c>
      <c r="E1502" s="88">
        <f t="shared" si="769"/>
        <v>47</v>
      </c>
      <c r="F1502" s="89"/>
      <c r="G1502" s="90"/>
      <c r="H1502" s="68" t="str">
        <f t="shared" si="700"/>
        <v>Senbur0_20191119_08_00</v>
      </c>
      <c r="I1502" s="91">
        <f t="shared" ref="I1502:N1502" si="782">I1501</f>
        <v>1</v>
      </c>
      <c r="J1502" s="92" t="str">
        <f t="shared" si="782"/>
        <v>Senecio</v>
      </c>
      <c r="K1502" s="92" t="str">
        <f t="shared" si="782"/>
        <v>burtoni</v>
      </c>
      <c r="L1502" s="93">
        <f t="shared" si="782"/>
        <v>0</v>
      </c>
      <c r="M1502" s="93">
        <f t="shared" si="782"/>
        <v>7</v>
      </c>
      <c r="N1502" s="94">
        <f t="shared" si="782"/>
        <v>0</v>
      </c>
      <c r="O1502" s="95"/>
      <c r="P1502" s="96" t="str">
        <f t="shared" si="702"/>
        <v/>
      </c>
      <c r="Q1502" s="97" t="str">
        <f t="shared" si="703"/>
        <v/>
      </c>
      <c r="R1502" s="98" t="e">
        <f t="shared" si="704"/>
        <v>#VALUE!</v>
      </c>
      <c r="S1502" s="98" t="e">
        <f t="shared" si="705"/>
        <v>#VALUE!</v>
      </c>
      <c r="T1502" s="98" t="str">
        <f t="shared" si="706"/>
        <v/>
      </c>
      <c r="U1502" s="99"/>
      <c r="V1502" s="100"/>
      <c r="W1502" s="101" t="e">
        <f t="shared" si="707"/>
        <v>#VALUE!</v>
      </c>
      <c r="X1502" s="102"/>
      <c r="Y1502" s="122"/>
      <c r="Z1502" s="122"/>
      <c r="AA1502" s="47" t="e">
        <f>INDEX(VISITORS[INSECT ORDER], MATCH(X1502,VISITORS[NAME USED],0))</f>
        <v>#N/A</v>
      </c>
      <c r="AB1502" s="98" t="e">
        <f t="shared" si="708"/>
        <v>#N/A</v>
      </c>
      <c r="AC1502" s="53" t="e">
        <f t="shared" si="709"/>
        <v>#VALUE!</v>
      </c>
      <c r="AD1502" s="103" t="str">
        <f t="shared" si="710"/>
        <v/>
      </c>
      <c r="AE1502" s="103"/>
      <c r="AF1502" s="103"/>
      <c r="AG1502" s="104" t="str">
        <f t="shared" si="711"/>
        <v/>
      </c>
      <c r="AH1502" s="105" t="str">
        <f t="shared" si="712"/>
        <v/>
      </c>
      <c r="AI1502" s="104"/>
      <c r="AJ1502" s="105" t="str">
        <f t="shared" si="713"/>
        <v/>
      </c>
      <c r="AK1502" s="104"/>
      <c r="AL1502" s="105" t="str">
        <f t="shared" si="714"/>
        <v/>
      </c>
      <c r="AM1502" s="104"/>
      <c r="AN1502" s="105" t="str">
        <f t="shared" si="715"/>
        <v/>
      </c>
      <c r="AO1502" s="104"/>
      <c r="AP1502" s="105" t="str">
        <f t="shared" si="716"/>
        <v/>
      </c>
      <c r="AQ1502" s="104"/>
      <c r="AR1502" s="105" t="str">
        <f t="shared" si="717"/>
        <v/>
      </c>
      <c r="AS1502" s="106"/>
      <c r="AT1502" s="107"/>
      <c r="AU1502" s="107"/>
      <c r="AV1502" s="108"/>
      <c r="AW1502" s="109" t="str">
        <f t="shared" si="718"/>
        <v/>
      </c>
      <c r="AX1502" s="110" t="str">
        <f t="shared" si="719"/>
        <v/>
      </c>
      <c r="AY1502" s="109" t="str">
        <f t="shared" si="720"/>
        <v/>
      </c>
      <c r="AZ1502" s="110" t="str">
        <f t="shared" si="721"/>
        <v/>
      </c>
    </row>
    <row r="1503" spans="1:52" s="3" customFormat="1" ht="11.25" hidden="1" customHeight="1" x14ac:dyDescent="0.35">
      <c r="A1503" s="72">
        <f t="shared" si="768"/>
        <v>2019</v>
      </c>
      <c r="B1503" s="72" t="str">
        <f t="shared" si="697"/>
        <v>Nov</v>
      </c>
      <c r="C1503" s="73">
        <f t="shared" si="698"/>
        <v>19</v>
      </c>
      <c r="D1503" s="74">
        <f t="shared" si="699"/>
        <v>8</v>
      </c>
      <c r="E1503" s="75">
        <f t="shared" si="769"/>
        <v>48</v>
      </c>
      <c r="F1503" s="79"/>
      <c r="G1503" s="82"/>
      <c r="H1503" s="68" t="str">
        <f t="shared" si="700"/>
        <v>Senbur0_20191119_08_00</v>
      </c>
      <c r="I1503" s="69">
        <f t="shared" ref="I1503:N1503" si="783">I1502</f>
        <v>1</v>
      </c>
      <c r="J1503" s="76" t="str">
        <f t="shared" si="783"/>
        <v>Senecio</v>
      </c>
      <c r="K1503" s="76" t="str">
        <f t="shared" si="783"/>
        <v>burtoni</v>
      </c>
      <c r="L1503" s="77">
        <f t="shared" si="783"/>
        <v>0</v>
      </c>
      <c r="M1503" s="77">
        <f t="shared" si="783"/>
        <v>7</v>
      </c>
      <c r="N1503" s="71">
        <f t="shared" si="783"/>
        <v>0</v>
      </c>
      <c r="O1503" s="44"/>
      <c r="P1503" s="45" t="str">
        <f t="shared" si="702"/>
        <v/>
      </c>
      <c r="Q1503" s="46" t="str">
        <f t="shared" si="703"/>
        <v/>
      </c>
      <c r="R1503" s="47" t="e">
        <f t="shared" si="704"/>
        <v>#VALUE!</v>
      </c>
      <c r="S1503" s="48" t="e">
        <f t="shared" si="705"/>
        <v>#VALUE!</v>
      </c>
      <c r="T1503" s="47" t="str">
        <f t="shared" si="706"/>
        <v/>
      </c>
      <c r="U1503" s="49"/>
      <c r="V1503" s="50"/>
      <c r="W1503" s="51" t="e">
        <f t="shared" si="707"/>
        <v>#VALUE!</v>
      </c>
      <c r="X1503" s="52"/>
      <c r="Y1503" s="52"/>
      <c r="Z1503" s="52"/>
      <c r="AA1503" s="47" t="e">
        <f>INDEX(VISITORS[INSECT ORDER], MATCH(X1503,VISITORS[NAME USED],0))</f>
        <v>#N/A</v>
      </c>
      <c r="AB1503" s="47" t="e">
        <f t="shared" si="708"/>
        <v>#N/A</v>
      </c>
      <c r="AC1503" s="53" t="e">
        <f t="shared" si="709"/>
        <v>#VALUE!</v>
      </c>
      <c r="AD1503" s="54" t="str">
        <f t="shared" si="710"/>
        <v/>
      </c>
      <c r="AE1503" s="54"/>
      <c r="AF1503" s="54"/>
      <c r="AG1503" s="55" t="str">
        <f t="shared" si="711"/>
        <v/>
      </c>
      <c r="AH1503" s="56" t="str">
        <f t="shared" si="712"/>
        <v/>
      </c>
      <c r="AI1503" s="55"/>
      <c r="AJ1503" s="56" t="str">
        <f t="shared" si="713"/>
        <v/>
      </c>
      <c r="AK1503" s="55"/>
      <c r="AL1503" s="56" t="str">
        <f t="shared" si="714"/>
        <v/>
      </c>
      <c r="AM1503" s="55"/>
      <c r="AN1503" s="56" t="str">
        <f t="shared" si="715"/>
        <v/>
      </c>
      <c r="AO1503" s="55"/>
      <c r="AP1503" s="56" t="str">
        <f t="shared" si="716"/>
        <v/>
      </c>
      <c r="AQ1503" s="55"/>
      <c r="AR1503" s="56" t="str">
        <f t="shared" si="717"/>
        <v/>
      </c>
      <c r="AS1503" s="57"/>
      <c r="AT1503" s="58"/>
      <c r="AU1503" s="58"/>
      <c r="AV1503" s="59"/>
      <c r="AW1503" s="60" t="str">
        <f t="shared" si="718"/>
        <v/>
      </c>
      <c r="AX1503" s="61" t="str">
        <f t="shared" si="719"/>
        <v/>
      </c>
      <c r="AY1503" s="60" t="str">
        <f t="shared" si="720"/>
        <v/>
      </c>
      <c r="AZ1503" s="61" t="str">
        <f t="shared" si="721"/>
        <v/>
      </c>
    </row>
    <row r="1504" spans="1:52" s="3" customFormat="1" x14ac:dyDescent="0.35">
      <c r="A1504" s="72">
        <f t="shared" si="768"/>
        <v>2019</v>
      </c>
      <c r="B1504" s="72" t="str">
        <f t="shared" si="697"/>
        <v>Nov</v>
      </c>
      <c r="C1504" s="73">
        <f t="shared" si="698"/>
        <v>19</v>
      </c>
      <c r="D1504" s="74">
        <f t="shared" si="699"/>
        <v>8</v>
      </c>
      <c r="E1504" s="75">
        <f t="shared" si="769"/>
        <v>49</v>
      </c>
      <c r="F1504" s="79">
        <v>54</v>
      </c>
      <c r="G1504" s="82"/>
      <c r="H1504" s="68" t="str">
        <f t="shared" si="700"/>
        <v>Senbur0_20191119_08_00</v>
      </c>
      <c r="I1504" s="69">
        <f t="shared" ref="I1504:N1504" si="784">I1503</f>
        <v>1</v>
      </c>
      <c r="J1504" s="76" t="str">
        <f t="shared" si="784"/>
        <v>Senecio</v>
      </c>
      <c r="K1504" s="76" t="str">
        <f t="shared" si="784"/>
        <v>burtoni</v>
      </c>
      <c r="L1504" s="77">
        <f t="shared" si="784"/>
        <v>0</v>
      </c>
      <c r="M1504" s="77">
        <f t="shared" si="784"/>
        <v>7</v>
      </c>
      <c r="N1504" s="71">
        <f t="shared" si="784"/>
        <v>0</v>
      </c>
      <c r="O1504" s="44"/>
      <c r="P1504" s="45">
        <f t="shared" si="702"/>
        <v>1</v>
      </c>
      <c r="Q1504" s="46" t="str">
        <f t="shared" si="703"/>
        <v>08:49:54</v>
      </c>
      <c r="R1504" s="47" t="str">
        <f t="shared" si="704"/>
        <v>49:54</v>
      </c>
      <c r="S1504" s="48">
        <f t="shared" si="705"/>
        <v>170</v>
      </c>
      <c r="T1504" s="47" t="str">
        <f t="shared" si="706"/>
        <v>08</v>
      </c>
      <c r="U1504" s="49">
        <v>52</v>
      </c>
      <c r="V1504" s="50">
        <v>44</v>
      </c>
      <c r="W1504" s="51" t="str">
        <f t="shared" si="707"/>
        <v>52:44</v>
      </c>
      <c r="X1504" s="52" t="s">
        <v>62</v>
      </c>
      <c r="Y1504" s="124" t="s">
        <v>84</v>
      </c>
      <c r="Z1504" s="124"/>
      <c r="AA1504" s="47" t="s">
        <v>77</v>
      </c>
      <c r="AB1504" s="47" t="str">
        <f t="shared" si="708"/>
        <v>NA</v>
      </c>
      <c r="AC1504" s="53">
        <f t="shared" si="709"/>
        <v>0</v>
      </c>
      <c r="AD1504" s="54">
        <v>4</v>
      </c>
      <c r="AE1504" s="54"/>
      <c r="AF1504" s="54"/>
      <c r="AG1504" s="55" t="str">
        <f t="shared" si="711"/>
        <v/>
      </c>
      <c r="AH1504" s="56" t="str">
        <f t="shared" si="712"/>
        <v/>
      </c>
      <c r="AI1504" s="55"/>
      <c r="AJ1504" s="56" t="str">
        <f t="shared" si="713"/>
        <v/>
      </c>
      <c r="AK1504" s="55">
        <v>1</v>
      </c>
      <c r="AL1504" s="56">
        <v>100</v>
      </c>
      <c r="AM1504" s="55">
        <v>1</v>
      </c>
      <c r="AN1504" s="56">
        <v>70</v>
      </c>
      <c r="AO1504" s="55"/>
      <c r="AP1504" s="56" t="str">
        <f t="shared" si="716"/>
        <v/>
      </c>
      <c r="AQ1504" s="55"/>
      <c r="AR1504" s="56" t="str">
        <f t="shared" si="717"/>
        <v/>
      </c>
      <c r="AS1504" s="57"/>
      <c r="AT1504" s="58"/>
      <c r="AU1504" s="58"/>
      <c r="AV1504" s="59"/>
      <c r="AW1504" s="60">
        <v>1</v>
      </c>
      <c r="AX1504" s="61">
        <f t="shared" si="719"/>
        <v>4</v>
      </c>
      <c r="AY1504" s="60">
        <v>1</v>
      </c>
      <c r="AZ1504" s="61">
        <f t="shared" si="721"/>
        <v>4</v>
      </c>
    </row>
    <row r="1505" spans="1:52" s="3" customFormat="1" ht="15" hidden="1" thickBot="1" x14ac:dyDescent="0.4">
      <c r="A1505" s="85">
        <f t="shared" si="768"/>
        <v>2019</v>
      </c>
      <c r="B1505" s="85" t="str">
        <f t="shared" si="697"/>
        <v>Nov</v>
      </c>
      <c r="C1505" s="86">
        <f t="shared" si="698"/>
        <v>19</v>
      </c>
      <c r="D1505" s="87">
        <f t="shared" si="699"/>
        <v>8</v>
      </c>
      <c r="E1505" s="88">
        <f t="shared" si="769"/>
        <v>50</v>
      </c>
      <c r="F1505" s="89"/>
      <c r="G1505" s="90"/>
      <c r="H1505" s="68" t="str">
        <f t="shared" si="700"/>
        <v>Senbur0_20191119_08_00</v>
      </c>
      <c r="I1505" s="91">
        <f t="shared" ref="I1505:N1505" si="785">I1504</f>
        <v>1</v>
      </c>
      <c r="J1505" s="92" t="str">
        <f t="shared" si="785"/>
        <v>Senecio</v>
      </c>
      <c r="K1505" s="92" t="str">
        <f t="shared" si="785"/>
        <v>burtoni</v>
      </c>
      <c r="L1505" s="93">
        <f t="shared" si="785"/>
        <v>0</v>
      </c>
      <c r="M1505" s="93">
        <f t="shared" si="785"/>
        <v>7</v>
      </c>
      <c r="N1505" s="94">
        <f t="shared" si="785"/>
        <v>0</v>
      </c>
      <c r="O1505" s="95"/>
      <c r="P1505" s="96" t="str">
        <f t="shared" si="702"/>
        <v/>
      </c>
      <c r="Q1505" s="97" t="str">
        <f t="shared" si="703"/>
        <v/>
      </c>
      <c r="R1505" s="98" t="e">
        <f t="shared" si="704"/>
        <v>#VALUE!</v>
      </c>
      <c r="S1505" s="98" t="e">
        <f t="shared" si="705"/>
        <v>#VALUE!</v>
      </c>
      <c r="T1505" s="98" t="str">
        <f t="shared" si="706"/>
        <v/>
      </c>
      <c r="U1505" s="99"/>
      <c r="V1505" s="100"/>
      <c r="W1505" s="101" t="e">
        <f t="shared" si="707"/>
        <v>#VALUE!</v>
      </c>
      <c r="X1505" s="102"/>
      <c r="Y1505" s="122"/>
      <c r="Z1505" s="122"/>
      <c r="AA1505" s="47" t="e">
        <f>INDEX(VISITORS[INSECT ORDER], MATCH(X1505,VISITORS[NAME USED],0))</f>
        <v>#N/A</v>
      </c>
      <c r="AB1505" s="98" t="e">
        <f t="shared" si="708"/>
        <v>#N/A</v>
      </c>
      <c r="AC1505" s="53" t="e">
        <f t="shared" si="709"/>
        <v>#VALUE!</v>
      </c>
      <c r="AD1505" s="103" t="str">
        <f t="shared" si="710"/>
        <v/>
      </c>
      <c r="AE1505" s="103"/>
      <c r="AF1505" s="103"/>
      <c r="AG1505" s="104" t="str">
        <f t="shared" si="711"/>
        <v/>
      </c>
      <c r="AH1505" s="105" t="str">
        <f t="shared" si="712"/>
        <v/>
      </c>
      <c r="AI1505" s="104"/>
      <c r="AJ1505" s="105" t="str">
        <f t="shared" si="713"/>
        <v/>
      </c>
      <c r="AK1505" s="104"/>
      <c r="AL1505" s="105" t="str">
        <f t="shared" si="714"/>
        <v/>
      </c>
      <c r="AM1505" s="104"/>
      <c r="AN1505" s="105" t="str">
        <f t="shared" si="715"/>
        <v/>
      </c>
      <c r="AO1505" s="104"/>
      <c r="AP1505" s="105" t="str">
        <f t="shared" si="716"/>
        <v/>
      </c>
      <c r="AQ1505" s="104"/>
      <c r="AR1505" s="105" t="str">
        <f t="shared" si="717"/>
        <v/>
      </c>
      <c r="AS1505" s="106"/>
      <c r="AT1505" s="107"/>
      <c r="AU1505" s="107"/>
      <c r="AV1505" s="108"/>
      <c r="AW1505" s="109" t="str">
        <f t="shared" si="718"/>
        <v/>
      </c>
      <c r="AX1505" s="110" t="str">
        <f t="shared" si="719"/>
        <v/>
      </c>
      <c r="AY1505" s="109" t="str">
        <f t="shared" si="720"/>
        <v/>
      </c>
      <c r="AZ1505" s="110" t="str">
        <f t="shared" si="721"/>
        <v/>
      </c>
    </row>
    <row r="1506" spans="1:52" s="3" customFormat="1" ht="11.25" hidden="1" customHeight="1" x14ac:dyDescent="0.35">
      <c r="A1506" s="72">
        <f t="shared" si="768"/>
        <v>2019</v>
      </c>
      <c r="B1506" s="72" t="str">
        <f t="shared" si="697"/>
        <v>Nov</v>
      </c>
      <c r="C1506" s="73">
        <f t="shared" si="698"/>
        <v>19</v>
      </c>
      <c r="D1506" s="74">
        <f t="shared" si="699"/>
        <v>8</v>
      </c>
      <c r="E1506" s="75">
        <f t="shared" si="769"/>
        <v>51</v>
      </c>
      <c r="F1506" s="79">
        <v>31</v>
      </c>
      <c r="G1506" s="82"/>
      <c r="H1506" s="68" t="str">
        <f t="shared" si="700"/>
        <v>Senbur0_20191119_08_00</v>
      </c>
      <c r="I1506" s="69">
        <f t="shared" ref="I1506:N1506" si="786">I1505</f>
        <v>1</v>
      </c>
      <c r="J1506" s="76" t="str">
        <f t="shared" si="786"/>
        <v>Senecio</v>
      </c>
      <c r="K1506" s="76" t="str">
        <f t="shared" si="786"/>
        <v>burtoni</v>
      </c>
      <c r="L1506" s="77">
        <f t="shared" si="786"/>
        <v>0</v>
      </c>
      <c r="M1506" s="77">
        <f t="shared" si="786"/>
        <v>7</v>
      </c>
      <c r="N1506" s="71">
        <f t="shared" si="786"/>
        <v>0</v>
      </c>
      <c r="O1506" s="44"/>
      <c r="P1506" s="45">
        <f t="shared" si="702"/>
        <v>1</v>
      </c>
      <c r="Q1506" s="46" t="str">
        <f t="shared" si="703"/>
        <v>08:51:31</v>
      </c>
      <c r="R1506" s="47" t="str">
        <f t="shared" si="704"/>
        <v>51:31</v>
      </c>
      <c r="S1506" s="48">
        <f t="shared" si="705"/>
        <v>16</v>
      </c>
      <c r="T1506" s="47" t="str">
        <f t="shared" si="706"/>
        <v>08</v>
      </c>
      <c r="U1506" s="49">
        <v>51</v>
      </c>
      <c r="V1506" s="50">
        <v>47</v>
      </c>
      <c r="W1506" s="51" t="str">
        <f t="shared" si="707"/>
        <v>51:47</v>
      </c>
      <c r="X1506" s="52" t="s">
        <v>63</v>
      </c>
      <c r="Y1506" s="124" t="s">
        <v>88</v>
      </c>
      <c r="Z1506" s="124"/>
      <c r="AA1506" s="47" t="s">
        <v>59</v>
      </c>
      <c r="AB1506" s="47" t="str">
        <f t="shared" si="708"/>
        <v>NA</v>
      </c>
      <c r="AC1506" s="53">
        <f t="shared" si="709"/>
        <v>0</v>
      </c>
      <c r="AD1506" s="54">
        <f t="shared" si="710"/>
        <v>1</v>
      </c>
      <c r="AE1506" s="54"/>
      <c r="AF1506" s="54"/>
      <c r="AG1506" s="55">
        <v>1</v>
      </c>
      <c r="AH1506" s="56">
        <v>6</v>
      </c>
      <c r="AI1506" s="55"/>
      <c r="AJ1506" s="56" t="str">
        <f t="shared" si="713"/>
        <v/>
      </c>
      <c r="AK1506" s="55">
        <v>1</v>
      </c>
      <c r="AL1506" s="56">
        <v>5</v>
      </c>
      <c r="AM1506" s="55">
        <v>1</v>
      </c>
      <c r="AN1506" s="56">
        <v>5</v>
      </c>
      <c r="AO1506" s="55"/>
      <c r="AP1506" s="56" t="str">
        <f t="shared" si="716"/>
        <v/>
      </c>
      <c r="AQ1506" s="55"/>
      <c r="AR1506" s="56" t="str">
        <f t="shared" si="717"/>
        <v/>
      </c>
      <c r="AS1506" s="57"/>
      <c r="AT1506" s="58"/>
      <c r="AU1506" s="58"/>
      <c r="AV1506" s="59"/>
      <c r="AW1506" s="60">
        <v>1</v>
      </c>
      <c r="AX1506" s="61">
        <f t="shared" si="719"/>
        <v>1</v>
      </c>
      <c r="AY1506" s="60">
        <v>1</v>
      </c>
      <c r="AZ1506" s="61">
        <f t="shared" si="721"/>
        <v>1</v>
      </c>
    </row>
    <row r="1507" spans="1:52" s="3" customFormat="1" hidden="1" x14ac:dyDescent="0.35">
      <c r="A1507" s="72">
        <f t="shared" si="768"/>
        <v>2019</v>
      </c>
      <c r="B1507" s="72" t="str">
        <f t="shared" ref="B1507:B1509" si="787">IF(C1506-C1507&gt;0, TEXT(DATE(2016,(MONTH(DATEVALUE(B1506&amp;"1"))+1),1),"mmm"), B1506)</f>
        <v>Nov</v>
      </c>
      <c r="C1507" s="73">
        <f t="shared" ref="C1507:C1509" si="788">IF(AND(D1507=0, E1507=0), IF(TEXT(C1506,"dd")=TEXT(EOMONTH(DATE(A1506,MONTH(DATEVALUE(B1506&amp;"1")),C1506),0), "dd"), 1, C1506+1), C1506)</f>
        <v>19</v>
      </c>
      <c r="D1507" s="74">
        <f t="shared" ref="D1507:D1509" si="789">IF(IF(E1506=59,D1506+1,D1506)=24,0,IF(E1506=59,D1506+1,D1506))</f>
        <v>8</v>
      </c>
      <c r="E1507" s="75">
        <f t="shared" si="769"/>
        <v>52</v>
      </c>
      <c r="F1507" s="79"/>
      <c r="G1507" s="82"/>
      <c r="H1507" s="68" t="str">
        <f t="shared" ref="H1507:H1509" si="790">IF(AND(OR(E1506=$G$3,E1506=$G$4,E1506=$G$5,E1506=$G$6,E1506=$G$7,E1506=$G$8),E1506&lt;&gt;RIGHT(H1506,2)),CONCATENATE(LEFT(J1507,3),LEFT(K1507,3),L1507,"_",A1507,TEXT(MONTH(DATEVALUE(B1507&amp;"1")),"00"),TEXT(C1507,"00"),"_",TEXT(D1507,"00"),"_",TEXT(E1506,"00")),IF(AND(OR(E1507=$G$3,E1507=$G$4,E1507=$G$5,E1507=$G$6,E1507=$G$7,E1507=$G$8),OR(F1507="",F1507&gt;$G$9-1)),CONCATENATE(LEFT(J1507,3),LEFT(K1507,3),L1507,"_",A1507,TEXT(MONTH(DATEVALUE(B1507&amp;"1")),"00"),TEXT(C1507,"00"),"_",TEXT(D1507,"00"),"_",TEXT(E1507,"00")),H1506))</f>
        <v>Senbur0_20191119_08_00</v>
      </c>
      <c r="I1507" s="69">
        <f t="shared" ref="I1507:N1507" si="791">I1506</f>
        <v>1</v>
      </c>
      <c r="J1507" s="76" t="str">
        <f t="shared" si="791"/>
        <v>Senecio</v>
      </c>
      <c r="K1507" s="76" t="str">
        <f t="shared" si="791"/>
        <v>burtoni</v>
      </c>
      <c r="L1507" s="77">
        <f t="shared" si="791"/>
        <v>0</v>
      </c>
      <c r="M1507" s="77">
        <f t="shared" si="791"/>
        <v>7</v>
      </c>
      <c r="N1507" s="71">
        <f t="shared" si="791"/>
        <v>0</v>
      </c>
      <c r="O1507" s="44"/>
      <c r="P1507" s="45" t="str">
        <f t="shared" ref="P1507:P1509" si="792">IF(F1507="","",1)</f>
        <v/>
      </c>
      <c r="Q1507" s="46" t="str">
        <f t="shared" ref="Q1507:Q1509" si="793">TEXT(IF(P1507=1,CONCATENATE($D1507,":",$E1507,":",(LEFT($F1507,2))),""),"hh:mm:ss")</f>
        <v/>
      </c>
      <c r="R1507" s="47" t="e">
        <f t="shared" ref="R1507:R1509" si="794">TEXT(Q1507-TIME(0,RIGHT($H1507,2),$G$9)+(Q1507&gt;TIME(0,RIGHT($H1507,2),$G$9)),"mm:ss")</f>
        <v>#VALUE!</v>
      </c>
      <c r="S1507" s="48" t="e">
        <f t="shared" ref="S1507:S1509" si="795">IF(T1507&lt;D1507, (T1507*3600+U1507*60+V1507)+((23*3600+59*60+60)-(D1507*3600+E1507*60+LEFT(F1507,2))), (T1507*3600+U1507*60+V1507)-(D1507*3600+E1507*60+LEFT(F1507,2)))</f>
        <v>#VALUE!</v>
      </c>
      <c r="T1507" s="47" t="str">
        <f t="shared" ref="T1507:T1509" si="796">TEXT(IF(P1507=1,D1507,""),"00")</f>
        <v/>
      </c>
      <c r="U1507" s="49"/>
      <c r="V1507" s="50"/>
      <c r="W1507" s="51" t="e">
        <f t="shared" ref="W1507:W1509" si="797">IF(O1507=0,TEXT(TIME(T1507,U1507,V1507)-TIME(D1507,E1507,RIGHT(F1507,2))+TIME(0,LEFT(R1507,2),RIGHT(R1507,2)),"mm:ss"),TEXT(TIME(T1507,U1507,V1507)-TIME(D1507,E1507,RIGHT(F1507,2))+TIME(0,LEFT(R1507,2),RIGHT(R1507,2))-TIME(0,($G$10*O1507),0),"mm:ss"))</f>
        <v>#VALUE!</v>
      </c>
      <c r="X1507" s="52"/>
      <c r="Y1507" s="52"/>
      <c r="Z1507" s="52"/>
      <c r="AA1507" s="47" t="e">
        <f>INDEX(VISITORS[INSECT ORDER], MATCH(X1507,VISITORS[NAME USED],0))</f>
        <v>#N/A</v>
      </c>
      <c r="AB1507" s="47" t="e">
        <f t="shared" ref="AB1507:AB1509" si="798">IF(AA1507&lt;&gt;0,"NA","")</f>
        <v>#N/A</v>
      </c>
      <c r="AC1507" s="53" t="e">
        <f t="shared" ref="AC1507:AC1509" si="799">IF(SUM(AH1507,AJ1507,AL1507,AN1507,AP1507,AR1507)=S1507,,"")</f>
        <v>#VALUE!</v>
      </c>
      <c r="AD1507" s="54" t="str">
        <f t="shared" ref="AD1507:AD1509" si="800">IF(P1507=1,1,"")</f>
        <v/>
      </c>
      <c r="AE1507" s="54"/>
      <c r="AF1507" s="54"/>
      <c r="AG1507" s="55" t="str">
        <f t="shared" ref="AG1507:AG1509" si="801">IF(OR(X1507="Something small"),1,"")</f>
        <v/>
      </c>
      <c r="AH1507" s="56" t="str">
        <f t="shared" ref="AH1507:AH1509" si="802">IF(AG1507=1,$S1507,"")</f>
        <v/>
      </c>
      <c r="AI1507" s="55"/>
      <c r="AJ1507" s="56" t="str">
        <f t="shared" ref="AJ1507:AJ1509" si="803">IF(AI1507=1,$S1507,"")</f>
        <v/>
      </c>
      <c r="AK1507" s="55"/>
      <c r="AL1507" s="56" t="str">
        <f t="shared" ref="AL1507:AL1509" si="804">IF(AK1507=1,$S1507,"")</f>
        <v/>
      </c>
      <c r="AM1507" s="55"/>
      <c r="AN1507" s="56" t="str">
        <f t="shared" ref="AN1507:AN1509" si="805">IF(AM1507=1,$S1507,"")</f>
        <v/>
      </c>
      <c r="AO1507" s="55"/>
      <c r="AP1507" s="56" t="str">
        <f t="shared" ref="AP1507:AP1509" si="806">IF(AO1507=1,$S1507,"")</f>
        <v/>
      </c>
      <c r="AQ1507" s="55"/>
      <c r="AR1507" s="56" t="str">
        <f t="shared" ref="AR1507:AR1509" si="807">IF(AQ1507=1,$S1507,"")</f>
        <v/>
      </c>
      <c r="AS1507" s="57"/>
      <c r="AT1507" s="58"/>
      <c r="AU1507" s="58"/>
      <c r="AV1507" s="59"/>
      <c r="AW1507" s="60" t="str">
        <f t="shared" ref="AW1507:AW1509" si="808">IF(P1507=1,0,"")</f>
        <v/>
      </c>
      <c r="AX1507" s="61" t="str">
        <f t="shared" ref="AX1507:AX1509" si="809">IF(AW1507=1,AD1507,"")</f>
        <v/>
      </c>
      <c r="AY1507" s="60" t="str">
        <f t="shared" ref="AY1507:AY1509" si="810">IF(P1507=1,0,"")</f>
        <v/>
      </c>
      <c r="AZ1507" s="61" t="str">
        <f t="shared" ref="AZ1507:AZ1509" si="811">IF(AY1507=1,AD1507,"")</f>
        <v/>
      </c>
    </row>
    <row r="1508" spans="1:52" s="3" customFormat="1" ht="15" hidden="1" thickBot="1" x14ac:dyDescent="0.4">
      <c r="A1508" s="85">
        <f t="shared" si="768"/>
        <v>2019</v>
      </c>
      <c r="B1508" s="85" t="str">
        <f t="shared" si="787"/>
        <v>Nov</v>
      </c>
      <c r="C1508" s="86">
        <f t="shared" si="788"/>
        <v>19</v>
      </c>
      <c r="D1508" s="87">
        <f t="shared" si="789"/>
        <v>8</v>
      </c>
      <c r="E1508" s="88">
        <f t="shared" si="769"/>
        <v>53</v>
      </c>
      <c r="F1508" s="89"/>
      <c r="G1508" s="90"/>
      <c r="H1508" s="68" t="str">
        <f t="shared" si="790"/>
        <v>Senbur0_20191119_08_00</v>
      </c>
      <c r="I1508" s="91">
        <f t="shared" ref="I1508:N1508" si="812">I1507</f>
        <v>1</v>
      </c>
      <c r="J1508" s="92" t="str">
        <f t="shared" si="812"/>
        <v>Senecio</v>
      </c>
      <c r="K1508" s="92" t="str">
        <f t="shared" si="812"/>
        <v>burtoni</v>
      </c>
      <c r="L1508" s="93">
        <f t="shared" si="812"/>
        <v>0</v>
      </c>
      <c r="M1508" s="93">
        <f t="shared" si="812"/>
        <v>7</v>
      </c>
      <c r="N1508" s="94">
        <f t="shared" si="812"/>
        <v>0</v>
      </c>
      <c r="O1508" s="95"/>
      <c r="P1508" s="96" t="str">
        <f t="shared" si="792"/>
        <v/>
      </c>
      <c r="Q1508" s="97" t="str">
        <f t="shared" si="793"/>
        <v/>
      </c>
      <c r="R1508" s="98" t="e">
        <f t="shared" si="794"/>
        <v>#VALUE!</v>
      </c>
      <c r="S1508" s="98" t="e">
        <f t="shared" si="795"/>
        <v>#VALUE!</v>
      </c>
      <c r="T1508" s="98" t="str">
        <f t="shared" si="796"/>
        <v/>
      </c>
      <c r="U1508" s="99"/>
      <c r="V1508" s="100"/>
      <c r="W1508" s="101" t="e">
        <f t="shared" si="797"/>
        <v>#VALUE!</v>
      </c>
      <c r="X1508" s="102"/>
      <c r="Y1508" s="122"/>
      <c r="Z1508" s="122"/>
      <c r="AA1508" s="47" t="e">
        <f>INDEX(VISITORS[INSECT ORDER], MATCH(X1508,VISITORS[NAME USED],0))</f>
        <v>#N/A</v>
      </c>
      <c r="AB1508" s="98" t="e">
        <f t="shared" si="798"/>
        <v>#N/A</v>
      </c>
      <c r="AC1508" s="53" t="e">
        <f t="shared" si="799"/>
        <v>#VALUE!</v>
      </c>
      <c r="AD1508" s="103" t="str">
        <f t="shared" si="800"/>
        <v/>
      </c>
      <c r="AE1508" s="103"/>
      <c r="AF1508" s="103"/>
      <c r="AG1508" s="104" t="str">
        <f t="shared" si="801"/>
        <v/>
      </c>
      <c r="AH1508" s="105" t="str">
        <f t="shared" si="802"/>
        <v/>
      </c>
      <c r="AI1508" s="104"/>
      <c r="AJ1508" s="105" t="str">
        <f t="shared" si="803"/>
        <v/>
      </c>
      <c r="AK1508" s="104"/>
      <c r="AL1508" s="105" t="str">
        <f t="shared" si="804"/>
        <v/>
      </c>
      <c r="AM1508" s="104"/>
      <c r="AN1508" s="105" t="str">
        <f t="shared" si="805"/>
        <v/>
      </c>
      <c r="AO1508" s="104"/>
      <c r="AP1508" s="105" t="str">
        <f t="shared" si="806"/>
        <v/>
      </c>
      <c r="AQ1508" s="104"/>
      <c r="AR1508" s="105" t="str">
        <f t="shared" si="807"/>
        <v/>
      </c>
      <c r="AS1508" s="106"/>
      <c r="AT1508" s="107"/>
      <c r="AU1508" s="107"/>
      <c r="AV1508" s="108"/>
      <c r="AW1508" s="109" t="str">
        <f t="shared" si="808"/>
        <v/>
      </c>
      <c r="AX1508" s="110" t="str">
        <f t="shared" si="809"/>
        <v/>
      </c>
      <c r="AY1508" s="109" t="str">
        <f t="shared" si="810"/>
        <v/>
      </c>
      <c r="AZ1508" s="110" t="str">
        <f t="shared" si="811"/>
        <v/>
      </c>
    </row>
    <row r="1509" spans="1:52" s="3" customFormat="1" ht="11.25" hidden="1" customHeight="1" x14ac:dyDescent="0.35">
      <c r="A1509" s="72">
        <f t="shared" si="768"/>
        <v>2019</v>
      </c>
      <c r="B1509" s="72" t="str">
        <f t="shared" si="787"/>
        <v>Nov</v>
      </c>
      <c r="C1509" s="73">
        <f t="shared" si="788"/>
        <v>19</v>
      </c>
      <c r="D1509" s="74">
        <f t="shared" si="789"/>
        <v>8</v>
      </c>
      <c r="E1509" s="75">
        <f t="shared" si="769"/>
        <v>54</v>
      </c>
      <c r="F1509" s="79"/>
      <c r="G1509" s="82"/>
      <c r="H1509" s="68" t="str">
        <f t="shared" si="790"/>
        <v>Senbur0_20191119_08_00</v>
      </c>
      <c r="I1509" s="69">
        <f t="shared" ref="I1509:N1509" si="813">I1508</f>
        <v>1</v>
      </c>
      <c r="J1509" s="76" t="str">
        <f t="shared" si="813"/>
        <v>Senecio</v>
      </c>
      <c r="K1509" s="76" t="str">
        <f t="shared" si="813"/>
        <v>burtoni</v>
      </c>
      <c r="L1509" s="77">
        <f t="shared" si="813"/>
        <v>0</v>
      </c>
      <c r="M1509" s="77">
        <f t="shared" si="813"/>
        <v>7</v>
      </c>
      <c r="N1509" s="71">
        <f t="shared" si="813"/>
        <v>0</v>
      </c>
      <c r="O1509" s="44"/>
      <c r="P1509" s="45" t="str">
        <f t="shared" si="792"/>
        <v/>
      </c>
      <c r="Q1509" s="46" t="str">
        <f t="shared" si="793"/>
        <v/>
      </c>
      <c r="R1509" s="47" t="e">
        <f t="shared" si="794"/>
        <v>#VALUE!</v>
      </c>
      <c r="S1509" s="48" t="e">
        <f t="shared" si="795"/>
        <v>#VALUE!</v>
      </c>
      <c r="T1509" s="47" t="str">
        <f t="shared" si="796"/>
        <v/>
      </c>
      <c r="U1509" s="49"/>
      <c r="V1509" s="50"/>
      <c r="W1509" s="51" t="e">
        <f t="shared" si="797"/>
        <v>#VALUE!</v>
      </c>
      <c r="X1509" s="52"/>
      <c r="Y1509" s="52"/>
      <c r="Z1509" s="52"/>
      <c r="AA1509" s="47" t="e">
        <f>INDEX(VISITORS[INSECT ORDER], MATCH(X1509,VISITORS[NAME USED],0))</f>
        <v>#N/A</v>
      </c>
      <c r="AB1509" s="47" t="e">
        <f t="shared" si="798"/>
        <v>#N/A</v>
      </c>
      <c r="AC1509" s="53" t="e">
        <f t="shared" si="799"/>
        <v>#VALUE!</v>
      </c>
      <c r="AD1509" s="54" t="str">
        <f t="shared" si="800"/>
        <v/>
      </c>
      <c r="AE1509" s="54"/>
      <c r="AF1509" s="54"/>
      <c r="AG1509" s="55" t="str">
        <f t="shared" si="801"/>
        <v/>
      </c>
      <c r="AH1509" s="56" t="str">
        <f t="shared" si="802"/>
        <v/>
      </c>
      <c r="AI1509" s="55"/>
      <c r="AJ1509" s="56" t="str">
        <f t="shared" si="803"/>
        <v/>
      </c>
      <c r="AK1509" s="55"/>
      <c r="AL1509" s="56" t="str">
        <f t="shared" si="804"/>
        <v/>
      </c>
      <c r="AM1509" s="55"/>
      <c r="AN1509" s="56" t="str">
        <f t="shared" si="805"/>
        <v/>
      </c>
      <c r="AO1509" s="55"/>
      <c r="AP1509" s="56" t="str">
        <f t="shared" si="806"/>
        <v/>
      </c>
      <c r="AQ1509" s="55"/>
      <c r="AR1509" s="56" t="str">
        <f t="shared" si="807"/>
        <v/>
      </c>
      <c r="AS1509" s="57"/>
      <c r="AT1509" s="58"/>
      <c r="AU1509" s="58"/>
      <c r="AV1509" s="59"/>
      <c r="AW1509" s="60" t="str">
        <f t="shared" si="808"/>
        <v/>
      </c>
      <c r="AX1509" s="61" t="str">
        <f t="shared" si="809"/>
        <v/>
      </c>
      <c r="AY1509" s="60" t="str">
        <f t="shared" si="810"/>
        <v/>
      </c>
      <c r="AZ1509" s="61" t="str">
        <f t="shared" si="811"/>
        <v/>
      </c>
    </row>
    <row r="1510" spans="1:52" s="3" customFormat="1" hidden="1" x14ac:dyDescent="0.35">
      <c r="A1510" s="72">
        <f t="shared" si="768"/>
        <v>2019</v>
      </c>
      <c r="B1510" s="72" t="str">
        <f t="shared" ref="B1510:B1573" si="814">IF(C1509-C1510&gt;0, TEXT(DATE(2016,(MONTH(DATEVALUE(B1509&amp;"1"))+1),1),"mmm"), B1509)</f>
        <v>Nov</v>
      </c>
      <c r="C1510" s="73">
        <f t="shared" ref="C1510:C1573" si="815">IF(AND(D1510=0, E1510=0), IF(TEXT(C1509,"dd")=TEXT(EOMONTH(DATE(A1509,MONTH(DATEVALUE(B1509&amp;"1")),C1509),0), "dd"), 1, C1509+1), C1509)</f>
        <v>19</v>
      </c>
      <c r="D1510" s="74">
        <f t="shared" ref="D1510:D1573" si="816">IF(IF(E1509=59,D1509+1,D1509)=24,0,IF(E1509=59,D1509+1,D1509))</f>
        <v>8</v>
      </c>
      <c r="E1510" s="75">
        <f t="shared" si="769"/>
        <v>55</v>
      </c>
      <c r="F1510" s="79">
        <v>26</v>
      </c>
      <c r="G1510" s="82"/>
      <c r="H1510" s="68" t="str">
        <f t="shared" ref="H1510:H1573" si="817">IF(AND(OR(E1509=$G$3,E1509=$G$4,E1509=$G$5,E1509=$G$6,E1509=$G$7,E1509=$G$8),E1509&lt;&gt;RIGHT(H1509,2)),CONCATENATE(LEFT(J1510,3),LEFT(K1510,3),L1510,"_",A1510,TEXT(MONTH(DATEVALUE(B1510&amp;"1")),"00"),TEXT(C1510,"00"),"_",TEXT(D1510,"00"),"_",TEXT(E1509,"00")),IF(AND(OR(E1510=$G$3,E1510=$G$4,E1510=$G$5,E1510=$G$6,E1510=$G$7,E1510=$G$8),OR(F1510="",F1510&gt;$G$9-1)),CONCATENATE(LEFT(J1510,3),LEFT(K1510,3),L1510,"_",A1510,TEXT(MONTH(DATEVALUE(B1510&amp;"1")),"00"),TEXT(C1510,"00"),"_",TEXT(D1510,"00"),"_",TEXT(E1510,"00")),H1509))</f>
        <v>Senbur0_20191119_08_00</v>
      </c>
      <c r="I1510" s="69">
        <f t="shared" ref="I1510:N1510" si="818">I1509</f>
        <v>1</v>
      </c>
      <c r="J1510" s="76" t="str">
        <f t="shared" si="818"/>
        <v>Senecio</v>
      </c>
      <c r="K1510" s="76" t="str">
        <f t="shared" si="818"/>
        <v>burtoni</v>
      </c>
      <c r="L1510" s="77">
        <f t="shared" si="818"/>
        <v>0</v>
      </c>
      <c r="M1510" s="77">
        <f t="shared" si="818"/>
        <v>7</v>
      </c>
      <c r="N1510" s="71">
        <f t="shared" si="818"/>
        <v>0</v>
      </c>
      <c r="O1510" s="44"/>
      <c r="P1510" s="45">
        <f t="shared" ref="P1510:P1573" si="819">IF(F1510="","",1)</f>
        <v>1</v>
      </c>
      <c r="Q1510" s="46" t="str">
        <f t="shared" ref="Q1510:Q1573" si="820">TEXT(IF(P1510=1,CONCATENATE($D1510,":",$E1510,":",(LEFT($F1510,2))),""),"hh:mm:ss")</f>
        <v>08:55:26</v>
      </c>
      <c r="R1510" s="47" t="str">
        <f t="shared" ref="R1510:R1573" si="821">TEXT(Q1510-TIME(0,RIGHT($H1510,2),$G$9)+(Q1510&gt;TIME(0,RIGHT($H1510,2),$G$9)),"mm:ss")</f>
        <v>55:26</v>
      </c>
      <c r="S1510" s="48">
        <f t="shared" ref="S1510:S1573" si="822">IF(T1510&lt;D1510, (T1510*3600+U1510*60+V1510)+((23*3600+59*60+60)-(D1510*3600+E1510*60+LEFT(F1510,2))), (T1510*3600+U1510*60+V1510)-(D1510*3600+E1510*60+LEFT(F1510,2)))</f>
        <v>64</v>
      </c>
      <c r="T1510" s="47" t="str">
        <f t="shared" ref="T1510:T1573" si="823">TEXT(IF(P1510=1,D1510,""),"00")</f>
        <v>08</v>
      </c>
      <c r="U1510" s="49">
        <v>56</v>
      </c>
      <c r="V1510" s="50">
        <v>30</v>
      </c>
      <c r="W1510" s="51" t="str">
        <f t="shared" ref="W1510:W1573" si="824">IF(O1510=0,TEXT(TIME(T1510,U1510,V1510)-TIME(D1510,E1510,RIGHT(F1510,2))+TIME(0,LEFT(R1510,2),RIGHT(R1510,2)),"mm:ss"),TEXT(TIME(T1510,U1510,V1510)-TIME(D1510,E1510,RIGHT(F1510,2))+TIME(0,LEFT(R1510,2),RIGHT(R1510,2))-TIME(0,($G$10*O1510),0),"mm:ss"))</f>
        <v>56:30</v>
      </c>
      <c r="X1510" s="52" t="s">
        <v>63</v>
      </c>
      <c r="Y1510" s="124" t="s">
        <v>80</v>
      </c>
      <c r="Z1510" s="124"/>
      <c r="AA1510" s="47" t="s">
        <v>59</v>
      </c>
      <c r="AB1510" s="47" t="str">
        <f t="shared" ref="AB1510:AB1573" si="825">IF(AA1510&lt;&gt;0,"NA","")</f>
        <v>NA</v>
      </c>
      <c r="AC1510" s="53">
        <f t="shared" ref="AC1510:AC1573" si="826">IF(SUM(AH1510,AJ1510,AL1510,AN1510,AP1510,AR1510)=S1510,,"")</f>
        <v>0</v>
      </c>
      <c r="AD1510" s="54">
        <v>2</v>
      </c>
      <c r="AE1510" s="54"/>
      <c r="AF1510" s="54"/>
      <c r="AG1510" s="55">
        <v>1</v>
      </c>
      <c r="AH1510" s="56">
        <v>14</v>
      </c>
      <c r="AI1510" s="55"/>
      <c r="AJ1510" s="56" t="str">
        <f t="shared" ref="AJ1510:AJ1573" si="827">IF(AI1510=1,$S1510,"")</f>
        <v/>
      </c>
      <c r="AK1510" s="55"/>
      <c r="AL1510" s="56" t="str">
        <f t="shared" ref="AL1510:AL1573" si="828">IF(AK1510=1,$S1510,"")</f>
        <v/>
      </c>
      <c r="AM1510" s="55">
        <v>1</v>
      </c>
      <c r="AN1510" s="56">
        <v>50</v>
      </c>
      <c r="AO1510" s="55"/>
      <c r="AP1510" s="56" t="str">
        <f t="shared" ref="AP1510:AP1573" si="829">IF(AO1510=1,$S1510,"")</f>
        <v/>
      </c>
      <c r="AQ1510" s="55"/>
      <c r="AR1510" s="56" t="str">
        <f t="shared" ref="AR1510:AR1573" si="830">IF(AQ1510=1,$S1510,"")</f>
        <v/>
      </c>
      <c r="AS1510" s="57"/>
      <c r="AT1510" s="58"/>
      <c r="AU1510" s="58"/>
      <c r="AV1510" s="59"/>
      <c r="AW1510" s="60">
        <v>1</v>
      </c>
      <c r="AX1510" s="61">
        <f t="shared" ref="AX1510:AX1573" si="831">IF(AW1510=1,AD1510,"")</f>
        <v>2</v>
      </c>
      <c r="AY1510" s="60">
        <v>1</v>
      </c>
      <c r="AZ1510" s="61">
        <f t="shared" ref="AZ1510:AZ1573" si="832">IF(AY1510=1,AD1510,"")</f>
        <v>2</v>
      </c>
    </row>
    <row r="1511" spans="1:52" s="3" customFormat="1" ht="15" hidden="1" thickBot="1" x14ac:dyDescent="0.4">
      <c r="A1511" s="85">
        <f t="shared" si="768"/>
        <v>2019</v>
      </c>
      <c r="B1511" s="85" t="str">
        <f t="shared" si="814"/>
        <v>Nov</v>
      </c>
      <c r="C1511" s="86">
        <f t="shared" si="815"/>
        <v>19</v>
      </c>
      <c r="D1511" s="87">
        <f t="shared" si="816"/>
        <v>8</v>
      </c>
      <c r="E1511" s="88">
        <f t="shared" si="769"/>
        <v>56</v>
      </c>
      <c r="F1511" s="89"/>
      <c r="G1511" s="90"/>
      <c r="H1511" s="68" t="str">
        <f t="shared" si="817"/>
        <v>Senbur0_20191119_08_00</v>
      </c>
      <c r="I1511" s="91">
        <f t="shared" ref="I1511:N1511" si="833">I1510</f>
        <v>1</v>
      </c>
      <c r="J1511" s="92" t="str">
        <f t="shared" si="833"/>
        <v>Senecio</v>
      </c>
      <c r="K1511" s="92" t="str">
        <f t="shared" si="833"/>
        <v>burtoni</v>
      </c>
      <c r="L1511" s="93">
        <f t="shared" si="833"/>
        <v>0</v>
      </c>
      <c r="M1511" s="93">
        <f t="shared" si="833"/>
        <v>7</v>
      </c>
      <c r="N1511" s="94">
        <f t="shared" si="833"/>
        <v>0</v>
      </c>
      <c r="O1511" s="95"/>
      <c r="P1511" s="96" t="str">
        <f t="shared" si="819"/>
        <v/>
      </c>
      <c r="Q1511" s="97" t="str">
        <f t="shared" si="820"/>
        <v/>
      </c>
      <c r="R1511" s="98" t="e">
        <f t="shared" si="821"/>
        <v>#VALUE!</v>
      </c>
      <c r="S1511" s="98" t="e">
        <f t="shared" si="822"/>
        <v>#VALUE!</v>
      </c>
      <c r="T1511" s="98" t="str">
        <f t="shared" si="823"/>
        <v/>
      </c>
      <c r="U1511" s="99"/>
      <c r="V1511" s="100"/>
      <c r="W1511" s="101" t="e">
        <f t="shared" si="824"/>
        <v>#VALUE!</v>
      </c>
      <c r="X1511" s="102"/>
      <c r="Y1511" s="122"/>
      <c r="Z1511" s="122"/>
      <c r="AA1511" s="47" t="e">
        <f>INDEX(VISITORS[INSECT ORDER], MATCH(X1511,VISITORS[NAME USED],0))</f>
        <v>#N/A</v>
      </c>
      <c r="AB1511" s="98" t="e">
        <f t="shared" si="825"/>
        <v>#N/A</v>
      </c>
      <c r="AC1511" s="53" t="e">
        <f t="shared" si="826"/>
        <v>#VALUE!</v>
      </c>
      <c r="AD1511" s="103" t="str">
        <f t="shared" ref="AD1511:AD1573" si="834">IF(P1511=1,1,"")</f>
        <v/>
      </c>
      <c r="AE1511" s="103"/>
      <c r="AF1511" s="103"/>
      <c r="AG1511" s="104" t="str">
        <f t="shared" ref="AG1511:AG1573" si="835">IF(OR(X1511="Something small"),1,"")</f>
        <v/>
      </c>
      <c r="AH1511" s="105" t="str">
        <f t="shared" ref="AH1511:AH1573" si="836">IF(AG1511=1,$S1511,"")</f>
        <v/>
      </c>
      <c r="AI1511" s="104"/>
      <c r="AJ1511" s="105" t="str">
        <f t="shared" si="827"/>
        <v/>
      </c>
      <c r="AK1511" s="104"/>
      <c r="AL1511" s="105" t="str">
        <f t="shared" si="828"/>
        <v/>
      </c>
      <c r="AM1511" s="104"/>
      <c r="AN1511" s="105" t="str">
        <f t="shared" ref="AN1511:AN1573" si="837">IF(AM1511=1,$S1511,"")</f>
        <v/>
      </c>
      <c r="AO1511" s="104"/>
      <c r="AP1511" s="105" t="str">
        <f t="shared" si="829"/>
        <v/>
      </c>
      <c r="AQ1511" s="104"/>
      <c r="AR1511" s="105" t="str">
        <f t="shared" si="830"/>
        <v/>
      </c>
      <c r="AS1511" s="106"/>
      <c r="AT1511" s="107"/>
      <c r="AU1511" s="107"/>
      <c r="AV1511" s="108"/>
      <c r="AW1511" s="109" t="str">
        <f t="shared" ref="AW1511:AW1573" si="838">IF(P1511=1,0,"")</f>
        <v/>
      </c>
      <c r="AX1511" s="110" t="str">
        <f t="shared" si="831"/>
        <v/>
      </c>
      <c r="AY1511" s="109" t="str">
        <f t="shared" ref="AY1511:AY1573" si="839">IF(P1511=1,0,"")</f>
        <v/>
      </c>
      <c r="AZ1511" s="110" t="str">
        <f t="shared" si="832"/>
        <v/>
      </c>
    </row>
    <row r="1512" spans="1:52" s="3" customFormat="1" ht="11.25" hidden="1" customHeight="1" x14ac:dyDescent="0.35">
      <c r="A1512" s="72">
        <f t="shared" si="768"/>
        <v>2019</v>
      </c>
      <c r="B1512" s="72" t="str">
        <f t="shared" si="814"/>
        <v>Nov</v>
      </c>
      <c r="C1512" s="73">
        <f t="shared" si="815"/>
        <v>19</v>
      </c>
      <c r="D1512" s="74">
        <f t="shared" si="816"/>
        <v>8</v>
      </c>
      <c r="E1512" s="75">
        <f t="shared" si="769"/>
        <v>57</v>
      </c>
      <c r="F1512" s="79">
        <v>21</v>
      </c>
      <c r="G1512" s="82"/>
      <c r="H1512" s="68" t="str">
        <f t="shared" si="817"/>
        <v>Senbur0_20191119_08_00</v>
      </c>
      <c r="I1512" s="69">
        <f t="shared" ref="I1512:N1512" si="840">I1511</f>
        <v>1</v>
      </c>
      <c r="J1512" s="76" t="str">
        <f t="shared" si="840"/>
        <v>Senecio</v>
      </c>
      <c r="K1512" s="76" t="str">
        <f t="shared" si="840"/>
        <v>burtoni</v>
      </c>
      <c r="L1512" s="77">
        <f t="shared" si="840"/>
        <v>0</v>
      </c>
      <c r="M1512" s="77">
        <f t="shared" si="840"/>
        <v>7</v>
      </c>
      <c r="N1512" s="71">
        <f t="shared" si="840"/>
        <v>0</v>
      </c>
      <c r="O1512" s="44"/>
      <c r="P1512" s="45">
        <f t="shared" si="819"/>
        <v>1</v>
      </c>
      <c r="Q1512" s="46" t="str">
        <f t="shared" si="820"/>
        <v>08:57:21</v>
      </c>
      <c r="R1512" s="47" t="str">
        <f t="shared" si="821"/>
        <v>57:21</v>
      </c>
      <c r="S1512" s="48">
        <f t="shared" si="822"/>
        <v>13</v>
      </c>
      <c r="T1512" s="47" t="str">
        <f t="shared" si="823"/>
        <v>08</v>
      </c>
      <c r="U1512" s="49">
        <v>57</v>
      </c>
      <c r="V1512" s="50">
        <v>34</v>
      </c>
      <c r="W1512" s="51" t="str">
        <f t="shared" si="824"/>
        <v>57:34</v>
      </c>
      <c r="X1512" s="52" t="s">
        <v>63</v>
      </c>
      <c r="Y1512" s="124" t="s">
        <v>82</v>
      </c>
      <c r="Z1512" s="124"/>
      <c r="AA1512" s="47" t="s">
        <v>59</v>
      </c>
      <c r="AB1512" s="47" t="str">
        <f t="shared" si="825"/>
        <v>NA</v>
      </c>
      <c r="AC1512" s="53">
        <f t="shared" si="826"/>
        <v>0</v>
      </c>
      <c r="AD1512" s="54">
        <f t="shared" si="834"/>
        <v>1</v>
      </c>
      <c r="AE1512" s="54"/>
      <c r="AF1512" s="54"/>
      <c r="AG1512" s="55">
        <v>1</v>
      </c>
      <c r="AH1512" s="56">
        <v>4</v>
      </c>
      <c r="AI1512" s="55"/>
      <c r="AJ1512" s="56" t="str">
        <f t="shared" si="827"/>
        <v/>
      </c>
      <c r="AK1512" s="55"/>
      <c r="AL1512" s="56" t="str">
        <f t="shared" si="828"/>
        <v/>
      </c>
      <c r="AM1512" s="55">
        <v>1</v>
      </c>
      <c r="AN1512" s="56">
        <v>9</v>
      </c>
      <c r="AO1512" s="55"/>
      <c r="AP1512" s="56" t="str">
        <f t="shared" si="829"/>
        <v/>
      </c>
      <c r="AQ1512" s="55"/>
      <c r="AR1512" s="56" t="str">
        <f t="shared" si="830"/>
        <v/>
      </c>
      <c r="AS1512" s="57"/>
      <c r="AT1512" s="58"/>
      <c r="AU1512" s="58"/>
      <c r="AV1512" s="59"/>
      <c r="AW1512" s="60">
        <v>1</v>
      </c>
      <c r="AX1512" s="61">
        <f t="shared" si="831"/>
        <v>1</v>
      </c>
      <c r="AY1512" s="60">
        <v>1</v>
      </c>
      <c r="AZ1512" s="61">
        <f t="shared" si="832"/>
        <v>1</v>
      </c>
    </row>
    <row r="1513" spans="1:52" s="3" customFormat="1" hidden="1" x14ac:dyDescent="0.35">
      <c r="A1513" s="72">
        <f t="shared" si="768"/>
        <v>2019</v>
      </c>
      <c r="B1513" s="72" t="str">
        <f t="shared" si="814"/>
        <v>Nov</v>
      </c>
      <c r="C1513" s="73">
        <f t="shared" si="815"/>
        <v>19</v>
      </c>
      <c r="D1513" s="74">
        <f t="shared" si="816"/>
        <v>8</v>
      </c>
      <c r="E1513" s="75">
        <f t="shared" si="769"/>
        <v>58</v>
      </c>
      <c r="F1513" s="79">
        <v>15</v>
      </c>
      <c r="G1513" s="82"/>
      <c r="H1513" s="68" t="str">
        <f t="shared" si="817"/>
        <v>Senbur0_20191119_08_00</v>
      </c>
      <c r="I1513" s="69">
        <f t="shared" ref="I1513:N1513" si="841">I1512</f>
        <v>1</v>
      </c>
      <c r="J1513" s="76" t="str">
        <f t="shared" si="841"/>
        <v>Senecio</v>
      </c>
      <c r="K1513" s="76" t="str">
        <f t="shared" si="841"/>
        <v>burtoni</v>
      </c>
      <c r="L1513" s="77">
        <f t="shared" si="841"/>
        <v>0</v>
      </c>
      <c r="M1513" s="77">
        <f t="shared" si="841"/>
        <v>7</v>
      </c>
      <c r="N1513" s="71">
        <f t="shared" si="841"/>
        <v>0</v>
      </c>
      <c r="O1513" s="44"/>
      <c r="P1513" s="45">
        <f t="shared" si="819"/>
        <v>1</v>
      </c>
      <c r="Q1513" s="46" t="str">
        <f t="shared" si="820"/>
        <v>08:58:15</v>
      </c>
      <c r="R1513" s="47" t="str">
        <f t="shared" si="821"/>
        <v>58:15</v>
      </c>
      <c r="S1513" s="48">
        <f t="shared" si="822"/>
        <v>6</v>
      </c>
      <c r="T1513" s="47" t="str">
        <f t="shared" si="823"/>
        <v>08</v>
      </c>
      <c r="U1513" s="49">
        <v>58</v>
      </c>
      <c r="V1513" s="50">
        <v>21</v>
      </c>
      <c r="W1513" s="51" t="str">
        <f t="shared" si="824"/>
        <v>58:21</v>
      </c>
      <c r="X1513" s="52" t="s">
        <v>63</v>
      </c>
      <c r="Y1513" s="124" t="s">
        <v>80</v>
      </c>
      <c r="Z1513" s="124"/>
      <c r="AA1513" s="47" t="s">
        <v>59</v>
      </c>
      <c r="AB1513" s="47" t="str">
        <f t="shared" si="825"/>
        <v>NA</v>
      </c>
      <c r="AC1513" s="53">
        <f t="shared" si="826"/>
        <v>0</v>
      </c>
      <c r="AD1513" s="54">
        <f t="shared" si="834"/>
        <v>1</v>
      </c>
      <c r="AE1513" s="54"/>
      <c r="AF1513" s="54"/>
      <c r="AG1513" s="55">
        <v>1</v>
      </c>
      <c r="AH1513" s="56">
        <v>2</v>
      </c>
      <c r="AI1513" s="55"/>
      <c r="AJ1513" s="56" t="str">
        <f t="shared" si="827"/>
        <v/>
      </c>
      <c r="AK1513" s="55"/>
      <c r="AL1513" s="56" t="str">
        <f t="shared" si="828"/>
        <v/>
      </c>
      <c r="AM1513" s="55">
        <v>1</v>
      </c>
      <c r="AN1513" s="56">
        <v>4</v>
      </c>
      <c r="AO1513" s="55"/>
      <c r="AP1513" s="56" t="str">
        <f t="shared" si="829"/>
        <v/>
      </c>
      <c r="AQ1513" s="55"/>
      <c r="AR1513" s="56" t="str">
        <f t="shared" si="830"/>
        <v/>
      </c>
      <c r="AS1513" s="57"/>
      <c r="AT1513" s="58"/>
      <c r="AU1513" s="58"/>
      <c r="AV1513" s="59"/>
      <c r="AW1513" s="60">
        <v>1</v>
      </c>
      <c r="AX1513" s="61">
        <f t="shared" si="831"/>
        <v>1</v>
      </c>
      <c r="AY1513" s="60">
        <v>1</v>
      </c>
      <c r="AZ1513" s="61">
        <f t="shared" si="832"/>
        <v>1</v>
      </c>
    </row>
    <row r="1514" spans="1:52" s="3" customFormat="1" ht="15" hidden="1" thickBot="1" x14ac:dyDescent="0.4">
      <c r="A1514" s="85">
        <f t="shared" si="768"/>
        <v>2019</v>
      </c>
      <c r="B1514" s="85" t="str">
        <f t="shared" si="814"/>
        <v>Nov</v>
      </c>
      <c r="C1514" s="86">
        <f t="shared" si="815"/>
        <v>19</v>
      </c>
      <c r="D1514" s="87">
        <f t="shared" si="816"/>
        <v>8</v>
      </c>
      <c r="E1514" s="88">
        <f t="shared" si="769"/>
        <v>59</v>
      </c>
      <c r="F1514" s="89">
        <v>17</v>
      </c>
      <c r="G1514" s="90"/>
      <c r="H1514" s="68" t="str">
        <f t="shared" si="817"/>
        <v>Senbur0_20191119_08_00</v>
      </c>
      <c r="I1514" s="91">
        <f t="shared" ref="I1514:N1514" si="842">I1513</f>
        <v>1</v>
      </c>
      <c r="J1514" s="92" t="str">
        <f t="shared" si="842"/>
        <v>Senecio</v>
      </c>
      <c r="K1514" s="92" t="str">
        <f t="shared" si="842"/>
        <v>burtoni</v>
      </c>
      <c r="L1514" s="93">
        <f t="shared" si="842"/>
        <v>0</v>
      </c>
      <c r="M1514" s="93">
        <f t="shared" si="842"/>
        <v>7</v>
      </c>
      <c r="N1514" s="94">
        <f t="shared" si="842"/>
        <v>0</v>
      </c>
      <c r="O1514" s="95"/>
      <c r="P1514" s="96">
        <f t="shared" si="819"/>
        <v>1</v>
      </c>
      <c r="Q1514" s="97" t="str">
        <f t="shared" si="820"/>
        <v>08:59:17</v>
      </c>
      <c r="R1514" s="98" t="str">
        <f t="shared" si="821"/>
        <v>59:17</v>
      </c>
      <c r="S1514" s="98">
        <f t="shared" si="822"/>
        <v>34</v>
      </c>
      <c r="T1514" s="98" t="str">
        <f t="shared" si="823"/>
        <v>08</v>
      </c>
      <c r="U1514" s="99">
        <v>59</v>
      </c>
      <c r="V1514" s="100">
        <v>51</v>
      </c>
      <c r="W1514" s="101" t="str">
        <f t="shared" si="824"/>
        <v>59:51</v>
      </c>
      <c r="X1514" s="102" t="s">
        <v>63</v>
      </c>
      <c r="Y1514" s="126" t="s">
        <v>100</v>
      </c>
      <c r="Z1514" s="126"/>
      <c r="AA1514" s="47" t="s">
        <v>59</v>
      </c>
      <c r="AB1514" s="98" t="str">
        <f t="shared" si="825"/>
        <v>NA</v>
      </c>
      <c r="AC1514" s="53">
        <f t="shared" si="826"/>
        <v>0</v>
      </c>
      <c r="AD1514" s="103">
        <f t="shared" si="834"/>
        <v>1</v>
      </c>
      <c r="AE1514" s="103"/>
      <c r="AF1514" s="103"/>
      <c r="AG1514" s="104">
        <v>1</v>
      </c>
      <c r="AH1514" s="105">
        <v>14</v>
      </c>
      <c r="AI1514" s="104"/>
      <c r="AJ1514" s="105" t="str">
        <f t="shared" si="827"/>
        <v/>
      </c>
      <c r="AK1514" s="104"/>
      <c r="AL1514" s="105" t="str">
        <f t="shared" si="828"/>
        <v/>
      </c>
      <c r="AM1514" s="104">
        <v>1</v>
      </c>
      <c r="AN1514" s="105">
        <v>20</v>
      </c>
      <c r="AO1514" s="104"/>
      <c r="AP1514" s="105" t="str">
        <f t="shared" si="829"/>
        <v/>
      </c>
      <c r="AQ1514" s="104"/>
      <c r="AR1514" s="105" t="str">
        <f t="shared" si="830"/>
        <v/>
      </c>
      <c r="AS1514" s="106"/>
      <c r="AT1514" s="107"/>
      <c r="AU1514" s="107"/>
      <c r="AV1514" s="108"/>
      <c r="AW1514" s="109">
        <v>1</v>
      </c>
      <c r="AX1514" s="110">
        <f t="shared" si="831"/>
        <v>1</v>
      </c>
      <c r="AY1514" s="109">
        <v>1</v>
      </c>
      <c r="AZ1514" s="110">
        <f t="shared" si="832"/>
        <v>1</v>
      </c>
    </row>
    <row r="1515" spans="1:52" s="3" customFormat="1" ht="11.25" hidden="1" customHeight="1" x14ac:dyDescent="0.35">
      <c r="A1515" s="72">
        <f t="shared" si="768"/>
        <v>2019</v>
      </c>
      <c r="B1515" s="72" t="str">
        <f t="shared" si="814"/>
        <v>Nov</v>
      </c>
      <c r="C1515" s="73">
        <f t="shared" si="815"/>
        <v>19</v>
      </c>
      <c r="D1515" s="74">
        <f t="shared" si="816"/>
        <v>9</v>
      </c>
      <c r="E1515" s="75">
        <f t="shared" si="769"/>
        <v>0</v>
      </c>
      <c r="F1515" s="79">
        <v>40</v>
      </c>
      <c r="G1515" s="82"/>
      <c r="H1515" s="68" t="str">
        <f t="shared" si="817"/>
        <v>Senbur0_20191119_09_00</v>
      </c>
      <c r="I1515" s="69">
        <f t="shared" ref="I1515:N1515" si="843">I1514</f>
        <v>1</v>
      </c>
      <c r="J1515" s="76" t="str">
        <f t="shared" si="843"/>
        <v>Senecio</v>
      </c>
      <c r="K1515" s="76" t="str">
        <f t="shared" si="843"/>
        <v>burtoni</v>
      </c>
      <c r="L1515" s="77">
        <f t="shared" si="843"/>
        <v>0</v>
      </c>
      <c r="M1515" s="77">
        <f t="shared" si="843"/>
        <v>7</v>
      </c>
      <c r="N1515" s="71">
        <f t="shared" si="843"/>
        <v>0</v>
      </c>
      <c r="O1515" s="44"/>
      <c r="P1515" s="45">
        <f t="shared" si="819"/>
        <v>1</v>
      </c>
      <c r="Q1515" s="46" t="str">
        <f t="shared" si="820"/>
        <v>09:00:40</v>
      </c>
      <c r="R1515" s="47" t="str">
        <f t="shared" si="821"/>
        <v>00:40</v>
      </c>
      <c r="S1515" s="48">
        <f t="shared" si="822"/>
        <v>57</v>
      </c>
      <c r="T1515" s="47" t="str">
        <f t="shared" si="823"/>
        <v>09</v>
      </c>
      <c r="U1515" s="49">
        <v>1</v>
      </c>
      <c r="V1515" s="50">
        <v>37</v>
      </c>
      <c r="W1515" s="51" t="str">
        <f t="shared" si="824"/>
        <v>01:37</v>
      </c>
      <c r="X1515" s="52" t="s">
        <v>63</v>
      </c>
      <c r="Y1515" s="126" t="s">
        <v>100</v>
      </c>
      <c r="Z1515" s="124"/>
      <c r="AA1515" s="47" t="s">
        <v>59</v>
      </c>
      <c r="AB1515" s="47" t="str">
        <f t="shared" si="825"/>
        <v>NA</v>
      </c>
      <c r="AC1515" s="53">
        <f t="shared" si="826"/>
        <v>0</v>
      </c>
      <c r="AD1515" s="54">
        <v>2</v>
      </c>
      <c r="AE1515" s="54"/>
      <c r="AF1515" s="54"/>
      <c r="AG1515" s="55">
        <v>1</v>
      </c>
      <c r="AH1515" s="56">
        <v>17</v>
      </c>
      <c r="AI1515" s="55"/>
      <c r="AJ1515" s="56" t="str">
        <f t="shared" si="827"/>
        <v/>
      </c>
      <c r="AK1515" s="55"/>
      <c r="AL1515" s="56" t="str">
        <f t="shared" si="828"/>
        <v/>
      </c>
      <c r="AM1515" s="55">
        <v>1</v>
      </c>
      <c r="AN1515" s="56">
        <v>40</v>
      </c>
      <c r="AO1515" s="55"/>
      <c r="AP1515" s="56" t="str">
        <f t="shared" si="829"/>
        <v/>
      </c>
      <c r="AQ1515" s="55"/>
      <c r="AR1515" s="56" t="str">
        <f t="shared" si="830"/>
        <v/>
      </c>
      <c r="AS1515" s="57"/>
      <c r="AT1515" s="58"/>
      <c r="AU1515" s="58"/>
      <c r="AV1515" s="59"/>
      <c r="AW1515" s="60">
        <v>1</v>
      </c>
      <c r="AX1515" s="61">
        <f t="shared" si="831"/>
        <v>2</v>
      </c>
      <c r="AY1515" s="60">
        <v>1</v>
      </c>
      <c r="AZ1515" s="61">
        <f t="shared" si="832"/>
        <v>2</v>
      </c>
    </row>
    <row r="1516" spans="1:52" s="3" customFormat="1" hidden="1" x14ac:dyDescent="0.35">
      <c r="A1516" s="72">
        <f t="shared" si="768"/>
        <v>2019</v>
      </c>
      <c r="B1516" s="72" t="str">
        <f t="shared" si="814"/>
        <v>Nov</v>
      </c>
      <c r="C1516" s="73">
        <f t="shared" si="815"/>
        <v>19</v>
      </c>
      <c r="D1516" s="74">
        <f t="shared" si="816"/>
        <v>9</v>
      </c>
      <c r="E1516" s="75">
        <f t="shared" si="769"/>
        <v>1</v>
      </c>
      <c r="F1516" s="79"/>
      <c r="G1516" s="82"/>
      <c r="H1516" s="68" t="str">
        <f t="shared" si="817"/>
        <v>Senbur0_20191119_09_00</v>
      </c>
      <c r="I1516" s="69">
        <f t="shared" ref="I1516:N1516" si="844">I1515</f>
        <v>1</v>
      </c>
      <c r="J1516" s="76" t="str">
        <f t="shared" si="844"/>
        <v>Senecio</v>
      </c>
      <c r="K1516" s="76" t="str">
        <f t="shared" si="844"/>
        <v>burtoni</v>
      </c>
      <c r="L1516" s="77">
        <f t="shared" si="844"/>
        <v>0</v>
      </c>
      <c r="M1516" s="77">
        <f t="shared" si="844"/>
        <v>7</v>
      </c>
      <c r="N1516" s="71">
        <f t="shared" si="844"/>
        <v>0</v>
      </c>
      <c r="O1516" s="44"/>
      <c r="P1516" s="45" t="str">
        <f t="shared" si="819"/>
        <v/>
      </c>
      <c r="Q1516" s="46" t="str">
        <f t="shared" si="820"/>
        <v/>
      </c>
      <c r="R1516" s="47" t="e">
        <f t="shared" si="821"/>
        <v>#VALUE!</v>
      </c>
      <c r="S1516" s="48" t="e">
        <f t="shared" si="822"/>
        <v>#VALUE!</v>
      </c>
      <c r="T1516" s="47" t="str">
        <f t="shared" si="823"/>
        <v/>
      </c>
      <c r="U1516" s="49"/>
      <c r="V1516" s="50"/>
      <c r="W1516" s="51" t="e">
        <f t="shared" si="824"/>
        <v>#VALUE!</v>
      </c>
      <c r="X1516" s="52"/>
      <c r="Y1516" s="52"/>
      <c r="Z1516" s="52"/>
      <c r="AA1516" s="47" t="e">
        <f>INDEX(VISITORS[INSECT ORDER], MATCH(X1516,VISITORS[NAME USED],0))</f>
        <v>#N/A</v>
      </c>
      <c r="AB1516" s="47" t="e">
        <f t="shared" si="825"/>
        <v>#N/A</v>
      </c>
      <c r="AC1516" s="53" t="e">
        <f t="shared" si="826"/>
        <v>#VALUE!</v>
      </c>
      <c r="AD1516" s="54" t="str">
        <f t="shared" si="834"/>
        <v/>
      </c>
      <c r="AE1516" s="54"/>
      <c r="AF1516" s="54"/>
      <c r="AG1516" s="55" t="str">
        <f t="shared" si="835"/>
        <v/>
      </c>
      <c r="AH1516" s="56" t="str">
        <f t="shared" si="836"/>
        <v/>
      </c>
      <c r="AI1516" s="55"/>
      <c r="AJ1516" s="56" t="str">
        <f t="shared" si="827"/>
        <v/>
      </c>
      <c r="AK1516" s="55"/>
      <c r="AL1516" s="56" t="str">
        <f t="shared" si="828"/>
        <v/>
      </c>
      <c r="AM1516" s="55"/>
      <c r="AN1516" s="56" t="str">
        <f t="shared" si="837"/>
        <v/>
      </c>
      <c r="AO1516" s="55"/>
      <c r="AP1516" s="56" t="str">
        <f t="shared" si="829"/>
        <v/>
      </c>
      <c r="AQ1516" s="55"/>
      <c r="AR1516" s="56" t="str">
        <f t="shared" si="830"/>
        <v/>
      </c>
      <c r="AS1516" s="57"/>
      <c r="AT1516" s="58"/>
      <c r="AU1516" s="58"/>
      <c r="AV1516" s="59"/>
      <c r="AW1516" s="60" t="str">
        <f t="shared" si="838"/>
        <v/>
      </c>
      <c r="AX1516" s="61" t="str">
        <f t="shared" si="831"/>
        <v/>
      </c>
      <c r="AY1516" s="60" t="str">
        <f t="shared" si="839"/>
        <v/>
      </c>
      <c r="AZ1516" s="61" t="str">
        <f t="shared" si="832"/>
        <v/>
      </c>
    </row>
    <row r="1517" spans="1:52" s="3" customFormat="1" ht="15" hidden="1" thickBot="1" x14ac:dyDescent="0.4">
      <c r="A1517" s="85">
        <f t="shared" si="768"/>
        <v>2019</v>
      </c>
      <c r="B1517" s="85" t="str">
        <f t="shared" si="814"/>
        <v>Nov</v>
      </c>
      <c r="C1517" s="86">
        <f t="shared" si="815"/>
        <v>19</v>
      </c>
      <c r="D1517" s="87">
        <f t="shared" si="816"/>
        <v>9</v>
      </c>
      <c r="E1517" s="88">
        <f t="shared" si="769"/>
        <v>2</v>
      </c>
      <c r="F1517" s="89"/>
      <c r="G1517" s="90"/>
      <c r="H1517" s="68" t="str">
        <f t="shared" si="817"/>
        <v>Senbur0_20191119_09_00</v>
      </c>
      <c r="I1517" s="91">
        <f t="shared" ref="I1517:N1517" si="845">I1516</f>
        <v>1</v>
      </c>
      <c r="J1517" s="92" t="str">
        <f t="shared" si="845"/>
        <v>Senecio</v>
      </c>
      <c r="K1517" s="92" t="str">
        <f t="shared" si="845"/>
        <v>burtoni</v>
      </c>
      <c r="L1517" s="93">
        <f t="shared" si="845"/>
        <v>0</v>
      </c>
      <c r="M1517" s="93">
        <f t="shared" si="845"/>
        <v>7</v>
      </c>
      <c r="N1517" s="94">
        <f t="shared" si="845"/>
        <v>0</v>
      </c>
      <c r="O1517" s="95"/>
      <c r="P1517" s="96" t="str">
        <f t="shared" si="819"/>
        <v/>
      </c>
      <c r="Q1517" s="97" t="str">
        <f t="shared" si="820"/>
        <v/>
      </c>
      <c r="R1517" s="98" t="e">
        <f t="shared" si="821"/>
        <v>#VALUE!</v>
      </c>
      <c r="S1517" s="98" t="e">
        <f t="shared" si="822"/>
        <v>#VALUE!</v>
      </c>
      <c r="T1517" s="98" t="str">
        <f t="shared" si="823"/>
        <v/>
      </c>
      <c r="U1517" s="99"/>
      <c r="V1517" s="100"/>
      <c r="W1517" s="101" t="e">
        <f t="shared" si="824"/>
        <v>#VALUE!</v>
      </c>
      <c r="X1517" s="102"/>
      <c r="Y1517" s="122"/>
      <c r="Z1517" s="122"/>
      <c r="AA1517" s="47" t="e">
        <f>INDEX(VISITORS[INSECT ORDER], MATCH(X1517,VISITORS[NAME USED],0))</f>
        <v>#N/A</v>
      </c>
      <c r="AB1517" s="98" t="e">
        <f t="shared" si="825"/>
        <v>#N/A</v>
      </c>
      <c r="AC1517" s="53" t="e">
        <f t="shared" si="826"/>
        <v>#VALUE!</v>
      </c>
      <c r="AD1517" s="103" t="str">
        <f t="shared" si="834"/>
        <v/>
      </c>
      <c r="AE1517" s="103"/>
      <c r="AF1517" s="103"/>
      <c r="AG1517" s="104" t="str">
        <f t="shared" si="835"/>
        <v/>
      </c>
      <c r="AH1517" s="105" t="str">
        <f t="shared" si="836"/>
        <v/>
      </c>
      <c r="AI1517" s="104"/>
      <c r="AJ1517" s="105" t="str">
        <f t="shared" si="827"/>
        <v/>
      </c>
      <c r="AK1517" s="104"/>
      <c r="AL1517" s="105" t="str">
        <f t="shared" si="828"/>
        <v/>
      </c>
      <c r="AM1517" s="104"/>
      <c r="AN1517" s="105" t="str">
        <f t="shared" si="837"/>
        <v/>
      </c>
      <c r="AO1517" s="104"/>
      <c r="AP1517" s="105" t="str">
        <f t="shared" si="829"/>
        <v/>
      </c>
      <c r="AQ1517" s="104"/>
      <c r="AR1517" s="105" t="str">
        <f t="shared" si="830"/>
        <v/>
      </c>
      <c r="AS1517" s="106"/>
      <c r="AT1517" s="107"/>
      <c r="AU1517" s="107"/>
      <c r="AV1517" s="108"/>
      <c r="AW1517" s="109" t="str">
        <f t="shared" si="838"/>
        <v/>
      </c>
      <c r="AX1517" s="110" t="str">
        <f t="shared" si="831"/>
        <v/>
      </c>
      <c r="AY1517" s="109" t="str">
        <f t="shared" si="839"/>
        <v/>
      </c>
      <c r="AZ1517" s="110" t="str">
        <f t="shared" si="832"/>
        <v/>
      </c>
    </row>
    <row r="1518" spans="1:52" s="3" customFormat="1" ht="11.25" hidden="1" customHeight="1" x14ac:dyDescent="0.35">
      <c r="A1518" s="72">
        <f t="shared" si="768"/>
        <v>2019</v>
      </c>
      <c r="B1518" s="72" t="str">
        <f t="shared" si="814"/>
        <v>Nov</v>
      </c>
      <c r="C1518" s="73">
        <f t="shared" si="815"/>
        <v>19</v>
      </c>
      <c r="D1518" s="74">
        <f t="shared" si="816"/>
        <v>9</v>
      </c>
      <c r="E1518" s="75">
        <f t="shared" si="769"/>
        <v>3</v>
      </c>
      <c r="F1518" s="79">
        <v>56</v>
      </c>
      <c r="G1518" s="82"/>
      <c r="H1518" s="68" t="str">
        <f t="shared" si="817"/>
        <v>Senbur0_20191119_09_00</v>
      </c>
      <c r="I1518" s="69">
        <f t="shared" ref="I1518:N1518" si="846">I1517</f>
        <v>1</v>
      </c>
      <c r="J1518" s="76" t="str">
        <f t="shared" si="846"/>
        <v>Senecio</v>
      </c>
      <c r="K1518" s="76" t="str">
        <f t="shared" si="846"/>
        <v>burtoni</v>
      </c>
      <c r="L1518" s="77">
        <f t="shared" si="846"/>
        <v>0</v>
      </c>
      <c r="M1518" s="77">
        <f t="shared" si="846"/>
        <v>7</v>
      </c>
      <c r="N1518" s="71">
        <f t="shared" si="846"/>
        <v>0</v>
      </c>
      <c r="O1518" s="44"/>
      <c r="P1518" s="45">
        <f t="shared" si="819"/>
        <v>1</v>
      </c>
      <c r="Q1518" s="46" t="str">
        <f t="shared" si="820"/>
        <v>09:03:56</v>
      </c>
      <c r="R1518" s="47" t="str">
        <f t="shared" si="821"/>
        <v>03:56</v>
      </c>
      <c r="S1518" s="48">
        <f t="shared" si="822"/>
        <v>60</v>
      </c>
      <c r="T1518" s="47" t="str">
        <f t="shared" si="823"/>
        <v>09</v>
      </c>
      <c r="U1518" s="49">
        <v>4</v>
      </c>
      <c r="V1518" s="50">
        <v>56</v>
      </c>
      <c r="W1518" s="51" t="str">
        <f t="shared" si="824"/>
        <v>04:56</v>
      </c>
      <c r="X1518" s="52" t="s">
        <v>63</v>
      </c>
      <c r="Y1518" s="124" t="s">
        <v>82</v>
      </c>
      <c r="Z1518" s="124"/>
      <c r="AA1518" s="47" t="s">
        <v>59</v>
      </c>
      <c r="AB1518" s="47" t="str">
        <f t="shared" si="825"/>
        <v>NA</v>
      </c>
      <c r="AC1518" s="53">
        <f t="shared" si="826"/>
        <v>0</v>
      </c>
      <c r="AD1518" s="54">
        <v>2</v>
      </c>
      <c r="AE1518" s="54"/>
      <c r="AF1518" s="54"/>
      <c r="AG1518" s="55">
        <v>1</v>
      </c>
      <c r="AH1518" s="56">
        <v>15</v>
      </c>
      <c r="AI1518" s="55"/>
      <c r="AJ1518" s="56" t="str">
        <f t="shared" si="827"/>
        <v/>
      </c>
      <c r="AK1518" s="55"/>
      <c r="AL1518" s="56" t="str">
        <f t="shared" si="828"/>
        <v/>
      </c>
      <c r="AM1518" s="55">
        <v>1</v>
      </c>
      <c r="AN1518" s="56">
        <v>45</v>
      </c>
      <c r="AO1518" s="55"/>
      <c r="AP1518" s="56" t="str">
        <f t="shared" si="829"/>
        <v/>
      </c>
      <c r="AQ1518" s="55"/>
      <c r="AR1518" s="56" t="str">
        <f t="shared" si="830"/>
        <v/>
      </c>
      <c r="AS1518" s="57"/>
      <c r="AT1518" s="58"/>
      <c r="AU1518" s="58"/>
      <c r="AV1518" s="59"/>
      <c r="AW1518" s="60">
        <v>1</v>
      </c>
      <c r="AX1518" s="61">
        <v>2</v>
      </c>
      <c r="AY1518" s="60">
        <v>1</v>
      </c>
      <c r="AZ1518" s="61">
        <f t="shared" si="832"/>
        <v>2</v>
      </c>
    </row>
    <row r="1519" spans="1:52" s="3" customFormat="1" hidden="1" x14ac:dyDescent="0.35">
      <c r="A1519" s="72">
        <f t="shared" si="768"/>
        <v>2019</v>
      </c>
      <c r="B1519" s="72" t="str">
        <f t="shared" si="814"/>
        <v>Nov</v>
      </c>
      <c r="C1519" s="73">
        <f t="shared" si="815"/>
        <v>19</v>
      </c>
      <c r="D1519" s="74">
        <f t="shared" si="816"/>
        <v>9</v>
      </c>
      <c r="E1519" s="75">
        <f t="shared" si="769"/>
        <v>4</v>
      </c>
      <c r="F1519" s="79"/>
      <c r="G1519" s="82"/>
      <c r="H1519" s="68" t="str">
        <f t="shared" si="817"/>
        <v>Senbur0_20191119_09_00</v>
      </c>
      <c r="I1519" s="69">
        <f t="shared" ref="I1519:N1519" si="847">I1518</f>
        <v>1</v>
      </c>
      <c r="J1519" s="76" t="str">
        <f t="shared" si="847"/>
        <v>Senecio</v>
      </c>
      <c r="K1519" s="76" t="str">
        <f t="shared" si="847"/>
        <v>burtoni</v>
      </c>
      <c r="L1519" s="77">
        <f t="shared" si="847"/>
        <v>0</v>
      </c>
      <c r="M1519" s="77">
        <f t="shared" si="847"/>
        <v>7</v>
      </c>
      <c r="N1519" s="71">
        <f t="shared" si="847"/>
        <v>0</v>
      </c>
      <c r="O1519" s="44"/>
      <c r="P1519" s="45" t="str">
        <f t="shared" si="819"/>
        <v/>
      </c>
      <c r="Q1519" s="46" t="str">
        <f t="shared" si="820"/>
        <v/>
      </c>
      <c r="R1519" s="47" t="e">
        <f t="shared" si="821"/>
        <v>#VALUE!</v>
      </c>
      <c r="S1519" s="48" t="e">
        <f t="shared" si="822"/>
        <v>#VALUE!</v>
      </c>
      <c r="T1519" s="47" t="str">
        <f t="shared" si="823"/>
        <v/>
      </c>
      <c r="U1519" s="49"/>
      <c r="V1519" s="50"/>
      <c r="W1519" s="51" t="e">
        <f t="shared" si="824"/>
        <v>#VALUE!</v>
      </c>
      <c r="X1519" s="52"/>
      <c r="Y1519" s="52"/>
      <c r="Z1519" s="52"/>
      <c r="AA1519" s="47" t="e">
        <f>INDEX(VISITORS[INSECT ORDER], MATCH(X1519,VISITORS[NAME USED],0))</f>
        <v>#N/A</v>
      </c>
      <c r="AB1519" s="47" t="e">
        <f t="shared" si="825"/>
        <v>#N/A</v>
      </c>
      <c r="AC1519" s="53" t="e">
        <f t="shared" si="826"/>
        <v>#VALUE!</v>
      </c>
      <c r="AD1519" s="54" t="str">
        <f t="shared" si="834"/>
        <v/>
      </c>
      <c r="AE1519" s="54"/>
      <c r="AF1519" s="54"/>
      <c r="AG1519" s="55" t="str">
        <f t="shared" si="835"/>
        <v/>
      </c>
      <c r="AH1519" s="56" t="str">
        <f t="shared" si="836"/>
        <v/>
      </c>
      <c r="AI1519" s="55"/>
      <c r="AJ1519" s="56" t="str">
        <f t="shared" si="827"/>
        <v/>
      </c>
      <c r="AK1519" s="55"/>
      <c r="AL1519" s="56" t="str">
        <f t="shared" si="828"/>
        <v/>
      </c>
      <c r="AM1519" s="55"/>
      <c r="AN1519" s="56" t="str">
        <f t="shared" si="837"/>
        <v/>
      </c>
      <c r="AO1519" s="55"/>
      <c r="AP1519" s="56" t="str">
        <f t="shared" si="829"/>
        <v/>
      </c>
      <c r="AQ1519" s="55"/>
      <c r="AR1519" s="56" t="str">
        <f t="shared" si="830"/>
        <v/>
      </c>
      <c r="AS1519" s="57"/>
      <c r="AT1519" s="58"/>
      <c r="AU1519" s="58"/>
      <c r="AV1519" s="59"/>
      <c r="AW1519" s="60" t="str">
        <f t="shared" si="838"/>
        <v/>
      </c>
      <c r="AX1519" s="61" t="str">
        <f t="shared" si="831"/>
        <v/>
      </c>
      <c r="AY1519" s="60" t="str">
        <f t="shared" si="839"/>
        <v/>
      </c>
      <c r="AZ1519" s="61" t="str">
        <f t="shared" si="832"/>
        <v/>
      </c>
    </row>
    <row r="1520" spans="1:52" s="3" customFormat="1" ht="15" hidden="1" thickBot="1" x14ac:dyDescent="0.4">
      <c r="A1520" s="85">
        <f t="shared" si="768"/>
        <v>2019</v>
      </c>
      <c r="B1520" s="85" t="str">
        <f t="shared" si="814"/>
        <v>Nov</v>
      </c>
      <c r="C1520" s="86">
        <f t="shared" si="815"/>
        <v>19</v>
      </c>
      <c r="D1520" s="87">
        <f t="shared" si="816"/>
        <v>9</v>
      </c>
      <c r="E1520" s="88">
        <f t="shared" si="769"/>
        <v>5</v>
      </c>
      <c r="F1520" s="89">
        <v>45</v>
      </c>
      <c r="G1520" s="90"/>
      <c r="H1520" s="68" t="str">
        <f t="shared" si="817"/>
        <v>Senbur0_20191119_09_00</v>
      </c>
      <c r="I1520" s="91">
        <f t="shared" ref="I1520:N1520" si="848">I1519</f>
        <v>1</v>
      </c>
      <c r="J1520" s="92" t="str">
        <f t="shared" si="848"/>
        <v>Senecio</v>
      </c>
      <c r="K1520" s="92" t="str">
        <f t="shared" si="848"/>
        <v>burtoni</v>
      </c>
      <c r="L1520" s="93">
        <f t="shared" si="848"/>
        <v>0</v>
      </c>
      <c r="M1520" s="93">
        <f t="shared" si="848"/>
        <v>7</v>
      </c>
      <c r="N1520" s="94">
        <f t="shared" si="848"/>
        <v>0</v>
      </c>
      <c r="O1520" s="95"/>
      <c r="P1520" s="96">
        <f t="shared" si="819"/>
        <v>1</v>
      </c>
      <c r="Q1520" s="97" t="str">
        <f t="shared" si="820"/>
        <v>09:05:45</v>
      </c>
      <c r="R1520" s="98" t="str">
        <f t="shared" si="821"/>
        <v>05:45</v>
      </c>
      <c r="S1520" s="98">
        <f t="shared" si="822"/>
        <v>11</v>
      </c>
      <c r="T1520" s="98" t="str">
        <f t="shared" si="823"/>
        <v>09</v>
      </c>
      <c r="U1520" s="99">
        <v>5</v>
      </c>
      <c r="V1520" s="100">
        <v>56</v>
      </c>
      <c r="W1520" s="101" t="str">
        <f t="shared" si="824"/>
        <v>05:56</v>
      </c>
      <c r="X1520" s="102" t="s">
        <v>63</v>
      </c>
      <c r="Y1520" s="124" t="s">
        <v>82</v>
      </c>
      <c r="Z1520" s="126"/>
      <c r="AA1520" s="47" t="s">
        <v>59</v>
      </c>
      <c r="AB1520" s="98" t="str">
        <f t="shared" si="825"/>
        <v>NA</v>
      </c>
      <c r="AC1520" s="53">
        <f t="shared" si="826"/>
        <v>0</v>
      </c>
      <c r="AD1520" s="103">
        <f t="shared" si="834"/>
        <v>1</v>
      </c>
      <c r="AE1520" s="103"/>
      <c r="AF1520" s="103"/>
      <c r="AG1520" s="104">
        <v>1</v>
      </c>
      <c r="AH1520" s="105">
        <v>4</v>
      </c>
      <c r="AI1520" s="104"/>
      <c r="AJ1520" s="105" t="str">
        <f t="shared" si="827"/>
        <v/>
      </c>
      <c r="AK1520" s="104"/>
      <c r="AL1520" s="105" t="str">
        <f t="shared" si="828"/>
        <v/>
      </c>
      <c r="AM1520" s="104">
        <v>1</v>
      </c>
      <c r="AN1520" s="105">
        <v>7</v>
      </c>
      <c r="AO1520" s="104"/>
      <c r="AP1520" s="105" t="str">
        <f t="shared" si="829"/>
        <v/>
      </c>
      <c r="AQ1520" s="104"/>
      <c r="AR1520" s="105" t="str">
        <f t="shared" si="830"/>
        <v/>
      </c>
      <c r="AS1520" s="106"/>
      <c r="AT1520" s="107"/>
      <c r="AU1520" s="107"/>
      <c r="AV1520" s="108"/>
      <c r="AW1520" s="109">
        <v>1</v>
      </c>
      <c r="AX1520" s="110">
        <f t="shared" si="831"/>
        <v>1</v>
      </c>
      <c r="AY1520" s="109">
        <v>1</v>
      </c>
      <c r="AZ1520" s="110">
        <f t="shared" si="832"/>
        <v>1</v>
      </c>
    </row>
    <row r="1521" spans="1:52" s="3" customFormat="1" ht="11.25" hidden="1" customHeight="1" x14ac:dyDescent="0.35">
      <c r="A1521" s="72">
        <f t="shared" si="768"/>
        <v>2019</v>
      </c>
      <c r="B1521" s="72" t="str">
        <f t="shared" si="814"/>
        <v>Nov</v>
      </c>
      <c r="C1521" s="73">
        <f t="shared" si="815"/>
        <v>19</v>
      </c>
      <c r="D1521" s="74">
        <f t="shared" si="816"/>
        <v>9</v>
      </c>
      <c r="E1521" s="75">
        <v>5</v>
      </c>
      <c r="F1521" s="79">
        <v>45</v>
      </c>
      <c r="G1521" s="82"/>
      <c r="H1521" s="68" t="str">
        <f t="shared" si="817"/>
        <v>Senbur0_20191119_09_00</v>
      </c>
      <c r="I1521" s="69">
        <f t="shared" ref="I1521:N1521" si="849">I1520</f>
        <v>1</v>
      </c>
      <c r="J1521" s="76" t="str">
        <f t="shared" si="849"/>
        <v>Senecio</v>
      </c>
      <c r="K1521" s="76" t="str">
        <f t="shared" si="849"/>
        <v>burtoni</v>
      </c>
      <c r="L1521" s="77">
        <f t="shared" si="849"/>
        <v>0</v>
      </c>
      <c r="M1521" s="77">
        <f t="shared" si="849"/>
        <v>7</v>
      </c>
      <c r="N1521" s="71">
        <f t="shared" si="849"/>
        <v>0</v>
      </c>
      <c r="O1521" s="44"/>
      <c r="P1521" s="45">
        <f t="shared" si="819"/>
        <v>1</v>
      </c>
      <c r="Q1521" s="46" t="str">
        <f t="shared" si="820"/>
        <v>09:05:45</v>
      </c>
      <c r="R1521" s="47" t="str">
        <f t="shared" si="821"/>
        <v>05:45</v>
      </c>
      <c r="S1521" s="48">
        <f t="shared" si="822"/>
        <v>8</v>
      </c>
      <c r="T1521" s="47" t="str">
        <f t="shared" si="823"/>
        <v>09</v>
      </c>
      <c r="U1521" s="49">
        <v>5</v>
      </c>
      <c r="V1521" s="50">
        <v>53</v>
      </c>
      <c r="W1521" s="51" t="str">
        <f t="shared" si="824"/>
        <v>05:53</v>
      </c>
      <c r="X1521" s="52" t="s">
        <v>63</v>
      </c>
      <c r="Y1521" s="124" t="s">
        <v>80</v>
      </c>
      <c r="Z1521" s="124"/>
      <c r="AA1521" s="47" t="s">
        <v>59</v>
      </c>
      <c r="AB1521" s="47" t="str">
        <f t="shared" si="825"/>
        <v>NA</v>
      </c>
      <c r="AC1521" s="53">
        <f t="shared" si="826"/>
        <v>0</v>
      </c>
      <c r="AD1521" s="54">
        <f t="shared" si="834"/>
        <v>1</v>
      </c>
      <c r="AE1521" s="54"/>
      <c r="AF1521" s="54"/>
      <c r="AG1521" s="55">
        <v>1</v>
      </c>
      <c r="AH1521" s="56">
        <v>3</v>
      </c>
      <c r="AI1521" s="55"/>
      <c r="AJ1521" s="56" t="str">
        <f t="shared" si="827"/>
        <v/>
      </c>
      <c r="AK1521" s="55"/>
      <c r="AL1521" s="56" t="str">
        <f t="shared" si="828"/>
        <v/>
      </c>
      <c r="AM1521" s="55">
        <v>1</v>
      </c>
      <c r="AN1521" s="56">
        <v>5</v>
      </c>
      <c r="AO1521" s="55"/>
      <c r="AP1521" s="56" t="str">
        <f t="shared" si="829"/>
        <v/>
      </c>
      <c r="AQ1521" s="55"/>
      <c r="AR1521" s="56" t="str">
        <f t="shared" si="830"/>
        <v/>
      </c>
      <c r="AS1521" s="57"/>
      <c r="AT1521" s="58"/>
      <c r="AU1521" s="58"/>
      <c r="AV1521" s="59"/>
      <c r="AW1521" s="60">
        <v>1</v>
      </c>
      <c r="AX1521" s="61">
        <f t="shared" si="831"/>
        <v>1</v>
      </c>
      <c r="AY1521" s="60">
        <v>1</v>
      </c>
      <c r="AZ1521" s="61">
        <f t="shared" si="832"/>
        <v>1</v>
      </c>
    </row>
    <row r="1522" spans="1:52" s="3" customFormat="1" hidden="1" x14ac:dyDescent="0.35">
      <c r="A1522" s="72">
        <f t="shared" si="768"/>
        <v>2019</v>
      </c>
      <c r="B1522" s="72" t="str">
        <f t="shared" si="814"/>
        <v>Nov</v>
      </c>
      <c r="C1522" s="73">
        <f t="shared" si="815"/>
        <v>19</v>
      </c>
      <c r="D1522" s="74">
        <f t="shared" si="816"/>
        <v>9</v>
      </c>
      <c r="E1522" s="75">
        <f t="shared" si="769"/>
        <v>6</v>
      </c>
      <c r="F1522" s="79">
        <v>55</v>
      </c>
      <c r="G1522" s="82"/>
      <c r="H1522" s="68" t="str">
        <f t="shared" si="817"/>
        <v>Senbur0_20191119_09_00</v>
      </c>
      <c r="I1522" s="69">
        <f t="shared" ref="I1522:N1522" si="850">I1521</f>
        <v>1</v>
      </c>
      <c r="J1522" s="76" t="str">
        <f t="shared" si="850"/>
        <v>Senecio</v>
      </c>
      <c r="K1522" s="76" t="str">
        <f t="shared" si="850"/>
        <v>burtoni</v>
      </c>
      <c r="L1522" s="77">
        <f t="shared" si="850"/>
        <v>0</v>
      </c>
      <c r="M1522" s="77">
        <f t="shared" si="850"/>
        <v>7</v>
      </c>
      <c r="N1522" s="71">
        <f t="shared" si="850"/>
        <v>0</v>
      </c>
      <c r="O1522" s="44"/>
      <c r="P1522" s="45">
        <f t="shared" si="819"/>
        <v>1</v>
      </c>
      <c r="Q1522" s="46" t="str">
        <f t="shared" si="820"/>
        <v>09:06:55</v>
      </c>
      <c r="R1522" s="47" t="str">
        <f t="shared" si="821"/>
        <v>06:55</v>
      </c>
      <c r="S1522" s="48">
        <f t="shared" si="822"/>
        <v>7</v>
      </c>
      <c r="T1522" s="47" t="str">
        <f t="shared" si="823"/>
        <v>09</v>
      </c>
      <c r="U1522" s="49">
        <v>7</v>
      </c>
      <c r="V1522" s="50">
        <v>2</v>
      </c>
      <c r="W1522" s="51" t="str">
        <f t="shared" si="824"/>
        <v>07:02</v>
      </c>
      <c r="X1522" s="52" t="s">
        <v>63</v>
      </c>
      <c r="Y1522" s="124" t="s">
        <v>83</v>
      </c>
      <c r="Z1522" s="124"/>
      <c r="AA1522" s="47" t="s">
        <v>59</v>
      </c>
      <c r="AB1522" s="47" t="str">
        <f t="shared" si="825"/>
        <v>NA</v>
      </c>
      <c r="AC1522" s="53">
        <f t="shared" si="826"/>
        <v>0</v>
      </c>
      <c r="AD1522" s="54">
        <v>2</v>
      </c>
      <c r="AE1522" s="54"/>
      <c r="AF1522" s="54"/>
      <c r="AG1522" s="55">
        <v>1</v>
      </c>
      <c r="AH1522" s="56">
        <v>3</v>
      </c>
      <c r="AI1522" s="55"/>
      <c r="AJ1522" s="56" t="str">
        <f t="shared" si="827"/>
        <v/>
      </c>
      <c r="AK1522" s="55"/>
      <c r="AL1522" s="56" t="str">
        <f t="shared" si="828"/>
        <v/>
      </c>
      <c r="AM1522" s="55">
        <v>1</v>
      </c>
      <c r="AN1522" s="56">
        <v>4</v>
      </c>
      <c r="AO1522" s="55"/>
      <c r="AP1522" s="56" t="str">
        <f t="shared" si="829"/>
        <v/>
      </c>
      <c r="AQ1522" s="55"/>
      <c r="AR1522" s="56" t="str">
        <f t="shared" si="830"/>
        <v/>
      </c>
      <c r="AS1522" s="57"/>
      <c r="AT1522" s="58"/>
      <c r="AU1522" s="58"/>
      <c r="AV1522" s="59"/>
      <c r="AW1522" s="60">
        <v>1</v>
      </c>
      <c r="AX1522" s="61">
        <f t="shared" si="831"/>
        <v>2</v>
      </c>
      <c r="AY1522" s="60">
        <v>1</v>
      </c>
      <c r="AZ1522" s="61">
        <f t="shared" si="832"/>
        <v>2</v>
      </c>
    </row>
    <row r="1523" spans="1:52" s="3" customFormat="1" ht="15" hidden="1" thickBot="1" x14ac:dyDescent="0.4">
      <c r="A1523" s="85">
        <f t="shared" si="768"/>
        <v>2019</v>
      </c>
      <c r="B1523" s="85" t="str">
        <f t="shared" si="814"/>
        <v>Nov</v>
      </c>
      <c r="C1523" s="86">
        <f t="shared" si="815"/>
        <v>19</v>
      </c>
      <c r="D1523" s="87">
        <f t="shared" si="816"/>
        <v>9</v>
      </c>
      <c r="E1523" s="88">
        <f t="shared" si="769"/>
        <v>7</v>
      </c>
      <c r="F1523" s="89"/>
      <c r="G1523" s="90"/>
      <c r="H1523" s="68" t="str">
        <f t="shared" si="817"/>
        <v>Senbur0_20191119_09_00</v>
      </c>
      <c r="I1523" s="91">
        <f t="shared" ref="I1523:N1523" si="851">I1522</f>
        <v>1</v>
      </c>
      <c r="J1523" s="92" t="str">
        <f t="shared" si="851"/>
        <v>Senecio</v>
      </c>
      <c r="K1523" s="92" t="str">
        <f t="shared" si="851"/>
        <v>burtoni</v>
      </c>
      <c r="L1523" s="93">
        <f t="shared" si="851"/>
        <v>0</v>
      </c>
      <c r="M1523" s="93">
        <f t="shared" si="851"/>
        <v>7</v>
      </c>
      <c r="N1523" s="94">
        <f t="shared" si="851"/>
        <v>0</v>
      </c>
      <c r="O1523" s="95"/>
      <c r="P1523" s="96" t="str">
        <f t="shared" si="819"/>
        <v/>
      </c>
      <c r="Q1523" s="97" t="str">
        <f t="shared" si="820"/>
        <v/>
      </c>
      <c r="R1523" s="98" t="e">
        <f t="shared" si="821"/>
        <v>#VALUE!</v>
      </c>
      <c r="S1523" s="98" t="e">
        <f t="shared" si="822"/>
        <v>#VALUE!</v>
      </c>
      <c r="T1523" s="98" t="str">
        <f t="shared" si="823"/>
        <v/>
      </c>
      <c r="U1523" s="99"/>
      <c r="V1523" s="100"/>
      <c r="W1523" s="101" t="e">
        <f t="shared" si="824"/>
        <v>#VALUE!</v>
      </c>
      <c r="X1523" s="102"/>
      <c r="Y1523" s="122"/>
      <c r="Z1523" s="122"/>
      <c r="AA1523" s="47" t="e">
        <f>INDEX(VISITORS[INSECT ORDER], MATCH(X1523,VISITORS[NAME USED],0))</f>
        <v>#N/A</v>
      </c>
      <c r="AB1523" s="98" t="e">
        <f t="shared" si="825"/>
        <v>#N/A</v>
      </c>
      <c r="AC1523" s="53" t="e">
        <f t="shared" si="826"/>
        <v>#VALUE!</v>
      </c>
      <c r="AD1523" s="103" t="str">
        <f t="shared" si="834"/>
        <v/>
      </c>
      <c r="AE1523" s="103"/>
      <c r="AF1523" s="103"/>
      <c r="AG1523" s="104" t="str">
        <f t="shared" si="835"/>
        <v/>
      </c>
      <c r="AH1523" s="105" t="str">
        <f t="shared" si="836"/>
        <v/>
      </c>
      <c r="AI1523" s="104"/>
      <c r="AJ1523" s="105" t="str">
        <f t="shared" si="827"/>
        <v/>
      </c>
      <c r="AK1523" s="104"/>
      <c r="AL1523" s="105" t="str">
        <f t="shared" si="828"/>
        <v/>
      </c>
      <c r="AM1523" s="104"/>
      <c r="AN1523" s="105" t="str">
        <f t="shared" si="837"/>
        <v/>
      </c>
      <c r="AO1523" s="104"/>
      <c r="AP1523" s="105" t="str">
        <f t="shared" si="829"/>
        <v/>
      </c>
      <c r="AQ1523" s="104"/>
      <c r="AR1523" s="105" t="str">
        <f t="shared" si="830"/>
        <v/>
      </c>
      <c r="AS1523" s="106"/>
      <c r="AT1523" s="107"/>
      <c r="AU1523" s="107"/>
      <c r="AV1523" s="108"/>
      <c r="AW1523" s="109" t="str">
        <f t="shared" si="838"/>
        <v/>
      </c>
      <c r="AX1523" s="110" t="str">
        <f t="shared" si="831"/>
        <v/>
      </c>
      <c r="AY1523" s="109" t="str">
        <f t="shared" si="839"/>
        <v/>
      </c>
      <c r="AZ1523" s="110" t="str">
        <f t="shared" si="832"/>
        <v/>
      </c>
    </row>
    <row r="1524" spans="1:52" s="3" customFormat="1" ht="11.25" hidden="1" customHeight="1" x14ac:dyDescent="0.35">
      <c r="A1524" s="72">
        <f t="shared" si="768"/>
        <v>2019</v>
      </c>
      <c r="B1524" s="72" t="str">
        <f t="shared" si="814"/>
        <v>Nov</v>
      </c>
      <c r="C1524" s="73">
        <f t="shared" si="815"/>
        <v>19</v>
      </c>
      <c r="D1524" s="74">
        <f t="shared" si="816"/>
        <v>9</v>
      </c>
      <c r="E1524" s="75">
        <f t="shared" si="769"/>
        <v>8</v>
      </c>
      <c r="F1524" s="79"/>
      <c r="G1524" s="82"/>
      <c r="H1524" s="68" t="str">
        <f t="shared" si="817"/>
        <v>Senbur0_20191119_09_00</v>
      </c>
      <c r="I1524" s="69">
        <f t="shared" ref="I1524:N1524" si="852">I1523</f>
        <v>1</v>
      </c>
      <c r="J1524" s="76" t="str">
        <f t="shared" si="852"/>
        <v>Senecio</v>
      </c>
      <c r="K1524" s="76" t="str">
        <f t="shared" si="852"/>
        <v>burtoni</v>
      </c>
      <c r="L1524" s="77">
        <f t="shared" si="852"/>
        <v>0</v>
      </c>
      <c r="M1524" s="77">
        <f t="shared" si="852"/>
        <v>7</v>
      </c>
      <c r="N1524" s="71">
        <f t="shared" si="852"/>
        <v>0</v>
      </c>
      <c r="O1524" s="44"/>
      <c r="P1524" s="45" t="str">
        <f t="shared" si="819"/>
        <v/>
      </c>
      <c r="Q1524" s="46" t="str">
        <f t="shared" si="820"/>
        <v/>
      </c>
      <c r="R1524" s="47" t="e">
        <f t="shared" si="821"/>
        <v>#VALUE!</v>
      </c>
      <c r="S1524" s="48" t="e">
        <f t="shared" si="822"/>
        <v>#VALUE!</v>
      </c>
      <c r="T1524" s="47" t="str">
        <f t="shared" si="823"/>
        <v/>
      </c>
      <c r="U1524" s="49"/>
      <c r="V1524" s="50"/>
      <c r="W1524" s="51" t="e">
        <f t="shared" si="824"/>
        <v>#VALUE!</v>
      </c>
      <c r="X1524" s="52"/>
      <c r="Y1524" s="52"/>
      <c r="Z1524" s="52"/>
      <c r="AA1524" s="47" t="e">
        <f>INDEX(VISITORS[INSECT ORDER], MATCH(X1524,VISITORS[NAME USED],0))</f>
        <v>#N/A</v>
      </c>
      <c r="AB1524" s="47" t="e">
        <f t="shared" si="825"/>
        <v>#N/A</v>
      </c>
      <c r="AC1524" s="53" t="e">
        <f t="shared" si="826"/>
        <v>#VALUE!</v>
      </c>
      <c r="AD1524" s="54" t="str">
        <f t="shared" si="834"/>
        <v/>
      </c>
      <c r="AE1524" s="54"/>
      <c r="AF1524" s="54"/>
      <c r="AG1524" s="55" t="str">
        <f t="shared" si="835"/>
        <v/>
      </c>
      <c r="AH1524" s="56" t="str">
        <f t="shared" si="836"/>
        <v/>
      </c>
      <c r="AI1524" s="55"/>
      <c r="AJ1524" s="56" t="str">
        <f t="shared" si="827"/>
        <v/>
      </c>
      <c r="AK1524" s="55"/>
      <c r="AL1524" s="56" t="str">
        <f t="shared" si="828"/>
        <v/>
      </c>
      <c r="AM1524" s="55"/>
      <c r="AN1524" s="56" t="str">
        <f t="shared" si="837"/>
        <v/>
      </c>
      <c r="AO1524" s="55"/>
      <c r="AP1524" s="56" t="str">
        <f t="shared" si="829"/>
        <v/>
      </c>
      <c r="AQ1524" s="55"/>
      <c r="AR1524" s="56" t="str">
        <f t="shared" si="830"/>
        <v/>
      </c>
      <c r="AS1524" s="57"/>
      <c r="AT1524" s="58"/>
      <c r="AU1524" s="58"/>
      <c r="AV1524" s="59"/>
      <c r="AW1524" s="60" t="str">
        <f t="shared" si="838"/>
        <v/>
      </c>
      <c r="AX1524" s="61" t="str">
        <f t="shared" si="831"/>
        <v/>
      </c>
      <c r="AY1524" s="60" t="str">
        <f t="shared" si="839"/>
        <v/>
      </c>
      <c r="AZ1524" s="61" t="str">
        <f t="shared" si="832"/>
        <v/>
      </c>
    </row>
    <row r="1525" spans="1:52" s="3" customFormat="1" hidden="1" x14ac:dyDescent="0.35">
      <c r="A1525" s="72">
        <f t="shared" si="768"/>
        <v>2019</v>
      </c>
      <c r="B1525" s="72" t="str">
        <f t="shared" si="814"/>
        <v>Nov</v>
      </c>
      <c r="C1525" s="73">
        <f t="shared" si="815"/>
        <v>19</v>
      </c>
      <c r="D1525" s="74">
        <f t="shared" si="816"/>
        <v>9</v>
      </c>
      <c r="E1525" s="75">
        <f t="shared" si="769"/>
        <v>9</v>
      </c>
      <c r="F1525" s="79"/>
      <c r="G1525" s="82"/>
      <c r="H1525" s="68" t="str">
        <f t="shared" si="817"/>
        <v>Senbur0_20191119_09_00</v>
      </c>
      <c r="I1525" s="69">
        <f t="shared" ref="I1525:N1525" si="853">I1524</f>
        <v>1</v>
      </c>
      <c r="J1525" s="76" t="str">
        <f t="shared" si="853"/>
        <v>Senecio</v>
      </c>
      <c r="K1525" s="76" t="str">
        <f t="shared" si="853"/>
        <v>burtoni</v>
      </c>
      <c r="L1525" s="77">
        <f t="shared" si="853"/>
        <v>0</v>
      </c>
      <c r="M1525" s="77">
        <f t="shared" si="853"/>
        <v>7</v>
      </c>
      <c r="N1525" s="71">
        <f t="shared" si="853"/>
        <v>0</v>
      </c>
      <c r="O1525" s="44"/>
      <c r="P1525" s="45" t="str">
        <f t="shared" si="819"/>
        <v/>
      </c>
      <c r="Q1525" s="46" t="str">
        <f t="shared" si="820"/>
        <v/>
      </c>
      <c r="R1525" s="47" t="e">
        <f t="shared" si="821"/>
        <v>#VALUE!</v>
      </c>
      <c r="S1525" s="48" t="e">
        <f t="shared" si="822"/>
        <v>#VALUE!</v>
      </c>
      <c r="T1525" s="47" t="str">
        <f t="shared" si="823"/>
        <v/>
      </c>
      <c r="U1525" s="49"/>
      <c r="V1525" s="50"/>
      <c r="W1525" s="51" t="e">
        <f t="shared" si="824"/>
        <v>#VALUE!</v>
      </c>
      <c r="X1525" s="52"/>
      <c r="Y1525" s="52"/>
      <c r="Z1525" s="52"/>
      <c r="AA1525" s="47" t="e">
        <f>INDEX(VISITORS[INSECT ORDER], MATCH(X1525,VISITORS[NAME USED],0))</f>
        <v>#N/A</v>
      </c>
      <c r="AB1525" s="47" t="e">
        <f t="shared" si="825"/>
        <v>#N/A</v>
      </c>
      <c r="AC1525" s="53" t="e">
        <f t="shared" si="826"/>
        <v>#VALUE!</v>
      </c>
      <c r="AD1525" s="54" t="str">
        <f t="shared" si="834"/>
        <v/>
      </c>
      <c r="AE1525" s="54"/>
      <c r="AF1525" s="54"/>
      <c r="AG1525" s="55" t="str">
        <f t="shared" si="835"/>
        <v/>
      </c>
      <c r="AH1525" s="56" t="str">
        <f t="shared" si="836"/>
        <v/>
      </c>
      <c r="AI1525" s="55"/>
      <c r="AJ1525" s="56" t="str">
        <f t="shared" si="827"/>
        <v/>
      </c>
      <c r="AK1525" s="55"/>
      <c r="AL1525" s="56" t="str">
        <f t="shared" si="828"/>
        <v/>
      </c>
      <c r="AM1525" s="55"/>
      <c r="AN1525" s="56" t="str">
        <f t="shared" si="837"/>
        <v/>
      </c>
      <c r="AO1525" s="55"/>
      <c r="AP1525" s="56" t="str">
        <f t="shared" si="829"/>
        <v/>
      </c>
      <c r="AQ1525" s="55"/>
      <c r="AR1525" s="56" t="str">
        <f t="shared" si="830"/>
        <v/>
      </c>
      <c r="AS1525" s="57"/>
      <c r="AT1525" s="58"/>
      <c r="AU1525" s="58"/>
      <c r="AV1525" s="59"/>
      <c r="AW1525" s="60" t="str">
        <f t="shared" si="838"/>
        <v/>
      </c>
      <c r="AX1525" s="61" t="str">
        <f t="shared" si="831"/>
        <v/>
      </c>
      <c r="AY1525" s="60" t="str">
        <f t="shared" si="839"/>
        <v/>
      </c>
      <c r="AZ1525" s="61" t="str">
        <f t="shared" si="832"/>
        <v/>
      </c>
    </row>
    <row r="1526" spans="1:52" s="3" customFormat="1" ht="15" hidden="1" thickBot="1" x14ac:dyDescent="0.4">
      <c r="A1526" s="85">
        <f t="shared" si="768"/>
        <v>2019</v>
      </c>
      <c r="B1526" s="85" t="str">
        <f t="shared" si="814"/>
        <v>Nov</v>
      </c>
      <c r="C1526" s="86">
        <f t="shared" si="815"/>
        <v>19</v>
      </c>
      <c r="D1526" s="87">
        <f t="shared" si="816"/>
        <v>9</v>
      </c>
      <c r="E1526" s="88">
        <f t="shared" si="769"/>
        <v>10</v>
      </c>
      <c r="F1526" s="89"/>
      <c r="G1526" s="90"/>
      <c r="H1526" s="68" t="str">
        <f t="shared" si="817"/>
        <v>Senbur0_20191119_09_00</v>
      </c>
      <c r="I1526" s="91">
        <f t="shared" ref="I1526:N1526" si="854">I1525</f>
        <v>1</v>
      </c>
      <c r="J1526" s="92" t="str">
        <f t="shared" si="854"/>
        <v>Senecio</v>
      </c>
      <c r="K1526" s="92" t="str">
        <f t="shared" si="854"/>
        <v>burtoni</v>
      </c>
      <c r="L1526" s="93">
        <f t="shared" si="854"/>
        <v>0</v>
      </c>
      <c r="M1526" s="93">
        <f t="shared" si="854"/>
        <v>7</v>
      </c>
      <c r="N1526" s="94">
        <f t="shared" si="854"/>
        <v>0</v>
      </c>
      <c r="O1526" s="95"/>
      <c r="P1526" s="96" t="str">
        <f t="shared" si="819"/>
        <v/>
      </c>
      <c r="Q1526" s="97" t="str">
        <f t="shared" si="820"/>
        <v/>
      </c>
      <c r="R1526" s="98" t="e">
        <f t="shared" si="821"/>
        <v>#VALUE!</v>
      </c>
      <c r="S1526" s="98" t="e">
        <f t="shared" si="822"/>
        <v>#VALUE!</v>
      </c>
      <c r="T1526" s="98" t="str">
        <f t="shared" si="823"/>
        <v/>
      </c>
      <c r="U1526" s="99"/>
      <c r="V1526" s="100"/>
      <c r="W1526" s="101" t="e">
        <f t="shared" si="824"/>
        <v>#VALUE!</v>
      </c>
      <c r="X1526" s="102"/>
      <c r="Y1526" s="122"/>
      <c r="Z1526" s="122"/>
      <c r="AA1526" s="47" t="e">
        <f>INDEX(VISITORS[INSECT ORDER], MATCH(X1526,VISITORS[NAME USED],0))</f>
        <v>#N/A</v>
      </c>
      <c r="AB1526" s="98" t="e">
        <f t="shared" si="825"/>
        <v>#N/A</v>
      </c>
      <c r="AC1526" s="53" t="e">
        <f t="shared" si="826"/>
        <v>#VALUE!</v>
      </c>
      <c r="AD1526" s="103" t="str">
        <f t="shared" si="834"/>
        <v/>
      </c>
      <c r="AE1526" s="103"/>
      <c r="AF1526" s="103"/>
      <c r="AG1526" s="104" t="str">
        <f t="shared" si="835"/>
        <v/>
      </c>
      <c r="AH1526" s="105" t="str">
        <f t="shared" si="836"/>
        <v/>
      </c>
      <c r="AI1526" s="104"/>
      <c r="AJ1526" s="105" t="str">
        <f t="shared" si="827"/>
        <v/>
      </c>
      <c r="AK1526" s="104"/>
      <c r="AL1526" s="105" t="str">
        <f t="shared" si="828"/>
        <v/>
      </c>
      <c r="AM1526" s="104"/>
      <c r="AN1526" s="105" t="str">
        <f t="shared" si="837"/>
        <v/>
      </c>
      <c r="AO1526" s="104"/>
      <c r="AP1526" s="105" t="str">
        <f t="shared" si="829"/>
        <v/>
      </c>
      <c r="AQ1526" s="104"/>
      <c r="AR1526" s="105" t="str">
        <f t="shared" si="830"/>
        <v/>
      </c>
      <c r="AS1526" s="106"/>
      <c r="AT1526" s="107"/>
      <c r="AU1526" s="107"/>
      <c r="AV1526" s="108"/>
      <c r="AW1526" s="109" t="str">
        <f t="shared" si="838"/>
        <v/>
      </c>
      <c r="AX1526" s="110" t="str">
        <f t="shared" si="831"/>
        <v/>
      </c>
      <c r="AY1526" s="109" t="str">
        <f t="shared" si="839"/>
        <v/>
      </c>
      <c r="AZ1526" s="110" t="str">
        <f t="shared" si="832"/>
        <v/>
      </c>
    </row>
    <row r="1527" spans="1:52" s="3" customFormat="1" ht="11.25" hidden="1" customHeight="1" x14ac:dyDescent="0.35">
      <c r="A1527" s="72">
        <f t="shared" si="768"/>
        <v>2019</v>
      </c>
      <c r="B1527" s="72" t="str">
        <f t="shared" si="814"/>
        <v>Nov</v>
      </c>
      <c r="C1527" s="73">
        <f t="shared" si="815"/>
        <v>19</v>
      </c>
      <c r="D1527" s="74">
        <f t="shared" si="816"/>
        <v>9</v>
      </c>
      <c r="E1527" s="75">
        <f t="shared" si="769"/>
        <v>11</v>
      </c>
      <c r="F1527" s="79"/>
      <c r="G1527" s="82"/>
      <c r="H1527" s="68" t="str">
        <f t="shared" si="817"/>
        <v>Senbur0_20191119_09_00</v>
      </c>
      <c r="I1527" s="69">
        <f t="shared" ref="I1527:N1527" si="855">I1526</f>
        <v>1</v>
      </c>
      <c r="J1527" s="76" t="str">
        <f t="shared" si="855"/>
        <v>Senecio</v>
      </c>
      <c r="K1527" s="76" t="str">
        <f t="shared" si="855"/>
        <v>burtoni</v>
      </c>
      <c r="L1527" s="77">
        <f t="shared" si="855"/>
        <v>0</v>
      </c>
      <c r="M1527" s="77">
        <f t="shared" si="855"/>
        <v>7</v>
      </c>
      <c r="N1527" s="71">
        <f t="shared" si="855"/>
        <v>0</v>
      </c>
      <c r="O1527" s="44"/>
      <c r="P1527" s="45" t="str">
        <f t="shared" si="819"/>
        <v/>
      </c>
      <c r="Q1527" s="46" t="str">
        <f t="shared" si="820"/>
        <v/>
      </c>
      <c r="R1527" s="47" t="e">
        <f t="shared" si="821"/>
        <v>#VALUE!</v>
      </c>
      <c r="S1527" s="48" t="e">
        <f t="shared" si="822"/>
        <v>#VALUE!</v>
      </c>
      <c r="T1527" s="47" t="str">
        <f t="shared" si="823"/>
        <v/>
      </c>
      <c r="U1527" s="49"/>
      <c r="V1527" s="50"/>
      <c r="W1527" s="51" t="e">
        <f t="shared" si="824"/>
        <v>#VALUE!</v>
      </c>
      <c r="X1527" s="52"/>
      <c r="Y1527" s="52"/>
      <c r="Z1527" s="52"/>
      <c r="AA1527" s="47" t="e">
        <f>INDEX(VISITORS[INSECT ORDER], MATCH(X1527,VISITORS[NAME USED],0))</f>
        <v>#N/A</v>
      </c>
      <c r="AB1527" s="47" t="e">
        <f t="shared" si="825"/>
        <v>#N/A</v>
      </c>
      <c r="AC1527" s="53" t="e">
        <f t="shared" si="826"/>
        <v>#VALUE!</v>
      </c>
      <c r="AD1527" s="54" t="str">
        <f t="shared" si="834"/>
        <v/>
      </c>
      <c r="AE1527" s="54"/>
      <c r="AF1527" s="54"/>
      <c r="AG1527" s="55" t="str">
        <f t="shared" si="835"/>
        <v/>
      </c>
      <c r="AH1527" s="56" t="str">
        <f t="shared" si="836"/>
        <v/>
      </c>
      <c r="AI1527" s="55"/>
      <c r="AJ1527" s="56" t="str">
        <f t="shared" si="827"/>
        <v/>
      </c>
      <c r="AK1527" s="55"/>
      <c r="AL1527" s="56" t="str">
        <f t="shared" si="828"/>
        <v/>
      </c>
      <c r="AM1527" s="55"/>
      <c r="AN1527" s="56" t="str">
        <f t="shared" si="837"/>
        <v/>
      </c>
      <c r="AO1527" s="55"/>
      <c r="AP1527" s="56" t="str">
        <f t="shared" si="829"/>
        <v/>
      </c>
      <c r="AQ1527" s="55"/>
      <c r="AR1527" s="56" t="str">
        <f t="shared" si="830"/>
        <v/>
      </c>
      <c r="AS1527" s="57"/>
      <c r="AT1527" s="58"/>
      <c r="AU1527" s="58"/>
      <c r="AV1527" s="59"/>
      <c r="AW1527" s="60" t="str">
        <f t="shared" si="838"/>
        <v/>
      </c>
      <c r="AX1527" s="61" t="str">
        <f t="shared" si="831"/>
        <v/>
      </c>
      <c r="AY1527" s="60" t="str">
        <f t="shared" si="839"/>
        <v/>
      </c>
      <c r="AZ1527" s="61" t="str">
        <f t="shared" si="832"/>
        <v/>
      </c>
    </row>
    <row r="1528" spans="1:52" s="3" customFormat="1" hidden="1" x14ac:dyDescent="0.35">
      <c r="A1528" s="72">
        <f t="shared" si="768"/>
        <v>2019</v>
      </c>
      <c r="B1528" s="72" t="str">
        <f t="shared" si="814"/>
        <v>Nov</v>
      </c>
      <c r="C1528" s="73">
        <f t="shared" si="815"/>
        <v>19</v>
      </c>
      <c r="D1528" s="74">
        <f t="shared" si="816"/>
        <v>9</v>
      </c>
      <c r="E1528" s="75">
        <f t="shared" si="769"/>
        <v>12</v>
      </c>
      <c r="F1528" s="79"/>
      <c r="G1528" s="82"/>
      <c r="H1528" s="68" t="str">
        <f t="shared" si="817"/>
        <v>Senbur0_20191119_09_00</v>
      </c>
      <c r="I1528" s="69">
        <f t="shared" ref="I1528:N1528" si="856">I1527</f>
        <v>1</v>
      </c>
      <c r="J1528" s="76" t="str">
        <f t="shared" si="856"/>
        <v>Senecio</v>
      </c>
      <c r="K1528" s="76" t="str">
        <f t="shared" si="856"/>
        <v>burtoni</v>
      </c>
      <c r="L1528" s="77">
        <f t="shared" si="856"/>
        <v>0</v>
      </c>
      <c r="M1528" s="77">
        <f t="shared" si="856"/>
        <v>7</v>
      </c>
      <c r="N1528" s="71">
        <f t="shared" si="856"/>
        <v>0</v>
      </c>
      <c r="O1528" s="44"/>
      <c r="P1528" s="45" t="str">
        <f t="shared" si="819"/>
        <v/>
      </c>
      <c r="Q1528" s="46" t="str">
        <f t="shared" si="820"/>
        <v/>
      </c>
      <c r="R1528" s="47" t="e">
        <f t="shared" si="821"/>
        <v>#VALUE!</v>
      </c>
      <c r="S1528" s="48" t="e">
        <f t="shared" si="822"/>
        <v>#VALUE!</v>
      </c>
      <c r="T1528" s="47" t="str">
        <f t="shared" si="823"/>
        <v/>
      </c>
      <c r="U1528" s="49"/>
      <c r="V1528" s="50"/>
      <c r="W1528" s="51" t="e">
        <f t="shared" si="824"/>
        <v>#VALUE!</v>
      </c>
      <c r="X1528" s="52"/>
      <c r="Y1528" s="52"/>
      <c r="Z1528" s="52"/>
      <c r="AA1528" s="47" t="e">
        <f>INDEX(VISITORS[INSECT ORDER], MATCH(X1528,VISITORS[NAME USED],0))</f>
        <v>#N/A</v>
      </c>
      <c r="AB1528" s="47" t="e">
        <f t="shared" si="825"/>
        <v>#N/A</v>
      </c>
      <c r="AC1528" s="53" t="e">
        <f t="shared" si="826"/>
        <v>#VALUE!</v>
      </c>
      <c r="AD1528" s="54" t="str">
        <f t="shared" si="834"/>
        <v/>
      </c>
      <c r="AE1528" s="54"/>
      <c r="AF1528" s="54"/>
      <c r="AG1528" s="55" t="str">
        <f t="shared" si="835"/>
        <v/>
      </c>
      <c r="AH1528" s="56" t="str">
        <f t="shared" si="836"/>
        <v/>
      </c>
      <c r="AI1528" s="55"/>
      <c r="AJ1528" s="56" t="str">
        <f t="shared" si="827"/>
        <v/>
      </c>
      <c r="AK1528" s="55"/>
      <c r="AL1528" s="56" t="str">
        <f t="shared" si="828"/>
        <v/>
      </c>
      <c r="AM1528" s="55"/>
      <c r="AN1528" s="56" t="str">
        <f t="shared" si="837"/>
        <v/>
      </c>
      <c r="AO1528" s="55"/>
      <c r="AP1528" s="56" t="str">
        <f t="shared" si="829"/>
        <v/>
      </c>
      <c r="AQ1528" s="55"/>
      <c r="AR1528" s="56" t="str">
        <f t="shared" si="830"/>
        <v/>
      </c>
      <c r="AS1528" s="57"/>
      <c r="AT1528" s="58"/>
      <c r="AU1528" s="58"/>
      <c r="AV1528" s="59"/>
      <c r="AW1528" s="60" t="str">
        <f t="shared" si="838"/>
        <v/>
      </c>
      <c r="AX1528" s="61" t="str">
        <f t="shared" si="831"/>
        <v/>
      </c>
      <c r="AY1528" s="60" t="str">
        <f t="shared" si="839"/>
        <v/>
      </c>
      <c r="AZ1528" s="61" t="str">
        <f t="shared" si="832"/>
        <v/>
      </c>
    </row>
    <row r="1529" spans="1:52" s="3" customFormat="1" ht="15" hidden="1" thickBot="1" x14ac:dyDescent="0.4">
      <c r="A1529" s="85">
        <f t="shared" si="768"/>
        <v>2019</v>
      </c>
      <c r="B1529" s="85" t="str">
        <f t="shared" si="814"/>
        <v>Nov</v>
      </c>
      <c r="C1529" s="86">
        <f t="shared" si="815"/>
        <v>19</v>
      </c>
      <c r="D1529" s="87">
        <f t="shared" si="816"/>
        <v>9</v>
      </c>
      <c r="E1529" s="88">
        <f t="shared" si="769"/>
        <v>13</v>
      </c>
      <c r="F1529" s="89"/>
      <c r="G1529" s="90"/>
      <c r="H1529" s="68" t="str">
        <f t="shared" si="817"/>
        <v>Senbur0_20191119_09_00</v>
      </c>
      <c r="I1529" s="91">
        <f t="shared" ref="I1529:N1529" si="857">I1528</f>
        <v>1</v>
      </c>
      <c r="J1529" s="92" t="str">
        <f t="shared" si="857"/>
        <v>Senecio</v>
      </c>
      <c r="K1529" s="92" t="str">
        <f t="shared" si="857"/>
        <v>burtoni</v>
      </c>
      <c r="L1529" s="93">
        <f t="shared" si="857"/>
        <v>0</v>
      </c>
      <c r="M1529" s="93">
        <f t="shared" si="857"/>
        <v>7</v>
      </c>
      <c r="N1529" s="94">
        <f t="shared" si="857"/>
        <v>0</v>
      </c>
      <c r="O1529" s="95"/>
      <c r="P1529" s="96" t="str">
        <f t="shared" si="819"/>
        <v/>
      </c>
      <c r="Q1529" s="97" t="str">
        <f t="shared" si="820"/>
        <v/>
      </c>
      <c r="R1529" s="98" t="e">
        <f t="shared" si="821"/>
        <v>#VALUE!</v>
      </c>
      <c r="S1529" s="98" t="e">
        <f t="shared" si="822"/>
        <v>#VALUE!</v>
      </c>
      <c r="T1529" s="98" t="str">
        <f t="shared" si="823"/>
        <v/>
      </c>
      <c r="U1529" s="99"/>
      <c r="V1529" s="100"/>
      <c r="W1529" s="101" t="e">
        <f t="shared" si="824"/>
        <v>#VALUE!</v>
      </c>
      <c r="X1529" s="102"/>
      <c r="Y1529" s="122"/>
      <c r="Z1529" s="122"/>
      <c r="AA1529" s="47" t="e">
        <f>INDEX(VISITORS[INSECT ORDER], MATCH(X1529,VISITORS[NAME USED],0))</f>
        <v>#N/A</v>
      </c>
      <c r="AB1529" s="98" t="e">
        <f t="shared" si="825"/>
        <v>#N/A</v>
      </c>
      <c r="AC1529" s="53" t="e">
        <f t="shared" si="826"/>
        <v>#VALUE!</v>
      </c>
      <c r="AD1529" s="103" t="str">
        <f t="shared" si="834"/>
        <v/>
      </c>
      <c r="AE1529" s="103"/>
      <c r="AF1529" s="103"/>
      <c r="AG1529" s="104" t="str">
        <f t="shared" si="835"/>
        <v/>
      </c>
      <c r="AH1529" s="105" t="str">
        <f t="shared" si="836"/>
        <v/>
      </c>
      <c r="AI1529" s="104"/>
      <c r="AJ1529" s="105" t="str">
        <f t="shared" si="827"/>
        <v/>
      </c>
      <c r="AK1529" s="104"/>
      <c r="AL1529" s="105" t="str">
        <f t="shared" si="828"/>
        <v/>
      </c>
      <c r="AM1529" s="104"/>
      <c r="AN1529" s="105" t="str">
        <f t="shared" si="837"/>
        <v/>
      </c>
      <c r="AO1529" s="104"/>
      <c r="AP1529" s="105" t="str">
        <f t="shared" si="829"/>
        <v/>
      </c>
      <c r="AQ1529" s="104"/>
      <c r="AR1529" s="105" t="str">
        <f t="shared" si="830"/>
        <v/>
      </c>
      <c r="AS1529" s="106"/>
      <c r="AT1529" s="107"/>
      <c r="AU1529" s="107"/>
      <c r="AV1529" s="108"/>
      <c r="AW1529" s="109" t="str">
        <f t="shared" si="838"/>
        <v/>
      </c>
      <c r="AX1529" s="110" t="str">
        <f t="shared" si="831"/>
        <v/>
      </c>
      <c r="AY1529" s="109" t="str">
        <f t="shared" si="839"/>
        <v/>
      </c>
      <c r="AZ1529" s="110" t="str">
        <f t="shared" si="832"/>
        <v/>
      </c>
    </row>
    <row r="1530" spans="1:52" s="3" customFormat="1" ht="11.25" hidden="1" customHeight="1" x14ac:dyDescent="0.35">
      <c r="A1530" s="72">
        <f t="shared" si="768"/>
        <v>2019</v>
      </c>
      <c r="B1530" s="72" t="str">
        <f t="shared" si="814"/>
        <v>Nov</v>
      </c>
      <c r="C1530" s="73">
        <f t="shared" si="815"/>
        <v>19</v>
      </c>
      <c r="D1530" s="74">
        <f t="shared" si="816"/>
        <v>9</v>
      </c>
      <c r="E1530" s="75">
        <f t="shared" si="769"/>
        <v>14</v>
      </c>
      <c r="F1530" s="79"/>
      <c r="G1530" s="82"/>
      <c r="H1530" s="68" t="str">
        <f t="shared" si="817"/>
        <v>Senbur0_20191119_09_00</v>
      </c>
      <c r="I1530" s="69">
        <f t="shared" ref="I1530:N1530" si="858">I1529</f>
        <v>1</v>
      </c>
      <c r="J1530" s="76" t="str">
        <f t="shared" si="858"/>
        <v>Senecio</v>
      </c>
      <c r="K1530" s="76" t="str">
        <f t="shared" si="858"/>
        <v>burtoni</v>
      </c>
      <c r="L1530" s="77">
        <f t="shared" si="858"/>
        <v>0</v>
      </c>
      <c r="M1530" s="77">
        <f t="shared" si="858"/>
        <v>7</v>
      </c>
      <c r="N1530" s="71">
        <f t="shared" si="858"/>
        <v>0</v>
      </c>
      <c r="O1530" s="44"/>
      <c r="P1530" s="45" t="str">
        <f t="shared" si="819"/>
        <v/>
      </c>
      <c r="Q1530" s="46" t="str">
        <f t="shared" si="820"/>
        <v/>
      </c>
      <c r="R1530" s="47" t="e">
        <f t="shared" si="821"/>
        <v>#VALUE!</v>
      </c>
      <c r="S1530" s="48" t="e">
        <f t="shared" si="822"/>
        <v>#VALUE!</v>
      </c>
      <c r="T1530" s="47" t="str">
        <f t="shared" si="823"/>
        <v/>
      </c>
      <c r="U1530" s="49"/>
      <c r="V1530" s="50"/>
      <c r="W1530" s="51" t="e">
        <f t="shared" si="824"/>
        <v>#VALUE!</v>
      </c>
      <c r="X1530" s="52"/>
      <c r="Y1530" s="52"/>
      <c r="Z1530" s="52"/>
      <c r="AA1530" s="47" t="e">
        <f>INDEX(VISITORS[INSECT ORDER], MATCH(X1530,VISITORS[NAME USED],0))</f>
        <v>#N/A</v>
      </c>
      <c r="AB1530" s="47" t="e">
        <f t="shared" si="825"/>
        <v>#N/A</v>
      </c>
      <c r="AC1530" s="53" t="e">
        <f t="shared" si="826"/>
        <v>#VALUE!</v>
      </c>
      <c r="AD1530" s="54" t="str">
        <f t="shared" si="834"/>
        <v/>
      </c>
      <c r="AE1530" s="54"/>
      <c r="AF1530" s="54"/>
      <c r="AG1530" s="55" t="str">
        <f t="shared" si="835"/>
        <v/>
      </c>
      <c r="AH1530" s="56" t="str">
        <f t="shared" si="836"/>
        <v/>
      </c>
      <c r="AI1530" s="55"/>
      <c r="AJ1530" s="56" t="str">
        <f t="shared" si="827"/>
        <v/>
      </c>
      <c r="AK1530" s="55"/>
      <c r="AL1530" s="56" t="str">
        <f t="shared" si="828"/>
        <v/>
      </c>
      <c r="AM1530" s="55"/>
      <c r="AN1530" s="56" t="str">
        <f t="shared" si="837"/>
        <v/>
      </c>
      <c r="AO1530" s="55"/>
      <c r="AP1530" s="56" t="str">
        <f t="shared" si="829"/>
        <v/>
      </c>
      <c r="AQ1530" s="55"/>
      <c r="AR1530" s="56" t="str">
        <f t="shared" si="830"/>
        <v/>
      </c>
      <c r="AS1530" s="57"/>
      <c r="AT1530" s="58"/>
      <c r="AU1530" s="58"/>
      <c r="AV1530" s="59"/>
      <c r="AW1530" s="60" t="str">
        <f t="shared" si="838"/>
        <v/>
      </c>
      <c r="AX1530" s="61" t="str">
        <f t="shared" si="831"/>
        <v/>
      </c>
      <c r="AY1530" s="60" t="str">
        <f t="shared" si="839"/>
        <v/>
      </c>
      <c r="AZ1530" s="61" t="str">
        <f t="shared" si="832"/>
        <v/>
      </c>
    </row>
    <row r="1531" spans="1:52" s="3" customFormat="1" hidden="1" x14ac:dyDescent="0.35">
      <c r="A1531" s="72">
        <f t="shared" si="768"/>
        <v>2019</v>
      </c>
      <c r="B1531" s="72" t="str">
        <f t="shared" si="814"/>
        <v>Nov</v>
      </c>
      <c r="C1531" s="73">
        <f t="shared" si="815"/>
        <v>19</v>
      </c>
      <c r="D1531" s="74">
        <f t="shared" si="816"/>
        <v>9</v>
      </c>
      <c r="E1531" s="75">
        <f t="shared" si="769"/>
        <v>15</v>
      </c>
      <c r="F1531" s="79"/>
      <c r="G1531" s="82"/>
      <c r="H1531" s="68" t="str">
        <f t="shared" si="817"/>
        <v>Senbur0_20191119_09_00</v>
      </c>
      <c r="I1531" s="69">
        <f t="shared" ref="I1531:N1531" si="859">I1530</f>
        <v>1</v>
      </c>
      <c r="J1531" s="76" t="str">
        <f t="shared" si="859"/>
        <v>Senecio</v>
      </c>
      <c r="K1531" s="76" t="str">
        <f t="shared" si="859"/>
        <v>burtoni</v>
      </c>
      <c r="L1531" s="77">
        <f t="shared" si="859"/>
        <v>0</v>
      </c>
      <c r="M1531" s="77">
        <f t="shared" si="859"/>
        <v>7</v>
      </c>
      <c r="N1531" s="71">
        <f t="shared" si="859"/>
        <v>0</v>
      </c>
      <c r="O1531" s="44"/>
      <c r="P1531" s="45" t="str">
        <f t="shared" si="819"/>
        <v/>
      </c>
      <c r="Q1531" s="46" t="str">
        <f t="shared" si="820"/>
        <v/>
      </c>
      <c r="R1531" s="47" t="e">
        <f t="shared" si="821"/>
        <v>#VALUE!</v>
      </c>
      <c r="S1531" s="48" t="e">
        <f t="shared" si="822"/>
        <v>#VALUE!</v>
      </c>
      <c r="T1531" s="47" t="str">
        <f t="shared" si="823"/>
        <v/>
      </c>
      <c r="U1531" s="49"/>
      <c r="V1531" s="50"/>
      <c r="W1531" s="51" t="e">
        <f t="shared" si="824"/>
        <v>#VALUE!</v>
      </c>
      <c r="X1531" s="52"/>
      <c r="Y1531" s="52"/>
      <c r="Z1531" s="52"/>
      <c r="AA1531" s="47" t="e">
        <f>INDEX(VISITORS[INSECT ORDER], MATCH(X1531,VISITORS[NAME USED],0))</f>
        <v>#N/A</v>
      </c>
      <c r="AB1531" s="47" t="e">
        <f t="shared" si="825"/>
        <v>#N/A</v>
      </c>
      <c r="AC1531" s="53" t="e">
        <f t="shared" si="826"/>
        <v>#VALUE!</v>
      </c>
      <c r="AD1531" s="54" t="str">
        <f t="shared" si="834"/>
        <v/>
      </c>
      <c r="AE1531" s="54"/>
      <c r="AF1531" s="54"/>
      <c r="AG1531" s="55" t="str">
        <f t="shared" si="835"/>
        <v/>
      </c>
      <c r="AH1531" s="56" t="str">
        <f t="shared" si="836"/>
        <v/>
      </c>
      <c r="AI1531" s="55"/>
      <c r="AJ1531" s="56" t="str">
        <f t="shared" si="827"/>
        <v/>
      </c>
      <c r="AK1531" s="55"/>
      <c r="AL1531" s="56" t="str">
        <f t="shared" si="828"/>
        <v/>
      </c>
      <c r="AM1531" s="55"/>
      <c r="AN1531" s="56" t="str">
        <f t="shared" si="837"/>
        <v/>
      </c>
      <c r="AO1531" s="55"/>
      <c r="AP1531" s="56" t="str">
        <f t="shared" si="829"/>
        <v/>
      </c>
      <c r="AQ1531" s="55"/>
      <c r="AR1531" s="56" t="str">
        <f t="shared" si="830"/>
        <v/>
      </c>
      <c r="AS1531" s="57"/>
      <c r="AT1531" s="58"/>
      <c r="AU1531" s="58"/>
      <c r="AV1531" s="59"/>
      <c r="AW1531" s="60" t="str">
        <f t="shared" si="838"/>
        <v/>
      </c>
      <c r="AX1531" s="61" t="str">
        <f t="shared" si="831"/>
        <v/>
      </c>
      <c r="AY1531" s="60" t="str">
        <f t="shared" si="839"/>
        <v/>
      </c>
      <c r="AZ1531" s="61" t="str">
        <f t="shared" si="832"/>
        <v/>
      </c>
    </row>
    <row r="1532" spans="1:52" s="3" customFormat="1" ht="15" hidden="1" thickBot="1" x14ac:dyDescent="0.4">
      <c r="A1532" s="85">
        <f t="shared" si="768"/>
        <v>2019</v>
      </c>
      <c r="B1532" s="85" t="str">
        <f t="shared" si="814"/>
        <v>Nov</v>
      </c>
      <c r="C1532" s="86">
        <f t="shared" si="815"/>
        <v>19</v>
      </c>
      <c r="D1532" s="87">
        <f t="shared" si="816"/>
        <v>9</v>
      </c>
      <c r="E1532" s="88">
        <f t="shared" si="769"/>
        <v>16</v>
      </c>
      <c r="F1532" s="89"/>
      <c r="G1532" s="90"/>
      <c r="H1532" s="68" t="str">
        <f t="shared" si="817"/>
        <v>Senbur0_20191119_09_00</v>
      </c>
      <c r="I1532" s="91">
        <f t="shared" ref="I1532:N1532" si="860">I1531</f>
        <v>1</v>
      </c>
      <c r="J1532" s="92" t="str">
        <f t="shared" si="860"/>
        <v>Senecio</v>
      </c>
      <c r="K1532" s="92" t="str">
        <f t="shared" si="860"/>
        <v>burtoni</v>
      </c>
      <c r="L1532" s="93">
        <f t="shared" si="860"/>
        <v>0</v>
      </c>
      <c r="M1532" s="93">
        <f t="shared" si="860"/>
        <v>7</v>
      </c>
      <c r="N1532" s="94">
        <f t="shared" si="860"/>
        <v>0</v>
      </c>
      <c r="O1532" s="95"/>
      <c r="P1532" s="96" t="str">
        <f t="shared" si="819"/>
        <v/>
      </c>
      <c r="Q1532" s="97" t="str">
        <f t="shared" si="820"/>
        <v/>
      </c>
      <c r="R1532" s="98" t="e">
        <f t="shared" si="821"/>
        <v>#VALUE!</v>
      </c>
      <c r="S1532" s="98" t="e">
        <f t="shared" si="822"/>
        <v>#VALUE!</v>
      </c>
      <c r="T1532" s="98" t="str">
        <f t="shared" si="823"/>
        <v/>
      </c>
      <c r="U1532" s="99"/>
      <c r="V1532" s="100"/>
      <c r="W1532" s="101" t="e">
        <f t="shared" si="824"/>
        <v>#VALUE!</v>
      </c>
      <c r="X1532" s="102"/>
      <c r="Y1532" s="122"/>
      <c r="Z1532" s="122"/>
      <c r="AA1532" s="47" t="e">
        <f>INDEX(VISITORS[INSECT ORDER], MATCH(X1532,VISITORS[NAME USED],0))</f>
        <v>#N/A</v>
      </c>
      <c r="AB1532" s="98" t="e">
        <f t="shared" si="825"/>
        <v>#N/A</v>
      </c>
      <c r="AC1532" s="53" t="e">
        <f t="shared" si="826"/>
        <v>#VALUE!</v>
      </c>
      <c r="AD1532" s="103" t="str">
        <f t="shared" si="834"/>
        <v/>
      </c>
      <c r="AE1532" s="103"/>
      <c r="AF1532" s="103"/>
      <c r="AG1532" s="104" t="str">
        <f t="shared" si="835"/>
        <v/>
      </c>
      <c r="AH1532" s="105" t="str">
        <f t="shared" si="836"/>
        <v/>
      </c>
      <c r="AI1532" s="104"/>
      <c r="AJ1532" s="105" t="str">
        <f t="shared" si="827"/>
        <v/>
      </c>
      <c r="AK1532" s="104"/>
      <c r="AL1532" s="105" t="str">
        <f t="shared" si="828"/>
        <v/>
      </c>
      <c r="AM1532" s="104"/>
      <c r="AN1532" s="105" t="str">
        <f t="shared" si="837"/>
        <v/>
      </c>
      <c r="AO1532" s="104"/>
      <c r="AP1532" s="105" t="str">
        <f t="shared" si="829"/>
        <v/>
      </c>
      <c r="AQ1532" s="104"/>
      <c r="AR1532" s="105" t="str">
        <f t="shared" si="830"/>
        <v/>
      </c>
      <c r="AS1532" s="106"/>
      <c r="AT1532" s="107"/>
      <c r="AU1532" s="107"/>
      <c r="AV1532" s="108"/>
      <c r="AW1532" s="109" t="str">
        <f t="shared" si="838"/>
        <v/>
      </c>
      <c r="AX1532" s="110" t="str">
        <f t="shared" si="831"/>
        <v/>
      </c>
      <c r="AY1532" s="109" t="str">
        <f t="shared" si="839"/>
        <v/>
      </c>
      <c r="AZ1532" s="110" t="str">
        <f t="shared" si="832"/>
        <v/>
      </c>
    </row>
    <row r="1533" spans="1:52" s="3" customFormat="1" ht="11.25" hidden="1" customHeight="1" x14ac:dyDescent="0.35">
      <c r="A1533" s="72">
        <f t="shared" si="768"/>
        <v>2019</v>
      </c>
      <c r="B1533" s="72" t="str">
        <f t="shared" si="814"/>
        <v>Nov</v>
      </c>
      <c r="C1533" s="73">
        <f t="shared" si="815"/>
        <v>19</v>
      </c>
      <c r="D1533" s="74">
        <f t="shared" si="816"/>
        <v>9</v>
      </c>
      <c r="E1533" s="75">
        <f t="shared" si="769"/>
        <v>17</v>
      </c>
      <c r="F1533" s="79"/>
      <c r="G1533" s="82"/>
      <c r="H1533" s="68" t="str">
        <f t="shared" si="817"/>
        <v>Senbur0_20191119_09_00</v>
      </c>
      <c r="I1533" s="69">
        <f t="shared" ref="I1533:N1533" si="861">I1532</f>
        <v>1</v>
      </c>
      <c r="J1533" s="76" t="str">
        <f t="shared" si="861"/>
        <v>Senecio</v>
      </c>
      <c r="K1533" s="76" t="str">
        <f t="shared" si="861"/>
        <v>burtoni</v>
      </c>
      <c r="L1533" s="77">
        <f t="shared" si="861"/>
        <v>0</v>
      </c>
      <c r="M1533" s="77">
        <f t="shared" si="861"/>
        <v>7</v>
      </c>
      <c r="N1533" s="71">
        <f t="shared" si="861"/>
        <v>0</v>
      </c>
      <c r="O1533" s="44"/>
      <c r="P1533" s="45" t="str">
        <f t="shared" si="819"/>
        <v/>
      </c>
      <c r="Q1533" s="46" t="str">
        <f t="shared" si="820"/>
        <v/>
      </c>
      <c r="R1533" s="47" t="e">
        <f t="shared" si="821"/>
        <v>#VALUE!</v>
      </c>
      <c r="S1533" s="48" t="e">
        <f t="shared" si="822"/>
        <v>#VALUE!</v>
      </c>
      <c r="T1533" s="47" t="str">
        <f t="shared" si="823"/>
        <v/>
      </c>
      <c r="U1533" s="49"/>
      <c r="V1533" s="50"/>
      <c r="W1533" s="51" t="e">
        <f t="shared" si="824"/>
        <v>#VALUE!</v>
      </c>
      <c r="X1533" s="52"/>
      <c r="Y1533" s="52"/>
      <c r="Z1533" s="52"/>
      <c r="AA1533" s="47" t="e">
        <f>INDEX(VISITORS[INSECT ORDER], MATCH(X1533,VISITORS[NAME USED],0))</f>
        <v>#N/A</v>
      </c>
      <c r="AB1533" s="47" t="e">
        <f t="shared" si="825"/>
        <v>#N/A</v>
      </c>
      <c r="AC1533" s="53" t="e">
        <f t="shared" si="826"/>
        <v>#VALUE!</v>
      </c>
      <c r="AD1533" s="54" t="str">
        <f t="shared" si="834"/>
        <v/>
      </c>
      <c r="AE1533" s="54"/>
      <c r="AF1533" s="54"/>
      <c r="AG1533" s="55" t="str">
        <f t="shared" si="835"/>
        <v/>
      </c>
      <c r="AH1533" s="56" t="str">
        <f t="shared" si="836"/>
        <v/>
      </c>
      <c r="AI1533" s="55"/>
      <c r="AJ1533" s="56" t="str">
        <f t="shared" si="827"/>
        <v/>
      </c>
      <c r="AK1533" s="55"/>
      <c r="AL1533" s="56" t="str">
        <f t="shared" si="828"/>
        <v/>
      </c>
      <c r="AM1533" s="55"/>
      <c r="AN1533" s="56" t="str">
        <f t="shared" si="837"/>
        <v/>
      </c>
      <c r="AO1533" s="55"/>
      <c r="AP1533" s="56" t="str">
        <f t="shared" si="829"/>
        <v/>
      </c>
      <c r="AQ1533" s="55"/>
      <c r="AR1533" s="56" t="str">
        <f t="shared" si="830"/>
        <v/>
      </c>
      <c r="AS1533" s="57"/>
      <c r="AT1533" s="58"/>
      <c r="AU1533" s="58"/>
      <c r="AV1533" s="59"/>
      <c r="AW1533" s="60" t="str">
        <f t="shared" si="838"/>
        <v/>
      </c>
      <c r="AX1533" s="61" t="str">
        <f t="shared" si="831"/>
        <v/>
      </c>
      <c r="AY1533" s="60" t="str">
        <f t="shared" si="839"/>
        <v/>
      </c>
      <c r="AZ1533" s="61" t="str">
        <f t="shared" si="832"/>
        <v/>
      </c>
    </row>
    <row r="1534" spans="1:52" s="3" customFormat="1" hidden="1" x14ac:dyDescent="0.35">
      <c r="A1534" s="72">
        <f t="shared" si="768"/>
        <v>2019</v>
      </c>
      <c r="B1534" s="72" t="str">
        <f t="shared" si="814"/>
        <v>Nov</v>
      </c>
      <c r="C1534" s="73">
        <f t="shared" si="815"/>
        <v>19</v>
      </c>
      <c r="D1534" s="74">
        <f t="shared" si="816"/>
        <v>9</v>
      </c>
      <c r="E1534" s="75">
        <f t="shared" si="769"/>
        <v>18</v>
      </c>
      <c r="F1534" s="79"/>
      <c r="G1534" s="82"/>
      <c r="H1534" s="68" t="str">
        <f t="shared" si="817"/>
        <v>Senbur0_20191119_09_00</v>
      </c>
      <c r="I1534" s="69">
        <f t="shared" ref="I1534:N1534" si="862">I1533</f>
        <v>1</v>
      </c>
      <c r="J1534" s="76" t="str">
        <f t="shared" si="862"/>
        <v>Senecio</v>
      </c>
      <c r="K1534" s="76" t="str">
        <f t="shared" si="862"/>
        <v>burtoni</v>
      </c>
      <c r="L1534" s="77">
        <f t="shared" si="862"/>
        <v>0</v>
      </c>
      <c r="M1534" s="77">
        <f t="shared" si="862"/>
        <v>7</v>
      </c>
      <c r="N1534" s="71">
        <f t="shared" si="862"/>
        <v>0</v>
      </c>
      <c r="O1534" s="44"/>
      <c r="P1534" s="45" t="str">
        <f t="shared" si="819"/>
        <v/>
      </c>
      <c r="Q1534" s="46" t="str">
        <f t="shared" si="820"/>
        <v/>
      </c>
      <c r="R1534" s="47" t="e">
        <f t="shared" si="821"/>
        <v>#VALUE!</v>
      </c>
      <c r="S1534" s="48" t="e">
        <f t="shared" si="822"/>
        <v>#VALUE!</v>
      </c>
      <c r="T1534" s="47" t="str">
        <f t="shared" si="823"/>
        <v/>
      </c>
      <c r="U1534" s="49"/>
      <c r="V1534" s="50"/>
      <c r="W1534" s="51" t="e">
        <f t="shared" si="824"/>
        <v>#VALUE!</v>
      </c>
      <c r="X1534" s="52"/>
      <c r="Y1534" s="52"/>
      <c r="Z1534" s="52"/>
      <c r="AA1534" s="47" t="e">
        <f>INDEX(VISITORS[INSECT ORDER], MATCH(X1534,VISITORS[NAME USED],0))</f>
        <v>#N/A</v>
      </c>
      <c r="AB1534" s="47" t="e">
        <f t="shared" si="825"/>
        <v>#N/A</v>
      </c>
      <c r="AC1534" s="53" t="e">
        <f t="shared" si="826"/>
        <v>#VALUE!</v>
      </c>
      <c r="AD1534" s="54" t="str">
        <f t="shared" si="834"/>
        <v/>
      </c>
      <c r="AE1534" s="54"/>
      <c r="AF1534" s="54"/>
      <c r="AG1534" s="55" t="str">
        <f t="shared" si="835"/>
        <v/>
      </c>
      <c r="AH1534" s="56" t="str">
        <f t="shared" si="836"/>
        <v/>
      </c>
      <c r="AI1534" s="55"/>
      <c r="AJ1534" s="56" t="str">
        <f t="shared" si="827"/>
        <v/>
      </c>
      <c r="AK1534" s="55"/>
      <c r="AL1534" s="56" t="str">
        <f t="shared" si="828"/>
        <v/>
      </c>
      <c r="AM1534" s="55"/>
      <c r="AN1534" s="56" t="str">
        <f t="shared" si="837"/>
        <v/>
      </c>
      <c r="AO1534" s="55"/>
      <c r="AP1534" s="56" t="str">
        <f t="shared" si="829"/>
        <v/>
      </c>
      <c r="AQ1534" s="55"/>
      <c r="AR1534" s="56" t="str">
        <f t="shared" si="830"/>
        <v/>
      </c>
      <c r="AS1534" s="57"/>
      <c r="AT1534" s="58"/>
      <c r="AU1534" s="58"/>
      <c r="AV1534" s="59"/>
      <c r="AW1534" s="60" t="str">
        <f t="shared" si="838"/>
        <v/>
      </c>
      <c r="AX1534" s="61" t="str">
        <f t="shared" si="831"/>
        <v/>
      </c>
      <c r="AY1534" s="60" t="str">
        <f t="shared" si="839"/>
        <v/>
      </c>
      <c r="AZ1534" s="61" t="str">
        <f t="shared" si="832"/>
        <v/>
      </c>
    </row>
    <row r="1535" spans="1:52" s="3" customFormat="1" ht="15" hidden="1" thickBot="1" x14ac:dyDescent="0.4">
      <c r="A1535" s="85">
        <f t="shared" si="768"/>
        <v>2019</v>
      </c>
      <c r="B1535" s="85" t="str">
        <f t="shared" si="814"/>
        <v>Nov</v>
      </c>
      <c r="C1535" s="86">
        <f t="shared" si="815"/>
        <v>19</v>
      </c>
      <c r="D1535" s="87">
        <f t="shared" si="816"/>
        <v>9</v>
      </c>
      <c r="E1535" s="88">
        <f t="shared" si="769"/>
        <v>19</v>
      </c>
      <c r="F1535" s="89"/>
      <c r="G1535" s="90"/>
      <c r="H1535" s="68" t="str">
        <f t="shared" si="817"/>
        <v>Senbur0_20191119_09_00</v>
      </c>
      <c r="I1535" s="91">
        <f t="shared" ref="I1535:N1535" si="863">I1534</f>
        <v>1</v>
      </c>
      <c r="J1535" s="92" t="str">
        <f t="shared" si="863"/>
        <v>Senecio</v>
      </c>
      <c r="K1535" s="92" t="str">
        <f t="shared" si="863"/>
        <v>burtoni</v>
      </c>
      <c r="L1535" s="93">
        <f t="shared" si="863"/>
        <v>0</v>
      </c>
      <c r="M1535" s="93">
        <f t="shared" si="863"/>
        <v>7</v>
      </c>
      <c r="N1535" s="94">
        <f t="shared" si="863"/>
        <v>0</v>
      </c>
      <c r="O1535" s="95"/>
      <c r="P1535" s="96" t="str">
        <f t="shared" si="819"/>
        <v/>
      </c>
      <c r="Q1535" s="97" t="str">
        <f t="shared" si="820"/>
        <v/>
      </c>
      <c r="R1535" s="98" t="e">
        <f t="shared" si="821"/>
        <v>#VALUE!</v>
      </c>
      <c r="S1535" s="98" t="e">
        <f t="shared" si="822"/>
        <v>#VALUE!</v>
      </c>
      <c r="T1535" s="98" t="str">
        <f t="shared" si="823"/>
        <v/>
      </c>
      <c r="U1535" s="99"/>
      <c r="V1535" s="100"/>
      <c r="W1535" s="101" t="e">
        <f t="shared" si="824"/>
        <v>#VALUE!</v>
      </c>
      <c r="X1535" s="102"/>
      <c r="Y1535" s="122"/>
      <c r="Z1535" s="122"/>
      <c r="AA1535" s="47" t="e">
        <f>INDEX(VISITORS[INSECT ORDER], MATCH(X1535,VISITORS[NAME USED],0))</f>
        <v>#N/A</v>
      </c>
      <c r="AB1535" s="98" t="e">
        <f t="shared" si="825"/>
        <v>#N/A</v>
      </c>
      <c r="AC1535" s="53" t="e">
        <f t="shared" si="826"/>
        <v>#VALUE!</v>
      </c>
      <c r="AD1535" s="103" t="str">
        <f t="shared" si="834"/>
        <v/>
      </c>
      <c r="AE1535" s="103"/>
      <c r="AF1535" s="103"/>
      <c r="AG1535" s="104" t="str">
        <f t="shared" si="835"/>
        <v/>
      </c>
      <c r="AH1535" s="105" t="str">
        <f t="shared" si="836"/>
        <v/>
      </c>
      <c r="AI1535" s="104"/>
      <c r="AJ1535" s="105" t="str">
        <f t="shared" si="827"/>
        <v/>
      </c>
      <c r="AK1535" s="104"/>
      <c r="AL1535" s="105" t="str">
        <f t="shared" si="828"/>
        <v/>
      </c>
      <c r="AM1535" s="104"/>
      <c r="AN1535" s="105" t="str">
        <f t="shared" si="837"/>
        <v/>
      </c>
      <c r="AO1535" s="104"/>
      <c r="AP1535" s="105" t="str">
        <f t="shared" si="829"/>
        <v/>
      </c>
      <c r="AQ1535" s="104"/>
      <c r="AR1535" s="105" t="str">
        <f t="shared" si="830"/>
        <v/>
      </c>
      <c r="AS1535" s="106"/>
      <c r="AT1535" s="107"/>
      <c r="AU1535" s="107"/>
      <c r="AV1535" s="108"/>
      <c r="AW1535" s="109" t="str">
        <f t="shared" si="838"/>
        <v/>
      </c>
      <c r="AX1535" s="110" t="str">
        <f t="shared" si="831"/>
        <v/>
      </c>
      <c r="AY1535" s="109" t="str">
        <f t="shared" si="839"/>
        <v/>
      </c>
      <c r="AZ1535" s="110" t="str">
        <f t="shared" si="832"/>
        <v/>
      </c>
    </row>
    <row r="1536" spans="1:52" s="3" customFormat="1" ht="11.25" hidden="1" customHeight="1" x14ac:dyDescent="0.35">
      <c r="A1536" s="72">
        <f t="shared" si="768"/>
        <v>2019</v>
      </c>
      <c r="B1536" s="72" t="str">
        <f t="shared" si="814"/>
        <v>Nov</v>
      </c>
      <c r="C1536" s="73">
        <f t="shared" si="815"/>
        <v>19</v>
      </c>
      <c r="D1536" s="74">
        <f t="shared" si="816"/>
        <v>9</v>
      </c>
      <c r="E1536" s="75">
        <f t="shared" si="769"/>
        <v>20</v>
      </c>
      <c r="F1536" s="79"/>
      <c r="G1536" s="82"/>
      <c r="H1536" s="68" t="str">
        <f t="shared" si="817"/>
        <v>Senbur0_20191119_09_00</v>
      </c>
      <c r="I1536" s="69">
        <f t="shared" ref="I1536:N1536" si="864">I1535</f>
        <v>1</v>
      </c>
      <c r="J1536" s="76" t="str">
        <f t="shared" si="864"/>
        <v>Senecio</v>
      </c>
      <c r="K1536" s="76" t="str">
        <f t="shared" si="864"/>
        <v>burtoni</v>
      </c>
      <c r="L1536" s="77">
        <f t="shared" si="864"/>
        <v>0</v>
      </c>
      <c r="M1536" s="77">
        <f t="shared" si="864"/>
        <v>7</v>
      </c>
      <c r="N1536" s="71">
        <f t="shared" si="864"/>
        <v>0</v>
      </c>
      <c r="O1536" s="44"/>
      <c r="P1536" s="45" t="str">
        <f t="shared" si="819"/>
        <v/>
      </c>
      <c r="Q1536" s="46" t="str">
        <f t="shared" si="820"/>
        <v/>
      </c>
      <c r="R1536" s="47" t="e">
        <f t="shared" si="821"/>
        <v>#VALUE!</v>
      </c>
      <c r="S1536" s="48" t="e">
        <f t="shared" si="822"/>
        <v>#VALUE!</v>
      </c>
      <c r="T1536" s="47" t="str">
        <f t="shared" si="823"/>
        <v/>
      </c>
      <c r="U1536" s="49"/>
      <c r="V1536" s="50"/>
      <c r="W1536" s="51" t="e">
        <f t="shared" si="824"/>
        <v>#VALUE!</v>
      </c>
      <c r="X1536" s="52"/>
      <c r="Y1536" s="52"/>
      <c r="Z1536" s="52"/>
      <c r="AA1536" s="47" t="e">
        <f>INDEX(VISITORS[INSECT ORDER], MATCH(X1536,VISITORS[NAME USED],0))</f>
        <v>#N/A</v>
      </c>
      <c r="AB1536" s="47" t="e">
        <f t="shared" si="825"/>
        <v>#N/A</v>
      </c>
      <c r="AC1536" s="53" t="e">
        <f t="shared" si="826"/>
        <v>#VALUE!</v>
      </c>
      <c r="AD1536" s="54" t="str">
        <f t="shared" si="834"/>
        <v/>
      </c>
      <c r="AE1536" s="54"/>
      <c r="AF1536" s="54"/>
      <c r="AG1536" s="55" t="str">
        <f t="shared" si="835"/>
        <v/>
      </c>
      <c r="AH1536" s="56" t="str">
        <f t="shared" si="836"/>
        <v/>
      </c>
      <c r="AI1536" s="55"/>
      <c r="AJ1536" s="56" t="str">
        <f t="shared" si="827"/>
        <v/>
      </c>
      <c r="AK1536" s="55"/>
      <c r="AL1536" s="56" t="str">
        <f t="shared" si="828"/>
        <v/>
      </c>
      <c r="AM1536" s="55"/>
      <c r="AN1536" s="56" t="str">
        <f t="shared" si="837"/>
        <v/>
      </c>
      <c r="AO1536" s="55"/>
      <c r="AP1536" s="56" t="str">
        <f t="shared" si="829"/>
        <v/>
      </c>
      <c r="AQ1536" s="55"/>
      <c r="AR1536" s="56" t="str">
        <f t="shared" si="830"/>
        <v/>
      </c>
      <c r="AS1536" s="57"/>
      <c r="AT1536" s="58"/>
      <c r="AU1536" s="58"/>
      <c r="AV1536" s="59"/>
      <c r="AW1536" s="60" t="str">
        <f t="shared" si="838"/>
        <v/>
      </c>
      <c r="AX1536" s="61" t="str">
        <f t="shared" si="831"/>
        <v/>
      </c>
      <c r="AY1536" s="60" t="str">
        <f t="shared" si="839"/>
        <v/>
      </c>
      <c r="AZ1536" s="61" t="str">
        <f t="shared" si="832"/>
        <v/>
      </c>
    </row>
    <row r="1537" spans="1:52" s="3" customFormat="1" hidden="1" x14ac:dyDescent="0.35">
      <c r="A1537" s="72">
        <f t="shared" si="768"/>
        <v>2019</v>
      </c>
      <c r="B1537" s="72" t="str">
        <f t="shared" si="814"/>
        <v>Nov</v>
      </c>
      <c r="C1537" s="73">
        <f t="shared" si="815"/>
        <v>19</v>
      </c>
      <c r="D1537" s="74">
        <f t="shared" si="816"/>
        <v>9</v>
      </c>
      <c r="E1537" s="75">
        <f t="shared" si="769"/>
        <v>21</v>
      </c>
      <c r="F1537" s="79">
        <v>4</v>
      </c>
      <c r="G1537" s="82"/>
      <c r="H1537" s="68" t="str">
        <f t="shared" si="817"/>
        <v>Senbur0_20191119_09_00</v>
      </c>
      <c r="I1537" s="69">
        <f t="shared" ref="I1537:N1537" si="865">I1536</f>
        <v>1</v>
      </c>
      <c r="J1537" s="76" t="str">
        <f t="shared" si="865"/>
        <v>Senecio</v>
      </c>
      <c r="K1537" s="76" t="str">
        <f t="shared" si="865"/>
        <v>burtoni</v>
      </c>
      <c r="L1537" s="77">
        <f t="shared" si="865"/>
        <v>0</v>
      </c>
      <c r="M1537" s="77">
        <f t="shared" si="865"/>
        <v>7</v>
      </c>
      <c r="N1537" s="71">
        <f t="shared" si="865"/>
        <v>0</v>
      </c>
      <c r="O1537" s="44"/>
      <c r="P1537" s="45">
        <f t="shared" si="819"/>
        <v>1</v>
      </c>
      <c r="Q1537" s="46" t="str">
        <f t="shared" si="820"/>
        <v>09:21:04</v>
      </c>
      <c r="R1537" s="47" t="str">
        <f t="shared" si="821"/>
        <v>21:04</v>
      </c>
      <c r="S1537" s="48">
        <f t="shared" si="822"/>
        <v>161</v>
      </c>
      <c r="T1537" s="47" t="str">
        <f t="shared" si="823"/>
        <v>09</v>
      </c>
      <c r="U1537" s="49">
        <v>23</v>
      </c>
      <c r="V1537" s="50">
        <v>45</v>
      </c>
      <c r="W1537" s="51" t="str">
        <f t="shared" si="824"/>
        <v>23:45</v>
      </c>
      <c r="X1537" s="52" t="s">
        <v>63</v>
      </c>
      <c r="Y1537" s="126" t="s">
        <v>100</v>
      </c>
      <c r="Z1537" s="124"/>
      <c r="AA1537" s="47" t="s">
        <v>59</v>
      </c>
      <c r="AB1537" s="47" t="str">
        <f t="shared" si="825"/>
        <v>NA</v>
      </c>
      <c r="AC1537" s="53">
        <f t="shared" si="826"/>
        <v>0</v>
      </c>
      <c r="AD1537" s="54">
        <v>4</v>
      </c>
      <c r="AE1537" s="54"/>
      <c r="AF1537" s="54"/>
      <c r="AG1537" s="55">
        <v>1</v>
      </c>
      <c r="AH1537" s="56">
        <v>31</v>
      </c>
      <c r="AI1537" s="55"/>
      <c r="AJ1537" s="56" t="str">
        <f t="shared" si="827"/>
        <v/>
      </c>
      <c r="AK1537" s="55"/>
      <c r="AL1537" s="56" t="str">
        <f t="shared" si="828"/>
        <v/>
      </c>
      <c r="AM1537" s="55">
        <v>1</v>
      </c>
      <c r="AN1537" s="56">
        <v>130</v>
      </c>
      <c r="AO1537" s="55"/>
      <c r="AP1537" s="56" t="str">
        <f t="shared" si="829"/>
        <v/>
      </c>
      <c r="AQ1537" s="55"/>
      <c r="AR1537" s="56" t="str">
        <f t="shared" si="830"/>
        <v/>
      </c>
      <c r="AS1537" s="57"/>
      <c r="AT1537" s="58"/>
      <c r="AU1537" s="58"/>
      <c r="AV1537" s="59"/>
      <c r="AW1537" s="60">
        <v>1</v>
      </c>
      <c r="AX1537" s="61">
        <f t="shared" si="831"/>
        <v>4</v>
      </c>
      <c r="AY1537" s="60">
        <v>1</v>
      </c>
      <c r="AZ1537" s="61">
        <f t="shared" si="832"/>
        <v>4</v>
      </c>
    </row>
    <row r="1538" spans="1:52" s="3" customFormat="1" ht="15" hidden="1" thickBot="1" x14ac:dyDescent="0.4">
      <c r="A1538" s="85">
        <f t="shared" si="768"/>
        <v>2019</v>
      </c>
      <c r="B1538" s="85" t="str">
        <f t="shared" si="814"/>
        <v>Nov</v>
      </c>
      <c r="C1538" s="86">
        <f t="shared" si="815"/>
        <v>19</v>
      </c>
      <c r="D1538" s="87">
        <f t="shared" si="816"/>
        <v>9</v>
      </c>
      <c r="E1538" s="88">
        <f t="shared" si="769"/>
        <v>22</v>
      </c>
      <c r="F1538" s="89"/>
      <c r="G1538" s="90"/>
      <c r="H1538" s="68" t="str">
        <f t="shared" si="817"/>
        <v>Senbur0_20191119_09_00</v>
      </c>
      <c r="I1538" s="91">
        <f t="shared" ref="I1538:N1538" si="866">I1537</f>
        <v>1</v>
      </c>
      <c r="J1538" s="92" t="str">
        <f t="shared" si="866"/>
        <v>Senecio</v>
      </c>
      <c r="K1538" s="92" t="str">
        <f t="shared" si="866"/>
        <v>burtoni</v>
      </c>
      <c r="L1538" s="93">
        <f t="shared" si="866"/>
        <v>0</v>
      </c>
      <c r="M1538" s="93">
        <f t="shared" si="866"/>
        <v>7</v>
      </c>
      <c r="N1538" s="94">
        <f t="shared" si="866"/>
        <v>0</v>
      </c>
      <c r="O1538" s="95"/>
      <c r="P1538" s="96" t="str">
        <f t="shared" si="819"/>
        <v/>
      </c>
      <c r="Q1538" s="97" t="str">
        <f t="shared" si="820"/>
        <v/>
      </c>
      <c r="R1538" s="98" t="e">
        <f t="shared" si="821"/>
        <v>#VALUE!</v>
      </c>
      <c r="S1538" s="98" t="e">
        <f t="shared" si="822"/>
        <v>#VALUE!</v>
      </c>
      <c r="T1538" s="98" t="str">
        <f t="shared" si="823"/>
        <v/>
      </c>
      <c r="U1538" s="99"/>
      <c r="V1538" s="100"/>
      <c r="W1538" s="101" t="e">
        <f t="shared" si="824"/>
        <v>#VALUE!</v>
      </c>
      <c r="X1538" s="102"/>
      <c r="Y1538" s="122"/>
      <c r="Z1538" s="122"/>
      <c r="AA1538" s="47" t="e">
        <f>INDEX(VISITORS[INSECT ORDER], MATCH(X1538,VISITORS[NAME USED],0))</f>
        <v>#N/A</v>
      </c>
      <c r="AB1538" s="98" t="e">
        <f t="shared" si="825"/>
        <v>#N/A</v>
      </c>
      <c r="AC1538" s="53" t="e">
        <f t="shared" si="826"/>
        <v>#VALUE!</v>
      </c>
      <c r="AD1538" s="103" t="str">
        <f t="shared" si="834"/>
        <v/>
      </c>
      <c r="AE1538" s="103"/>
      <c r="AF1538" s="103"/>
      <c r="AG1538" s="104" t="str">
        <f t="shared" si="835"/>
        <v/>
      </c>
      <c r="AH1538" s="105" t="str">
        <f t="shared" si="836"/>
        <v/>
      </c>
      <c r="AI1538" s="104"/>
      <c r="AJ1538" s="105" t="str">
        <f t="shared" si="827"/>
        <v/>
      </c>
      <c r="AK1538" s="104"/>
      <c r="AL1538" s="105" t="str">
        <f t="shared" si="828"/>
        <v/>
      </c>
      <c r="AM1538" s="104"/>
      <c r="AN1538" s="105" t="str">
        <f t="shared" si="837"/>
        <v/>
      </c>
      <c r="AO1538" s="104"/>
      <c r="AP1538" s="105" t="str">
        <f t="shared" si="829"/>
        <v/>
      </c>
      <c r="AQ1538" s="104"/>
      <c r="AR1538" s="105" t="str">
        <f t="shared" si="830"/>
        <v/>
      </c>
      <c r="AS1538" s="106"/>
      <c r="AT1538" s="107"/>
      <c r="AU1538" s="107"/>
      <c r="AV1538" s="108"/>
      <c r="AW1538" s="109" t="str">
        <f t="shared" si="838"/>
        <v/>
      </c>
      <c r="AX1538" s="110" t="str">
        <f t="shared" si="831"/>
        <v/>
      </c>
      <c r="AY1538" s="109" t="str">
        <f t="shared" si="839"/>
        <v/>
      </c>
      <c r="AZ1538" s="110" t="str">
        <f t="shared" si="832"/>
        <v/>
      </c>
    </row>
    <row r="1539" spans="1:52" s="3" customFormat="1" ht="11.25" hidden="1" customHeight="1" x14ac:dyDescent="0.35">
      <c r="A1539" s="72">
        <f t="shared" si="768"/>
        <v>2019</v>
      </c>
      <c r="B1539" s="72" t="str">
        <f t="shared" si="814"/>
        <v>Nov</v>
      </c>
      <c r="C1539" s="73">
        <f t="shared" si="815"/>
        <v>19</v>
      </c>
      <c r="D1539" s="74">
        <f t="shared" si="816"/>
        <v>9</v>
      </c>
      <c r="E1539" s="75">
        <f t="shared" si="769"/>
        <v>23</v>
      </c>
      <c r="F1539" s="79"/>
      <c r="G1539" s="82"/>
      <c r="H1539" s="68" t="str">
        <f t="shared" si="817"/>
        <v>Senbur0_20191119_09_00</v>
      </c>
      <c r="I1539" s="69">
        <f t="shared" ref="I1539:N1539" si="867">I1538</f>
        <v>1</v>
      </c>
      <c r="J1539" s="76" t="str">
        <f t="shared" si="867"/>
        <v>Senecio</v>
      </c>
      <c r="K1539" s="76" t="str">
        <f t="shared" si="867"/>
        <v>burtoni</v>
      </c>
      <c r="L1539" s="77">
        <f t="shared" si="867"/>
        <v>0</v>
      </c>
      <c r="M1539" s="77">
        <f t="shared" si="867"/>
        <v>7</v>
      </c>
      <c r="N1539" s="71">
        <f t="shared" si="867"/>
        <v>0</v>
      </c>
      <c r="O1539" s="44"/>
      <c r="P1539" s="45" t="str">
        <f t="shared" si="819"/>
        <v/>
      </c>
      <c r="Q1539" s="46" t="str">
        <f t="shared" si="820"/>
        <v/>
      </c>
      <c r="R1539" s="47" t="e">
        <f t="shared" si="821"/>
        <v>#VALUE!</v>
      </c>
      <c r="S1539" s="48" t="e">
        <f t="shared" si="822"/>
        <v>#VALUE!</v>
      </c>
      <c r="T1539" s="47" t="str">
        <f t="shared" si="823"/>
        <v/>
      </c>
      <c r="U1539" s="49"/>
      <c r="V1539" s="50"/>
      <c r="W1539" s="51" t="e">
        <f t="shared" si="824"/>
        <v>#VALUE!</v>
      </c>
      <c r="X1539" s="52"/>
      <c r="Y1539" s="52"/>
      <c r="Z1539" s="52"/>
      <c r="AA1539" s="47" t="e">
        <f>INDEX(VISITORS[INSECT ORDER], MATCH(X1539,VISITORS[NAME USED],0))</f>
        <v>#N/A</v>
      </c>
      <c r="AB1539" s="47" t="e">
        <f t="shared" si="825"/>
        <v>#N/A</v>
      </c>
      <c r="AC1539" s="53" t="e">
        <f t="shared" si="826"/>
        <v>#VALUE!</v>
      </c>
      <c r="AD1539" s="54" t="str">
        <f t="shared" si="834"/>
        <v/>
      </c>
      <c r="AE1539" s="54"/>
      <c r="AF1539" s="54"/>
      <c r="AG1539" s="55" t="str">
        <f t="shared" si="835"/>
        <v/>
      </c>
      <c r="AH1539" s="56" t="str">
        <f t="shared" si="836"/>
        <v/>
      </c>
      <c r="AI1539" s="55"/>
      <c r="AJ1539" s="56" t="str">
        <f t="shared" si="827"/>
        <v/>
      </c>
      <c r="AK1539" s="55"/>
      <c r="AL1539" s="56" t="str">
        <f t="shared" si="828"/>
        <v/>
      </c>
      <c r="AM1539" s="55"/>
      <c r="AN1539" s="56" t="str">
        <f t="shared" si="837"/>
        <v/>
      </c>
      <c r="AO1539" s="55"/>
      <c r="AP1539" s="56" t="str">
        <f t="shared" si="829"/>
        <v/>
      </c>
      <c r="AQ1539" s="55"/>
      <c r="AR1539" s="56" t="str">
        <f t="shared" si="830"/>
        <v/>
      </c>
      <c r="AS1539" s="57"/>
      <c r="AT1539" s="58"/>
      <c r="AU1539" s="58"/>
      <c r="AV1539" s="59"/>
      <c r="AW1539" s="60" t="str">
        <f t="shared" si="838"/>
        <v/>
      </c>
      <c r="AX1539" s="61" t="str">
        <f t="shared" si="831"/>
        <v/>
      </c>
      <c r="AY1539" s="60" t="str">
        <f t="shared" si="839"/>
        <v/>
      </c>
      <c r="AZ1539" s="61" t="str">
        <f t="shared" si="832"/>
        <v/>
      </c>
    </row>
    <row r="1540" spans="1:52" s="3" customFormat="1" hidden="1" x14ac:dyDescent="0.35">
      <c r="A1540" s="72">
        <f t="shared" si="768"/>
        <v>2019</v>
      </c>
      <c r="B1540" s="72" t="str">
        <f t="shared" si="814"/>
        <v>Nov</v>
      </c>
      <c r="C1540" s="73">
        <f t="shared" si="815"/>
        <v>19</v>
      </c>
      <c r="D1540" s="74">
        <f t="shared" si="816"/>
        <v>9</v>
      </c>
      <c r="E1540" s="75">
        <f t="shared" si="769"/>
        <v>24</v>
      </c>
      <c r="F1540" s="79">
        <v>22</v>
      </c>
      <c r="G1540" s="82"/>
      <c r="H1540" s="68" t="str">
        <f t="shared" si="817"/>
        <v>Senbur0_20191119_09_00</v>
      </c>
      <c r="I1540" s="69">
        <f t="shared" ref="I1540:N1540" si="868">I1539</f>
        <v>1</v>
      </c>
      <c r="J1540" s="76" t="str">
        <f t="shared" si="868"/>
        <v>Senecio</v>
      </c>
      <c r="K1540" s="76" t="str">
        <f t="shared" si="868"/>
        <v>burtoni</v>
      </c>
      <c r="L1540" s="77">
        <f t="shared" si="868"/>
        <v>0</v>
      </c>
      <c r="M1540" s="77">
        <f t="shared" si="868"/>
        <v>7</v>
      </c>
      <c r="N1540" s="71">
        <f t="shared" si="868"/>
        <v>0</v>
      </c>
      <c r="O1540" s="44"/>
      <c r="P1540" s="45">
        <f t="shared" si="819"/>
        <v>1</v>
      </c>
      <c r="Q1540" s="46" t="str">
        <f t="shared" si="820"/>
        <v>09:24:22</v>
      </c>
      <c r="R1540" s="47" t="str">
        <f t="shared" si="821"/>
        <v>24:22</v>
      </c>
      <c r="S1540" s="48">
        <f t="shared" si="822"/>
        <v>10</v>
      </c>
      <c r="T1540" s="47" t="str">
        <f t="shared" si="823"/>
        <v>09</v>
      </c>
      <c r="U1540" s="49">
        <v>24</v>
      </c>
      <c r="V1540" s="50">
        <v>32</v>
      </c>
      <c r="W1540" s="51" t="str">
        <f t="shared" si="824"/>
        <v>24:32</v>
      </c>
      <c r="X1540" s="52" t="s">
        <v>63</v>
      </c>
      <c r="Y1540" s="124" t="s">
        <v>82</v>
      </c>
      <c r="Z1540" s="124"/>
      <c r="AA1540" s="47" t="s">
        <v>59</v>
      </c>
      <c r="AB1540" s="47" t="str">
        <f t="shared" si="825"/>
        <v>NA</v>
      </c>
      <c r="AC1540" s="53">
        <f t="shared" si="826"/>
        <v>0</v>
      </c>
      <c r="AD1540" s="54">
        <f t="shared" si="834"/>
        <v>1</v>
      </c>
      <c r="AE1540" s="54"/>
      <c r="AF1540" s="54"/>
      <c r="AG1540" s="55">
        <v>1</v>
      </c>
      <c r="AH1540" s="56">
        <v>5</v>
      </c>
      <c r="AI1540" s="55"/>
      <c r="AJ1540" s="56" t="str">
        <f t="shared" si="827"/>
        <v/>
      </c>
      <c r="AK1540" s="55"/>
      <c r="AL1540" s="56" t="str">
        <f t="shared" si="828"/>
        <v/>
      </c>
      <c r="AM1540" s="55">
        <v>1</v>
      </c>
      <c r="AN1540" s="56">
        <v>5</v>
      </c>
      <c r="AO1540" s="55"/>
      <c r="AP1540" s="56" t="str">
        <f t="shared" si="829"/>
        <v/>
      </c>
      <c r="AQ1540" s="55"/>
      <c r="AR1540" s="56" t="str">
        <f t="shared" si="830"/>
        <v/>
      </c>
      <c r="AS1540" s="57"/>
      <c r="AT1540" s="58"/>
      <c r="AU1540" s="58"/>
      <c r="AV1540" s="59"/>
      <c r="AW1540" s="60">
        <v>1</v>
      </c>
      <c r="AX1540" s="61">
        <f t="shared" si="831"/>
        <v>1</v>
      </c>
      <c r="AY1540" s="60">
        <v>1</v>
      </c>
      <c r="AZ1540" s="61">
        <f t="shared" si="832"/>
        <v>1</v>
      </c>
    </row>
    <row r="1541" spans="1:52" s="3" customFormat="1" ht="15" hidden="1" thickBot="1" x14ac:dyDescent="0.4">
      <c r="A1541" s="85">
        <f t="shared" si="768"/>
        <v>2019</v>
      </c>
      <c r="B1541" s="85" t="str">
        <f t="shared" si="814"/>
        <v>Nov</v>
      </c>
      <c r="C1541" s="86">
        <f t="shared" si="815"/>
        <v>19</v>
      </c>
      <c r="D1541" s="87">
        <f t="shared" si="816"/>
        <v>9</v>
      </c>
      <c r="E1541" s="88">
        <f t="shared" si="769"/>
        <v>25</v>
      </c>
      <c r="F1541" s="89"/>
      <c r="G1541" s="90"/>
      <c r="H1541" s="68" t="str">
        <f t="shared" si="817"/>
        <v>Senbur0_20191119_09_00</v>
      </c>
      <c r="I1541" s="91">
        <f t="shared" ref="I1541:N1541" si="869">I1540</f>
        <v>1</v>
      </c>
      <c r="J1541" s="92" t="str">
        <f t="shared" si="869"/>
        <v>Senecio</v>
      </c>
      <c r="K1541" s="92" t="str">
        <f t="shared" si="869"/>
        <v>burtoni</v>
      </c>
      <c r="L1541" s="93">
        <f t="shared" si="869"/>
        <v>0</v>
      </c>
      <c r="M1541" s="93">
        <f t="shared" si="869"/>
        <v>7</v>
      </c>
      <c r="N1541" s="94">
        <f t="shared" si="869"/>
        <v>0</v>
      </c>
      <c r="O1541" s="95"/>
      <c r="P1541" s="96" t="str">
        <f t="shared" si="819"/>
        <v/>
      </c>
      <c r="Q1541" s="97" t="str">
        <f t="shared" si="820"/>
        <v/>
      </c>
      <c r="R1541" s="98" t="e">
        <f t="shared" si="821"/>
        <v>#VALUE!</v>
      </c>
      <c r="S1541" s="98" t="e">
        <f t="shared" si="822"/>
        <v>#VALUE!</v>
      </c>
      <c r="T1541" s="98" t="str">
        <f t="shared" si="823"/>
        <v/>
      </c>
      <c r="U1541" s="99"/>
      <c r="V1541" s="100"/>
      <c r="W1541" s="101" t="e">
        <f t="shared" si="824"/>
        <v>#VALUE!</v>
      </c>
      <c r="X1541" s="102"/>
      <c r="Y1541" s="122"/>
      <c r="Z1541" s="122"/>
      <c r="AA1541" s="47" t="e">
        <f>INDEX(VISITORS[INSECT ORDER], MATCH(X1541,VISITORS[NAME USED],0))</f>
        <v>#N/A</v>
      </c>
      <c r="AB1541" s="98" t="e">
        <f t="shared" si="825"/>
        <v>#N/A</v>
      </c>
      <c r="AC1541" s="53" t="e">
        <f t="shared" si="826"/>
        <v>#VALUE!</v>
      </c>
      <c r="AD1541" s="103" t="str">
        <f t="shared" si="834"/>
        <v/>
      </c>
      <c r="AE1541" s="103"/>
      <c r="AF1541" s="103"/>
      <c r="AG1541" s="104" t="str">
        <f t="shared" si="835"/>
        <v/>
      </c>
      <c r="AH1541" s="105" t="str">
        <f t="shared" si="836"/>
        <v/>
      </c>
      <c r="AI1541" s="104"/>
      <c r="AJ1541" s="105" t="str">
        <f t="shared" si="827"/>
        <v/>
      </c>
      <c r="AK1541" s="104"/>
      <c r="AL1541" s="105" t="str">
        <f t="shared" si="828"/>
        <v/>
      </c>
      <c r="AM1541" s="104"/>
      <c r="AN1541" s="105" t="str">
        <f t="shared" si="837"/>
        <v/>
      </c>
      <c r="AO1541" s="104"/>
      <c r="AP1541" s="105" t="str">
        <f t="shared" si="829"/>
        <v/>
      </c>
      <c r="AQ1541" s="104"/>
      <c r="AR1541" s="105" t="str">
        <f t="shared" si="830"/>
        <v/>
      </c>
      <c r="AS1541" s="106"/>
      <c r="AT1541" s="107"/>
      <c r="AU1541" s="107"/>
      <c r="AV1541" s="108"/>
      <c r="AW1541" s="109" t="str">
        <f t="shared" si="838"/>
        <v/>
      </c>
      <c r="AX1541" s="110" t="str">
        <f t="shared" si="831"/>
        <v/>
      </c>
      <c r="AY1541" s="109" t="str">
        <f t="shared" si="839"/>
        <v/>
      </c>
      <c r="AZ1541" s="110" t="str">
        <f t="shared" si="832"/>
        <v/>
      </c>
    </row>
    <row r="1542" spans="1:52" s="3" customFormat="1" ht="11.25" hidden="1" customHeight="1" x14ac:dyDescent="0.35">
      <c r="A1542" s="72">
        <f t="shared" si="768"/>
        <v>2019</v>
      </c>
      <c r="B1542" s="72" t="str">
        <f t="shared" si="814"/>
        <v>Nov</v>
      </c>
      <c r="C1542" s="73">
        <f t="shared" si="815"/>
        <v>19</v>
      </c>
      <c r="D1542" s="74">
        <f t="shared" si="816"/>
        <v>9</v>
      </c>
      <c r="E1542" s="75">
        <f t="shared" si="769"/>
        <v>26</v>
      </c>
      <c r="F1542" s="79"/>
      <c r="G1542" s="82"/>
      <c r="H1542" s="68" t="str">
        <f t="shared" si="817"/>
        <v>Senbur0_20191119_09_00</v>
      </c>
      <c r="I1542" s="69">
        <f t="shared" ref="I1542:N1542" si="870">I1541</f>
        <v>1</v>
      </c>
      <c r="J1542" s="76" t="str">
        <f t="shared" si="870"/>
        <v>Senecio</v>
      </c>
      <c r="K1542" s="76" t="str">
        <f t="shared" si="870"/>
        <v>burtoni</v>
      </c>
      <c r="L1542" s="77">
        <f t="shared" si="870"/>
        <v>0</v>
      </c>
      <c r="M1542" s="77">
        <f t="shared" si="870"/>
        <v>7</v>
      </c>
      <c r="N1542" s="71">
        <f t="shared" si="870"/>
        <v>0</v>
      </c>
      <c r="O1542" s="44"/>
      <c r="P1542" s="45" t="str">
        <f t="shared" si="819"/>
        <v/>
      </c>
      <c r="Q1542" s="46" t="str">
        <f t="shared" si="820"/>
        <v/>
      </c>
      <c r="R1542" s="47" t="e">
        <f t="shared" si="821"/>
        <v>#VALUE!</v>
      </c>
      <c r="S1542" s="48" t="e">
        <f t="shared" si="822"/>
        <v>#VALUE!</v>
      </c>
      <c r="T1542" s="47" t="str">
        <f t="shared" si="823"/>
        <v/>
      </c>
      <c r="U1542" s="49"/>
      <c r="V1542" s="50"/>
      <c r="W1542" s="51" t="e">
        <f t="shared" si="824"/>
        <v>#VALUE!</v>
      </c>
      <c r="X1542" s="52"/>
      <c r="Y1542" s="52"/>
      <c r="Z1542" s="52"/>
      <c r="AA1542" s="47" t="e">
        <f>INDEX(VISITORS[INSECT ORDER], MATCH(X1542,VISITORS[NAME USED],0))</f>
        <v>#N/A</v>
      </c>
      <c r="AB1542" s="47" t="e">
        <f t="shared" si="825"/>
        <v>#N/A</v>
      </c>
      <c r="AC1542" s="53" t="e">
        <f t="shared" si="826"/>
        <v>#VALUE!</v>
      </c>
      <c r="AD1542" s="54" t="str">
        <f t="shared" si="834"/>
        <v/>
      </c>
      <c r="AE1542" s="54"/>
      <c r="AF1542" s="54"/>
      <c r="AG1542" s="55" t="str">
        <f t="shared" si="835"/>
        <v/>
      </c>
      <c r="AH1542" s="56" t="str">
        <f t="shared" si="836"/>
        <v/>
      </c>
      <c r="AI1542" s="55"/>
      <c r="AJ1542" s="56" t="str">
        <f t="shared" si="827"/>
        <v/>
      </c>
      <c r="AK1542" s="55"/>
      <c r="AL1542" s="56" t="str">
        <f t="shared" si="828"/>
        <v/>
      </c>
      <c r="AM1542" s="55"/>
      <c r="AN1542" s="56" t="str">
        <f t="shared" si="837"/>
        <v/>
      </c>
      <c r="AO1542" s="55"/>
      <c r="AP1542" s="56" t="str">
        <f t="shared" si="829"/>
        <v/>
      </c>
      <c r="AQ1542" s="55"/>
      <c r="AR1542" s="56" t="str">
        <f t="shared" si="830"/>
        <v/>
      </c>
      <c r="AS1542" s="57"/>
      <c r="AT1542" s="58"/>
      <c r="AU1542" s="58"/>
      <c r="AV1542" s="59"/>
      <c r="AW1542" s="60" t="str">
        <f t="shared" si="838"/>
        <v/>
      </c>
      <c r="AX1542" s="61" t="str">
        <f t="shared" si="831"/>
        <v/>
      </c>
      <c r="AY1542" s="60" t="str">
        <f t="shared" si="839"/>
        <v/>
      </c>
      <c r="AZ1542" s="61" t="str">
        <f t="shared" si="832"/>
        <v/>
      </c>
    </row>
    <row r="1543" spans="1:52" s="3" customFormat="1" hidden="1" x14ac:dyDescent="0.35">
      <c r="A1543" s="72">
        <f t="shared" si="768"/>
        <v>2019</v>
      </c>
      <c r="B1543" s="72" t="str">
        <f t="shared" si="814"/>
        <v>Nov</v>
      </c>
      <c r="C1543" s="73">
        <f t="shared" si="815"/>
        <v>19</v>
      </c>
      <c r="D1543" s="74">
        <f t="shared" si="816"/>
        <v>9</v>
      </c>
      <c r="E1543" s="75">
        <f t="shared" si="769"/>
        <v>27</v>
      </c>
      <c r="F1543" s="79"/>
      <c r="G1543" s="82"/>
      <c r="H1543" s="68" t="str">
        <f t="shared" si="817"/>
        <v>Senbur0_20191119_09_00</v>
      </c>
      <c r="I1543" s="69">
        <f t="shared" ref="I1543:N1543" si="871">I1542</f>
        <v>1</v>
      </c>
      <c r="J1543" s="76" t="str">
        <f t="shared" si="871"/>
        <v>Senecio</v>
      </c>
      <c r="K1543" s="76" t="str">
        <f t="shared" si="871"/>
        <v>burtoni</v>
      </c>
      <c r="L1543" s="77">
        <f t="shared" si="871"/>
        <v>0</v>
      </c>
      <c r="M1543" s="77">
        <f t="shared" si="871"/>
        <v>7</v>
      </c>
      <c r="N1543" s="71">
        <f t="shared" si="871"/>
        <v>0</v>
      </c>
      <c r="O1543" s="44"/>
      <c r="P1543" s="45" t="str">
        <f t="shared" si="819"/>
        <v/>
      </c>
      <c r="Q1543" s="46" t="str">
        <f t="shared" si="820"/>
        <v/>
      </c>
      <c r="R1543" s="47" t="e">
        <f t="shared" si="821"/>
        <v>#VALUE!</v>
      </c>
      <c r="S1543" s="48" t="e">
        <f t="shared" si="822"/>
        <v>#VALUE!</v>
      </c>
      <c r="T1543" s="47" t="str">
        <f t="shared" si="823"/>
        <v/>
      </c>
      <c r="U1543" s="49"/>
      <c r="V1543" s="50"/>
      <c r="W1543" s="51" t="e">
        <f t="shared" si="824"/>
        <v>#VALUE!</v>
      </c>
      <c r="X1543" s="52"/>
      <c r="Y1543" s="52"/>
      <c r="Z1543" s="52"/>
      <c r="AA1543" s="47" t="e">
        <f>INDEX(VISITORS[INSECT ORDER], MATCH(X1543,VISITORS[NAME USED],0))</f>
        <v>#N/A</v>
      </c>
      <c r="AB1543" s="47" t="e">
        <f t="shared" si="825"/>
        <v>#N/A</v>
      </c>
      <c r="AC1543" s="53" t="e">
        <f t="shared" si="826"/>
        <v>#VALUE!</v>
      </c>
      <c r="AD1543" s="54" t="str">
        <f t="shared" si="834"/>
        <v/>
      </c>
      <c r="AE1543" s="54"/>
      <c r="AF1543" s="54"/>
      <c r="AG1543" s="55" t="str">
        <f t="shared" si="835"/>
        <v/>
      </c>
      <c r="AH1543" s="56" t="str">
        <f t="shared" si="836"/>
        <v/>
      </c>
      <c r="AI1543" s="55"/>
      <c r="AJ1543" s="56" t="str">
        <f t="shared" si="827"/>
        <v/>
      </c>
      <c r="AK1543" s="55"/>
      <c r="AL1543" s="56" t="str">
        <f t="shared" si="828"/>
        <v/>
      </c>
      <c r="AM1543" s="55"/>
      <c r="AN1543" s="56" t="str">
        <f t="shared" si="837"/>
        <v/>
      </c>
      <c r="AO1543" s="55"/>
      <c r="AP1543" s="56" t="str">
        <f t="shared" si="829"/>
        <v/>
      </c>
      <c r="AQ1543" s="55"/>
      <c r="AR1543" s="56" t="str">
        <f t="shared" si="830"/>
        <v/>
      </c>
      <c r="AS1543" s="57"/>
      <c r="AT1543" s="58"/>
      <c r="AU1543" s="58"/>
      <c r="AV1543" s="59"/>
      <c r="AW1543" s="60" t="str">
        <f t="shared" si="838"/>
        <v/>
      </c>
      <c r="AX1543" s="61" t="str">
        <f t="shared" si="831"/>
        <v/>
      </c>
      <c r="AY1543" s="60" t="str">
        <f t="shared" si="839"/>
        <v/>
      </c>
      <c r="AZ1543" s="61" t="str">
        <f t="shared" si="832"/>
        <v/>
      </c>
    </row>
    <row r="1544" spans="1:52" s="3" customFormat="1" ht="15" hidden="1" thickBot="1" x14ac:dyDescent="0.4">
      <c r="A1544" s="85">
        <f t="shared" si="768"/>
        <v>2019</v>
      </c>
      <c r="B1544" s="85" t="str">
        <f t="shared" si="814"/>
        <v>Nov</v>
      </c>
      <c r="C1544" s="86">
        <f t="shared" si="815"/>
        <v>19</v>
      </c>
      <c r="D1544" s="87">
        <f t="shared" si="816"/>
        <v>9</v>
      </c>
      <c r="E1544" s="88">
        <f t="shared" si="769"/>
        <v>28</v>
      </c>
      <c r="F1544" s="89"/>
      <c r="G1544" s="90"/>
      <c r="H1544" s="68" t="str">
        <f t="shared" si="817"/>
        <v>Senbur0_20191119_09_00</v>
      </c>
      <c r="I1544" s="91">
        <f t="shared" ref="I1544:N1544" si="872">I1543</f>
        <v>1</v>
      </c>
      <c r="J1544" s="92" t="str">
        <f t="shared" si="872"/>
        <v>Senecio</v>
      </c>
      <c r="K1544" s="92" t="str">
        <f t="shared" si="872"/>
        <v>burtoni</v>
      </c>
      <c r="L1544" s="93">
        <f t="shared" si="872"/>
        <v>0</v>
      </c>
      <c r="M1544" s="93">
        <f t="shared" si="872"/>
        <v>7</v>
      </c>
      <c r="N1544" s="94">
        <f t="shared" si="872"/>
        <v>0</v>
      </c>
      <c r="O1544" s="95"/>
      <c r="P1544" s="96" t="str">
        <f t="shared" si="819"/>
        <v/>
      </c>
      <c r="Q1544" s="97" t="str">
        <f t="shared" si="820"/>
        <v/>
      </c>
      <c r="R1544" s="98" t="e">
        <f t="shared" si="821"/>
        <v>#VALUE!</v>
      </c>
      <c r="S1544" s="98" t="e">
        <f t="shared" si="822"/>
        <v>#VALUE!</v>
      </c>
      <c r="T1544" s="98" t="str">
        <f t="shared" si="823"/>
        <v/>
      </c>
      <c r="U1544" s="99"/>
      <c r="V1544" s="100"/>
      <c r="W1544" s="101" t="e">
        <f t="shared" si="824"/>
        <v>#VALUE!</v>
      </c>
      <c r="X1544" s="102"/>
      <c r="Y1544" s="122"/>
      <c r="Z1544" s="122"/>
      <c r="AA1544" s="47" t="e">
        <f>INDEX(VISITORS[INSECT ORDER], MATCH(X1544,VISITORS[NAME USED],0))</f>
        <v>#N/A</v>
      </c>
      <c r="AB1544" s="98" t="e">
        <f t="shared" si="825"/>
        <v>#N/A</v>
      </c>
      <c r="AC1544" s="53" t="e">
        <f t="shared" si="826"/>
        <v>#VALUE!</v>
      </c>
      <c r="AD1544" s="103" t="str">
        <f t="shared" si="834"/>
        <v/>
      </c>
      <c r="AE1544" s="103"/>
      <c r="AF1544" s="103"/>
      <c r="AG1544" s="104" t="str">
        <f t="shared" si="835"/>
        <v/>
      </c>
      <c r="AH1544" s="105" t="str">
        <f t="shared" si="836"/>
        <v/>
      </c>
      <c r="AI1544" s="104"/>
      <c r="AJ1544" s="105" t="str">
        <f t="shared" si="827"/>
        <v/>
      </c>
      <c r="AK1544" s="104"/>
      <c r="AL1544" s="105" t="str">
        <f t="shared" si="828"/>
        <v/>
      </c>
      <c r="AM1544" s="104"/>
      <c r="AN1544" s="105" t="str">
        <f t="shared" si="837"/>
        <v/>
      </c>
      <c r="AO1544" s="104"/>
      <c r="AP1544" s="105" t="str">
        <f t="shared" si="829"/>
        <v/>
      </c>
      <c r="AQ1544" s="104"/>
      <c r="AR1544" s="105" t="str">
        <f t="shared" si="830"/>
        <v/>
      </c>
      <c r="AS1544" s="106"/>
      <c r="AT1544" s="107"/>
      <c r="AU1544" s="107"/>
      <c r="AV1544" s="108"/>
      <c r="AW1544" s="109" t="str">
        <f t="shared" si="838"/>
        <v/>
      </c>
      <c r="AX1544" s="110" t="str">
        <f t="shared" si="831"/>
        <v/>
      </c>
      <c r="AY1544" s="109" t="str">
        <f t="shared" si="839"/>
        <v/>
      </c>
      <c r="AZ1544" s="110" t="str">
        <f t="shared" si="832"/>
        <v/>
      </c>
    </row>
    <row r="1545" spans="1:52" s="3" customFormat="1" ht="11.25" hidden="1" customHeight="1" x14ac:dyDescent="0.35">
      <c r="A1545" s="72">
        <f t="shared" si="768"/>
        <v>2019</v>
      </c>
      <c r="B1545" s="72" t="str">
        <f t="shared" si="814"/>
        <v>Nov</v>
      </c>
      <c r="C1545" s="73">
        <f t="shared" si="815"/>
        <v>19</v>
      </c>
      <c r="D1545" s="74">
        <f t="shared" si="816"/>
        <v>9</v>
      </c>
      <c r="E1545" s="75">
        <f t="shared" si="769"/>
        <v>29</v>
      </c>
      <c r="F1545" s="79">
        <v>19</v>
      </c>
      <c r="G1545" s="82"/>
      <c r="H1545" s="68" t="str">
        <f t="shared" si="817"/>
        <v>Senbur0_20191119_09_00</v>
      </c>
      <c r="I1545" s="69">
        <f t="shared" ref="I1545:N1545" si="873">I1544</f>
        <v>1</v>
      </c>
      <c r="J1545" s="76" t="str">
        <f t="shared" si="873"/>
        <v>Senecio</v>
      </c>
      <c r="K1545" s="76" t="str">
        <f t="shared" si="873"/>
        <v>burtoni</v>
      </c>
      <c r="L1545" s="77">
        <f t="shared" si="873"/>
        <v>0</v>
      </c>
      <c r="M1545" s="77">
        <f t="shared" si="873"/>
        <v>7</v>
      </c>
      <c r="N1545" s="71">
        <f t="shared" si="873"/>
        <v>0</v>
      </c>
      <c r="O1545" s="44"/>
      <c r="P1545" s="45">
        <f t="shared" si="819"/>
        <v>1</v>
      </c>
      <c r="Q1545" s="46" t="str">
        <f t="shared" si="820"/>
        <v>09:29:19</v>
      </c>
      <c r="R1545" s="47" t="str">
        <f t="shared" si="821"/>
        <v>29:19</v>
      </c>
      <c r="S1545" s="48">
        <f t="shared" si="822"/>
        <v>10</v>
      </c>
      <c r="T1545" s="47" t="str">
        <f t="shared" si="823"/>
        <v>09</v>
      </c>
      <c r="U1545" s="49">
        <v>29</v>
      </c>
      <c r="V1545" s="50">
        <v>29</v>
      </c>
      <c r="W1545" s="51" t="str">
        <f t="shared" si="824"/>
        <v>29:29</v>
      </c>
      <c r="X1545" s="52" t="s">
        <v>63</v>
      </c>
      <c r="Y1545" s="124" t="s">
        <v>92</v>
      </c>
      <c r="Z1545" s="124"/>
      <c r="AA1545" s="47" t="s">
        <v>59</v>
      </c>
      <c r="AB1545" s="47" t="str">
        <f t="shared" si="825"/>
        <v>NA</v>
      </c>
      <c r="AC1545" s="53">
        <f t="shared" si="826"/>
        <v>0</v>
      </c>
      <c r="AD1545" s="54">
        <f t="shared" si="834"/>
        <v>1</v>
      </c>
      <c r="AE1545" s="54"/>
      <c r="AF1545" s="54"/>
      <c r="AG1545" s="55">
        <v>1</v>
      </c>
      <c r="AH1545" s="56">
        <v>3</v>
      </c>
      <c r="AI1545" s="55"/>
      <c r="AJ1545" s="56" t="str">
        <f t="shared" si="827"/>
        <v/>
      </c>
      <c r="AK1545" s="55"/>
      <c r="AL1545" s="56" t="str">
        <f t="shared" si="828"/>
        <v/>
      </c>
      <c r="AM1545" s="55">
        <v>1</v>
      </c>
      <c r="AN1545" s="56">
        <v>7</v>
      </c>
      <c r="AO1545" s="55"/>
      <c r="AP1545" s="56" t="str">
        <f t="shared" si="829"/>
        <v/>
      </c>
      <c r="AQ1545" s="55"/>
      <c r="AR1545" s="56" t="str">
        <f t="shared" si="830"/>
        <v/>
      </c>
      <c r="AS1545" s="57"/>
      <c r="AT1545" s="58"/>
      <c r="AU1545" s="58"/>
      <c r="AV1545" s="59"/>
      <c r="AW1545" s="60">
        <v>1</v>
      </c>
      <c r="AX1545" s="61">
        <f t="shared" si="831"/>
        <v>1</v>
      </c>
      <c r="AY1545" s="60">
        <v>1</v>
      </c>
      <c r="AZ1545" s="61">
        <f t="shared" si="832"/>
        <v>1</v>
      </c>
    </row>
    <row r="1546" spans="1:52" s="3" customFormat="1" hidden="1" x14ac:dyDescent="0.35">
      <c r="A1546" s="72">
        <f t="shared" si="768"/>
        <v>2019</v>
      </c>
      <c r="B1546" s="72" t="str">
        <f t="shared" si="814"/>
        <v>Nov</v>
      </c>
      <c r="C1546" s="73">
        <f t="shared" si="815"/>
        <v>19</v>
      </c>
      <c r="D1546" s="74">
        <f t="shared" si="816"/>
        <v>9</v>
      </c>
      <c r="E1546" s="75">
        <f t="shared" si="769"/>
        <v>30</v>
      </c>
      <c r="F1546" s="79"/>
      <c r="G1546" s="82"/>
      <c r="H1546" s="68" t="str">
        <f t="shared" si="817"/>
        <v>Senbur0_20191119_09_00</v>
      </c>
      <c r="I1546" s="69">
        <f t="shared" ref="I1546:N1546" si="874">I1545</f>
        <v>1</v>
      </c>
      <c r="J1546" s="76" t="str">
        <f t="shared" si="874"/>
        <v>Senecio</v>
      </c>
      <c r="K1546" s="76" t="str">
        <f t="shared" si="874"/>
        <v>burtoni</v>
      </c>
      <c r="L1546" s="77">
        <f t="shared" si="874"/>
        <v>0</v>
      </c>
      <c r="M1546" s="77">
        <f t="shared" si="874"/>
        <v>7</v>
      </c>
      <c r="N1546" s="71">
        <f t="shared" si="874"/>
        <v>0</v>
      </c>
      <c r="O1546" s="44"/>
      <c r="P1546" s="45" t="str">
        <f t="shared" si="819"/>
        <v/>
      </c>
      <c r="Q1546" s="46" t="str">
        <f t="shared" si="820"/>
        <v/>
      </c>
      <c r="R1546" s="47" t="e">
        <f t="shared" si="821"/>
        <v>#VALUE!</v>
      </c>
      <c r="S1546" s="48" t="e">
        <f t="shared" si="822"/>
        <v>#VALUE!</v>
      </c>
      <c r="T1546" s="47" t="str">
        <f t="shared" si="823"/>
        <v/>
      </c>
      <c r="U1546" s="49"/>
      <c r="V1546" s="50"/>
      <c r="W1546" s="51" t="e">
        <f t="shared" si="824"/>
        <v>#VALUE!</v>
      </c>
      <c r="X1546" s="52"/>
      <c r="Y1546" s="52"/>
      <c r="Z1546" s="52"/>
      <c r="AA1546" s="47" t="e">
        <f>INDEX(VISITORS[INSECT ORDER], MATCH(X1546,VISITORS[NAME USED],0))</f>
        <v>#N/A</v>
      </c>
      <c r="AB1546" s="47" t="e">
        <f t="shared" si="825"/>
        <v>#N/A</v>
      </c>
      <c r="AC1546" s="53" t="e">
        <f t="shared" si="826"/>
        <v>#VALUE!</v>
      </c>
      <c r="AD1546" s="54" t="str">
        <f t="shared" si="834"/>
        <v/>
      </c>
      <c r="AE1546" s="54"/>
      <c r="AF1546" s="54"/>
      <c r="AG1546" s="55" t="str">
        <f t="shared" si="835"/>
        <v/>
      </c>
      <c r="AH1546" s="56" t="str">
        <f t="shared" si="836"/>
        <v/>
      </c>
      <c r="AI1546" s="55"/>
      <c r="AJ1546" s="56" t="str">
        <f t="shared" si="827"/>
        <v/>
      </c>
      <c r="AK1546" s="55"/>
      <c r="AL1546" s="56" t="str">
        <f t="shared" si="828"/>
        <v/>
      </c>
      <c r="AM1546" s="55"/>
      <c r="AN1546" s="56" t="str">
        <f t="shared" si="837"/>
        <v/>
      </c>
      <c r="AO1546" s="55"/>
      <c r="AP1546" s="56" t="str">
        <f t="shared" si="829"/>
        <v/>
      </c>
      <c r="AQ1546" s="55"/>
      <c r="AR1546" s="56" t="str">
        <f t="shared" si="830"/>
        <v/>
      </c>
      <c r="AS1546" s="57"/>
      <c r="AT1546" s="58"/>
      <c r="AU1546" s="58"/>
      <c r="AV1546" s="59"/>
      <c r="AW1546" s="60" t="str">
        <f t="shared" si="838"/>
        <v/>
      </c>
      <c r="AX1546" s="61" t="str">
        <f t="shared" si="831"/>
        <v/>
      </c>
      <c r="AY1546" s="60" t="str">
        <f t="shared" si="839"/>
        <v/>
      </c>
      <c r="AZ1546" s="61" t="str">
        <f t="shared" si="832"/>
        <v/>
      </c>
    </row>
    <row r="1547" spans="1:52" s="3" customFormat="1" ht="15" hidden="1" thickBot="1" x14ac:dyDescent="0.4">
      <c r="A1547" s="85">
        <f t="shared" si="768"/>
        <v>2019</v>
      </c>
      <c r="B1547" s="85" t="str">
        <f t="shared" si="814"/>
        <v>Nov</v>
      </c>
      <c r="C1547" s="86">
        <f t="shared" si="815"/>
        <v>19</v>
      </c>
      <c r="D1547" s="87">
        <f t="shared" si="816"/>
        <v>9</v>
      </c>
      <c r="E1547" s="88">
        <f t="shared" si="769"/>
        <v>31</v>
      </c>
      <c r="F1547" s="89"/>
      <c r="G1547" s="90"/>
      <c r="H1547" s="68" t="str">
        <f t="shared" si="817"/>
        <v>Senbur0_20191119_09_00</v>
      </c>
      <c r="I1547" s="91">
        <f t="shared" ref="I1547:N1547" si="875">I1546</f>
        <v>1</v>
      </c>
      <c r="J1547" s="92" t="str">
        <f t="shared" si="875"/>
        <v>Senecio</v>
      </c>
      <c r="K1547" s="92" t="str">
        <f t="shared" si="875"/>
        <v>burtoni</v>
      </c>
      <c r="L1547" s="93">
        <f t="shared" si="875"/>
        <v>0</v>
      </c>
      <c r="M1547" s="93">
        <f t="shared" si="875"/>
        <v>7</v>
      </c>
      <c r="N1547" s="94">
        <f t="shared" si="875"/>
        <v>0</v>
      </c>
      <c r="O1547" s="95"/>
      <c r="P1547" s="96" t="str">
        <f t="shared" si="819"/>
        <v/>
      </c>
      <c r="Q1547" s="97" t="str">
        <f t="shared" si="820"/>
        <v/>
      </c>
      <c r="R1547" s="98" t="e">
        <f t="shared" si="821"/>
        <v>#VALUE!</v>
      </c>
      <c r="S1547" s="98" t="e">
        <f t="shared" si="822"/>
        <v>#VALUE!</v>
      </c>
      <c r="T1547" s="98" t="str">
        <f t="shared" si="823"/>
        <v/>
      </c>
      <c r="U1547" s="99"/>
      <c r="V1547" s="100"/>
      <c r="W1547" s="101" t="e">
        <f t="shared" si="824"/>
        <v>#VALUE!</v>
      </c>
      <c r="X1547" s="102"/>
      <c r="Y1547" s="122"/>
      <c r="Z1547" s="122"/>
      <c r="AA1547" s="47" t="e">
        <f>INDEX(VISITORS[INSECT ORDER], MATCH(X1547,VISITORS[NAME USED],0))</f>
        <v>#N/A</v>
      </c>
      <c r="AB1547" s="98" t="e">
        <f t="shared" si="825"/>
        <v>#N/A</v>
      </c>
      <c r="AC1547" s="53" t="e">
        <f t="shared" si="826"/>
        <v>#VALUE!</v>
      </c>
      <c r="AD1547" s="103" t="str">
        <f t="shared" si="834"/>
        <v/>
      </c>
      <c r="AE1547" s="103"/>
      <c r="AF1547" s="103"/>
      <c r="AG1547" s="104" t="str">
        <f t="shared" si="835"/>
        <v/>
      </c>
      <c r="AH1547" s="105" t="str">
        <f t="shared" si="836"/>
        <v/>
      </c>
      <c r="AI1547" s="104"/>
      <c r="AJ1547" s="105" t="str">
        <f t="shared" si="827"/>
        <v/>
      </c>
      <c r="AK1547" s="104"/>
      <c r="AL1547" s="105" t="str">
        <f t="shared" si="828"/>
        <v/>
      </c>
      <c r="AM1547" s="104"/>
      <c r="AN1547" s="105" t="str">
        <f t="shared" si="837"/>
        <v/>
      </c>
      <c r="AO1547" s="104"/>
      <c r="AP1547" s="105" t="str">
        <f t="shared" si="829"/>
        <v/>
      </c>
      <c r="AQ1547" s="104"/>
      <c r="AR1547" s="105" t="str">
        <f t="shared" si="830"/>
        <v/>
      </c>
      <c r="AS1547" s="106"/>
      <c r="AT1547" s="107"/>
      <c r="AU1547" s="107"/>
      <c r="AV1547" s="108"/>
      <c r="AW1547" s="109" t="str">
        <f t="shared" si="838"/>
        <v/>
      </c>
      <c r="AX1547" s="110" t="str">
        <f t="shared" si="831"/>
        <v/>
      </c>
      <c r="AY1547" s="109" t="str">
        <f t="shared" si="839"/>
        <v/>
      </c>
      <c r="AZ1547" s="110" t="str">
        <f t="shared" si="832"/>
        <v/>
      </c>
    </row>
    <row r="1548" spans="1:52" s="3" customFormat="1" ht="11.25" customHeight="1" x14ac:dyDescent="0.35">
      <c r="A1548" s="72">
        <f t="shared" si="768"/>
        <v>2019</v>
      </c>
      <c r="B1548" s="72" t="str">
        <f t="shared" si="814"/>
        <v>Nov</v>
      </c>
      <c r="C1548" s="73">
        <f t="shared" si="815"/>
        <v>19</v>
      </c>
      <c r="D1548" s="74">
        <f t="shared" si="816"/>
        <v>9</v>
      </c>
      <c r="E1548" s="75">
        <f t="shared" si="769"/>
        <v>32</v>
      </c>
      <c r="F1548" s="79">
        <v>57</v>
      </c>
      <c r="G1548" s="82"/>
      <c r="H1548" s="68" t="str">
        <f t="shared" si="817"/>
        <v>Senbur0_20191119_09_00</v>
      </c>
      <c r="I1548" s="69">
        <f t="shared" ref="I1548:N1548" si="876">I1547</f>
        <v>1</v>
      </c>
      <c r="J1548" s="76" t="str">
        <f t="shared" si="876"/>
        <v>Senecio</v>
      </c>
      <c r="K1548" s="76" t="str">
        <f t="shared" si="876"/>
        <v>burtoni</v>
      </c>
      <c r="L1548" s="77">
        <f t="shared" si="876"/>
        <v>0</v>
      </c>
      <c r="M1548" s="77">
        <f t="shared" si="876"/>
        <v>7</v>
      </c>
      <c r="N1548" s="71">
        <f t="shared" si="876"/>
        <v>0</v>
      </c>
      <c r="O1548" s="44"/>
      <c r="P1548" s="45">
        <f t="shared" si="819"/>
        <v>1</v>
      </c>
      <c r="Q1548" s="46" t="str">
        <f t="shared" si="820"/>
        <v>09:32:57</v>
      </c>
      <c r="R1548" s="47" t="str">
        <f t="shared" si="821"/>
        <v>32:57</v>
      </c>
      <c r="S1548" s="48">
        <f t="shared" si="822"/>
        <v>18</v>
      </c>
      <c r="T1548" s="47" t="str">
        <f t="shared" si="823"/>
        <v>09</v>
      </c>
      <c r="U1548" s="49">
        <v>33</v>
      </c>
      <c r="V1548" s="50">
        <v>15</v>
      </c>
      <c r="W1548" s="51" t="str">
        <f t="shared" si="824"/>
        <v>33:15</v>
      </c>
      <c r="X1548" s="52" t="s">
        <v>62</v>
      </c>
      <c r="Y1548" s="124" t="s">
        <v>101</v>
      </c>
      <c r="Z1548" s="124"/>
      <c r="AA1548" s="47" t="s">
        <v>77</v>
      </c>
      <c r="AB1548" s="47" t="str">
        <f t="shared" si="825"/>
        <v>NA</v>
      </c>
      <c r="AC1548" s="53">
        <f t="shared" si="826"/>
        <v>0</v>
      </c>
      <c r="AD1548" s="54">
        <f t="shared" si="834"/>
        <v>1</v>
      </c>
      <c r="AE1548" s="54"/>
      <c r="AF1548" s="54"/>
      <c r="AG1548" s="55" t="str">
        <f t="shared" si="835"/>
        <v/>
      </c>
      <c r="AH1548" s="56" t="str">
        <f t="shared" si="836"/>
        <v/>
      </c>
      <c r="AI1548" s="55"/>
      <c r="AJ1548" s="56" t="str">
        <f t="shared" si="827"/>
        <v/>
      </c>
      <c r="AK1548" s="55">
        <v>1</v>
      </c>
      <c r="AL1548" s="56">
        <v>10</v>
      </c>
      <c r="AM1548" s="55">
        <v>1</v>
      </c>
      <c r="AN1548" s="56">
        <v>8</v>
      </c>
      <c r="AO1548" s="55"/>
      <c r="AP1548" s="56" t="str">
        <f t="shared" si="829"/>
        <v/>
      </c>
      <c r="AQ1548" s="55"/>
      <c r="AR1548" s="56" t="str">
        <f t="shared" si="830"/>
        <v/>
      </c>
      <c r="AS1548" s="57"/>
      <c r="AT1548" s="58"/>
      <c r="AU1548" s="58"/>
      <c r="AV1548" s="59"/>
      <c r="AW1548" s="60">
        <v>1</v>
      </c>
      <c r="AX1548" s="61">
        <f t="shared" si="831"/>
        <v>1</v>
      </c>
      <c r="AY1548" s="60">
        <v>1</v>
      </c>
      <c r="AZ1548" s="61">
        <f t="shared" si="832"/>
        <v>1</v>
      </c>
    </row>
    <row r="1549" spans="1:52" s="3" customFormat="1" hidden="1" x14ac:dyDescent="0.35">
      <c r="A1549" s="72">
        <f t="shared" si="768"/>
        <v>2019</v>
      </c>
      <c r="B1549" s="72" t="str">
        <f t="shared" si="814"/>
        <v>Nov</v>
      </c>
      <c r="C1549" s="73">
        <f t="shared" si="815"/>
        <v>19</v>
      </c>
      <c r="D1549" s="74">
        <f t="shared" si="816"/>
        <v>9</v>
      </c>
      <c r="E1549" s="75">
        <f t="shared" si="769"/>
        <v>33</v>
      </c>
      <c r="F1549" s="79"/>
      <c r="G1549" s="82"/>
      <c r="H1549" s="68" t="str">
        <f t="shared" si="817"/>
        <v>Senbur0_20191119_09_00</v>
      </c>
      <c r="I1549" s="69">
        <f t="shared" ref="I1549:N1549" si="877">I1548</f>
        <v>1</v>
      </c>
      <c r="J1549" s="76" t="str">
        <f t="shared" si="877"/>
        <v>Senecio</v>
      </c>
      <c r="K1549" s="76" t="str">
        <f t="shared" si="877"/>
        <v>burtoni</v>
      </c>
      <c r="L1549" s="77">
        <f t="shared" si="877"/>
        <v>0</v>
      </c>
      <c r="M1549" s="77">
        <f t="shared" si="877"/>
        <v>7</v>
      </c>
      <c r="N1549" s="71">
        <f t="shared" si="877"/>
        <v>0</v>
      </c>
      <c r="O1549" s="44"/>
      <c r="P1549" s="45" t="str">
        <f t="shared" si="819"/>
        <v/>
      </c>
      <c r="Q1549" s="46" t="str">
        <f t="shared" si="820"/>
        <v/>
      </c>
      <c r="R1549" s="47" t="e">
        <f t="shared" si="821"/>
        <v>#VALUE!</v>
      </c>
      <c r="S1549" s="48" t="e">
        <f t="shared" si="822"/>
        <v>#VALUE!</v>
      </c>
      <c r="T1549" s="47" t="str">
        <f t="shared" si="823"/>
        <v/>
      </c>
      <c r="U1549" s="49"/>
      <c r="V1549" s="50"/>
      <c r="W1549" s="51" t="e">
        <f t="shared" si="824"/>
        <v>#VALUE!</v>
      </c>
      <c r="X1549" s="52"/>
      <c r="Y1549" s="52"/>
      <c r="Z1549" s="52"/>
      <c r="AA1549" s="47" t="e">
        <f>INDEX(VISITORS[INSECT ORDER], MATCH(X1549,VISITORS[NAME USED],0))</f>
        <v>#N/A</v>
      </c>
      <c r="AB1549" s="47" t="e">
        <f t="shared" si="825"/>
        <v>#N/A</v>
      </c>
      <c r="AC1549" s="53" t="e">
        <f t="shared" si="826"/>
        <v>#VALUE!</v>
      </c>
      <c r="AD1549" s="54" t="str">
        <f t="shared" si="834"/>
        <v/>
      </c>
      <c r="AE1549" s="54"/>
      <c r="AF1549" s="54"/>
      <c r="AG1549" s="55" t="str">
        <f t="shared" si="835"/>
        <v/>
      </c>
      <c r="AH1549" s="56" t="str">
        <f t="shared" si="836"/>
        <v/>
      </c>
      <c r="AI1549" s="55"/>
      <c r="AJ1549" s="56" t="str">
        <f t="shared" si="827"/>
        <v/>
      </c>
      <c r="AK1549" s="55"/>
      <c r="AL1549" s="56" t="str">
        <f t="shared" si="828"/>
        <v/>
      </c>
      <c r="AM1549" s="55"/>
      <c r="AN1549" s="56" t="str">
        <f t="shared" si="837"/>
        <v/>
      </c>
      <c r="AO1549" s="55"/>
      <c r="AP1549" s="56" t="str">
        <f t="shared" si="829"/>
        <v/>
      </c>
      <c r="AQ1549" s="55"/>
      <c r="AR1549" s="56" t="str">
        <f t="shared" si="830"/>
        <v/>
      </c>
      <c r="AS1549" s="57"/>
      <c r="AT1549" s="58"/>
      <c r="AU1549" s="58"/>
      <c r="AV1549" s="59"/>
      <c r="AW1549" s="60" t="str">
        <f t="shared" si="838"/>
        <v/>
      </c>
      <c r="AX1549" s="61" t="str">
        <f t="shared" si="831"/>
        <v/>
      </c>
      <c r="AY1549" s="60" t="str">
        <f t="shared" si="839"/>
        <v/>
      </c>
      <c r="AZ1549" s="61" t="str">
        <f t="shared" si="832"/>
        <v/>
      </c>
    </row>
    <row r="1550" spans="1:52" s="3" customFormat="1" ht="15" hidden="1" thickBot="1" x14ac:dyDescent="0.4">
      <c r="A1550" s="85">
        <f t="shared" si="768"/>
        <v>2019</v>
      </c>
      <c r="B1550" s="85" t="str">
        <f t="shared" si="814"/>
        <v>Nov</v>
      </c>
      <c r="C1550" s="86">
        <f t="shared" si="815"/>
        <v>19</v>
      </c>
      <c r="D1550" s="87">
        <f t="shared" si="816"/>
        <v>9</v>
      </c>
      <c r="E1550" s="88">
        <f t="shared" si="769"/>
        <v>34</v>
      </c>
      <c r="F1550" s="89">
        <v>14</v>
      </c>
      <c r="G1550" s="90"/>
      <c r="H1550" s="68" t="str">
        <f t="shared" si="817"/>
        <v>Senbur0_20191119_09_00</v>
      </c>
      <c r="I1550" s="91">
        <f t="shared" ref="I1550:N1550" si="878">I1549</f>
        <v>1</v>
      </c>
      <c r="J1550" s="92" t="str">
        <f t="shared" si="878"/>
        <v>Senecio</v>
      </c>
      <c r="K1550" s="92" t="str">
        <f t="shared" si="878"/>
        <v>burtoni</v>
      </c>
      <c r="L1550" s="93">
        <f t="shared" si="878"/>
        <v>0</v>
      </c>
      <c r="M1550" s="93">
        <f t="shared" si="878"/>
        <v>7</v>
      </c>
      <c r="N1550" s="94">
        <f t="shared" si="878"/>
        <v>0</v>
      </c>
      <c r="O1550" s="95"/>
      <c r="P1550" s="96">
        <f t="shared" si="819"/>
        <v>1</v>
      </c>
      <c r="Q1550" s="97" t="str">
        <f t="shared" si="820"/>
        <v>09:34:14</v>
      </c>
      <c r="R1550" s="98" t="str">
        <f t="shared" si="821"/>
        <v>34:14</v>
      </c>
      <c r="S1550" s="98">
        <f t="shared" si="822"/>
        <v>8</v>
      </c>
      <c r="T1550" s="98" t="str">
        <f t="shared" si="823"/>
        <v>09</v>
      </c>
      <c r="U1550" s="99">
        <v>34</v>
      </c>
      <c r="V1550" s="100">
        <v>22</v>
      </c>
      <c r="W1550" s="101" t="str">
        <f t="shared" si="824"/>
        <v>34:22</v>
      </c>
      <c r="X1550" s="102" t="s">
        <v>63</v>
      </c>
      <c r="Y1550" s="124" t="s">
        <v>83</v>
      </c>
      <c r="Z1550" s="126"/>
      <c r="AA1550" s="47" t="s">
        <v>59</v>
      </c>
      <c r="AB1550" s="98" t="str">
        <f t="shared" si="825"/>
        <v>NA</v>
      </c>
      <c r="AC1550" s="53">
        <f t="shared" si="826"/>
        <v>0</v>
      </c>
      <c r="AD1550" s="103">
        <f t="shared" si="834"/>
        <v>1</v>
      </c>
      <c r="AE1550" s="103"/>
      <c r="AF1550" s="103"/>
      <c r="AG1550" s="104" t="str">
        <f t="shared" si="835"/>
        <v/>
      </c>
      <c r="AH1550" s="105" t="str">
        <f t="shared" si="836"/>
        <v/>
      </c>
      <c r="AI1550" s="104"/>
      <c r="AJ1550" s="105" t="str">
        <f t="shared" si="827"/>
        <v/>
      </c>
      <c r="AK1550" s="104">
        <v>1</v>
      </c>
      <c r="AL1550" s="105">
        <v>3</v>
      </c>
      <c r="AM1550" s="104">
        <v>1</v>
      </c>
      <c r="AN1550" s="105">
        <v>5</v>
      </c>
      <c r="AO1550" s="104"/>
      <c r="AP1550" s="105" t="str">
        <f t="shared" si="829"/>
        <v/>
      </c>
      <c r="AQ1550" s="104"/>
      <c r="AR1550" s="105" t="str">
        <f t="shared" si="830"/>
        <v/>
      </c>
      <c r="AS1550" s="106"/>
      <c r="AT1550" s="107"/>
      <c r="AU1550" s="107"/>
      <c r="AV1550" s="108"/>
      <c r="AW1550" s="109">
        <v>1</v>
      </c>
      <c r="AX1550" s="110">
        <f t="shared" si="831"/>
        <v>1</v>
      </c>
      <c r="AY1550" s="109">
        <v>1</v>
      </c>
      <c r="AZ1550" s="110">
        <f t="shared" si="832"/>
        <v>1</v>
      </c>
    </row>
    <row r="1551" spans="1:52" s="3" customFormat="1" ht="11.25" customHeight="1" x14ac:dyDescent="0.35">
      <c r="A1551" s="72">
        <f t="shared" si="768"/>
        <v>2019</v>
      </c>
      <c r="B1551" s="72" t="str">
        <f t="shared" si="814"/>
        <v>Nov</v>
      </c>
      <c r="C1551" s="73">
        <f t="shared" si="815"/>
        <v>19</v>
      </c>
      <c r="D1551" s="74">
        <f t="shared" si="816"/>
        <v>9</v>
      </c>
      <c r="E1551" s="75">
        <v>34</v>
      </c>
      <c r="F1551" s="79">
        <v>29</v>
      </c>
      <c r="G1551" s="82"/>
      <c r="H1551" s="68" t="str">
        <f t="shared" si="817"/>
        <v>Senbur0_20191119_09_00</v>
      </c>
      <c r="I1551" s="69">
        <f t="shared" ref="I1551:N1551" si="879">I1550</f>
        <v>1</v>
      </c>
      <c r="J1551" s="76" t="str">
        <f t="shared" si="879"/>
        <v>Senecio</v>
      </c>
      <c r="K1551" s="76" t="str">
        <f t="shared" si="879"/>
        <v>burtoni</v>
      </c>
      <c r="L1551" s="77">
        <f t="shared" si="879"/>
        <v>0</v>
      </c>
      <c r="M1551" s="77">
        <f t="shared" si="879"/>
        <v>7</v>
      </c>
      <c r="N1551" s="71">
        <f t="shared" si="879"/>
        <v>0</v>
      </c>
      <c r="O1551" s="44"/>
      <c r="P1551" s="45">
        <f t="shared" si="819"/>
        <v>1</v>
      </c>
      <c r="Q1551" s="46" t="str">
        <f t="shared" si="820"/>
        <v>09:34:29</v>
      </c>
      <c r="R1551" s="47" t="str">
        <f t="shared" si="821"/>
        <v>34:29</v>
      </c>
      <c r="S1551" s="48">
        <f t="shared" si="822"/>
        <v>98</v>
      </c>
      <c r="T1551" s="47" t="str">
        <f t="shared" si="823"/>
        <v>09</v>
      </c>
      <c r="U1551" s="49">
        <v>36</v>
      </c>
      <c r="V1551" s="50">
        <v>7</v>
      </c>
      <c r="W1551" s="51" t="str">
        <f t="shared" si="824"/>
        <v>36:07</v>
      </c>
      <c r="X1551" s="52" t="s">
        <v>62</v>
      </c>
      <c r="Y1551" s="124" t="s">
        <v>84</v>
      </c>
      <c r="Z1551" s="124"/>
      <c r="AA1551" s="47" t="s">
        <v>77</v>
      </c>
      <c r="AB1551" s="47" t="str">
        <f t="shared" si="825"/>
        <v>NA</v>
      </c>
      <c r="AC1551" s="53">
        <f t="shared" si="826"/>
        <v>0</v>
      </c>
      <c r="AD1551" s="54">
        <v>2</v>
      </c>
      <c r="AE1551" s="54"/>
      <c r="AF1551" s="54"/>
      <c r="AG1551" s="55" t="str">
        <f t="shared" si="835"/>
        <v/>
      </c>
      <c r="AH1551" s="56" t="str">
        <f t="shared" si="836"/>
        <v/>
      </c>
      <c r="AI1551" s="55"/>
      <c r="AJ1551" s="56" t="str">
        <f t="shared" si="827"/>
        <v/>
      </c>
      <c r="AK1551" s="55">
        <v>1</v>
      </c>
      <c r="AL1551" s="56">
        <v>50</v>
      </c>
      <c r="AM1551" s="55">
        <v>1</v>
      </c>
      <c r="AN1551" s="56">
        <v>48</v>
      </c>
      <c r="AO1551" s="55"/>
      <c r="AP1551" s="56" t="str">
        <f t="shared" si="829"/>
        <v/>
      </c>
      <c r="AQ1551" s="55"/>
      <c r="AR1551" s="56" t="str">
        <f t="shared" si="830"/>
        <v/>
      </c>
      <c r="AS1551" s="57"/>
      <c r="AT1551" s="58"/>
      <c r="AU1551" s="58"/>
      <c r="AV1551" s="59"/>
      <c r="AW1551" s="60">
        <v>1</v>
      </c>
      <c r="AX1551" s="61">
        <f t="shared" si="831"/>
        <v>2</v>
      </c>
      <c r="AY1551" s="60">
        <v>1</v>
      </c>
      <c r="AZ1551" s="61">
        <f t="shared" si="832"/>
        <v>2</v>
      </c>
    </row>
    <row r="1552" spans="1:52" s="3" customFormat="1" hidden="1" x14ac:dyDescent="0.35">
      <c r="A1552" s="72">
        <f t="shared" si="768"/>
        <v>2019</v>
      </c>
      <c r="B1552" s="72" t="str">
        <f t="shared" si="814"/>
        <v>Nov</v>
      </c>
      <c r="C1552" s="73">
        <f t="shared" si="815"/>
        <v>19</v>
      </c>
      <c r="D1552" s="74">
        <f t="shared" si="816"/>
        <v>9</v>
      </c>
      <c r="E1552" s="75">
        <f t="shared" si="769"/>
        <v>35</v>
      </c>
      <c r="F1552" s="79"/>
      <c r="G1552" s="82"/>
      <c r="H1552" s="68" t="str">
        <f t="shared" si="817"/>
        <v>Senbur0_20191119_09_00</v>
      </c>
      <c r="I1552" s="69">
        <f t="shared" ref="I1552:N1552" si="880">I1551</f>
        <v>1</v>
      </c>
      <c r="J1552" s="76" t="str">
        <f t="shared" si="880"/>
        <v>Senecio</v>
      </c>
      <c r="K1552" s="76" t="str">
        <f t="shared" si="880"/>
        <v>burtoni</v>
      </c>
      <c r="L1552" s="77">
        <f t="shared" si="880"/>
        <v>0</v>
      </c>
      <c r="M1552" s="77">
        <f t="shared" si="880"/>
        <v>7</v>
      </c>
      <c r="N1552" s="71">
        <f t="shared" si="880"/>
        <v>0</v>
      </c>
      <c r="O1552" s="44"/>
      <c r="P1552" s="45" t="str">
        <f t="shared" si="819"/>
        <v/>
      </c>
      <c r="Q1552" s="46" t="str">
        <f t="shared" si="820"/>
        <v/>
      </c>
      <c r="R1552" s="47" t="e">
        <f t="shared" si="821"/>
        <v>#VALUE!</v>
      </c>
      <c r="S1552" s="48" t="e">
        <f t="shared" si="822"/>
        <v>#VALUE!</v>
      </c>
      <c r="T1552" s="47" t="str">
        <f t="shared" si="823"/>
        <v/>
      </c>
      <c r="U1552" s="49"/>
      <c r="V1552" s="50"/>
      <c r="W1552" s="51" t="e">
        <f t="shared" si="824"/>
        <v>#VALUE!</v>
      </c>
      <c r="X1552" s="52"/>
      <c r="Y1552" s="52"/>
      <c r="Z1552" s="52"/>
      <c r="AA1552" s="47" t="e">
        <f>INDEX(VISITORS[INSECT ORDER], MATCH(X1552,VISITORS[NAME USED],0))</f>
        <v>#N/A</v>
      </c>
      <c r="AB1552" s="47" t="e">
        <f t="shared" si="825"/>
        <v>#N/A</v>
      </c>
      <c r="AC1552" s="53" t="e">
        <f t="shared" si="826"/>
        <v>#VALUE!</v>
      </c>
      <c r="AD1552" s="54" t="str">
        <f t="shared" si="834"/>
        <v/>
      </c>
      <c r="AE1552" s="54"/>
      <c r="AF1552" s="54"/>
      <c r="AG1552" s="55" t="str">
        <f t="shared" si="835"/>
        <v/>
      </c>
      <c r="AH1552" s="56" t="str">
        <f t="shared" si="836"/>
        <v/>
      </c>
      <c r="AI1552" s="55"/>
      <c r="AJ1552" s="56" t="str">
        <f t="shared" si="827"/>
        <v/>
      </c>
      <c r="AK1552" s="55"/>
      <c r="AL1552" s="56" t="str">
        <f t="shared" si="828"/>
        <v/>
      </c>
      <c r="AM1552" s="55"/>
      <c r="AN1552" s="56" t="str">
        <f t="shared" si="837"/>
        <v/>
      </c>
      <c r="AO1552" s="55"/>
      <c r="AP1552" s="56" t="str">
        <f t="shared" si="829"/>
        <v/>
      </c>
      <c r="AQ1552" s="55"/>
      <c r="AR1552" s="56" t="str">
        <f t="shared" si="830"/>
        <v/>
      </c>
      <c r="AS1552" s="57"/>
      <c r="AT1552" s="58"/>
      <c r="AU1552" s="58"/>
      <c r="AV1552" s="59"/>
      <c r="AW1552" s="60" t="str">
        <f t="shared" si="838"/>
        <v/>
      </c>
      <c r="AX1552" s="61" t="str">
        <f t="shared" si="831"/>
        <v/>
      </c>
      <c r="AY1552" s="60" t="str">
        <f t="shared" si="839"/>
        <v/>
      </c>
      <c r="AZ1552" s="61" t="str">
        <f t="shared" si="832"/>
        <v/>
      </c>
    </row>
    <row r="1553" spans="1:52" s="3" customFormat="1" ht="15" hidden="1" thickBot="1" x14ac:dyDescent="0.4">
      <c r="A1553" s="85">
        <f t="shared" si="768"/>
        <v>2019</v>
      </c>
      <c r="B1553" s="85" t="str">
        <f t="shared" si="814"/>
        <v>Nov</v>
      </c>
      <c r="C1553" s="86">
        <f t="shared" si="815"/>
        <v>19</v>
      </c>
      <c r="D1553" s="87">
        <f t="shared" si="816"/>
        <v>9</v>
      </c>
      <c r="E1553" s="88">
        <f t="shared" si="769"/>
        <v>36</v>
      </c>
      <c r="F1553" s="89">
        <v>11</v>
      </c>
      <c r="G1553" s="90"/>
      <c r="H1553" s="68" t="str">
        <f t="shared" si="817"/>
        <v>Senbur0_20191119_09_00</v>
      </c>
      <c r="I1553" s="91">
        <f t="shared" ref="I1553:N1553" si="881">I1552</f>
        <v>1</v>
      </c>
      <c r="J1553" s="92" t="str">
        <f t="shared" si="881"/>
        <v>Senecio</v>
      </c>
      <c r="K1553" s="92" t="str">
        <f t="shared" si="881"/>
        <v>burtoni</v>
      </c>
      <c r="L1553" s="93">
        <f t="shared" si="881"/>
        <v>0</v>
      </c>
      <c r="M1553" s="93">
        <f t="shared" si="881"/>
        <v>7</v>
      </c>
      <c r="N1553" s="94">
        <f t="shared" si="881"/>
        <v>0</v>
      </c>
      <c r="O1553" s="95"/>
      <c r="P1553" s="96">
        <f t="shared" si="819"/>
        <v>1</v>
      </c>
      <c r="Q1553" s="97" t="str">
        <f t="shared" si="820"/>
        <v>09:36:11</v>
      </c>
      <c r="R1553" s="98" t="str">
        <f t="shared" si="821"/>
        <v>36:11</v>
      </c>
      <c r="S1553" s="98">
        <f t="shared" si="822"/>
        <v>11</v>
      </c>
      <c r="T1553" s="98" t="str">
        <f t="shared" si="823"/>
        <v>09</v>
      </c>
      <c r="U1553" s="99">
        <v>36</v>
      </c>
      <c r="V1553" s="100">
        <v>22</v>
      </c>
      <c r="W1553" s="101" t="str">
        <f t="shared" si="824"/>
        <v>36:22</v>
      </c>
      <c r="X1553" s="102" t="s">
        <v>63</v>
      </c>
      <c r="Y1553" s="124" t="s">
        <v>82</v>
      </c>
      <c r="Z1553" s="126"/>
      <c r="AA1553" s="47" t="s">
        <v>59</v>
      </c>
      <c r="AB1553" s="98" t="str">
        <f t="shared" si="825"/>
        <v>NA</v>
      </c>
      <c r="AC1553" s="53">
        <f t="shared" si="826"/>
        <v>0</v>
      </c>
      <c r="AD1553" s="103">
        <f t="shared" si="834"/>
        <v>1</v>
      </c>
      <c r="AE1553" s="103"/>
      <c r="AF1553" s="103"/>
      <c r="AG1553" s="104">
        <v>1</v>
      </c>
      <c r="AH1553" s="105">
        <v>4</v>
      </c>
      <c r="AI1553" s="104"/>
      <c r="AJ1553" s="105" t="str">
        <f t="shared" si="827"/>
        <v/>
      </c>
      <c r="AK1553" s="104"/>
      <c r="AL1553" s="105"/>
      <c r="AM1553" s="104">
        <v>1</v>
      </c>
      <c r="AN1553" s="105">
        <v>7</v>
      </c>
      <c r="AO1553" s="104"/>
      <c r="AP1553" s="105" t="str">
        <f t="shared" si="829"/>
        <v/>
      </c>
      <c r="AQ1553" s="104"/>
      <c r="AR1553" s="105" t="str">
        <f t="shared" si="830"/>
        <v/>
      </c>
      <c r="AS1553" s="106"/>
      <c r="AT1553" s="107"/>
      <c r="AU1553" s="107"/>
      <c r="AV1553" s="108"/>
      <c r="AW1553" s="109">
        <v>1</v>
      </c>
      <c r="AX1553" s="110">
        <f t="shared" si="831"/>
        <v>1</v>
      </c>
      <c r="AY1553" s="109">
        <v>1</v>
      </c>
      <c r="AZ1553" s="110">
        <f t="shared" si="832"/>
        <v>1</v>
      </c>
    </row>
    <row r="1554" spans="1:52" s="3" customFormat="1" ht="11.25" hidden="1" customHeight="1" x14ac:dyDescent="0.35">
      <c r="A1554" s="72">
        <f t="shared" ref="A1554:A1596" si="882">A1553</f>
        <v>2019</v>
      </c>
      <c r="B1554" s="72" t="str">
        <f t="shared" si="814"/>
        <v>Nov</v>
      </c>
      <c r="C1554" s="73">
        <f t="shared" si="815"/>
        <v>19</v>
      </c>
      <c r="D1554" s="74">
        <f t="shared" si="816"/>
        <v>9</v>
      </c>
      <c r="E1554" s="75">
        <f t="shared" ref="E1554:E1596" si="883">IF(E1553&lt;59,E1553+1,0)</f>
        <v>37</v>
      </c>
      <c r="F1554" s="79"/>
      <c r="G1554" s="82"/>
      <c r="H1554" s="68" t="str">
        <f t="shared" si="817"/>
        <v>Senbur0_20191119_09_00</v>
      </c>
      <c r="I1554" s="69">
        <f t="shared" ref="I1554:N1554" si="884">I1553</f>
        <v>1</v>
      </c>
      <c r="J1554" s="76" t="str">
        <f t="shared" si="884"/>
        <v>Senecio</v>
      </c>
      <c r="K1554" s="76" t="str">
        <f t="shared" si="884"/>
        <v>burtoni</v>
      </c>
      <c r="L1554" s="77">
        <f t="shared" si="884"/>
        <v>0</v>
      </c>
      <c r="M1554" s="77">
        <f t="shared" si="884"/>
        <v>7</v>
      </c>
      <c r="N1554" s="71">
        <f t="shared" si="884"/>
        <v>0</v>
      </c>
      <c r="O1554" s="44"/>
      <c r="P1554" s="45" t="str">
        <f t="shared" si="819"/>
        <v/>
      </c>
      <c r="Q1554" s="46" t="str">
        <f t="shared" si="820"/>
        <v/>
      </c>
      <c r="R1554" s="47" t="e">
        <f t="shared" si="821"/>
        <v>#VALUE!</v>
      </c>
      <c r="S1554" s="48" t="e">
        <f t="shared" si="822"/>
        <v>#VALUE!</v>
      </c>
      <c r="T1554" s="47" t="str">
        <f t="shared" si="823"/>
        <v/>
      </c>
      <c r="U1554" s="49"/>
      <c r="V1554" s="50"/>
      <c r="W1554" s="51" t="e">
        <f t="shared" si="824"/>
        <v>#VALUE!</v>
      </c>
      <c r="X1554" s="52"/>
      <c r="Y1554" s="52"/>
      <c r="Z1554" s="52"/>
      <c r="AA1554" s="47" t="e">
        <f>INDEX(VISITORS[INSECT ORDER], MATCH(X1554,VISITORS[NAME USED],0))</f>
        <v>#N/A</v>
      </c>
      <c r="AB1554" s="47" t="e">
        <f t="shared" si="825"/>
        <v>#N/A</v>
      </c>
      <c r="AC1554" s="53" t="e">
        <f t="shared" si="826"/>
        <v>#VALUE!</v>
      </c>
      <c r="AD1554" s="54" t="str">
        <f t="shared" si="834"/>
        <v/>
      </c>
      <c r="AE1554" s="54"/>
      <c r="AF1554" s="54"/>
      <c r="AG1554" s="55" t="str">
        <f t="shared" si="835"/>
        <v/>
      </c>
      <c r="AH1554" s="56" t="str">
        <f t="shared" si="836"/>
        <v/>
      </c>
      <c r="AI1554" s="55"/>
      <c r="AJ1554" s="56" t="str">
        <f t="shared" si="827"/>
        <v/>
      </c>
      <c r="AK1554" s="55"/>
      <c r="AL1554" s="56" t="str">
        <f t="shared" si="828"/>
        <v/>
      </c>
      <c r="AM1554" s="55"/>
      <c r="AN1554" s="56" t="str">
        <f t="shared" si="837"/>
        <v/>
      </c>
      <c r="AO1554" s="55"/>
      <c r="AP1554" s="56" t="str">
        <f t="shared" si="829"/>
        <v/>
      </c>
      <c r="AQ1554" s="55"/>
      <c r="AR1554" s="56" t="str">
        <f t="shared" si="830"/>
        <v/>
      </c>
      <c r="AS1554" s="57"/>
      <c r="AT1554" s="58"/>
      <c r="AU1554" s="58"/>
      <c r="AV1554" s="59"/>
      <c r="AW1554" s="60" t="str">
        <f t="shared" si="838"/>
        <v/>
      </c>
      <c r="AX1554" s="61" t="str">
        <f t="shared" si="831"/>
        <v/>
      </c>
      <c r="AY1554" s="60" t="str">
        <f t="shared" si="839"/>
        <v/>
      </c>
      <c r="AZ1554" s="61" t="str">
        <f t="shared" si="832"/>
        <v/>
      </c>
    </row>
    <row r="1555" spans="1:52" s="3" customFormat="1" hidden="1" x14ac:dyDescent="0.35">
      <c r="A1555" s="72">
        <f t="shared" si="882"/>
        <v>2019</v>
      </c>
      <c r="B1555" s="72" t="str">
        <f t="shared" si="814"/>
        <v>Nov</v>
      </c>
      <c r="C1555" s="73">
        <f t="shared" si="815"/>
        <v>19</v>
      </c>
      <c r="D1555" s="74">
        <f t="shared" si="816"/>
        <v>9</v>
      </c>
      <c r="E1555" s="75">
        <f t="shared" si="883"/>
        <v>38</v>
      </c>
      <c r="F1555" s="79"/>
      <c r="G1555" s="82"/>
      <c r="H1555" s="68" t="str">
        <f t="shared" si="817"/>
        <v>Senbur0_20191119_09_00</v>
      </c>
      <c r="I1555" s="69">
        <f t="shared" ref="I1555:N1555" si="885">I1554</f>
        <v>1</v>
      </c>
      <c r="J1555" s="76" t="str">
        <f t="shared" si="885"/>
        <v>Senecio</v>
      </c>
      <c r="K1555" s="76" t="str">
        <f t="shared" si="885"/>
        <v>burtoni</v>
      </c>
      <c r="L1555" s="77">
        <f t="shared" si="885"/>
        <v>0</v>
      </c>
      <c r="M1555" s="77">
        <f t="shared" si="885"/>
        <v>7</v>
      </c>
      <c r="N1555" s="71">
        <f t="shared" si="885"/>
        <v>0</v>
      </c>
      <c r="O1555" s="44"/>
      <c r="P1555" s="45" t="str">
        <f t="shared" si="819"/>
        <v/>
      </c>
      <c r="Q1555" s="46" t="str">
        <f t="shared" si="820"/>
        <v/>
      </c>
      <c r="R1555" s="47" t="e">
        <f t="shared" si="821"/>
        <v>#VALUE!</v>
      </c>
      <c r="S1555" s="48" t="e">
        <f t="shared" si="822"/>
        <v>#VALUE!</v>
      </c>
      <c r="T1555" s="47" t="str">
        <f t="shared" si="823"/>
        <v/>
      </c>
      <c r="U1555" s="49"/>
      <c r="V1555" s="50"/>
      <c r="W1555" s="51" t="e">
        <f t="shared" si="824"/>
        <v>#VALUE!</v>
      </c>
      <c r="X1555" s="52"/>
      <c r="Y1555" s="52"/>
      <c r="Z1555" s="52"/>
      <c r="AA1555" s="47" t="e">
        <f>INDEX(VISITORS[INSECT ORDER], MATCH(X1555,VISITORS[NAME USED],0))</f>
        <v>#N/A</v>
      </c>
      <c r="AB1555" s="47" t="e">
        <f t="shared" si="825"/>
        <v>#N/A</v>
      </c>
      <c r="AC1555" s="53" t="e">
        <f t="shared" si="826"/>
        <v>#VALUE!</v>
      </c>
      <c r="AD1555" s="54" t="str">
        <f t="shared" si="834"/>
        <v/>
      </c>
      <c r="AE1555" s="54"/>
      <c r="AF1555" s="54"/>
      <c r="AG1555" s="55" t="str">
        <f t="shared" si="835"/>
        <v/>
      </c>
      <c r="AH1555" s="56" t="str">
        <f t="shared" si="836"/>
        <v/>
      </c>
      <c r="AI1555" s="55"/>
      <c r="AJ1555" s="56" t="str">
        <f t="shared" si="827"/>
        <v/>
      </c>
      <c r="AK1555" s="55"/>
      <c r="AL1555" s="56" t="str">
        <f t="shared" si="828"/>
        <v/>
      </c>
      <c r="AM1555" s="55"/>
      <c r="AN1555" s="56" t="str">
        <f t="shared" si="837"/>
        <v/>
      </c>
      <c r="AO1555" s="55"/>
      <c r="AP1555" s="56" t="str">
        <f t="shared" si="829"/>
        <v/>
      </c>
      <c r="AQ1555" s="55"/>
      <c r="AR1555" s="56" t="str">
        <f t="shared" si="830"/>
        <v/>
      </c>
      <c r="AS1555" s="57"/>
      <c r="AT1555" s="58"/>
      <c r="AU1555" s="58"/>
      <c r="AV1555" s="59"/>
      <c r="AW1555" s="60" t="str">
        <f t="shared" si="838"/>
        <v/>
      </c>
      <c r="AX1555" s="61" t="str">
        <f t="shared" si="831"/>
        <v/>
      </c>
      <c r="AY1555" s="60" t="str">
        <f t="shared" si="839"/>
        <v/>
      </c>
      <c r="AZ1555" s="61" t="str">
        <f t="shared" si="832"/>
        <v/>
      </c>
    </row>
    <row r="1556" spans="1:52" s="3" customFormat="1" ht="15" hidden="1" thickBot="1" x14ac:dyDescent="0.4">
      <c r="A1556" s="85">
        <f t="shared" si="882"/>
        <v>2019</v>
      </c>
      <c r="B1556" s="85" t="str">
        <f t="shared" si="814"/>
        <v>Nov</v>
      </c>
      <c r="C1556" s="86">
        <f t="shared" si="815"/>
        <v>19</v>
      </c>
      <c r="D1556" s="87">
        <f t="shared" si="816"/>
        <v>9</v>
      </c>
      <c r="E1556" s="88">
        <f t="shared" si="883"/>
        <v>39</v>
      </c>
      <c r="F1556" s="89"/>
      <c r="G1556" s="90"/>
      <c r="H1556" s="68" t="str">
        <f t="shared" si="817"/>
        <v>Senbur0_20191119_09_00</v>
      </c>
      <c r="I1556" s="91">
        <f t="shared" ref="I1556:N1556" si="886">I1555</f>
        <v>1</v>
      </c>
      <c r="J1556" s="92" t="str">
        <f t="shared" si="886"/>
        <v>Senecio</v>
      </c>
      <c r="K1556" s="92" t="str">
        <f t="shared" si="886"/>
        <v>burtoni</v>
      </c>
      <c r="L1556" s="93">
        <f t="shared" si="886"/>
        <v>0</v>
      </c>
      <c r="M1556" s="93">
        <f t="shared" si="886"/>
        <v>7</v>
      </c>
      <c r="N1556" s="94">
        <f t="shared" si="886"/>
        <v>0</v>
      </c>
      <c r="O1556" s="95"/>
      <c r="P1556" s="96" t="str">
        <f t="shared" si="819"/>
        <v/>
      </c>
      <c r="Q1556" s="97" t="str">
        <f t="shared" si="820"/>
        <v/>
      </c>
      <c r="R1556" s="98" t="e">
        <f t="shared" si="821"/>
        <v>#VALUE!</v>
      </c>
      <c r="S1556" s="98" t="e">
        <f t="shared" si="822"/>
        <v>#VALUE!</v>
      </c>
      <c r="T1556" s="98" t="str">
        <f t="shared" si="823"/>
        <v/>
      </c>
      <c r="U1556" s="99"/>
      <c r="V1556" s="100"/>
      <c r="W1556" s="101" t="e">
        <f t="shared" si="824"/>
        <v>#VALUE!</v>
      </c>
      <c r="X1556" s="102"/>
      <c r="Y1556" s="122"/>
      <c r="Z1556" s="122"/>
      <c r="AA1556" s="47" t="e">
        <f>INDEX(VISITORS[INSECT ORDER], MATCH(X1556,VISITORS[NAME USED],0))</f>
        <v>#N/A</v>
      </c>
      <c r="AB1556" s="98" t="e">
        <f t="shared" si="825"/>
        <v>#N/A</v>
      </c>
      <c r="AC1556" s="53" t="e">
        <f t="shared" si="826"/>
        <v>#VALUE!</v>
      </c>
      <c r="AD1556" s="103" t="str">
        <f t="shared" si="834"/>
        <v/>
      </c>
      <c r="AE1556" s="103"/>
      <c r="AF1556" s="103"/>
      <c r="AG1556" s="104" t="str">
        <f t="shared" si="835"/>
        <v/>
      </c>
      <c r="AH1556" s="105" t="str">
        <f t="shared" si="836"/>
        <v/>
      </c>
      <c r="AI1556" s="104"/>
      <c r="AJ1556" s="105" t="str">
        <f t="shared" si="827"/>
        <v/>
      </c>
      <c r="AK1556" s="104"/>
      <c r="AL1556" s="105" t="str">
        <f t="shared" si="828"/>
        <v/>
      </c>
      <c r="AM1556" s="104"/>
      <c r="AN1556" s="105" t="str">
        <f t="shared" si="837"/>
        <v/>
      </c>
      <c r="AO1556" s="104"/>
      <c r="AP1556" s="105" t="str">
        <f t="shared" si="829"/>
        <v/>
      </c>
      <c r="AQ1556" s="104"/>
      <c r="AR1556" s="105" t="str">
        <f t="shared" si="830"/>
        <v/>
      </c>
      <c r="AS1556" s="106"/>
      <c r="AT1556" s="107"/>
      <c r="AU1556" s="107"/>
      <c r="AV1556" s="108"/>
      <c r="AW1556" s="109" t="str">
        <f t="shared" si="838"/>
        <v/>
      </c>
      <c r="AX1556" s="110" t="str">
        <f t="shared" si="831"/>
        <v/>
      </c>
      <c r="AY1556" s="109" t="str">
        <f t="shared" si="839"/>
        <v/>
      </c>
      <c r="AZ1556" s="110" t="str">
        <f t="shared" si="832"/>
        <v/>
      </c>
    </row>
    <row r="1557" spans="1:52" s="3" customFormat="1" ht="11.25" hidden="1" customHeight="1" x14ac:dyDescent="0.35">
      <c r="A1557" s="72">
        <f t="shared" si="882"/>
        <v>2019</v>
      </c>
      <c r="B1557" s="72" t="str">
        <f t="shared" si="814"/>
        <v>Nov</v>
      </c>
      <c r="C1557" s="73">
        <f t="shared" si="815"/>
        <v>19</v>
      </c>
      <c r="D1557" s="74">
        <f t="shared" si="816"/>
        <v>9</v>
      </c>
      <c r="E1557" s="75">
        <f t="shared" si="883"/>
        <v>40</v>
      </c>
      <c r="F1557" s="79"/>
      <c r="G1557" s="82"/>
      <c r="H1557" s="68" t="str">
        <f t="shared" si="817"/>
        <v>Senbur0_20191119_09_00</v>
      </c>
      <c r="I1557" s="69">
        <f t="shared" ref="I1557:N1557" si="887">I1556</f>
        <v>1</v>
      </c>
      <c r="J1557" s="76" t="str">
        <f t="shared" si="887"/>
        <v>Senecio</v>
      </c>
      <c r="K1557" s="76" t="str">
        <f t="shared" si="887"/>
        <v>burtoni</v>
      </c>
      <c r="L1557" s="77">
        <f t="shared" si="887"/>
        <v>0</v>
      </c>
      <c r="M1557" s="77">
        <f t="shared" si="887"/>
        <v>7</v>
      </c>
      <c r="N1557" s="71">
        <f t="shared" si="887"/>
        <v>0</v>
      </c>
      <c r="O1557" s="44"/>
      <c r="P1557" s="45" t="str">
        <f t="shared" si="819"/>
        <v/>
      </c>
      <c r="Q1557" s="46" t="str">
        <f t="shared" si="820"/>
        <v/>
      </c>
      <c r="R1557" s="47" t="e">
        <f t="shared" si="821"/>
        <v>#VALUE!</v>
      </c>
      <c r="S1557" s="48" t="e">
        <f t="shared" si="822"/>
        <v>#VALUE!</v>
      </c>
      <c r="T1557" s="47" t="str">
        <f t="shared" si="823"/>
        <v/>
      </c>
      <c r="U1557" s="49"/>
      <c r="V1557" s="50"/>
      <c r="W1557" s="51" t="e">
        <f t="shared" si="824"/>
        <v>#VALUE!</v>
      </c>
      <c r="X1557" s="52"/>
      <c r="Y1557" s="52"/>
      <c r="Z1557" s="52"/>
      <c r="AA1557" s="47" t="e">
        <f>INDEX(VISITORS[INSECT ORDER], MATCH(X1557,VISITORS[NAME USED],0))</f>
        <v>#N/A</v>
      </c>
      <c r="AB1557" s="47" t="e">
        <f t="shared" si="825"/>
        <v>#N/A</v>
      </c>
      <c r="AC1557" s="53" t="e">
        <f t="shared" si="826"/>
        <v>#VALUE!</v>
      </c>
      <c r="AD1557" s="54" t="str">
        <f t="shared" si="834"/>
        <v/>
      </c>
      <c r="AE1557" s="54"/>
      <c r="AF1557" s="54"/>
      <c r="AG1557" s="55" t="str">
        <f t="shared" si="835"/>
        <v/>
      </c>
      <c r="AH1557" s="56" t="str">
        <f t="shared" si="836"/>
        <v/>
      </c>
      <c r="AI1557" s="55"/>
      <c r="AJ1557" s="56" t="str">
        <f t="shared" si="827"/>
        <v/>
      </c>
      <c r="AK1557" s="55"/>
      <c r="AL1557" s="56" t="str">
        <f t="shared" si="828"/>
        <v/>
      </c>
      <c r="AM1557" s="55"/>
      <c r="AN1557" s="56" t="str">
        <f t="shared" si="837"/>
        <v/>
      </c>
      <c r="AO1557" s="55"/>
      <c r="AP1557" s="56" t="str">
        <f t="shared" si="829"/>
        <v/>
      </c>
      <c r="AQ1557" s="55"/>
      <c r="AR1557" s="56" t="str">
        <f t="shared" si="830"/>
        <v/>
      </c>
      <c r="AS1557" s="57"/>
      <c r="AT1557" s="58"/>
      <c r="AU1557" s="58"/>
      <c r="AV1557" s="59"/>
      <c r="AW1557" s="60" t="str">
        <f t="shared" si="838"/>
        <v/>
      </c>
      <c r="AX1557" s="61" t="str">
        <f t="shared" si="831"/>
        <v/>
      </c>
      <c r="AY1557" s="60" t="str">
        <f t="shared" si="839"/>
        <v/>
      </c>
      <c r="AZ1557" s="61" t="str">
        <f t="shared" si="832"/>
        <v/>
      </c>
    </row>
    <row r="1558" spans="1:52" s="3" customFormat="1" hidden="1" x14ac:dyDescent="0.35">
      <c r="A1558" s="72">
        <f t="shared" si="882"/>
        <v>2019</v>
      </c>
      <c r="B1558" s="72" t="str">
        <f t="shared" si="814"/>
        <v>Nov</v>
      </c>
      <c r="C1558" s="73">
        <f t="shared" si="815"/>
        <v>19</v>
      </c>
      <c r="D1558" s="74">
        <f t="shared" si="816"/>
        <v>9</v>
      </c>
      <c r="E1558" s="75">
        <f t="shared" si="883"/>
        <v>41</v>
      </c>
      <c r="F1558" s="79">
        <v>6</v>
      </c>
      <c r="G1558" s="82"/>
      <c r="H1558" s="68" t="str">
        <f t="shared" si="817"/>
        <v>Senbur0_20191119_09_00</v>
      </c>
      <c r="I1558" s="69">
        <f t="shared" ref="I1558:N1558" si="888">I1557</f>
        <v>1</v>
      </c>
      <c r="J1558" s="76" t="str">
        <f t="shared" si="888"/>
        <v>Senecio</v>
      </c>
      <c r="K1558" s="76" t="str">
        <f t="shared" si="888"/>
        <v>burtoni</v>
      </c>
      <c r="L1558" s="77">
        <f t="shared" si="888"/>
        <v>0</v>
      </c>
      <c r="M1558" s="77">
        <f t="shared" si="888"/>
        <v>7</v>
      </c>
      <c r="N1558" s="71">
        <f t="shared" si="888"/>
        <v>0</v>
      </c>
      <c r="O1558" s="44"/>
      <c r="P1558" s="45">
        <f t="shared" si="819"/>
        <v>1</v>
      </c>
      <c r="Q1558" s="46" t="str">
        <f t="shared" si="820"/>
        <v>09:41:06</v>
      </c>
      <c r="R1558" s="47" t="str">
        <f t="shared" si="821"/>
        <v>41:06</v>
      </c>
      <c r="S1558" s="48">
        <f t="shared" si="822"/>
        <v>74</v>
      </c>
      <c r="T1558" s="47" t="str">
        <f t="shared" si="823"/>
        <v>09</v>
      </c>
      <c r="U1558" s="49">
        <v>42</v>
      </c>
      <c r="V1558" s="50">
        <v>20</v>
      </c>
      <c r="W1558" s="51" t="str">
        <f t="shared" si="824"/>
        <v>42:20</v>
      </c>
      <c r="X1558" s="52" t="s">
        <v>63</v>
      </c>
      <c r="Y1558" s="124" t="s">
        <v>82</v>
      </c>
      <c r="Z1558" s="124"/>
      <c r="AA1558" s="47" t="s">
        <v>59</v>
      </c>
      <c r="AB1558" s="47" t="str">
        <f t="shared" si="825"/>
        <v>NA</v>
      </c>
      <c r="AC1558" s="53">
        <f t="shared" si="826"/>
        <v>0</v>
      </c>
      <c r="AD1558" s="54">
        <f t="shared" si="834"/>
        <v>1</v>
      </c>
      <c r="AE1558" s="54"/>
      <c r="AF1558" s="54"/>
      <c r="AG1558" s="55">
        <v>1</v>
      </c>
      <c r="AH1558" s="56">
        <v>30</v>
      </c>
      <c r="AI1558" s="55"/>
      <c r="AJ1558" s="56" t="str">
        <f t="shared" si="827"/>
        <v/>
      </c>
      <c r="AK1558" s="55"/>
      <c r="AL1558" s="56" t="str">
        <f t="shared" si="828"/>
        <v/>
      </c>
      <c r="AM1558" s="55">
        <v>1</v>
      </c>
      <c r="AN1558" s="56">
        <v>44</v>
      </c>
      <c r="AO1558" s="55"/>
      <c r="AP1558" s="56" t="str">
        <f t="shared" si="829"/>
        <v/>
      </c>
      <c r="AQ1558" s="55"/>
      <c r="AR1558" s="56" t="str">
        <f t="shared" si="830"/>
        <v/>
      </c>
      <c r="AS1558" s="57"/>
      <c r="AT1558" s="58"/>
      <c r="AU1558" s="58"/>
      <c r="AV1558" s="59"/>
      <c r="AW1558" s="60">
        <v>1</v>
      </c>
      <c r="AX1558" s="61">
        <f t="shared" si="831"/>
        <v>1</v>
      </c>
      <c r="AY1558" s="60">
        <v>1</v>
      </c>
      <c r="AZ1558" s="61">
        <f t="shared" si="832"/>
        <v>1</v>
      </c>
    </row>
    <row r="1559" spans="1:52" s="3" customFormat="1" ht="15" hidden="1" thickBot="1" x14ac:dyDescent="0.4">
      <c r="A1559" s="85">
        <f t="shared" si="882"/>
        <v>2019</v>
      </c>
      <c r="B1559" s="85" t="str">
        <f t="shared" si="814"/>
        <v>Nov</v>
      </c>
      <c r="C1559" s="86">
        <f t="shared" si="815"/>
        <v>19</v>
      </c>
      <c r="D1559" s="87">
        <f t="shared" si="816"/>
        <v>9</v>
      </c>
      <c r="E1559" s="88">
        <f t="shared" si="883"/>
        <v>42</v>
      </c>
      <c r="F1559" s="89"/>
      <c r="G1559" s="90"/>
      <c r="H1559" s="68" t="str">
        <f t="shared" si="817"/>
        <v>Senbur0_20191119_09_00</v>
      </c>
      <c r="I1559" s="91">
        <f t="shared" ref="I1559:N1559" si="889">I1558</f>
        <v>1</v>
      </c>
      <c r="J1559" s="92" t="str">
        <f t="shared" si="889"/>
        <v>Senecio</v>
      </c>
      <c r="K1559" s="92" t="str">
        <f t="shared" si="889"/>
        <v>burtoni</v>
      </c>
      <c r="L1559" s="93">
        <f t="shared" si="889"/>
        <v>0</v>
      </c>
      <c r="M1559" s="93">
        <f t="shared" si="889"/>
        <v>7</v>
      </c>
      <c r="N1559" s="94">
        <f t="shared" si="889"/>
        <v>0</v>
      </c>
      <c r="O1559" s="95"/>
      <c r="P1559" s="96" t="str">
        <f t="shared" si="819"/>
        <v/>
      </c>
      <c r="Q1559" s="97" t="str">
        <f t="shared" si="820"/>
        <v/>
      </c>
      <c r="R1559" s="98" t="e">
        <f t="shared" si="821"/>
        <v>#VALUE!</v>
      </c>
      <c r="S1559" s="98" t="e">
        <f t="shared" si="822"/>
        <v>#VALUE!</v>
      </c>
      <c r="T1559" s="98" t="str">
        <f t="shared" si="823"/>
        <v/>
      </c>
      <c r="U1559" s="99"/>
      <c r="V1559" s="100"/>
      <c r="W1559" s="101" t="e">
        <f t="shared" si="824"/>
        <v>#VALUE!</v>
      </c>
      <c r="X1559" s="102"/>
      <c r="Y1559" s="122"/>
      <c r="Z1559" s="122"/>
      <c r="AA1559" s="47" t="e">
        <f>INDEX(VISITORS[INSECT ORDER], MATCH(X1559,VISITORS[NAME USED],0))</f>
        <v>#N/A</v>
      </c>
      <c r="AB1559" s="98" t="e">
        <f t="shared" si="825"/>
        <v>#N/A</v>
      </c>
      <c r="AC1559" s="53" t="e">
        <f t="shared" si="826"/>
        <v>#VALUE!</v>
      </c>
      <c r="AD1559" s="103" t="str">
        <f t="shared" si="834"/>
        <v/>
      </c>
      <c r="AE1559" s="103"/>
      <c r="AF1559" s="103"/>
      <c r="AG1559" s="104" t="str">
        <f t="shared" si="835"/>
        <v/>
      </c>
      <c r="AH1559" s="105" t="str">
        <f t="shared" si="836"/>
        <v/>
      </c>
      <c r="AI1559" s="104"/>
      <c r="AJ1559" s="105" t="str">
        <f t="shared" si="827"/>
        <v/>
      </c>
      <c r="AK1559" s="104"/>
      <c r="AL1559" s="105" t="str">
        <f t="shared" si="828"/>
        <v/>
      </c>
      <c r="AM1559" s="104"/>
      <c r="AN1559" s="105" t="str">
        <f t="shared" si="837"/>
        <v/>
      </c>
      <c r="AO1559" s="104"/>
      <c r="AP1559" s="105" t="str">
        <f t="shared" si="829"/>
        <v/>
      </c>
      <c r="AQ1559" s="104"/>
      <c r="AR1559" s="105" t="str">
        <f t="shared" si="830"/>
        <v/>
      </c>
      <c r="AS1559" s="106"/>
      <c r="AT1559" s="107"/>
      <c r="AU1559" s="107"/>
      <c r="AV1559" s="108"/>
      <c r="AW1559" s="109" t="str">
        <f t="shared" si="838"/>
        <v/>
      </c>
      <c r="AX1559" s="110" t="str">
        <f t="shared" si="831"/>
        <v/>
      </c>
      <c r="AY1559" s="109" t="str">
        <f t="shared" si="839"/>
        <v/>
      </c>
      <c r="AZ1559" s="110" t="str">
        <f t="shared" si="832"/>
        <v/>
      </c>
    </row>
    <row r="1560" spans="1:52" s="3" customFormat="1" ht="11.25" hidden="1" customHeight="1" x14ac:dyDescent="0.35">
      <c r="A1560" s="72">
        <f t="shared" si="882"/>
        <v>2019</v>
      </c>
      <c r="B1560" s="72" t="str">
        <f t="shared" si="814"/>
        <v>Nov</v>
      </c>
      <c r="C1560" s="73">
        <f t="shared" si="815"/>
        <v>19</v>
      </c>
      <c r="D1560" s="74">
        <f t="shared" si="816"/>
        <v>9</v>
      </c>
      <c r="E1560" s="75">
        <f t="shared" si="883"/>
        <v>43</v>
      </c>
      <c r="F1560" s="79"/>
      <c r="G1560" s="82"/>
      <c r="H1560" s="68" t="str">
        <f t="shared" si="817"/>
        <v>Senbur0_20191119_09_00</v>
      </c>
      <c r="I1560" s="69">
        <f t="shared" ref="I1560:N1560" si="890">I1559</f>
        <v>1</v>
      </c>
      <c r="J1560" s="76" t="str">
        <f t="shared" si="890"/>
        <v>Senecio</v>
      </c>
      <c r="K1560" s="76" t="str">
        <f t="shared" si="890"/>
        <v>burtoni</v>
      </c>
      <c r="L1560" s="77">
        <f t="shared" si="890"/>
        <v>0</v>
      </c>
      <c r="M1560" s="77">
        <f t="shared" si="890"/>
        <v>7</v>
      </c>
      <c r="N1560" s="71">
        <f t="shared" si="890"/>
        <v>0</v>
      </c>
      <c r="O1560" s="44"/>
      <c r="P1560" s="45" t="str">
        <f t="shared" si="819"/>
        <v/>
      </c>
      <c r="Q1560" s="46" t="str">
        <f t="shared" si="820"/>
        <v/>
      </c>
      <c r="R1560" s="47" t="e">
        <f t="shared" si="821"/>
        <v>#VALUE!</v>
      </c>
      <c r="S1560" s="48" t="e">
        <f t="shared" si="822"/>
        <v>#VALUE!</v>
      </c>
      <c r="T1560" s="47" t="str">
        <f t="shared" si="823"/>
        <v/>
      </c>
      <c r="U1560" s="49"/>
      <c r="V1560" s="50"/>
      <c r="W1560" s="51" t="e">
        <f t="shared" si="824"/>
        <v>#VALUE!</v>
      </c>
      <c r="X1560" s="52"/>
      <c r="Y1560" s="52"/>
      <c r="Z1560" s="52"/>
      <c r="AA1560" s="47" t="e">
        <f>INDEX(VISITORS[INSECT ORDER], MATCH(X1560,VISITORS[NAME USED],0))</f>
        <v>#N/A</v>
      </c>
      <c r="AB1560" s="47" t="e">
        <f t="shared" si="825"/>
        <v>#N/A</v>
      </c>
      <c r="AC1560" s="53" t="e">
        <f t="shared" si="826"/>
        <v>#VALUE!</v>
      </c>
      <c r="AD1560" s="54" t="str">
        <f t="shared" si="834"/>
        <v/>
      </c>
      <c r="AE1560" s="54"/>
      <c r="AF1560" s="54"/>
      <c r="AG1560" s="55" t="str">
        <f t="shared" si="835"/>
        <v/>
      </c>
      <c r="AH1560" s="56" t="str">
        <f t="shared" si="836"/>
        <v/>
      </c>
      <c r="AI1560" s="55"/>
      <c r="AJ1560" s="56" t="str">
        <f t="shared" si="827"/>
        <v/>
      </c>
      <c r="AK1560" s="55"/>
      <c r="AL1560" s="56" t="str">
        <f t="shared" si="828"/>
        <v/>
      </c>
      <c r="AM1560" s="55"/>
      <c r="AN1560" s="56" t="str">
        <f t="shared" si="837"/>
        <v/>
      </c>
      <c r="AO1560" s="55"/>
      <c r="AP1560" s="56" t="str">
        <f t="shared" si="829"/>
        <v/>
      </c>
      <c r="AQ1560" s="55"/>
      <c r="AR1560" s="56" t="str">
        <f t="shared" si="830"/>
        <v/>
      </c>
      <c r="AS1560" s="57"/>
      <c r="AT1560" s="58"/>
      <c r="AU1560" s="58"/>
      <c r="AV1560" s="59"/>
      <c r="AW1560" s="60" t="str">
        <f t="shared" si="838"/>
        <v/>
      </c>
      <c r="AX1560" s="61" t="str">
        <f t="shared" si="831"/>
        <v/>
      </c>
      <c r="AY1560" s="60" t="str">
        <f t="shared" si="839"/>
        <v/>
      </c>
      <c r="AZ1560" s="61" t="str">
        <f t="shared" si="832"/>
        <v/>
      </c>
    </row>
    <row r="1561" spans="1:52" s="3" customFormat="1" hidden="1" x14ac:dyDescent="0.35">
      <c r="A1561" s="72">
        <f t="shared" si="882"/>
        <v>2019</v>
      </c>
      <c r="B1561" s="72" t="str">
        <f t="shared" si="814"/>
        <v>Nov</v>
      </c>
      <c r="C1561" s="73">
        <f t="shared" si="815"/>
        <v>19</v>
      </c>
      <c r="D1561" s="74">
        <f t="shared" si="816"/>
        <v>9</v>
      </c>
      <c r="E1561" s="75">
        <f t="shared" si="883"/>
        <v>44</v>
      </c>
      <c r="F1561" s="79"/>
      <c r="G1561" s="82"/>
      <c r="H1561" s="68" t="str">
        <f t="shared" si="817"/>
        <v>Senbur0_20191119_09_00</v>
      </c>
      <c r="I1561" s="69">
        <f t="shared" ref="I1561:N1561" si="891">I1560</f>
        <v>1</v>
      </c>
      <c r="J1561" s="76" t="str">
        <f t="shared" si="891"/>
        <v>Senecio</v>
      </c>
      <c r="K1561" s="76" t="str">
        <f t="shared" si="891"/>
        <v>burtoni</v>
      </c>
      <c r="L1561" s="77">
        <f t="shared" si="891"/>
        <v>0</v>
      </c>
      <c r="M1561" s="77">
        <f t="shared" si="891"/>
        <v>7</v>
      </c>
      <c r="N1561" s="71">
        <f t="shared" si="891"/>
        <v>0</v>
      </c>
      <c r="O1561" s="44"/>
      <c r="P1561" s="45" t="str">
        <f t="shared" si="819"/>
        <v/>
      </c>
      <c r="Q1561" s="46" t="str">
        <f t="shared" si="820"/>
        <v/>
      </c>
      <c r="R1561" s="47" t="e">
        <f t="shared" si="821"/>
        <v>#VALUE!</v>
      </c>
      <c r="S1561" s="48" t="e">
        <f t="shared" si="822"/>
        <v>#VALUE!</v>
      </c>
      <c r="T1561" s="47" t="str">
        <f t="shared" si="823"/>
        <v/>
      </c>
      <c r="U1561" s="49"/>
      <c r="V1561" s="50"/>
      <c r="W1561" s="51" t="e">
        <f t="shared" si="824"/>
        <v>#VALUE!</v>
      </c>
      <c r="X1561" s="52"/>
      <c r="Y1561" s="52"/>
      <c r="Z1561" s="52"/>
      <c r="AA1561" s="47" t="e">
        <f>INDEX(VISITORS[INSECT ORDER], MATCH(X1561,VISITORS[NAME USED],0))</f>
        <v>#N/A</v>
      </c>
      <c r="AB1561" s="47" t="e">
        <f t="shared" si="825"/>
        <v>#N/A</v>
      </c>
      <c r="AC1561" s="53" t="e">
        <f t="shared" si="826"/>
        <v>#VALUE!</v>
      </c>
      <c r="AD1561" s="54" t="str">
        <f t="shared" si="834"/>
        <v/>
      </c>
      <c r="AE1561" s="54"/>
      <c r="AF1561" s="54"/>
      <c r="AG1561" s="55" t="str">
        <f t="shared" si="835"/>
        <v/>
      </c>
      <c r="AH1561" s="56" t="str">
        <f t="shared" si="836"/>
        <v/>
      </c>
      <c r="AI1561" s="55"/>
      <c r="AJ1561" s="56" t="str">
        <f t="shared" si="827"/>
        <v/>
      </c>
      <c r="AK1561" s="55"/>
      <c r="AL1561" s="56" t="str">
        <f t="shared" si="828"/>
        <v/>
      </c>
      <c r="AM1561" s="55"/>
      <c r="AN1561" s="56" t="str">
        <f t="shared" si="837"/>
        <v/>
      </c>
      <c r="AO1561" s="55"/>
      <c r="AP1561" s="56" t="str">
        <f t="shared" si="829"/>
        <v/>
      </c>
      <c r="AQ1561" s="55"/>
      <c r="AR1561" s="56" t="str">
        <f t="shared" si="830"/>
        <v/>
      </c>
      <c r="AS1561" s="57"/>
      <c r="AT1561" s="58"/>
      <c r="AU1561" s="58"/>
      <c r="AV1561" s="59"/>
      <c r="AW1561" s="60" t="str">
        <f t="shared" si="838"/>
        <v/>
      </c>
      <c r="AX1561" s="61" t="str">
        <f t="shared" si="831"/>
        <v/>
      </c>
      <c r="AY1561" s="60" t="str">
        <f t="shared" si="839"/>
        <v/>
      </c>
      <c r="AZ1561" s="61" t="str">
        <f t="shared" si="832"/>
        <v/>
      </c>
    </row>
    <row r="1562" spans="1:52" s="3" customFormat="1" ht="15" hidden="1" thickBot="1" x14ac:dyDescent="0.4">
      <c r="A1562" s="85">
        <f t="shared" si="882"/>
        <v>2019</v>
      </c>
      <c r="B1562" s="85" t="str">
        <f t="shared" si="814"/>
        <v>Nov</v>
      </c>
      <c r="C1562" s="86">
        <f t="shared" si="815"/>
        <v>19</v>
      </c>
      <c r="D1562" s="87">
        <f t="shared" si="816"/>
        <v>9</v>
      </c>
      <c r="E1562" s="88">
        <f t="shared" si="883"/>
        <v>45</v>
      </c>
      <c r="F1562" s="89"/>
      <c r="G1562" s="90"/>
      <c r="H1562" s="68" t="str">
        <f t="shared" si="817"/>
        <v>Senbur0_20191119_09_00</v>
      </c>
      <c r="I1562" s="91">
        <f t="shared" ref="I1562:N1562" si="892">I1561</f>
        <v>1</v>
      </c>
      <c r="J1562" s="92" t="str">
        <f t="shared" si="892"/>
        <v>Senecio</v>
      </c>
      <c r="K1562" s="92" t="str">
        <f t="shared" si="892"/>
        <v>burtoni</v>
      </c>
      <c r="L1562" s="93">
        <f t="shared" si="892"/>
        <v>0</v>
      </c>
      <c r="M1562" s="93">
        <f t="shared" si="892"/>
        <v>7</v>
      </c>
      <c r="N1562" s="94">
        <f t="shared" si="892"/>
        <v>0</v>
      </c>
      <c r="O1562" s="95"/>
      <c r="P1562" s="96" t="str">
        <f t="shared" si="819"/>
        <v/>
      </c>
      <c r="Q1562" s="97" t="str">
        <f t="shared" si="820"/>
        <v/>
      </c>
      <c r="R1562" s="98" t="e">
        <f t="shared" si="821"/>
        <v>#VALUE!</v>
      </c>
      <c r="S1562" s="98" t="e">
        <f t="shared" si="822"/>
        <v>#VALUE!</v>
      </c>
      <c r="T1562" s="98" t="str">
        <f t="shared" si="823"/>
        <v/>
      </c>
      <c r="U1562" s="99"/>
      <c r="V1562" s="100"/>
      <c r="W1562" s="101" t="e">
        <f t="shared" si="824"/>
        <v>#VALUE!</v>
      </c>
      <c r="X1562" s="102"/>
      <c r="Y1562" s="122"/>
      <c r="Z1562" s="122"/>
      <c r="AA1562" s="47" t="e">
        <f>INDEX(VISITORS[INSECT ORDER], MATCH(X1562,VISITORS[NAME USED],0))</f>
        <v>#N/A</v>
      </c>
      <c r="AB1562" s="98" t="e">
        <f t="shared" si="825"/>
        <v>#N/A</v>
      </c>
      <c r="AC1562" s="53" t="e">
        <f t="shared" si="826"/>
        <v>#VALUE!</v>
      </c>
      <c r="AD1562" s="103" t="str">
        <f t="shared" si="834"/>
        <v/>
      </c>
      <c r="AE1562" s="103"/>
      <c r="AF1562" s="103"/>
      <c r="AG1562" s="104" t="str">
        <f t="shared" si="835"/>
        <v/>
      </c>
      <c r="AH1562" s="105" t="str">
        <f t="shared" si="836"/>
        <v/>
      </c>
      <c r="AI1562" s="104"/>
      <c r="AJ1562" s="105" t="str">
        <f t="shared" si="827"/>
        <v/>
      </c>
      <c r="AK1562" s="104"/>
      <c r="AL1562" s="105" t="str">
        <f t="shared" si="828"/>
        <v/>
      </c>
      <c r="AM1562" s="104"/>
      <c r="AN1562" s="105" t="str">
        <f t="shared" si="837"/>
        <v/>
      </c>
      <c r="AO1562" s="104"/>
      <c r="AP1562" s="105" t="str">
        <f t="shared" si="829"/>
        <v/>
      </c>
      <c r="AQ1562" s="104"/>
      <c r="AR1562" s="105" t="str">
        <f t="shared" si="830"/>
        <v/>
      </c>
      <c r="AS1562" s="106"/>
      <c r="AT1562" s="107"/>
      <c r="AU1562" s="107"/>
      <c r="AV1562" s="108"/>
      <c r="AW1562" s="109" t="str">
        <f t="shared" si="838"/>
        <v/>
      </c>
      <c r="AX1562" s="110" t="str">
        <f t="shared" si="831"/>
        <v/>
      </c>
      <c r="AY1562" s="109" t="str">
        <f t="shared" si="839"/>
        <v/>
      </c>
      <c r="AZ1562" s="110" t="str">
        <f t="shared" si="832"/>
        <v/>
      </c>
    </row>
    <row r="1563" spans="1:52" s="3" customFormat="1" ht="11.25" hidden="1" customHeight="1" x14ac:dyDescent="0.35">
      <c r="A1563" s="72">
        <f t="shared" si="882"/>
        <v>2019</v>
      </c>
      <c r="B1563" s="72" t="str">
        <f t="shared" si="814"/>
        <v>Nov</v>
      </c>
      <c r="C1563" s="73">
        <f t="shared" si="815"/>
        <v>19</v>
      </c>
      <c r="D1563" s="74">
        <f t="shared" si="816"/>
        <v>9</v>
      </c>
      <c r="E1563" s="75">
        <f t="shared" si="883"/>
        <v>46</v>
      </c>
      <c r="F1563" s="79"/>
      <c r="G1563" s="82"/>
      <c r="H1563" s="68" t="str">
        <f t="shared" si="817"/>
        <v>Senbur0_20191119_09_00</v>
      </c>
      <c r="I1563" s="69">
        <f t="shared" ref="I1563:N1563" si="893">I1562</f>
        <v>1</v>
      </c>
      <c r="J1563" s="76" t="str">
        <f t="shared" si="893"/>
        <v>Senecio</v>
      </c>
      <c r="K1563" s="76" t="str">
        <f t="shared" si="893"/>
        <v>burtoni</v>
      </c>
      <c r="L1563" s="77">
        <f t="shared" si="893"/>
        <v>0</v>
      </c>
      <c r="M1563" s="77">
        <f t="shared" si="893"/>
        <v>7</v>
      </c>
      <c r="N1563" s="71">
        <f t="shared" si="893"/>
        <v>0</v>
      </c>
      <c r="O1563" s="44"/>
      <c r="P1563" s="45" t="str">
        <f t="shared" si="819"/>
        <v/>
      </c>
      <c r="Q1563" s="46" t="str">
        <f t="shared" si="820"/>
        <v/>
      </c>
      <c r="R1563" s="47" t="e">
        <f t="shared" si="821"/>
        <v>#VALUE!</v>
      </c>
      <c r="S1563" s="48" t="e">
        <f t="shared" si="822"/>
        <v>#VALUE!</v>
      </c>
      <c r="T1563" s="47" t="str">
        <f t="shared" si="823"/>
        <v/>
      </c>
      <c r="U1563" s="49"/>
      <c r="V1563" s="50"/>
      <c r="W1563" s="51" t="e">
        <f t="shared" si="824"/>
        <v>#VALUE!</v>
      </c>
      <c r="X1563" s="52"/>
      <c r="Y1563" s="52"/>
      <c r="Z1563" s="52"/>
      <c r="AA1563" s="47" t="e">
        <f>INDEX(VISITORS[INSECT ORDER], MATCH(X1563,VISITORS[NAME USED],0))</f>
        <v>#N/A</v>
      </c>
      <c r="AB1563" s="47" t="e">
        <f t="shared" si="825"/>
        <v>#N/A</v>
      </c>
      <c r="AC1563" s="53" t="e">
        <f t="shared" si="826"/>
        <v>#VALUE!</v>
      </c>
      <c r="AD1563" s="54" t="str">
        <f t="shared" si="834"/>
        <v/>
      </c>
      <c r="AE1563" s="54"/>
      <c r="AF1563" s="54"/>
      <c r="AG1563" s="55" t="str">
        <f t="shared" si="835"/>
        <v/>
      </c>
      <c r="AH1563" s="56" t="str">
        <f t="shared" si="836"/>
        <v/>
      </c>
      <c r="AI1563" s="55"/>
      <c r="AJ1563" s="56" t="str">
        <f t="shared" si="827"/>
        <v/>
      </c>
      <c r="AK1563" s="55"/>
      <c r="AL1563" s="56" t="str">
        <f t="shared" si="828"/>
        <v/>
      </c>
      <c r="AM1563" s="55"/>
      <c r="AN1563" s="56" t="str">
        <f t="shared" si="837"/>
        <v/>
      </c>
      <c r="AO1563" s="55"/>
      <c r="AP1563" s="56" t="str">
        <f t="shared" si="829"/>
        <v/>
      </c>
      <c r="AQ1563" s="55"/>
      <c r="AR1563" s="56" t="str">
        <f t="shared" si="830"/>
        <v/>
      </c>
      <c r="AS1563" s="57"/>
      <c r="AT1563" s="58"/>
      <c r="AU1563" s="58"/>
      <c r="AV1563" s="59"/>
      <c r="AW1563" s="60" t="str">
        <f t="shared" si="838"/>
        <v/>
      </c>
      <c r="AX1563" s="61" t="str">
        <f t="shared" si="831"/>
        <v/>
      </c>
      <c r="AY1563" s="60" t="str">
        <f t="shared" si="839"/>
        <v/>
      </c>
      <c r="AZ1563" s="61" t="str">
        <f t="shared" si="832"/>
        <v/>
      </c>
    </row>
    <row r="1564" spans="1:52" s="3" customFormat="1" hidden="1" x14ac:dyDescent="0.35">
      <c r="A1564" s="72">
        <f t="shared" si="882"/>
        <v>2019</v>
      </c>
      <c r="B1564" s="72" t="str">
        <f t="shared" si="814"/>
        <v>Nov</v>
      </c>
      <c r="C1564" s="73">
        <f t="shared" si="815"/>
        <v>19</v>
      </c>
      <c r="D1564" s="74">
        <f t="shared" si="816"/>
        <v>9</v>
      </c>
      <c r="E1564" s="75">
        <f t="shared" si="883"/>
        <v>47</v>
      </c>
      <c r="F1564" s="79"/>
      <c r="G1564" s="82"/>
      <c r="H1564" s="68" t="str">
        <f t="shared" si="817"/>
        <v>Senbur0_20191119_09_00</v>
      </c>
      <c r="I1564" s="69">
        <f t="shared" ref="I1564:N1564" si="894">I1563</f>
        <v>1</v>
      </c>
      <c r="J1564" s="76" t="str">
        <f t="shared" si="894"/>
        <v>Senecio</v>
      </c>
      <c r="K1564" s="76" t="str">
        <f t="shared" si="894"/>
        <v>burtoni</v>
      </c>
      <c r="L1564" s="77">
        <f t="shared" si="894"/>
        <v>0</v>
      </c>
      <c r="M1564" s="77">
        <f t="shared" si="894"/>
        <v>7</v>
      </c>
      <c r="N1564" s="71">
        <f t="shared" si="894"/>
        <v>0</v>
      </c>
      <c r="O1564" s="44"/>
      <c r="P1564" s="45" t="str">
        <f t="shared" si="819"/>
        <v/>
      </c>
      <c r="Q1564" s="46" t="str">
        <f t="shared" si="820"/>
        <v/>
      </c>
      <c r="R1564" s="47" t="e">
        <f t="shared" si="821"/>
        <v>#VALUE!</v>
      </c>
      <c r="S1564" s="48" t="e">
        <f t="shared" si="822"/>
        <v>#VALUE!</v>
      </c>
      <c r="T1564" s="47" t="str">
        <f t="shared" si="823"/>
        <v/>
      </c>
      <c r="U1564" s="49"/>
      <c r="V1564" s="50"/>
      <c r="W1564" s="51" t="e">
        <f t="shared" si="824"/>
        <v>#VALUE!</v>
      </c>
      <c r="X1564" s="52"/>
      <c r="Y1564" s="52"/>
      <c r="Z1564" s="52"/>
      <c r="AA1564" s="47" t="e">
        <f>INDEX(VISITORS[INSECT ORDER], MATCH(X1564,VISITORS[NAME USED],0))</f>
        <v>#N/A</v>
      </c>
      <c r="AB1564" s="47" t="e">
        <f t="shared" si="825"/>
        <v>#N/A</v>
      </c>
      <c r="AC1564" s="53" t="e">
        <f t="shared" si="826"/>
        <v>#VALUE!</v>
      </c>
      <c r="AD1564" s="54" t="str">
        <f t="shared" si="834"/>
        <v/>
      </c>
      <c r="AE1564" s="54"/>
      <c r="AF1564" s="54"/>
      <c r="AG1564" s="55" t="str">
        <f t="shared" si="835"/>
        <v/>
      </c>
      <c r="AH1564" s="56" t="str">
        <f t="shared" si="836"/>
        <v/>
      </c>
      <c r="AI1564" s="55"/>
      <c r="AJ1564" s="56" t="str">
        <f t="shared" si="827"/>
        <v/>
      </c>
      <c r="AK1564" s="55"/>
      <c r="AL1564" s="56" t="str">
        <f t="shared" si="828"/>
        <v/>
      </c>
      <c r="AM1564" s="55"/>
      <c r="AN1564" s="56" t="str">
        <f t="shared" si="837"/>
        <v/>
      </c>
      <c r="AO1564" s="55"/>
      <c r="AP1564" s="56" t="str">
        <f t="shared" si="829"/>
        <v/>
      </c>
      <c r="AQ1564" s="55"/>
      <c r="AR1564" s="56" t="str">
        <f t="shared" si="830"/>
        <v/>
      </c>
      <c r="AS1564" s="57"/>
      <c r="AT1564" s="58"/>
      <c r="AU1564" s="58"/>
      <c r="AV1564" s="59"/>
      <c r="AW1564" s="60" t="str">
        <f t="shared" si="838"/>
        <v/>
      </c>
      <c r="AX1564" s="61" t="str">
        <f t="shared" si="831"/>
        <v/>
      </c>
      <c r="AY1564" s="60" t="str">
        <f t="shared" si="839"/>
        <v/>
      </c>
      <c r="AZ1564" s="61" t="str">
        <f t="shared" si="832"/>
        <v/>
      </c>
    </row>
    <row r="1565" spans="1:52" s="3" customFormat="1" ht="15" hidden="1" thickBot="1" x14ac:dyDescent="0.4">
      <c r="A1565" s="85">
        <f t="shared" si="882"/>
        <v>2019</v>
      </c>
      <c r="B1565" s="85" t="str">
        <f t="shared" si="814"/>
        <v>Nov</v>
      </c>
      <c r="C1565" s="86">
        <f t="shared" si="815"/>
        <v>19</v>
      </c>
      <c r="D1565" s="87">
        <f t="shared" si="816"/>
        <v>9</v>
      </c>
      <c r="E1565" s="88">
        <f t="shared" si="883"/>
        <v>48</v>
      </c>
      <c r="F1565" s="89"/>
      <c r="G1565" s="90"/>
      <c r="H1565" s="68" t="str">
        <f t="shared" si="817"/>
        <v>Senbur0_20191119_09_00</v>
      </c>
      <c r="I1565" s="91">
        <f t="shared" ref="I1565:N1565" si="895">I1564</f>
        <v>1</v>
      </c>
      <c r="J1565" s="92" t="str">
        <f t="shared" si="895"/>
        <v>Senecio</v>
      </c>
      <c r="K1565" s="92" t="str">
        <f t="shared" si="895"/>
        <v>burtoni</v>
      </c>
      <c r="L1565" s="93">
        <f t="shared" si="895"/>
        <v>0</v>
      </c>
      <c r="M1565" s="93">
        <f t="shared" si="895"/>
        <v>7</v>
      </c>
      <c r="N1565" s="94">
        <f t="shared" si="895"/>
        <v>0</v>
      </c>
      <c r="O1565" s="95"/>
      <c r="P1565" s="96" t="str">
        <f t="shared" si="819"/>
        <v/>
      </c>
      <c r="Q1565" s="97" t="str">
        <f t="shared" si="820"/>
        <v/>
      </c>
      <c r="R1565" s="98" t="e">
        <f t="shared" si="821"/>
        <v>#VALUE!</v>
      </c>
      <c r="S1565" s="98" t="e">
        <f t="shared" si="822"/>
        <v>#VALUE!</v>
      </c>
      <c r="T1565" s="98" t="str">
        <f t="shared" si="823"/>
        <v/>
      </c>
      <c r="U1565" s="99"/>
      <c r="V1565" s="100"/>
      <c r="W1565" s="101" t="e">
        <f t="shared" si="824"/>
        <v>#VALUE!</v>
      </c>
      <c r="X1565" s="102"/>
      <c r="Y1565" s="122"/>
      <c r="Z1565" s="122"/>
      <c r="AA1565" s="47" t="e">
        <f>INDEX(VISITORS[INSECT ORDER], MATCH(X1565,VISITORS[NAME USED],0))</f>
        <v>#N/A</v>
      </c>
      <c r="AB1565" s="98" t="e">
        <f t="shared" si="825"/>
        <v>#N/A</v>
      </c>
      <c r="AC1565" s="53" t="e">
        <f t="shared" si="826"/>
        <v>#VALUE!</v>
      </c>
      <c r="AD1565" s="103" t="str">
        <f t="shared" si="834"/>
        <v/>
      </c>
      <c r="AE1565" s="103"/>
      <c r="AF1565" s="103"/>
      <c r="AG1565" s="104" t="str">
        <f t="shared" si="835"/>
        <v/>
      </c>
      <c r="AH1565" s="105" t="str">
        <f t="shared" si="836"/>
        <v/>
      </c>
      <c r="AI1565" s="104"/>
      <c r="AJ1565" s="105" t="str">
        <f t="shared" si="827"/>
        <v/>
      </c>
      <c r="AK1565" s="104"/>
      <c r="AL1565" s="105" t="str">
        <f t="shared" si="828"/>
        <v/>
      </c>
      <c r="AM1565" s="104"/>
      <c r="AN1565" s="105" t="str">
        <f t="shared" si="837"/>
        <v/>
      </c>
      <c r="AO1565" s="104"/>
      <c r="AP1565" s="105" t="str">
        <f t="shared" si="829"/>
        <v/>
      </c>
      <c r="AQ1565" s="104"/>
      <c r="AR1565" s="105" t="str">
        <f t="shared" si="830"/>
        <v/>
      </c>
      <c r="AS1565" s="106"/>
      <c r="AT1565" s="107"/>
      <c r="AU1565" s="107"/>
      <c r="AV1565" s="108"/>
      <c r="AW1565" s="109" t="str">
        <f t="shared" si="838"/>
        <v/>
      </c>
      <c r="AX1565" s="110" t="str">
        <f t="shared" si="831"/>
        <v/>
      </c>
      <c r="AY1565" s="109" t="str">
        <f t="shared" si="839"/>
        <v/>
      </c>
      <c r="AZ1565" s="110" t="str">
        <f t="shared" si="832"/>
        <v/>
      </c>
    </row>
    <row r="1566" spans="1:52" s="3" customFormat="1" ht="11.25" hidden="1" customHeight="1" x14ac:dyDescent="0.35">
      <c r="A1566" s="72">
        <f t="shared" si="882"/>
        <v>2019</v>
      </c>
      <c r="B1566" s="72" t="str">
        <f t="shared" si="814"/>
        <v>Nov</v>
      </c>
      <c r="C1566" s="73">
        <f t="shared" si="815"/>
        <v>19</v>
      </c>
      <c r="D1566" s="74">
        <f t="shared" si="816"/>
        <v>9</v>
      </c>
      <c r="E1566" s="75">
        <f t="shared" si="883"/>
        <v>49</v>
      </c>
      <c r="F1566" s="79"/>
      <c r="G1566" s="82"/>
      <c r="H1566" s="68" t="str">
        <f t="shared" si="817"/>
        <v>Senbur0_20191119_09_00</v>
      </c>
      <c r="I1566" s="69">
        <f t="shared" ref="I1566:N1566" si="896">I1565</f>
        <v>1</v>
      </c>
      <c r="J1566" s="76" t="str">
        <f t="shared" si="896"/>
        <v>Senecio</v>
      </c>
      <c r="K1566" s="76" t="str">
        <f t="shared" si="896"/>
        <v>burtoni</v>
      </c>
      <c r="L1566" s="77">
        <f t="shared" si="896"/>
        <v>0</v>
      </c>
      <c r="M1566" s="77">
        <f t="shared" si="896"/>
        <v>7</v>
      </c>
      <c r="N1566" s="71">
        <f t="shared" si="896"/>
        <v>0</v>
      </c>
      <c r="O1566" s="44"/>
      <c r="P1566" s="45" t="str">
        <f t="shared" si="819"/>
        <v/>
      </c>
      <c r="Q1566" s="46" t="str">
        <f t="shared" si="820"/>
        <v/>
      </c>
      <c r="R1566" s="47" t="e">
        <f t="shared" si="821"/>
        <v>#VALUE!</v>
      </c>
      <c r="S1566" s="48" t="e">
        <f t="shared" si="822"/>
        <v>#VALUE!</v>
      </c>
      <c r="T1566" s="47" t="str">
        <f t="shared" si="823"/>
        <v/>
      </c>
      <c r="U1566" s="49"/>
      <c r="V1566" s="50"/>
      <c r="W1566" s="51" t="e">
        <f t="shared" si="824"/>
        <v>#VALUE!</v>
      </c>
      <c r="X1566" s="52"/>
      <c r="Y1566" s="52"/>
      <c r="Z1566" s="52"/>
      <c r="AA1566" s="47" t="e">
        <f>INDEX(VISITORS[INSECT ORDER], MATCH(X1566,VISITORS[NAME USED],0))</f>
        <v>#N/A</v>
      </c>
      <c r="AB1566" s="47" t="e">
        <f t="shared" si="825"/>
        <v>#N/A</v>
      </c>
      <c r="AC1566" s="53" t="e">
        <f t="shared" si="826"/>
        <v>#VALUE!</v>
      </c>
      <c r="AD1566" s="54" t="str">
        <f t="shared" si="834"/>
        <v/>
      </c>
      <c r="AE1566" s="54"/>
      <c r="AF1566" s="54"/>
      <c r="AG1566" s="55" t="str">
        <f t="shared" si="835"/>
        <v/>
      </c>
      <c r="AH1566" s="56" t="str">
        <f t="shared" si="836"/>
        <v/>
      </c>
      <c r="AI1566" s="55"/>
      <c r="AJ1566" s="56" t="str">
        <f t="shared" si="827"/>
        <v/>
      </c>
      <c r="AK1566" s="55"/>
      <c r="AL1566" s="56" t="str">
        <f t="shared" si="828"/>
        <v/>
      </c>
      <c r="AM1566" s="55"/>
      <c r="AN1566" s="56" t="str">
        <f t="shared" si="837"/>
        <v/>
      </c>
      <c r="AO1566" s="55"/>
      <c r="AP1566" s="56" t="str">
        <f t="shared" si="829"/>
        <v/>
      </c>
      <c r="AQ1566" s="55"/>
      <c r="AR1566" s="56" t="str">
        <f t="shared" si="830"/>
        <v/>
      </c>
      <c r="AS1566" s="57"/>
      <c r="AT1566" s="58"/>
      <c r="AU1566" s="58"/>
      <c r="AV1566" s="59"/>
      <c r="AW1566" s="60" t="str">
        <f t="shared" si="838"/>
        <v/>
      </c>
      <c r="AX1566" s="61" t="str">
        <f t="shared" si="831"/>
        <v/>
      </c>
      <c r="AY1566" s="60" t="str">
        <f t="shared" si="839"/>
        <v/>
      </c>
      <c r="AZ1566" s="61" t="str">
        <f t="shared" si="832"/>
        <v/>
      </c>
    </row>
    <row r="1567" spans="1:52" s="3" customFormat="1" hidden="1" x14ac:dyDescent="0.35">
      <c r="A1567" s="72">
        <f t="shared" si="882"/>
        <v>2019</v>
      </c>
      <c r="B1567" s="72" t="str">
        <f t="shared" si="814"/>
        <v>Nov</v>
      </c>
      <c r="C1567" s="73">
        <f t="shared" si="815"/>
        <v>19</v>
      </c>
      <c r="D1567" s="74">
        <f t="shared" si="816"/>
        <v>9</v>
      </c>
      <c r="E1567" s="75">
        <f t="shared" si="883"/>
        <v>50</v>
      </c>
      <c r="F1567" s="79"/>
      <c r="G1567" s="82"/>
      <c r="H1567" s="68" t="str">
        <f t="shared" si="817"/>
        <v>Senbur0_20191119_09_00</v>
      </c>
      <c r="I1567" s="69">
        <f t="shared" ref="I1567:N1567" si="897">I1566</f>
        <v>1</v>
      </c>
      <c r="J1567" s="76" t="str">
        <f t="shared" si="897"/>
        <v>Senecio</v>
      </c>
      <c r="K1567" s="76" t="str">
        <f t="shared" si="897"/>
        <v>burtoni</v>
      </c>
      <c r="L1567" s="77">
        <f t="shared" si="897"/>
        <v>0</v>
      </c>
      <c r="M1567" s="77">
        <f t="shared" si="897"/>
        <v>7</v>
      </c>
      <c r="N1567" s="71">
        <f t="shared" si="897"/>
        <v>0</v>
      </c>
      <c r="O1567" s="44"/>
      <c r="P1567" s="45" t="str">
        <f t="shared" si="819"/>
        <v/>
      </c>
      <c r="Q1567" s="46" t="str">
        <f t="shared" si="820"/>
        <v/>
      </c>
      <c r="R1567" s="47" t="e">
        <f t="shared" si="821"/>
        <v>#VALUE!</v>
      </c>
      <c r="S1567" s="48" t="e">
        <f t="shared" si="822"/>
        <v>#VALUE!</v>
      </c>
      <c r="T1567" s="47" t="str">
        <f t="shared" si="823"/>
        <v/>
      </c>
      <c r="U1567" s="49"/>
      <c r="V1567" s="50"/>
      <c r="W1567" s="51" t="e">
        <f t="shared" si="824"/>
        <v>#VALUE!</v>
      </c>
      <c r="X1567" s="52"/>
      <c r="Y1567" s="52"/>
      <c r="Z1567" s="52"/>
      <c r="AA1567" s="47" t="e">
        <f>INDEX(VISITORS[INSECT ORDER], MATCH(X1567,VISITORS[NAME USED],0))</f>
        <v>#N/A</v>
      </c>
      <c r="AB1567" s="47" t="e">
        <f t="shared" si="825"/>
        <v>#N/A</v>
      </c>
      <c r="AC1567" s="53" t="e">
        <f t="shared" si="826"/>
        <v>#VALUE!</v>
      </c>
      <c r="AD1567" s="54" t="str">
        <f t="shared" si="834"/>
        <v/>
      </c>
      <c r="AE1567" s="54"/>
      <c r="AF1567" s="54"/>
      <c r="AG1567" s="55" t="str">
        <f t="shared" si="835"/>
        <v/>
      </c>
      <c r="AH1567" s="56" t="str">
        <f t="shared" si="836"/>
        <v/>
      </c>
      <c r="AI1567" s="55"/>
      <c r="AJ1567" s="56" t="str">
        <f t="shared" si="827"/>
        <v/>
      </c>
      <c r="AK1567" s="55"/>
      <c r="AL1567" s="56" t="str">
        <f t="shared" si="828"/>
        <v/>
      </c>
      <c r="AM1567" s="55"/>
      <c r="AN1567" s="56" t="str">
        <f t="shared" si="837"/>
        <v/>
      </c>
      <c r="AO1567" s="55"/>
      <c r="AP1567" s="56" t="str">
        <f t="shared" si="829"/>
        <v/>
      </c>
      <c r="AQ1567" s="55"/>
      <c r="AR1567" s="56" t="str">
        <f t="shared" si="830"/>
        <v/>
      </c>
      <c r="AS1567" s="57"/>
      <c r="AT1567" s="58"/>
      <c r="AU1567" s="58"/>
      <c r="AV1567" s="59"/>
      <c r="AW1567" s="60" t="str">
        <f t="shared" si="838"/>
        <v/>
      </c>
      <c r="AX1567" s="61" t="str">
        <f t="shared" si="831"/>
        <v/>
      </c>
      <c r="AY1567" s="60" t="str">
        <f t="shared" si="839"/>
        <v/>
      </c>
      <c r="AZ1567" s="61" t="str">
        <f t="shared" si="832"/>
        <v/>
      </c>
    </row>
    <row r="1568" spans="1:52" s="3" customFormat="1" ht="15" hidden="1" thickBot="1" x14ac:dyDescent="0.4">
      <c r="A1568" s="85">
        <f t="shared" si="882"/>
        <v>2019</v>
      </c>
      <c r="B1568" s="85" t="str">
        <f t="shared" si="814"/>
        <v>Nov</v>
      </c>
      <c r="C1568" s="86">
        <f t="shared" si="815"/>
        <v>19</v>
      </c>
      <c r="D1568" s="87">
        <f t="shared" si="816"/>
        <v>9</v>
      </c>
      <c r="E1568" s="88">
        <f t="shared" si="883"/>
        <v>51</v>
      </c>
      <c r="F1568" s="89"/>
      <c r="G1568" s="90"/>
      <c r="H1568" s="68" t="str">
        <f t="shared" si="817"/>
        <v>Senbur0_20191119_09_00</v>
      </c>
      <c r="I1568" s="91">
        <f t="shared" ref="I1568:N1568" si="898">I1567</f>
        <v>1</v>
      </c>
      <c r="J1568" s="92" t="str">
        <f t="shared" si="898"/>
        <v>Senecio</v>
      </c>
      <c r="K1568" s="92" t="str">
        <f t="shared" si="898"/>
        <v>burtoni</v>
      </c>
      <c r="L1568" s="93">
        <f t="shared" si="898"/>
        <v>0</v>
      </c>
      <c r="M1568" s="93">
        <f t="shared" si="898"/>
        <v>7</v>
      </c>
      <c r="N1568" s="94">
        <f t="shared" si="898"/>
        <v>0</v>
      </c>
      <c r="O1568" s="95"/>
      <c r="P1568" s="96" t="str">
        <f t="shared" si="819"/>
        <v/>
      </c>
      <c r="Q1568" s="97" t="str">
        <f t="shared" si="820"/>
        <v/>
      </c>
      <c r="R1568" s="98" t="e">
        <f t="shared" si="821"/>
        <v>#VALUE!</v>
      </c>
      <c r="S1568" s="98" t="e">
        <f t="shared" si="822"/>
        <v>#VALUE!</v>
      </c>
      <c r="T1568" s="98" t="str">
        <f t="shared" si="823"/>
        <v/>
      </c>
      <c r="U1568" s="99"/>
      <c r="V1568" s="100"/>
      <c r="W1568" s="101" t="e">
        <f t="shared" si="824"/>
        <v>#VALUE!</v>
      </c>
      <c r="X1568" s="102"/>
      <c r="Y1568" s="122"/>
      <c r="Z1568" s="122"/>
      <c r="AA1568" s="47" t="e">
        <f>INDEX(VISITORS[INSECT ORDER], MATCH(X1568,VISITORS[NAME USED],0))</f>
        <v>#N/A</v>
      </c>
      <c r="AB1568" s="98" t="e">
        <f t="shared" si="825"/>
        <v>#N/A</v>
      </c>
      <c r="AC1568" s="53" t="e">
        <f t="shared" si="826"/>
        <v>#VALUE!</v>
      </c>
      <c r="AD1568" s="103" t="str">
        <f t="shared" si="834"/>
        <v/>
      </c>
      <c r="AE1568" s="103"/>
      <c r="AF1568" s="103"/>
      <c r="AG1568" s="104" t="str">
        <f t="shared" si="835"/>
        <v/>
      </c>
      <c r="AH1568" s="105" t="str">
        <f t="shared" si="836"/>
        <v/>
      </c>
      <c r="AI1568" s="104"/>
      <c r="AJ1568" s="105" t="str">
        <f t="shared" si="827"/>
        <v/>
      </c>
      <c r="AK1568" s="104"/>
      <c r="AL1568" s="105" t="str">
        <f t="shared" si="828"/>
        <v/>
      </c>
      <c r="AM1568" s="104"/>
      <c r="AN1568" s="105" t="str">
        <f t="shared" si="837"/>
        <v/>
      </c>
      <c r="AO1568" s="104"/>
      <c r="AP1568" s="105" t="str">
        <f t="shared" si="829"/>
        <v/>
      </c>
      <c r="AQ1568" s="104"/>
      <c r="AR1568" s="105" t="str">
        <f t="shared" si="830"/>
        <v/>
      </c>
      <c r="AS1568" s="106"/>
      <c r="AT1568" s="107"/>
      <c r="AU1568" s="107"/>
      <c r="AV1568" s="108"/>
      <c r="AW1568" s="109" t="str">
        <f t="shared" si="838"/>
        <v/>
      </c>
      <c r="AX1568" s="110" t="str">
        <f t="shared" si="831"/>
        <v/>
      </c>
      <c r="AY1568" s="109" t="str">
        <f t="shared" si="839"/>
        <v/>
      </c>
      <c r="AZ1568" s="110" t="str">
        <f t="shared" si="832"/>
        <v/>
      </c>
    </row>
    <row r="1569" spans="1:52" s="3" customFormat="1" ht="11.25" hidden="1" customHeight="1" x14ac:dyDescent="0.35">
      <c r="A1569" s="72">
        <f t="shared" si="882"/>
        <v>2019</v>
      </c>
      <c r="B1569" s="72" t="str">
        <f t="shared" si="814"/>
        <v>Nov</v>
      </c>
      <c r="C1569" s="73">
        <f t="shared" si="815"/>
        <v>19</v>
      </c>
      <c r="D1569" s="74">
        <f t="shared" si="816"/>
        <v>9</v>
      </c>
      <c r="E1569" s="75">
        <f t="shared" si="883"/>
        <v>52</v>
      </c>
      <c r="F1569" s="79"/>
      <c r="G1569" s="82"/>
      <c r="H1569" s="68" t="str">
        <f t="shared" si="817"/>
        <v>Senbur0_20191119_09_00</v>
      </c>
      <c r="I1569" s="69">
        <f t="shared" ref="I1569:N1569" si="899">I1568</f>
        <v>1</v>
      </c>
      <c r="J1569" s="76" t="str">
        <f t="shared" si="899"/>
        <v>Senecio</v>
      </c>
      <c r="K1569" s="76" t="str">
        <f t="shared" si="899"/>
        <v>burtoni</v>
      </c>
      <c r="L1569" s="77">
        <f t="shared" si="899"/>
        <v>0</v>
      </c>
      <c r="M1569" s="77">
        <f t="shared" si="899"/>
        <v>7</v>
      </c>
      <c r="N1569" s="71">
        <f t="shared" si="899"/>
        <v>0</v>
      </c>
      <c r="O1569" s="44"/>
      <c r="P1569" s="45" t="str">
        <f t="shared" si="819"/>
        <v/>
      </c>
      <c r="Q1569" s="46" t="str">
        <f t="shared" si="820"/>
        <v/>
      </c>
      <c r="R1569" s="47" t="e">
        <f t="shared" si="821"/>
        <v>#VALUE!</v>
      </c>
      <c r="S1569" s="48" t="e">
        <f t="shared" si="822"/>
        <v>#VALUE!</v>
      </c>
      <c r="T1569" s="47" t="str">
        <f t="shared" si="823"/>
        <v/>
      </c>
      <c r="U1569" s="49"/>
      <c r="V1569" s="50"/>
      <c r="W1569" s="51" t="e">
        <f t="shared" si="824"/>
        <v>#VALUE!</v>
      </c>
      <c r="X1569" s="52"/>
      <c r="Y1569" s="52"/>
      <c r="Z1569" s="52"/>
      <c r="AA1569" s="47" t="e">
        <f>INDEX(VISITORS[INSECT ORDER], MATCH(X1569,VISITORS[NAME USED],0))</f>
        <v>#N/A</v>
      </c>
      <c r="AB1569" s="47" t="e">
        <f t="shared" si="825"/>
        <v>#N/A</v>
      </c>
      <c r="AC1569" s="53" t="e">
        <f t="shared" si="826"/>
        <v>#VALUE!</v>
      </c>
      <c r="AD1569" s="54" t="str">
        <f t="shared" si="834"/>
        <v/>
      </c>
      <c r="AE1569" s="54"/>
      <c r="AF1569" s="54"/>
      <c r="AG1569" s="55" t="str">
        <f t="shared" si="835"/>
        <v/>
      </c>
      <c r="AH1569" s="56" t="str">
        <f t="shared" si="836"/>
        <v/>
      </c>
      <c r="AI1569" s="55"/>
      <c r="AJ1569" s="56" t="str">
        <f t="shared" si="827"/>
        <v/>
      </c>
      <c r="AK1569" s="55"/>
      <c r="AL1569" s="56" t="str">
        <f t="shared" si="828"/>
        <v/>
      </c>
      <c r="AM1569" s="55"/>
      <c r="AN1569" s="56" t="str">
        <f t="shared" si="837"/>
        <v/>
      </c>
      <c r="AO1569" s="55"/>
      <c r="AP1569" s="56" t="str">
        <f t="shared" si="829"/>
        <v/>
      </c>
      <c r="AQ1569" s="55"/>
      <c r="AR1569" s="56" t="str">
        <f t="shared" si="830"/>
        <v/>
      </c>
      <c r="AS1569" s="57"/>
      <c r="AT1569" s="58"/>
      <c r="AU1569" s="58"/>
      <c r="AV1569" s="59"/>
      <c r="AW1569" s="60" t="str">
        <f t="shared" si="838"/>
        <v/>
      </c>
      <c r="AX1569" s="61" t="str">
        <f t="shared" si="831"/>
        <v/>
      </c>
      <c r="AY1569" s="60" t="str">
        <f t="shared" si="839"/>
        <v/>
      </c>
      <c r="AZ1569" s="61" t="str">
        <f t="shared" si="832"/>
        <v/>
      </c>
    </row>
    <row r="1570" spans="1:52" s="3" customFormat="1" hidden="1" x14ac:dyDescent="0.35">
      <c r="A1570" s="72">
        <f t="shared" si="882"/>
        <v>2019</v>
      </c>
      <c r="B1570" s="72" t="str">
        <f t="shared" si="814"/>
        <v>Nov</v>
      </c>
      <c r="C1570" s="73">
        <f t="shared" si="815"/>
        <v>19</v>
      </c>
      <c r="D1570" s="74">
        <f t="shared" si="816"/>
        <v>9</v>
      </c>
      <c r="E1570" s="75">
        <f t="shared" si="883"/>
        <v>53</v>
      </c>
      <c r="F1570" s="79"/>
      <c r="G1570" s="82"/>
      <c r="H1570" s="68" t="str">
        <f t="shared" si="817"/>
        <v>Senbur0_20191119_09_00</v>
      </c>
      <c r="I1570" s="69">
        <f t="shared" ref="I1570:N1570" si="900">I1569</f>
        <v>1</v>
      </c>
      <c r="J1570" s="76" t="str">
        <f t="shared" si="900"/>
        <v>Senecio</v>
      </c>
      <c r="K1570" s="76" t="str">
        <f t="shared" si="900"/>
        <v>burtoni</v>
      </c>
      <c r="L1570" s="77">
        <f t="shared" si="900"/>
        <v>0</v>
      </c>
      <c r="M1570" s="77">
        <f t="shared" si="900"/>
        <v>7</v>
      </c>
      <c r="N1570" s="71">
        <f t="shared" si="900"/>
        <v>0</v>
      </c>
      <c r="O1570" s="44"/>
      <c r="P1570" s="45" t="str">
        <f t="shared" si="819"/>
        <v/>
      </c>
      <c r="Q1570" s="46" t="str">
        <f t="shared" si="820"/>
        <v/>
      </c>
      <c r="R1570" s="47" t="e">
        <f t="shared" si="821"/>
        <v>#VALUE!</v>
      </c>
      <c r="S1570" s="48" t="e">
        <f t="shared" si="822"/>
        <v>#VALUE!</v>
      </c>
      <c r="T1570" s="47" t="str">
        <f t="shared" si="823"/>
        <v/>
      </c>
      <c r="U1570" s="49"/>
      <c r="V1570" s="50"/>
      <c r="W1570" s="51" t="e">
        <f t="shared" si="824"/>
        <v>#VALUE!</v>
      </c>
      <c r="X1570" s="52"/>
      <c r="Y1570" s="52"/>
      <c r="Z1570" s="52"/>
      <c r="AA1570" s="47" t="e">
        <f>INDEX(VISITORS[INSECT ORDER], MATCH(X1570,VISITORS[NAME USED],0))</f>
        <v>#N/A</v>
      </c>
      <c r="AB1570" s="47" t="e">
        <f t="shared" si="825"/>
        <v>#N/A</v>
      </c>
      <c r="AC1570" s="53" t="e">
        <f t="shared" si="826"/>
        <v>#VALUE!</v>
      </c>
      <c r="AD1570" s="54" t="str">
        <f t="shared" si="834"/>
        <v/>
      </c>
      <c r="AE1570" s="54"/>
      <c r="AF1570" s="54"/>
      <c r="AG1570" s="55" t="str">
        <f t="shared" si="835"/>
        <v/>
      </c>
      <c r="AH1570" s="56" t="str">
        <f t="shared" si="836"/>
        <v/>
      </c>
      <c r="AI1570" s="55"/>
      <c r="AJ1570" s="56" t="str">
        <f t="shared" si="827"/>
        <v/>
      </c>
      <c r="AK1570" s="55"/>
      <c r="AL1570" s="56" t="str">
        <f t="shared" si="828"/>
        <v/>
      </c>
      <c r="AM1570" s="55"/>
      <c r="AN1570" s="56" t="str">
        <f t="shared" si="837"/>
        <v/>
      </c>
      <c r="AO1570" s="55"/>
      <c r="AP1570" s="56" t="str">
        <f t="shared" si="829"/>
        <v/>
      </c>
      <c r="AQ1570" s="55"/>
      <c r="AR1570" s="56" t="str">
        <f t="shared" si="830"/>
        <v/>
      </c>
      <c r="AS1570" s="57"/>
      <c r="AT1570" s="58"/>
      <c r="AU1570" s="58"/>
      <c r="AV1570" s="59"/>
      <c r="AW1570" s="60" t="str">
        <f t="shared" si="838"/>
        <v/>
      </c>
      <c r="AX1570" s="61" t="str">
        <f t="shared" si="831"/>
        <v/>
      </c>
      <c r="AY1570" s="60" t="str">
        <f t="shared" si="839"/>
        <v/>
      </c>
      <c r="AZ1570" s="61" t="str">
        <f t="shared" si="832"/>
        <v/>
      </c>
    </row>
    <row r="1571" spans="1:52" s="3" customFormat="1" ht="15" hidden="1" thickBot="1" x14ac:dyDescent="0.4">
      <c r="A1571" s="85">
        <f t="shared" si="882"/>
        <v>2019</v>
      </c>
      <c r="B1571" s="85" t="str">
        <f t="shared" si="814"/>
        <v>Nov</v>
      </c>
      <c r="C1571" s="86">
        <f t="shared" si="815"/>
        <v>19</v>
      </c>
      <c r="D1571" s="87">
        <f t="shared" si="816"/>
        <v>9</v>
      </c>
      <c r="E1571" s="88">
        <f t="shared" si="883"/>
        <v>54</v>
      </c>
      <c r="F1571" s="89"/>
      <c r="G1571" s="90"/>
      <c r="H1571" s="68" t="str">
        <f t="shared" si="817"/>
        <v>Senbur0_20191119_09_00</v>
      </c>
      <c r="I1571" s="91">
        <f t="shared" ref="I1571:N1571" si="901">I1570</f>
        <v>1</v>
      </c>
      <c r="J1571" s="92" t="str">
        <f t="shared" si="901"/>
        <v>Senecio</v>
      </c>
      <c r="K1571" s="92" t="str">
        <f t="shared" si="901"/>
        <v>burtoni</v>
      </c>
      <c r="L1571" s="93">
        <f t="shared" si="901"/>
        <v>0</v>
      </c>
      <c r="M1571" s="93">
        <f t="shared" si="901"/>
        <v>7</v>
      </c>
      <c r="N1571" s="94">
        <f t="shared" si="901"/>
        <v>0</v>
      </c>
      <c r="O1571" s="95"/>
      <c r="P1571" s="96" t="str">
        <f t="shared" si="819"/>
        <v/>
      </c>
      <c r="Q1571" s="97" t="str">
        <f t="shared" si="820"/>
        <v/>
      </c>
      <c r="R1571" s="98" t="e">
        <f t="shared" si="821"/>
        <v>#VALUE!</v>
      </c>
      <c r="S1571" s="98" t="e">
        <f t="shared" si="822"/>
        <v>#VALUE!</v>
      </c>
      <c r="T1571" s="98" t="str">
        <f t="shared" si="823"/>
        <v/>
      </c>
      <c r="U1571" s="99"/>
      <c r="V1571" s="100"/>
      <c r="W1571" s="101" t="e">
        <f t="shared" si="824"/>
        <v>#VALUE!</v>
      </c>
      <c r="X1571" s="102"/>
      <c r="Y1571" s="122"/>
      <c r="Z1571" s="122"/>
      <c r="AA1571" s="47" t="e">
        <f>INDEX(VISITORS[INSECT ORDER], MATCH(X1571,VISITORS[NAME USED],0))</f>
        <v>#N/A</v>
      </c>
      <c r="AB1571" s="98" t="e">
        <f t="shared" si="825"/>
        <v>#N/A</v>
      </c>
      <c r="AC1571" s="53" t="e">
        <f t="shared" si="826"/>
        <v>#VALUE!</v>
      </c>
      <c r="AD1571" s="103" t="str">
        <f t="shared" si="834"/>
        <v/>
      </c>
      <c r="AE1571" s="103"/>
      <c r="AF1571" s="103"/>
      <c r="AG1571" s="104" t="str">
        <f t="shared" si="835"/>
        <v/>
      </c>
      <c r="AH1571" s="105" t="str">
        <f t="shared" si="836"/>
        <v/>
      </c>
      <c r="AI1571" s="104"/>
      <c r="AJ1571" s="105" t="str">
        <f t="shared" si="827"/>
        <v/>
      </c>
      <c r="AK1571" s="104"/>
      <c r="AL1571" s="105" t="str">
        <f t="shared" si="828"/>
        <v/>
      </c>
      <c r="AM1571" s="104"/>
      <c r="AN1571" s="105" t="str">
        <f t="shared" si="837"/>
        <v/>
      </c>
      <c r="AO1571" s="104"/>
      <c r="AP1571" s="105" t="str">
        <f t="shared" si="829"/>
        <v/>
      </c>
      <c r="AQ1571" s="104"/>
      <c r="AR1571" s="105" t="str">
        <f t="shared" si="830"/>
        <v/>
      </c>
      <c r="AS1571" s="106"/>
      <c r="AT1571" s="107"/>
      <c r="AU1571" s="107"/>
      <c r="AV1571" s="108"/>
      <c r="AW1571" s="109" t="str">
        <f t="shared" si="838"/>
        <v/>
      </c>
      <c r="AX1571" s="110" t="str">
        <f t="shared" si="831"/>
        <v/>
      </c>
      <c r="AY1571" s="109" t="str">
        <f t="shared" si="839"/>
        <v/>
      </c>
      <c r="AZ1571" s="110" t="str">
        <f t="shared" si="832"/>
        <v/>
      </c>
    </row>
    <row r="1572" spans="1:52" s="3" customFormat="1" ht="11.25" hidden="1" customHeight="1" x14ac:dyDescent="0.35">
      <c r="A1572" s="72">
        <f t="shared" si="882"/>
        <v>2019</v>
      </c>
      <c r="B1572" s="72" t="str">
        <f t="shared" si="814"/>
        <v>Nov</v>
      </c>
      <c r="C1572" s="73">
        <f t="shared" si="815"/>
        <v>19</v>
      </c>
      <c r="D1572" s="74">
        <f t="shared" si="816"/>
        <v>9</v>
      </c>
      <c r="E1572" s="75">
        <f t="shared" si="883"/>
        <v>55</v>
      </c>
      <c r="F1572" s="79"/>
      <c r="G1572" s="82"/>
      <c r="H1572" s="68" t="str">
        <f t="shared" si="817"/>
        <v>Senbur0_20191119_09_00</v>
      </c>
      <c r="I1572" s="69">
        <f t="shared" ref="I1572:N1572" si="902">I1571</f>
        <v>1</v>
      </c>
      <c r="J1572" s="76" t="str">
        <f t="shared" si="902"/>
        <v>Senecio</v>
      </c>
      <c r="K1572" s="76" t="str">
        <f t="shared" si="902"/>
        <v>burtoni</v>
      </c>
      <c r="L1572" s="77">
        <f t="shared" si="902"/>
        <v>0</v>
      </c>
      <c r="M1572" s="77">
        <f t="shared" si="902"/>
        <v>7</v>
      </c>
      <c r="N1572" s="71">
        <f t="shared" si="902"/>
        <v>0</v>
      </c>
      <c r="O1572" s="44"/>
      <c r="P1572" s="45" t="str">
        <f t="shared" si="819"/>
        <v/>
      </c>
      <c r="Q1572" s="46" t="str">
        <f t="shared" si="820"/>
        <v/>
      </c>
      <c r="R1572" s="47" t="e">
        <f t="shared" si="821"/>
        <v>#VALUE!</v>
      </c>
      <c r="S1572" s="48" t="e">
        <f t="shared" si="822"/>
        <v>#VALUE!</v>
      </c>
      <c r="T1572" s="47" t="str">
        <f t="shared" si="823"/>
        <v/>
      </c>
      <c r="U1572" s="49"/>
      <c r="V1572" s="50"/>
      <c r="W1572" s="51" t="e">
        <f t="shared" si="824"/>
        <v>#VALUE!</v>
      </c>
      <c r="X1572" s="52"/>
      <c r="Y1572" s="52"/>
      <c r="Z1572" s="52"/>
      <c r="AA1572" s="47" t="e">
        <f>INDEX(VISITORS[INSECT ORDER], MATCH(X1572,VISITORS[NAME USED],0))</f>
        <v>#N/A</v>
      </c>
      <c r="AB1572" s="47" t="e">
        <f t="shared" si="825"/>
        <v>#N/A</v>
      </c>
      <c r="AC1572" s="53" t="e">
        <f t="shared" si="826"/>
        <v>#VALUE!</v>
      </c>
      <c r="AD1572" s="54" t="str">
        <f t="shared" si="834"/>
        <v/>
      </c>
      <c r="AE1572" s="54"/>
      <c r="AF1572" s="54"/>
      <c r="AG1572" s="55" t="str">
        <f t="shared" si="835"/>
        <v/>
      </c>
      <c r="AH1572" s="56" t="str">
        <f t="shared" si="836"/>
        <v/>
      </c>
      <c r="AI1572" s="55"/>
      <c r="AJ1572" s="56" t="str">
        <f t="shared" si="827"/>
        <v/>
      </c>
      <c r="AK1572" s="55"/>
      <c r="AL1572" s="56" t="str">
        <f t="shared" si="828"/>
        <v/>
      </c>
      <c r="AM1572" s="55"/>
      <c r="AN1572" s="56" t="str">
        <f t="shared" si="837"/>
        <v/>
      </c>
      <c r="AO1572" s="55"/>
      <c r="AP1572" s="56" t="str">
        <f t="shared" si="829"/>
        <v/>
      </c>
      <c r="AQ1572" s="55"/>
      <c r="AR1572" s="56" t="str">
        <f t="shared" si="830"/>
        <v/>
      </c>
      <c r="AS1572" s="57"/>
      <c r="AT1572" s="58"/>
      <c r="AU1572" s="58"/>
      <c r="AV1572" s="59"/>
      <c r="AW1572" s="60" t="str">
        <f t="shared" si="838"/>
        <v/>
      </c>
      <c r="AX1572" s="61" t="str">
        <f t="shared" si="831"/>
        <v/>
      </c>
      <c r="AY1572" s="60" t="str">
        <f t="shared" si="839"/>
        <v/>
      </c>
      <c r="AZ1572" s="61" t="str">
        <f t="shared" si="832"/>
        <v/>
      </c>
    </row>
    <row r="1573" spans="1:52" s="3" customFormat="1" hidden="1" x14ac:dyDescent="0.35">
      <c r="A1573" s="72">
        <f t="shared" si="882"/>
        <v>2019</v>
      </c>
      <c r="B1573" s="72" t="str">
        <f t="shared" si="814"/>
        <v>Nov</v>
      </c>
      <c r="C1573" s="73">
        <f t="shared" si="815"/>
        <v>19</v>
      </c>
      <c r="D1573" s="74">
        <f t="shared" si="816"/>
        <v>9</v>
      </c>
      <c r="E1573" s="75">
        <f t="shared" si="883"/>
        <v>56</v>
      </c>
      <c r="F1573" s="79"/>
      <c r="G1573" s="82"/>
      <c r="H1573" s="68" t="str">
        <f t="shared" si="817"/>
        <v>Senbur0_20191119_09_00</v>
      </c>
      <c r="I1573" s="69">
        <f t="shared" ref="I1573:N1573" si="903">I1572</f>
        <v>1</v>
      </c>
      <c r="J1573" s="76" t="str">
        <f t="shared" si="903"/>
        <v>Senecio</v>
      </c>
      <c r="K1573" s="76" t="str">
        <f t="shared" si="903"/>
        <v>burtoni</v>
      </c>
      <c r="L1573" s="77">
        <f t="shared" si="903"/>
        <v>0</v>
      </c>
      <c r="M1573" s="77">
        <f t="shared" si="903"/>
        <v>7</v>
      </c>
      <c r="N1573" s="71">
        <f t="shared" si="903"/>
        <v>0</v>
      </c>
      <c r="O1573" s="44"/>
      <c r="P1573" s="45" t="str">
        <f t="shared" si="819"/>
        <v/>
      </c>
      <c r="Q1573" s="46" t="str">
        <f t="shared" si="820"/>
        <v/>
      </c>
      <c r="R1573" s="47" t="e">
        <f t="shared" si="821"/>
        <v>#VALUE!</v>
      </c>
      <c r="S1573" s="48" t="e">
        <f t="shared" si="822"/>
        <v>#VALUE!</v>
      </c>
      <c r="T1573" s="47" t="str">
        <f t="shared" si="823"/>
        <v/>
      </c>
      <c r="U1573" s="49"/>
      <c r="V1573" s="50"/>
      <c r="W1573" s="51" t="e">
        <f t="shared" si="824"/>
        <v>#VALUE!</v>
      </c>
      <c r="X1573" s="52"/>
      <c r="Y1573" s="52"/>
      <c r="Z1573" s="52"/>
      <c r="AA1573" s="47" t="e">
        <f>INDEX(VISITORS[INSECT ORDER], MATCH(X1573,VISITORS[NAME USED],0))</f>
        <v>#N/A</v>
      </c>
      <c r="AB1573" s="47" t="e">
        <f t="shared" si="825"/>
        <v>#N/A</v>
      </c>
      <c r="AC1573" s="53" t="e">
        <f t="shared" si="826"/>
        <v>#VALUE!</v>
      </c>
      <c r="AD1573" s="54" t="str">
        <f t="shared" si="834"/>
        <v/>
      </c>
      <c r="AE1573" s="54"/>
      <c r="AF1573" s="54"/>
      <c r="AG1573" s="55" t="str">
        <f t="shared" si="835"/>
        <v/>
      </c>
      <c r="AH1573" s="56" t="str">
        <f t="shared" si="836"/>
        <v/>
      </c>
      <c r="AI1573" s="55"/>
      <c r="AJ1573" s="56" t="str">
        <f t="shared" si="827"/>
        <v/>
      </c>
      <c r="AK1573" s="55"/>
      <c r="AL1573" s="56" t="str">
        <f t="shared" si="828"/>
        <v/>
      </c>
      <c r="AM1573" s="55"/>
      <c r="AN1573" s="56" t="str">
        <f t="shared" si="837"/>
        <v/>
      </c>
      <c r="AO1573" s="55"/>
      <c r="AP1573" s="56" t="str">
        <f t="shared" si="829"/>
        <v/>
      </c>
      <c r="AQ1573" s="55"/>
      <c r="AR1573" s="56" t="str">
        <f t="shared" si="830"/>
        <v/>
      </c>
      <c r="AS1573" s="57"/>
      <c r="AT1573" s="58"/>
      <c r="AU1573" s="58"/>
      <c r="AV1573" s="59"/>
      <c r="AW1573" s="60" t="str">
        <f t="shared" si="838"/>
        <v/>
      </c>
      <c r="AX1573" s="61" t="str">
        <f t="shared" si="831"/>
        <v/>
      </c>
      <c r="AY1573" s="60" t="str">
        <f t="shared" si="839"/>
        <v/>
      </c>
      <c r="AZ1573" s="61" t="str">
        <f t="shared" si="832"/>
        <v/>
      </c>
    </row>
    <row r="1574" spans="1:52" s="3" customFormat="1" ht="15" hidden="1" thickBot="1" x14ac:dyDescent="0.4">
      <c r="A1574" s="85">
        <f t="shared" si="882"/>
        <v>2019</v>
      </c>
      <c r="B1574" s="85" t="str">
        <f t="shared" ref="B1574:B1596" si="904">IF(C1573-C1574&gt;0, TEXT(DATE(2016,(MONTH(DATEVALUE(B1573&amp;"1"))+1),1),"mmm"), B1573)</f>
        <v>Nov</v>
      </c>
      <c r="C1574" s="86">
        <f t="shared" ref="C1574:C1596" si="905">IF(AND(D1574=0, E1574=0), IF(TEXT(C1573,"dd")=TEXT(EOMONTH(DATE(A1573,MONTH(DATEVALUE(B1573&amp;"1")),C1573),0), "dd"), 1, C1573+1), C1573)</f>
        <v>19</v>
      </c>
      <c r="D1574" s="87">
        <f t="shared" ref="D1574:D1596" si="906">IF(IF(E1573=59,D1573+1,D1573)=24,0,IF(E1573=59,D1573+1,D1573))</f>
        <v>9</v>
      </c>
      <c r="E1574" s="88">
        <f t="shared" si="883"/>
        <v>57</v>
      </c>
      <c r="F1574" s="89"/>
      <c r="G1574" s="90"/>
      <c r="H1574" s="68" t="str">
        <f t="shared" ref="H1574:H1596" si="907">IF(AND(OR(E1573=$G$3,E1573=$G$4,E1573=$G$5,E1573=$G$6,E1573=$G$7,E1573=$G$8),E1573&lt;&gt;RIGHT(H1573,2)),CONCATENATE(LEFT(J1574,3),LEFT(K1574,3),L1574,"_",A1574,TEXT(MONTH(DATEVALUE(B1574&amp;"1")),"00"),TEXT(C1574,"00"),"_",TEXT(D1574,"00"),"_",TEXT(E1573,"00")),IF(AND(OR(E1574=$G$3,E1574=$G$4,E1574=$G$5,E1574=$G$6,E1574=$G$7,E1574=$G$8),OR(F1574="",F1574&gt;$G$9-1)),CONCATENATE(LEFT(J1574,3),LEFT(K1574,3),L1574,"_",A1574,TEXT(MONTH(DATEVALUE(B1574&amp;"1")),"00"),TEXT(C1574,"00"),"_",TEXT(D1574,"00"),"_",TEXT(E1574,"00")),H1573))</f>
        <v>Senbur0_20191119_09_00</v>
      </c>
      <c r="I1574" s="91">
        <f t="shared" ref="I1574:N1574" si="908">I1573</f>
        <v>1</v>
      </c>
      <c r="J1574" s="92" t="str">
        <f t="shared" si="908"/>
        <v>Senecio</v>
      </c>
      <c r="K1574" s="92" t="str">
        <f t="shared" si="908"/>
        <v>burtoni</v>
      </c>
      <c r="L1574" s="93">
        <f t="shared" si="908"/>
        <v>0</v>
      </c>
      <c r="M1574" s="93">
        <f t="shared" si="908"/>
        <v>7</v>
      </c>
      <c r="N1574" s="94">
        <f t="shared" si="908"/>
        <v>0</v>
      </c>
      <c r="O1574" s="95"/>
      <c r="P1574" s="96" t="str">
        <f t="shared" ref="P1574:P1596" si="909">IF(F1574="","",1)</f>
        <v/>
      </c>
      <c r="Q1574" s="97" t="str">
        <f t="shared" ref="Q1574:Q1596" si="910">TEXT(IF(P1574=1,CONCATENATE($D1574,":",$E1574,":",(LEFT($F1574,2))),""),"hh:mm:ss")</f>
        <v/>
      </c>
      <c r="R1574" s="98" t="e">
        <f t="shared" ref="R1574:R1596" si="911">TEXT(Q1574-TIME(0,RIGHT($H1574,2),$G$9)+(Q1574&gt;TIME(0,RIGHT($H1574,2),$G$9)),"mm:ss")</f>
        <v>#VALUE!</v>
      </c>
      <c r="S1574" s="98" t="e">
        <f t="shared" ref="S1574:S1596" si="912">IF(T1574&lt;D1574, (T1574*3600+U1574*60+V1574)+((23*3600+59*60+60)-(D1574*3600+E1574*60+LEFT(F1574,2))), (T1574*3600+U1574*60+V1574)-(D1574*3600+E1574*60+LEFT(F1574,2)))</f>
        <v>#VALUE!</v>
      </c>
      <c r="T1574" s="98" t="str">
        <f t="shared" ref="T1574:T1596" si="913">TEXT(IF(P1574=1,D1574,""),"00")</f>
        <v/>
      </c>
      <c r="U1574" s="99"/>
      <c r="V1574" s="100"/>
      <c r="W1574" s="101" t="e">
        <f t="shared" ref="W1574:W1596" si="914">IF(O1574=0,TEXT(TIME(T1574,U1574,V1574)-TIME(D1574,E1574,RIGHT(F1574,2))+TIME(0,LEFT(R1574,2),RIGHT(R1574,2)),"mm:ss"),TEXT(TIME(T1574,U1574,V1574)-TIME(D1574,E1574,RIGHT(F1574,2))+TIME(0,LEFT(R1574,2),RIGHT(R1574,2))-TIME(0,($G$10*O1574),0),"mm:ss"))</f>
        <v>#VALUE!</v>
      </c>
      <c r="X1574" s="102"/>
      <c r="Y1574" s="122"/>
      <c r="Z1574" s="122"/>
      <c r="AA1574" s="47" t="e">
        <f>INDEX(VISITORS[INSECT ORDER], MATCH(X1574,VISITORS[NAME USED],0))</f>
        <v>#N/A</v>
      </c>
      <c r="AB1574" s="98" t="e">
        <f t="shared" ref="AB1574:AB1596" si="915">IF(AA1574&lt;&gt;0,"NA","")</f>
        <v>#N/A</v>
      </c>
      <c r="AC1574" s="53" t="e">
        <f t="shared" ref="AC1574:AC1596" si="916">IF(SUM(AH1574,AJ1574,AL1574,AN1574,AP1574,AR1574)=S1574,,"")</f>
        <v>#VALUE!</v>
      </c>
      <c r="AD1574" s="103" t="str">
        <f t="shared" ref="AD1574:AD1596" si="917">IF(P1574=1,1,"")</f>
        <v/>
      </c>
      <c r="AE1574" s="103"/>
      <c r="AF1574" s="103"/>
      <c r="AG1574" s="104" t="str">
        <f t="shared" ref="AG1574:AG1596" si="918">IF(OR(X1574="Something small"),1,"")</f>
        <v/>
      </c>
      <c r="AH1574" s="105" t="str">
        <f t="shared" ref="AH1574:AH1596" si="919">IF(AG1574=1,$S1574,"")</f>
        <v/>
      </c>
      <c r="AI1574" s="104"/>
      <c r="AJ1574" s="105" t="str">
        <f t="shared" ref="AJ1574:AJ1596" si="920">IF(AI1574=1,$S1574,"")</f>
        <v/>
      </c>
      <c r="AK1574" s="104"/>
      <c r="AL1574" s="105" t="str">
        <f t="shared" ref="AL1574:AL1596" si="921">IF(AK1574=1,$S1574,"")</f>
        <v/>
      </c>
      <c r="AM1574" s="104"/>
      <c r="AN1574" s="105" t="str">
        <f t="shared" ref="AN1574:AN1596" si="922">IF(AM1574=1,$S1574,"")</f>
        <v/>
      </c>
      <c r="AO1574" s="104"/>
      <c r="AP1574" s="105" t="str">
        <f t="shared" ref="AP1574:AP1596" si="923">IF(AO1574=1,$S1574,"")</f>
        <v/>
      </c>
      <c r="AQ1574" s="104"/>
      <c r="AR1574" s="105" t="str">
        <f t="shared" ref="AR1574:AR1596" si="924">IF(AQ1574=1,$S1574,"")</f>
        <v/>
      </c>
      <c r="AS1574" s="106"/>
      <c r="AT1574" s="107"/>
      <c r="AU1574" s="107"/>
      <c r="AV1574" s="108"/>
      <c r="AW1574" s="109" t="str">
        <f t="shared" ref="AW1574:AW1596" si="925">IF(P1574=1,0,"")</f>
        <v/>
      </c>
      <c r="AX1574" s="110" t="str">
        <f t="shared" ref="AX1574:AX1596" si="926">IF(AW1574=1,AD1574,"")</f>
        <v/>
      </c>
      <c r="AY1574" s="109" t="str">
        <f t="shared" ref="AY1574:AY1596" si="927">IF(P1574=1,0,"")</f>
        <v/>
      </c>
      <c r="AZ1574" s="110" t="str">
        <f t="shared" ref="AZ1574:AZ1596" si="928">IF(AY1574=1,AD1574,"")</f>
        <v/>
      </c>
    </row>
    <row r="1575" spans="1:52" s="3" customFormat="1" ht="11.25" hidden="1" customHeight="1" x14ac:dyDescent="0.35">
      <c r="A1575" s="72">
        <f t="shared" si="882"/>
        <v>2019</v>
      </c>
      <c r="B1575" s="72" t="str">
        <f t="shared" si="904"/>
        <v>Nov</v>
      </c>
      <c r="C1575" s="73">
        <f t="shared" si="905"/>
        <v>19</v>
      </c>
      <c r="D1575" s="74">
        <f t="shared" si="906"/>
        <v>9</v>
      </c>
      <c r="E1575" s="75">
        <f t="shared" si="883"/>
        <v>58</v>
      </c>
      <c r="F1575" s="79"/>
      <c r="G1575" s="82"/>
      <c r="H1575" s="68" t="str">
        <f t="shared" si="907"/>
        <v>Senbur0_20191119_09_00</v>
      </c>
      <c r="I1575" s="69">
        <f t="shared" ref="I1575:N1575" si="929">I1574</f>
        <v>1</v>
      </c>
      <c r="J1575" s="76" t="str">
        <f t="shared" si="929"/>
        <v>Senecio</v>
      </c>
      <c r="K1575" s="76" t="str">
        <f t="shared" si="929"/>
        <v>burtoni</v>
      </c>
      <c r="L1575" s="77">
        <f t="shared" si="929"/>
        <v>0</v>
      </c>
      <c r="M1575" s="77">
        <f t="shared" si="929"/>
        <v>7</v>
      </c>
      <c r="N1575" s="71">
        <f t="shared" si="929"/>
        <v>0</v>
      </c>
      <c r="O1575" s="44"/>
      <c r="P1575" s="45" t="str">
        <f t="shared" si="909"/>
        <v/>
      </c>
      <c r="Q1575" s="46" t="str">
        <f t="shared" si="910"/>
        <v/>
      </c>
      <c r="R1575" s="47" t="e">
        <f t="shared" si="911"/>
        <v>#VALUE!</v>
      </c>
      <c r="S1575" s="48" t="e">
        <f t="shared" si="912"/>
        <v>#VALUE!</v>
      </c>
      <c r="T1575" s="47" t="str">
        <f t="shared" si="913"/>
        <v/>
      </c>
      <c r="U1575" s="49"/>
      <c r="V1575" s="50"/>
      <c r="W1575" s="51" t="e">
        <f t="shared" si="914"/>
        <v>#VALUE!</v>
      </c>
      <c r="X1575" s="52"/>
      <c r="Y1575" s="52"/>
      <c r="Z1575" s="52"/>
      <c r="AA1575" s="47" t="e">
        <f>INDEX(VISITORS[INSECT ORDER], MATCH(X1575,VISITORS[NAME USED],0))</f>
        <v>#N/A</v>
      </c>
      <c r="AB1575" s="47" t="e">
        <f t="shared" si="915"/>
        <v>#N/A</v>
      </c>
      <c r="AC1575" s="53" t="e">
        <f t="shared" si="916"/>
        <v>#VALUE!</v>
      </c>
      <c r="AD1575" s="54" t="str">
        <f t="shared" si="917"/>
        <v/>
      </c>
      <c r="AE1575" s="54"/>
      <c r="AF1575" s="54"/>
      <c r="AG1575" s="55" t="str">
        <f t="shared" si="918"/>
        <v/>
      </c>
      <c r="AH1575" s="56" t="str">
        <f t="shared" si="919"/>
        <v/>
      </c>
      <c r="AI1575" s="55"/>
      <c r="AJ1575" s="56" t="str">
        <f t="shared" si="920"/>
        <v/>
      </c>
      <c r="AK1575" s="55"/>
      <c r="AL1575" s="56" t="str">
        <f t="shared" si="921"/>
        <v/>
      </c>
      <c r="AM1575" s="55"/>
      <c r="AN1575" s="56" t="str">
        <f t="shared" si="922"/>
        <v/>
      </c>
      <c r="AO1575" s="55"/>
      <c r="AP1575" s="56" t="str">
        <f t="shared" si="923"/>
        <v/>
      </c>
      <c r="AQ1575" s="55"/>
      <c r="AR1575" s="56" t="str">
        <f t="shared" si="924"/>
        <v/>
      </c>
      <c r="AS1575" s="57"/>
      <c r="AT1575" s="58"/>
      <c r="AU1575" s="58"/>
      <c r="AV1575" s="59"/>
      <c r="AW1575" s="60" t="str">
        <f t="shared" si="925"/>
        <v/>
      </c>
      <c r="AX1575" s="61" t="str">
        <f t="shared" si="926"/>
        <v/>
      </c>
      <c r="AY1575" s="60" t="str">
        <f t="shared" si="927"/>
        <v/>
      </c>
      <c r="AZ1575" s="61" t="str">
        <f t="shared" si="928"/>
        <v/>
      </c>
    </row>
    <row r="1576" spans="1:52" s="3" customFormat="1" hidden="1" x14ac:dyDescent="0.35">
      <c r="A1576" s="72">
        <f t="shared" si="882"/>
        <v>2019</v>
      </c>
      <c r="B1576" s="72" t="str">
        <f t="shared" si="904"/>
        <v>Nov</v>
      </c>
      <c r="C1576" s="73">
        <f t="shared" si="905"/>
        <v>19</v>
      </c>
      <c r="D1576" s="74">
        <f t="shared" si="906"/>
        <v>9</v>
      </c>
      <c r="E1576" s="75">
        <f t="shared" si="883"/>
        <v>59</v>
      </c>
      <c r="F1576" s="79"/>
      <c r="G1576" s="82"/>
      <c r="H1576" s="68" t="str">
        <f t="shared" si="907"/>
        <v>Senbur0_20191119_09_00</v>
      </c>
      <c r="I1576" s="69">
        <f t="shared" ref="I1576:N1576" si="930">I1575</f>
        <v>1</v>
      </c>
      <c r="J1576" s="76" t="str">
        <f t="shared" si="930"/>
        <v>Senecio</v>
      </c>
      <c r="K1576" s="76" t="str">
        <f t="shared" si="930"/>
        <v>burtoni</v>
      </c>
      <c r="L1576" s="77">
        <f t="shared" si="930"/>
        <v>0</v>
      </c>
      <c r="M1576" s="77">
        <f t="shared" si="930"/>
        <v>7</v>
      </c>
      <c r="N1576" s="71">
        <f t="shared" si="930"/>
        <v>0</v>
      </c>
      <c r="O1576" s="44"/>
      <c r="P1576" s="45" t="str">
        <f t="shared" si="909"/>
        <v/>
      </c>
      <c r="Q1576" s="46" t="str">
        <f t="shared" si="910"/>
        <v/>
      </c>
      <c r="R1576" s="47" t="e">
        <f t="shared" si="911"/>
        <v>#VALUE!</v>
      </c>
      <c r="S1576" s="48" t="e">
        <f t="shared" si="912"/>
        <v>#VALUE!</v>
      </c>
      <c r="T1576" s="47" t="str">
        <f t="shared" si="913"/>
        <v/>
      </c>
      <c r="U1576" s="49"/>
      <c r="V1576" s="50"/>
      <c r="W1576" s="51" t="e">
        <f t="shared" si="914"/>
        <v>#VALUE!</v>
      </c>
      <c r="X1576" s="52"/>
      <c r="Y1576" s="52"/>
      <c r="Z1576" s="52"/>
      <c r="AA1576" s="47" t="e">
        <f>INDEX(VISITORS[INSECT ORDER], MATCH(X1576,VISITORS[NAME USED],0))</f>
        <v>#N/A</v>
      </c>
      <c r="AB1576" s="47" t="e">
        <f t="shared" si="915"/>
        <v>#N/A</v>
      </c>
      <c r="AC1576" s="53" t="e">
        <f t="shared" si="916"/>
        <v>#VALUE!</v>
      </c>
      <c r="AD1576" s="54" t="str">
        <f t="shared" si="917"/>
        <v/>
      </c>
      <c r="AE1576" s="54"/>
      <c r="AF1576" s="54"/>
      <c r="AG1576" s="55" t="str">
        <f t="shared" si="918"/>
        <v/>
      </c>
      <c r="AH1576" s="56" t="str">
        <f t="shared" si="919"/>
        <v/>
      </c>
      <c r="AI1576" s="55"/>
      <c r="AJ1576" s="56" t="str">
        <f t="shared" si="920"/>
        <v/>
      </c>
      <c r="AK1576" s="55"/>
      <c r="AL1576" s="56" t="str">
        <f t="shared" si="921"/>
        <v/>
      </c>
      <c r="AM1576" s="55"/>
      <c r="AN1576" s="56" t="str">
        <f t="shared" si="922"/>
        <v/>
      </c>
      <c r="AO1576" s="55"/>
      <c r="AP1576" s="56" t="str">
        <f t="shared" si="923"/>
        <v/>
      </c>
      <c r="AQ1576" s="55"/>
      <c r="AR1576" s="56" t="str">
        <f t="shared" si="924"/>
        <v/>
      </c>
      <c r="AS1576" s="57"/>
      <c r="AT1576" s="58"/>
      <c r="AU1576" s="58"/>
      <c r="AV1576" s="59"/>
      <c r="AW1576" s="60" t="str">
        <f t="shared" si="925"/>
        <v/>
      </c>
      <c r="AX1576" s="61" t="str">
        <f t="shared" si="926"/>
        <v/>
      </c>
      <c r="AY1576" s="60" t="str">
        <f t="shared" si="927"/>
        <v/>
      </c>
      <c r="AZ1576" s="61" t="str">
        <f t="shared" si="928"/>
        <v/>
      </c>
    </row>
    <row r="1577" spans="1:52" s="3" customFormat="1" ht="15" hidden="1" thickBot="1" x14ac:dyDescent="0.4">
      <c r="A1577" s="85">
        <f t="shared" si="882"/>
        <v>2019</v>
      </c>
      <c r="B1577" s="85" t="str">
        <f t="shared" si="904"/>
        <v>Nov</v>
      </c>
      <c r="C1577" s="86">
        <f t="shared" si="905"/>
        <v>19</v>
      </c>
      <c r="D1577" s="87">
        <f t="shared" si="906"/>
        <v>10</v>
      </c>
      <c r="E1577" s="88">
        <f t="shared" si="883"/>
        <v>0</v>
      </c>
      <c r="F1577" s="89"/>
      <c r="G1577" s="90"/>
      <c r="H1577" s="68" t="str">
        <f t="shared" si="907"/>
        <v>Senbur0_20191119_10_00</v>
      </c>
      <c r="I1577" s="91">
        <f t="shared" ref="I1577:N1577" si="931">I1576</f>
        <v>1</v>
      </c>
      <c r="J1577" s="92" t="str">
        <f t="shared" si="931"/>
        <v>Senecio</v>
      </c>
      <c r="K1577" s="92" t="str">
        <f t="shared" si="931"/>
        <v>burtoni</v>
      </c>
      <c r="L1577" s="93">
        <f t="shared" si="931"/>
        <v>0</v>
      </c>
      <c r="M1577" s="93">
        <f t="shared" si="931"/>
        <v>7</v>
      </c>
      <c r="N1577" s="94">
        <f t="shared" si="931"/>
        <v>0</v>
      </c>
      <c r="O1577" s="95"/>
      <c r="P1577" s="96" t="str">
        <f t="shared" si="909"/>
        <v/>
      </c>
      <c r="Q1577" s="97" t="str">
        <f t="shared" si="910"/>
        <v/>
      </c>
      <c r="R1577" s="98" t="e">
        <f t="shared" si="911"/>
        <v>#VALUE!</v>
      </c>
      <c r="S1577" s="98" t="e">
        <f t="shared" si="912"/>
        <v>#VALUE!</v>
      </c>
      <c r="T1577" s="98" t="str">
        <f t="shared" si="913"/>
        <v/>
      </c>
      <c r="U1577" s="99"/>
      <c r="V1577" s="100"/>
      <c r="W1577" s="101" t="e">
        <f t="shared" si="914"/>
        <v>#VALUE!</v>
      </c>
      <c r="X1577" s="102"/>
      <c r="Y1577" s="122"/>
      <c r="Z1577" s="122"/>
      <c r="AA1577" s="47" t="e">
        <f>INDEX(VISITORS[INSECT ORDER], MATCH(X1577,VISITORS[NAME USED],0))</f>
        <v>#N/A</v>
      </c>
      <c r="AB1577" s="98" t="e">
        <f t="shared" si="915"/>
        <v>#N/A</v>
      </c>
      <c r="AC1577" s="53" t="e">
        <f t="shared" si="916"/>
        <v>#VALUE!</v>
      </c>
      <c r="AD1577" s="103" t="str">
        <f t="shared" si="917"/>
        <v/>
      </c>
      <c r="AE1577" s="103"/>
      <c r="AF1577" s="103"/>
      <c r="AG1577" s="104" t="str">
        <f t="shared" si="918"/>
        <v/>
      </c>
      <c r="AH1577" s="105" t="str">
        <f t="shared" si="919"/>
        <v/>
      </c>
      <c r="AI1577" s="104"/>
      <c r="AJ1577" s="105" t="str">
        <f t="shared" si="920"/>
        <v/>
      </c>
      <c r="AK1577" s="104"/>
      <c r="AL1577" s="105" t="str">
        <f t="shared" si="921"/>
        <v/>
      </c>
      <c r="AM1577" s="104"/>
      <c r="AN1577" s="105" t="str">
        <f t="shared" si="922"/>
        <v/>
      </c>
      <c r="AO1577" s="104"/>
      <c r="AP1577" s="105" t="str">
        <f t="shared" si="923"/>
        <v/>
      </c>
      <c r="AQ1577" s="104"/>
      <c r="AR1577" s="105" t="str">
        <f t="shared" si="924"/>
        <v/>
      </c>
      <c r="AS1577" s="106"/>
      <c r="AT1577" s="107"/>
      <c r="AU1577" s="107"/>
      <c r="AV1577" s="108"/>
      <c r="AW1577" s="109" t="str">
        <f t="shared" si="925"/>
        <v/>
      </c>
      <c r="AX1577" s="110" t="str">
        <f t="shared" si="926"/>
        <v/>
      </c>
      <c r="AY1577" s="109" t="str">
        <f t="shared" si="927"/>
        <v/>
      </c>
      <c r="AZ1577" s="110" t="str">
        <f t="shared" si="928"/>
        <v/>
      </c>
    </row>
    <row r="1578" spans="1:52" s="3" customFormat="1" ht="11.25" hidden="1" customHeight="1" x14ac:dyDescent="0.35">
      <c r="A1578" s="72">
        <f t="shared" si="882"/>
        <v>2019</v>
      </c>
      <c r="B1578" s="72" t="str">
        <f t="shared" si="904"/>
        <v>Nov</v>
      </c>
      <c r="C1578" s="73">
        <f t="shared" si="905"/>
        <v>19</v>
      </c>
      <c r="D1578" s="74">
        <f t="shared" si="906"/>
        <v>10</v>
      </c>
      <c r="E1578" s="75">
        <f t="shared" si="883"/>
        <v>1</v>
      </c>
      <c r="F1578" s="79"/>
      <c r="G1578" s="82"/>
      <c r="H1578" s="68" t="str">
        <f t="shared" si="907"/>
        <v>Senbur0_20191119_10_00</v>
      </c>
      <c r="I1578" s="69">
        <f t="shared" ref="I1578:N1578" si="932">I1577</f>
        <v>1</v>
      </c>
      <c r="J1578" s="76" t="str">
        <f t="shared" si="932"/>
        <v>Senecio</v>
      </c>
      <c r="K1578" s="76" t="str">
        <f t="shared" si="932"/>
        <v>burtoni</v>
      </c>
      <c r="L1578" s="77">
        <f t="shared" si="932"/>
        <v>0</v>
      </c>
      <c r="M1578" s="77">
        <f t="shared" si="932"/>
        <v>7</v>
      </c>
      <c r="N1578" s="71">
        <f t="shared" si="932"/>
        <v>0</v>
      </c>
      <c r="O1578" s="44"/>
      <c r="P1578" s="45" t="str">
        <f t="shared" si="909"/>
        <v/>
      </c>
      <c r="Q1578" s="46" t="str">
        <f t="shared" si="910"/>
        <v/>
      </c>
      <c r="R1578" s="47" t="e">
        <f t="shared" si="911"/>
        <v>#VALUE!</v>
      </c>
      <c r="S1578" s="48" t="e">
        <f t="shared" si="912"/>
        <v>#VALUE!</v>
      </c>
      <c r="T1578" s="47" t="str">
        <f t="shared" si="913"/>
        <v/>
      </c>
      <c r="U1578" s="49"/>
      <c r="V1578" s="50"/>
      <c r="W1578" s="51" t="e">
        <f t="shared" si="914"/>
        <v>#VALUE!</v>
      </c>
      <c r="X1578" s="52"/>
      <c r="Y1578" s="52"/>
      <c r="Z1578" s="52"/>
      <c r="AA1578" s="47" t="e">
        <f>INDEX(VISITORS[INSECT ORDER], MATCH(X1578,VISITORS[NAME USED],0))</f>
        <v>#N/A</v>
      </c>
      <c r="AB1578" s="47" t="e">
        <f t="shared" si="915"/>
        <v>#N/A</v>
      </c>
      <c r="AC1578" s="53" t="e">
        <f t="shared" si="916"/>
        <v>#VALUE!</v>
      </c>
      <c r="AD1578" s="54" t="str">
        <f t="shared" si="917"/>
        <v/>
      </c>
      <c r="AE1578" s="54"/>
      <c r="AF1578" s="54"/>
      <c r="AG1578" s="55" t="str">
        <f t="shared" si="918"/>
        <v/>
      </c>
      <c r="AH1578" s="56" t="str">
        <f t="shared" si="919"/>
        <v/>
      </c>
      <c r="AI1578" s="55"/>
      <c r="AJ1578" s="56" t="str">
        <f t="shared" si="920"/>
        <v/>
      </c>
      <c r="AK1578" s="55"/>
      <c r="AL1578" s="56" t="str">
        <f t="shared" si="921"/>
        <v/>
      </c>
      <c r="AM1578" s="55"/>
      <c r="AN1578" s="56" t="str">
        <f t="shared" si="922"/>
        <v/>
      </c>
      <c r="AO1578" s="55"/>
      <c r="AP1578" s="56" t="str">
        <f t="shared" si="923"/>
        <v/>
      </c>
      <c r="AQ1578" s="55"/>
      <c r="AR1578" s="56" t="str">
        <f t="shared" si="924"/>
        <v/>
      </c>
      <c r="AS1578" s="57"/>
      <c r="AT1578" s="58"/>
      <c r="AU1578" s="58"/>
      <c r="AV1578" s="59"/>
      <c r="AW1578" s="60" t="str">
        <f t="shared" si="925"/>
        <v/>
      </c>
      <c r="AX1578" s="61" t="str">
        <f t="shared" si="926"/>
        <v/>
      </c>
      <c r="AY1578" s="60" t="str">
        <f t="shared" si="927"/>
        <v/>
      </c>
      <c r="AZ1578" s="61" t="str">
        <f t="shared" si="928"/>
        <v/>
      </c>
    </row>
    <row r="1579" spans="1:52" s="3" customFormat="1" hidden="1" x14ac:dyDescent="0.35">
      <c r="A1579" s="72">
        <f t="shared" si="882"/>
        <v>2019</v>
      </c>
      <c r="B1579" s="72" t="str">
        <f t="shared" si="904"/>
        <v>Nov</v>
      </c>
      <c r="C1579" s="73">
        <f t="shared" si="905"/>
        <v>19</v>
      </c>
      <c r="D1579" s="74">
        <f t="shared" si="906"/>
        <v>10</v>
      </c>
      <c r="E1579" s="75">
        <f t="shared" si="883"/>
        <v>2</v>
      </c>
      <c r="F1579" s="79"/>
      <c r="G1579" s="82"/>
      <c r="H1579" s="68" t="str">
        <f t="shared" si="907"/>
        <v>Senbur0_20191119_10_00</v>
      </c>
      <c r="I1579" s="69">
        <f t="shared" ref="I1579:N1579" si="933">I1578</f>
        <v>1</v>
      </c>
      <c r="J1579" s="76" t="str">
        <f t="shared" si="933"/>
        <v>Senecio</v>
      </c>
      <c r="K1579" s="76" t="str">
        <f t="shared" si="933"/>
        <v>burtoni</v>
      </c>
      <c r="L1579" s="77">
        <f t="shared" si="933"/>
        <v>0</v>
      </c>
      <c r="M1579" s="77">
        <f t="shared" si="933"/>
        <v>7</v>
      </c>
      <c r="N1579" s="71">
        <f t="shared" si="933"/>
        <v>0</v>
      </c>
      <c r="O1579" s="44"/>
      <c r="P1579" s="45" t="str">
        <f t="shared" si="909"/>
        <v/>
      </c>
      <c r="Q1579" s="46" t="str">
        <f t="shared" si="910"/>
        <v/>
      </c>
      <c r="R1579" s="47" t="e">
        <f t="shared" si="911"/>
        <v>#VALUE!</v>
      </c>
      <c r="S1579" s="48" t="e">
        <f t="shared" si="912"/>
        <v>#VALUE!</v>
      </c>
      <c r="T1579" s="47" t="str">
        <f t="shared" si="913"/>
        <v/>
      </c>
      <c r="U1579" s="49"/>
      <c r="V1579" s="50"/>
      <c r="W1579" s="51" t="e">
        <f t="shared" si="914"/>
        <v>#VALUE!</v>
      </c>
      <c r="X1579" s="52"/>
      <c r="Y1579" s="52"/>
      <c r="Z1579" s="52"/>
      <c r="AA1579" s="47" t="e">
        <f>INDEX(VISITORS[INSECT ORDER], MATCH(X1579,VISITORS[NAME USED],0))</f>
        <v>#N/A</v>
      </c>
      <c r="AB1579" s="47" t="e">
        <f t="shared" si="915"/>
        <v>#N/A</v>
      </c>
      <c r="AC1579" s="53" t="e">
        <f t="shared" si="916"/>
        <v>#VALUE!</v>
      </c>
      <c r="AD1579" s="54" t="str">
        <f t="shared" si="917"/>
        <v/>
      </c>
      <c r="AE1579" s="54"/>
      <c r="AF1579" s="54"/>
      <c r="AG1579" s="55" t="str">
        <f t="shared" si="918"/>
        <v/>
      </c>
      <c r="AH1579" s="56" t="str">
        <f t="shared" si="919"/>
        <v/>
      </c>
      <c r="AI1579" s="55"/>
      <c r="AJ1579" s="56" t="str">
        <f t="shared" si="920"/>
        <v/>
      </c>
      <c r="AK1579" s="55"/>
      <c r="AL1579" s="56" t="str">
        <f t="shared" si="921"/>
        <v/>
      </c>
      <c r="AM1579" s="55"/>
      <c r="AN1579" s="56" t="str">
        <f t="shared" si="922"/>
        <v/>
      </c>
      <c r="AO1579" s="55"/>
      <c r="AP1579" s="56" t="str">
        <f t="shared" si="923"/>
        <v/>
      </c>
      <c r="AQ1579" s="55"/>
      <c r="AR1579" s="56" t="str">
        <f t="shared" si="924"/>
        <v/>
      </c>
      <c r="AS1579" s="57"/>
      <c r="AT1579" s="58"/>
      <c r="AU1579" s="58"/>
      <c r="AV1579" s="59"/>
      <c r="AW1579" s="60" t="str">
        <f t="shared" si="925"/>
        <v/>
      </c>
      <c r="AX1579" s="61" t="str">
        <f t="shared" si="926"/>
        <v/>
      </c>
      <c r="AY1579" s="60" t="str">
        <f t="shared" si="927"/>
        <v/>
      </c>
      <c r="AZ1579" s="61" t="str">
        <f t="shared" si="928"/>
        <v/>
      </c>
    </row>
    <row r="1580" spans="1:52" s="3" customFormat="1" ht="15" hidden="1" thickBot="1" x14ac:dyDescent="0.4">
      <c r="A1580" s="85">
        <f t="shared" si="882"/>
        <v>2019</v>
      </c>
      <c r="B1580" s="85" t="str">
        <f t="shared" si="904"/>
        <v>Nov</v>
      </c>
      <c r="C1580" s="86">
        <f t="shared" si="905"/>
        <v>19</v>
      </c>
      <c r="D1580" s="87">
        <f t="shared" si="906"/>
        <v>10</v>
      </c>
      <c r="E1580" s="88">
        <f t="shared" si="883"/>
        <v>3</v>
      </c>
      <c r="F1580" s="89"/>
      <c r="G1580" s="90"/>
      <c r="H1580" s="68" t="str">
        <f t="shared" si="907"/>
        <v>Senbur0_20191119_10_00</v>
      </c>
      <c r="I1580" s="91">
        <f t="shared" ref="I1580:N1580" si="934">I1579</f>
        <v>1</v>
      </c>
      <c r="J1580" s="92" t="str">
        <f t="shared" si="934"/>
        <v>Senecio</v>
      </c>
      <c r="K1580" s="92" t="str">
        <f t="shared" si="934"/>
        <v>burtoni</v>
      </c>
      <c r="L1580" s="93">
        <f t="shared" si="934"/>
        <v>0</v>
      </c>
      <c r="M1580" s="93">
        <f t="shared" si="934"/>
        <v>7</v>
      </c>
      <c r="N1580" s="94">
        <f t="shared" si="934"/>
        <v>0</v>
      </c>
      <c r="O1580" s="95"/>
      <c r="P1580" s="96" t="str">
        <f t="shared" si="909"/>
        <v/>
      </c>
      <c r="Q1580" s="97" t="str">
        <f t="shared" si="910"/>
        <v/>
      </c>
      <c r="R1580" s="98" t="e">
        <f t="shared" si="911"/>
        <v>#VALUE!</v>
      </c>
      <c r="S1580" s="98" t="e">
        <f t="shared" si="912"/>
        <v>#VALUE!</v>
      </c>
      <c r="T1580" s="98" t="str">
        <f t="shared" si="913"/>
        <v/>
      </c>
      <c r="U1580" s="99"/>
      <c r="V1580" s="100"/>
      <c r="W1580" s="101" t="e">
        <f t="shared" si="914"/>
        <v>#VALUE!</v>
      </c>
      <c r="X1580" s="102"/>
      <c r="Y1580" s="122"/>
      <c r="Z1580" s="122"/>
      <c r="AA1580" s="47" t="e">
        <f>INDEX(VISITORS[INSECT ORDER], MATCH(X1580,VISITORS[NAME USED],0))</f>
        <v>#N/A</v>
      </c>
      <c r="AB1580" s="98" t="e">
        <f t="shared" si="915"/>
        <v>#N/A</v>
      </c>
      <c r="AC1580" s="53" t="e">
        <f t="shared" si="916"/>
        <v>#VALUE!</v>
      </c>
      <c r="AD1580" s="103" t="str">
        <f t="shared" si="917"/>
        <v/>
      </c>
      <c r="AE1580" s="103"/>
      <c r="AF1580" s="103"/>
      <c r="AG1580" s="104" t="str">
        <f t="shared" si="918"/>
        <v/>
      </c>
      <c r="AH1580" s="105" t="str">
        <f t="shared" si="919"/>
        <v/>
      </c>
      <c r="AI1580" s="104"/>
      <c r="AJ1580" s="105" t="str">
        <f t="shared" si="920"/>
        <v/>
      </c>
      <c r="AK1580" s="104"/>
      <c r="AL1580" s="105" t="str">
        <f t="shared" si="921"/>
        <v/>
      </c>
      <c r="AM1580" s="104"/>
      <c r="AN1580" s="105" t="str">
        <f t="shared" si="922"/>
        <v/>
      </c>
      <c r="AO1580" s="104"/>
      <c r="AP1580" s="105" t="str">
        <f t="shared" si="923"/>
        <v/>
      </c>
      <c r="AQ1580" s="104"/>
      <c r="AR1580" s="105" t="str">
        <f t="shared" si="924"/>
        <v/>
      </c>
      <c r="AS1580" s="106"/>
      <c r="AT1580" s="107"/>
      <c r="AU1580" s="107"/>
      <c r="AV1580" s="108"/>
      <c r="AW1580" s="109" t="str">
        <f t="shared" si="925"/>
        <v/>
      </c>
      <c r="AX1580" s="110" t="str">
        <f t="shared" si="926"/>
        <v/>
      </c>
      <c r="AY1580" s="109" t="str">
        <f t="shared" si="927"/>
        <v/>
      </c>
      <c r="AZ1580" s="110" t="str">
        <f t="shared" si="928"/>
        <v/>
      </c>
    </row>
    <row r="1581" spans="1:52" s="3" customFormat="1" ht="11.25" hidden="1" customHeight="1" x14ac:dyDescent="0.35">
      <c r="A1581" s="72">
        <f t="shared" si="882"/>
        <v>2019</v>
      </c>
      <c r="B1581" s="72" t="str">
        <f t="shared" si="904"/>
        <v>Nov</v>
      </c>
      <c r="C1581" s="73">
        <f t="shared" si="905"/>
        <v>19</v>
      </c>
      <c r="D1581" s="74">
        <f t="shared" si="906"/>
        <v>10</v>
      </c>
      <c r="E1581" s="75">
        <f t="shared" si="883"/>
        <v>4</v>
      </c>
      <c r="F1581" s="79"/>
      <c r="G1581" s="82"/>
      <c r="H1581" s="68" t="str">
        <f t="shared" si="907"/>
        <v>Senbur0_20191119_10_00</v>
      </c>
      <c r="I1581" s="69">
        <f t="shared" ref="I1581:N1581" si="935">I1580</f>
        <v>1</v>
      </c>
      <c r="J1581" s="76" t="str">
        <f t="shared" si="935"/>
        <v>Senecio</v>
      </c>
      <c r="K1581" s="76" t="str">
        <f t="shared" si="935"/>
        <v>burtoni</v>
      </c>
      <c r="L1581" s="77">
        <f t="shared" si="935"/>
        <v>0</v>
      </c>
      <c r="M1581" s="77">
        <f t="shared" si="935"/>
        <v>7</v>
      </c>
      <c r="N1581" s="71">
        <f t="shared" si="935"/>
        <v>0</v>
      </c>
      <c r="O1581" s="44"/>
      <c r="P1581" s="45" t="str">
        <f t="shared" si="909"/>
        <v/>
      </c>
      <c r="Q1581" s="46" t="str">
        <f t="shared" si="910"/>
        <v/>
      </c>
      <c r="R1581" s="47" t="e">
        <f t="shared" si="911"/>
        <v>#VALUE!</v>
      </c>
      <c r="S1581" s="48" t="e">
        <f t="shared" si="912"/>
        <v>#VALUE!</v>
      </c>
      <c r="T1581" s="47" t="str">
        <f t="shared" si="913"/>
        <v/>
      </c>
      <c r="U1581" s="49"/>
      <c r="V1581" s="50"/>
      <c r="W1581" s="51" t="e">
        <f t="shared" si="914"/>
        <v>#VALUE!</v>
      </c>
      <c r="X1581" s="52"/>
      <c r="Y1581" s="52"/>
      <c r="Z1581" s="52"/>
      <c r="AA1581" s="47" t="e">
        <f>INDEX(VISITORS[INSECT ORDER], MATCH(X1581,VISITORS[NAME USED],0))</f>
        <v>#N/A</v>
      </c>
      <c r="AB1581" s="47" t="e">
        <f t="shared" si="915"/>
        <v>#N/A</v>
      </c>
      <c r="AC1581" s="53" t="e">
        <f t="shared" si="916"/>
        <v>#VALUE!</v>
      </c>
      <c r="AD1581" s="54" t="str">
        <f t="shared" si="917"/>
        <v/>
      </c>
      <c r="AE1581" s="54"/>
      <c r="AF1581" s="54"/>
      <c r="AG1581" s="55" t="str">
        <f t="shared" si="918"/>
        <v/>
      </c>
      <c r="AH1581" s="56" t="str">
        <f t="shared" si="919"/>
        <v/>
      </c>
      <c r="AI1581" s="55"/>
      <c r="AJ1581" s="56" t="str">
        <f t="shared" si="920"/>
        <v/>
      </c>
      <c r="AK1581" s="55"/>
      <c r="AL1581" s="56" t="str">
        <f t="shared" si="921"/>
        <v/>
      </c>
      <c r="AM1581" s="55"/>
      <c r="AN1581" s="56" t="str">
        <f t="shared" si="922"/>
        <v/>
      </c>
      <c r="AO1581" s="55"/>
      <c r="AP1581" s="56" t="str">
        <f t="shared" si="923"/>
        <v/>
      </c>
      <c r="AQ1581" s="55"/>
      <c r="AR1581" s="56" t="str">
        <f t="shared" si="924"/>
        <v/>
      </c>
      <c r="AS1581" s="57"/>
      <c r="AT1581" s="58"/>
      <c r="AU1581" s="58"/>
      <c r="AV1581" s="59"/>
      <c r="AW1581" s="60" t="str">
        <f t="shared" si="925"/>
        <v/>
      </c>
      <c r="AX1581" s="61" t="str">
        <f t="shared" si="926"/>
        <v/>
      </c>
      <c r="AY1581" s="60" t="str">
        <f t="shared" si="927"/>
        <v/>
      </c>
      <c r="AZ1581" s="61" t="str">
        <f t="shared" si="928"/>
        <v/>
      </c>
    </row>
    <row r="1582" spans="1:52" s="3" customFormat="1" hidden="1" x14ac:dyDescent="0.35">
      <c r="A1582" s="72">
        <f t="shared" si="882"/>
        <v>2019</v>
      </c>
      <c r="B1582" s="72" t="str">
        <f t="shared" si="904"/>
        <v>Nov</v>
      </c>
      <c r="C1582" s="73">
        <f t="shared" si="905"/>
        <v>19</v>
      </c>
      <c r="D1582" s="74">
        <f t="shared" si="906"/>
        <v>10</v>
      </c>
      <c r="E1582" s="75">
        <f t="shared" si="883"/>
        <v>5</v>
      </c>
      <c r="F1582" s="79"/>
      <c r="G1582" s="82"/>
      <c r="H1582" s="68" t="str">
        <f t="shared" si="907"/>
        <v>Senbur0_20191119_10_00</v>
      </c>
      <c r="I1582" s="69">
        <f t="shared" ref="I1582:N1582" si="936">I1581</f>
        <v>1</v>
      </c>
      <c r="J1582" s="76" t="str">
        <f t="shared" si="936"/>
        <v>Senecio</v>
      </c>
      <c r="K1582" s="76" t="str">
        <f t="shared" si="936"/>
        <v>burtoni</v>
      </c>
      <c r="L1582" s="77">
        <f t="shared" si="936"/>
        <v>0</v>
      </c>
      <c r="M1582" s="77">
        <f t="shared" si="936"/>
        <v>7</v>
      </c>
      <c r="N1582" s="71">
        <f t="shared" si="936"/>
        <v>0</v>
      </c>
      <c r="O1582" s="44"/>
      <c r="P1582" s="45" t="str">
        <f t="shared" si="909"/>
        <v/>
      </c>
      <c r="Q1582" s="46" t="str">
        <f t="shared" si="910"/>
        <v/>
      </c>
      <c r="R1582" s="47" t="e">
        <f t="shared" si="911"/>
        <v>#VALUE!</v>
      </c>
      <c r="S1582" s="48" t="e">
        <f t="shared" si="912"/>
        <v>#VALUE!</v>
      </c>
      <c r="T1582" s="47" t="str">
        <f t="shared" si="913"/>
        <v/>
      </c>
      <c r="U1582" s="49"/>
      <c r="V1582" s="50"/>
      <c r="W1582" s="51" t="e">
        <f t="shared" si="914"/>
        <v>#VALUE!</v>
      </c>
      <c r="X1582" s="52"/>
      <c r="Y1582" s="52"/>
      <c r="Z1582" s="52"/>
      <c r="AA1582" s="47" t="e">
        <f>INDEX(VISITORS[INSECT ORDER], MATCH(X1582,VISITORS[NAME USED],0))</f>
        <v>#N/A</v>
      </c>
      <c r="AB1582" s="47" t="e">
        <f t="shared" si="915"/>
        <v>#N/A</v>
      </c>
      <c r="AC1582" s="53" t="e">
        <f t="shared" si="916"/>
        <v>#VALUE!</v>
      </c>
      <c r="AD1582" s="54" t="str">
        <f t="shared" si="917"/>
        <v/>
      </c>
      <c r="AE1582" s="54"/>
      <c r="AF1582" s="54"/>
      <c r="AG1582" s="55" t="str">
        <f t="shared" si="918"/>
        <v/>
      </c>
      <c r="AH1582" s="56" t="str">
        <f t="shared" si="919"/>
        <v/>
      </c>
      <c r="AI1582" s="55"/>
      <c r="AJ1582" s="56" t="str">
        <f t="shared" si="920"/>
        <v/>
      </c>
      <c r="AK1582" s="55"/>
      <c r="AL1582" s="56" t="str">
        <f t="shared" si="921"/>
        <v/>
      </c>
      <c r="AM1582" s="55"/>
      <c r="AN1582" s="56" t="str">
        <f t="shared" si="922"/>
        <v/>
      </c>
      <c r="AO1582" s="55"/>
      <c r="AP1582" s="56" t="str">
        <f t="shared" si="923"/>
        <v/>
      </c>
      <c r="AQ1582" s="55"/>
      <c r="AR1582" s="56" t="str">
        <f t="shared" si="924"/>
        <v/>
      </c>
      <c r="AS1582" s="57"/>
      <c r="AT1582" s="58"/>
      <c r="AU1582" s="58"/>
      <c r="AV1582" s="59"/>
      <c r="AW1582" s="60" t="str">
        <f t="shared" si="925"/>
        <v/>
      </c>
      <c r="AX1582" s="61" t="str">
        <f t="shared" si="926"/>
        <v/>
      </c>
      <c r="AY1582" s="60" t="str">
        <f t="shared" si="927"/>
        <v/>
      </c>
      <c r="AZ1582" s="61" t="str">
        <f t="shared" si="928"/>
        <v/>
      </c>
    </row>
    <row r="1583" spans="1:52" s="3" customFormat="1" ht="15" hidden="1" thickBot="1" x14ac:dyDescent="0.4">
      <c r="A1583" s="85">
        <f t="shared" si="882"/>
        <v>2019</v>
      </c>
      <c r="B1583" s="85" t="str">
        <f t="shared" si="904"/>
        <v>Nov</v>
      </c>
      <c r="C1583" s="86">
        <f t="shared" si="905"/>
        <v>19</v>
      </c>
      <c r="D1583" s="87">
        <f t="shared" si="906"/>
        <v>10</v>
      </c>
      <c r="E1583" s="88">
        <f t="shared" si="883"/>
        <v>6</v>
      </c>
      <c r="F1583" s="89"/>
      <c r="G1583" s="90"/>
      <c r="H1583" s="68" t="str">
        <f t="shared" si="907"/>
        <v>Senbur0_20191119_10_00</v>
      </c>
      <c r="I1583" s="91">
        <f t="shared" ref="I1583:N1583" si="937">I1582</f>
        <v>1</v>
      </c>
      <c r="J1583" s="92" t="str">
        <f t="shared" si="937"/>
        <v>Senecio</v>
      </c>
      <c r="K1583" s="92" t="str">
        <f t="shared" si="937"/>
        <v>burtoni</v>
      </c>
      <c r="L1583" s="93">
        <f t="shared" si="937"/>
        <v>0</v>
      </c>
      <c r="M1583" s="93">
        <f t="shared" si="937"/>
        <v>7</v>
      </c>
      <c r="N1583" s="94">
        <f t="shared" si="937"/>
        <v>0</v>
      </c>
      <c r="O1583" s="95"/>
      <c r="P1583" s="96" t="str">
        <f t="shared" si="909"/>
        <v/>
      </c>
      <c r="Q1583" s="97" t="str">
        <f t="shared" si="910"/>
        <v/>
      </c>
      <c r="R1583" s="98" t="e">
        <f t="shared" si="911"/>
        <v>#VALUE!</v>
      </c>
      <c r="S1583" s="98" t="e">
        <f t="shared" si="912"/>
        <v>#VALUE!</v>
      </c>
      <c r="T1583" s="98" t="str">
        <f t="shared" si="913"/>
        <v/>
      </c>
      <c r="U1583" s="99"/>
      <c r="V1583" s="100"/>
      <c r="W1583" s="101" t="e">
        <f t="shared" si="914"/>
        <v>#VALUE!</v>
      </c>
      <c r="X1583" s="102"/>
      <c r="Y1583" s="122"/>
      <c r="Z1583" s="122"/>
      <c r="AA1583" s="47" t="e">
        <f>INDEX(VISITORS[INSECT ORDER], MATCH(X1583,VISITORS[NAME USED],0))</f>
        <v>#N/A</v>
      </c>
      <c r="AB1583" s="98" t="e">
        <f t="shared" si="915"/>
        <v>#N/A</v>
      </c>
      <c r="AC1583" s="53" t="e">
        <f t="shared" si="916"/>
        <v>#VALUE!</v>
      </c>
      <c r="AD1583" s="103" t="str">
        <f t="shared" si="917"/>
        <v/>
      </c>
      <c r="AE1583" s="103"/>
      <c r="AF1583" s="103"/>
      <c r="AG1583" s="104" t="str">
        <f t="shared" si="918"/>
        <v/>
      </c>
      <c r="AH1583" s="105" t="str">
        <f t="shared" si="919"/>
        <v/>
      </c>
      <c r="AI1583" s="104"/>
      <c r="AJ1583" s="105" t="str">
        <f t="shared" si="920"/>
        <v/>
      </c>
      <c r="AK1583" s="104"/>
      <c r="AL1583" s="105" t="str">
        <f t="shared" si="921"/>
        <v/>
      </c>
      <c r="AM1583" s="104"/>
      <c r="AN1583" s="105" t="str">
        <f t="shared" si="922"/>
        <v/>
      </c>
      <c r="AO1583" s="104"/>
      <c r="AP1583" s="105" t="str">
        <f t="shared" si="923"/>
        <v/>
      </c>
      <c r="AQ1583" s="104"/>
      <c r="AR1583" s="105" t="str">
        <f t="shared" si="924"/>
        <v/>
      </c>
      <c r="AS1583" s="106"/>
      <c r="AT1583" s="107"/>
      <c r="AU1583" s="107"/>
      <c r="AV1583" s="108"/>
      <c r="AW1583" s="109" t="str">
        <f t="shared" si="925"/>
        <v/>
      </c>
      <c r="AX1583" s="110" t="str">
        <f t="shared" si="926"/>
        <v/>
      </c>
      <c r="AY1583" s="109" t="str">
        <f t="shared" si="927"/>
        <v/>
      </c>
      <c r="AZ1583" s="110" t="str">
        <f t="shared" si="928"/>
        <v/>
      </c>
    </row>
    <row r="1584" spans="1:52" s="3" customFormat="1" ht="11.25" hidden="1" customHeight="1" x14ac:dyDescent="0.35">
      <c r="A1584" s="72">
        <f t="shared" si="882"/>
        <v>2019</v>
      </c>
      <c r="B1584" s="72" t="str">
        <f t="shared" si="904"/>
        <v>Nov</v>
      </c>
      <c r="C1584" s="73">
        <f t="shared" si="905"/>
        <v>19</v>
      </c>
      <c r="D1584" s="74">
        <f t="shared" si="906"/>
        <v>10</v>
      </c>
      <c r="E1584" s="75">
        <f t="shared" si="883"/>
        <v>7</v>
      </c>
      <c r="F1584" s="79"/>
      <c r="G1584" s="82"/>
      <c r="H1584" s="68" t="str">
        <f t="shared" si="907"/>
        <v>Senbur0_20191119_10_00</v>
      </c>
      <c r="I1584" s="69">
        <f t="shared" ref="I1584:N1584" si="938">I1583</f>
        <v>1</v>
      </c>
      <c r="J1584" s="76" t="str">
        <f t="shared" si="938"/>
        <v>Senecio</v>
      </c>
      <c r="K1584" s="76" t="str">
        <f t="shared" si="938"/>
        <v>burtoni</v>
      </c>
      <c r="L1584" s="77">
        <f t="shared" si="938"/>
        <v>0</v>
      </c>
      <c r="M1584" s="77">
        <f t="shared" si="938"/>
        <v>7</v>
      </c>
      <c r="N1584" s="71">
        <f t="shared" si="938"/>
        <v>0</v>
      </c>
      <c r="O1584" s="44"/>
      <c r="P1584" s="45" t="str">
        <f t="shared" si="909"/>
        <v/>
      </c>
      <c r="Q1584" s="46" t="str">
        <f t="shared" si="910"/>
        <v/>
      </c>
      <c r="R1584" s="47" t="e">
        <f t="shared" si="911"/>
        <v>#VALUE!</v>
      </c>
      <c r="S1584" s="48" t="e">
        <f t="shared" si="912"/>
        <v>#VALUE!</v>
      </c>
      <c r="T1584" s="47" t="str">
        <f t="shared" si="913"/>
        <v/>
      </c>
      <c r="U1584" s="49"/>
      <c r="V1584" s="50"/>
      <c r="W1584" s="51" t="e">
        <f t="shared" si="914"/>
        <v>#VALUE!</v>
      </c>
      <c r="X1584" s="52"/>
      <c r="Y1584" s="52"/>
      <c r="Z1584" s="52"/>
      <c r="AA1584" s="47" t="e">
        <f>INDEX(VISITORS[INSECT ORDER], MATCH(X1584,VISITORS[NAME USED],0))</f>
        <v>#N/A</v>
      </c>
      <c r="AB1584" s="47" t="e">
        <f t="shared" si="915"/>
        <v>#N/A</v>
      </c>
      <c r="AC1584" s="53" t="e">
        <f t="shared" si="916"/>
        <v>#VALUE!</v>
      </c>
      <c r="AD1584" s="54" t="str">
        <f t="shared" si="917"/>
        <v/>
      </c>
      <c r="AE1584" s="54"/>
      <c r="AF1584" s="54"/>
      <c r="AG1584" s="55" t="str">
        <f t="shared" si="918"/>
        <v/>
      </c>
      <c r="AH1584" s="56" t="str">
        <f t="shared" si="919"/>
        <v/>
      </c>
      <c r="AI1584" s="55"/>
      <c r="AJ1584" s="56" t="str">
        <f t="shared" si="920"/>
        <v/>
      </c>
      <c r="AK1584" s="55"/>
      <c r="AL1584" s="56" t="str">
        <f t="shared" si="921"/>
        <v/>
      </c>
      <c r="AM1584" s="55"/>
      <c r="AN1584" s="56" t="str">
        <f t="shared" si="922"/>
        <v/>
      </c>
      <c r="AO1584" s="55"/>
      <c r="AP1584" s="56" t="str">
        <f t="shared" si="923"/>
        <v/>
      </c>
      <c r="AQ1584" s="55"/>
      <c r="AR1584" s="56" t="str">
        <f t="shared" si="924"/>
        <v/>
      </c>
      <c r="AS1584" s="57"/>
      <c r="AT1584" s="58"/>
      <c r="AU1584" s="58"/>
      <c r="AV1584" s="59"/>
      <c r="AW1584" s="60" t="str">
        <f t="shared" si="925"/>
        <v/>
      </c>
      <c r="AX1584" s="61" t="str">
        <f t="shared" si="926"/>
        <v/>
      </c>
      <c r="AY1584" s="60" t="str">
        <f t="shared" si="927"/>
        <v/>
      </c>
      <c r="AZ1584" s="61" t="str">
        <f t="shared" si="928"/>
        <v/>
      </c>
    </row>
    <row r="1585" spans="1:52" s="3" customFormat="1" hidden="1" x14ac:dyDescent="0.35">
      <c r="A1585" s="72">
        <f t="shared" si="882"/>
        <v>2019</v>
      </c>
      <c r="B1585" s="72" t="str">
        <f t="shared" si="904"/>
        <v>Nov</v>
      </c>
      <c r="C1585" s="73">
        <f t="shared" si="905"/>
        <v>19</v>
      </c>
      <c r="D1585" s="74">
        <f t="shared" si="906"/>
        <v>10</v>
      </c>
      <c r="E1585" s="75">
        <f t="shared" si="883"/>
        <v>8</v>
      </c>
      <c r="F1585" s="79"/>
      <c r="G1585" s="82"/>
      <c r="H1585" s="68" t="str">
        <f t="shared" si="907"/>
        <v>Senbur0_20191119_10_00</v>
      </c>
      <c r="I1585" s="69">
        <f t="shared" ref="I1585:N1585" si="939">I1584</f>
        <v>1</v>
      </c>
      <c r="J1585" s="76" t="str">
        <f t="shared" si="939"/>
        <v>Senecio</v>
      </c>
      <c r="K1585" s="76" t="str">
        <f t="shared" si="939"/>
        <v>burtoni</v>
      </c>
      <c r="L1585" s="77">
        <f t="shared" si="939"/>
        <v>0</v>
      </c>
      <c r="M1585" s="77">
        <f t="shared" si="939"/>
        <v>7</v>
      </c>
      <c r="N1585" s="71">
        <f t="shared" si="939"/>
        <v>0</v>
      </c>
      <c r="O1585" s="44"/>
      <c r="P1585" s="45" t="str">
        <f t="shared" si="909"/>
        <v/>
      </c>
      <c r="Q1585" s="46" t="str">
        <f t="shared" si="910"/>
        <v/>
      </c>
      <c r="R1585" s="47" t="e">
        <f t="shared" si="911"/>
        <v>#VALUE!</v>
      </c>
      <c r="S1585" s="48" t="e">
        <f t="shared" si="912"/>
        <v>#VALUE!</v>
      </c>
      <c r="T1585" s="47" t="str">
        <f t="shared" si="913"/>
        <v/>
      </c>
      <c r="U1585" s="49"/>
      <c r="V1585" s="50"/>
      <c r="W1585" s="51" t="e">
        <f t="shared" si="914"/>
        <v>#VALUE!</v>
      </c>
      <c r="X1585" s="52"/>
      <c r="Y1585" s="52"/>
      <c r="Z1585" s="52"/>
      <c r="AA1585" s="47" t="e">
        <f>INDEX(VISITORS[INSECT ORDER], MATCH(X1585,VISITORS[NAME USED],0))</f>
        <v>#N/A</v>
      </c>
      <c r="AB1585" s="47" t="e">
        <f t="shared" si="915"/>
        <v>#N/A</v>
      </c>
      <c r="AC1585" s="53" t="e">
        <f t="shared" si="916"/>
        <v>#VALUE!</v>
      </c>
      <c r="AD1585" s="54" t="str">
        <f t="shared" si="917"/>
        <v/>
      </c>
      <c r="AE1585" s="54"/>
      <c r="AF1585" s="54"/>
      <c r="AG1585" s="55" t="str">
        <f t="shared" si="918"/>
        <v/>
      </c>
      <c r="AH1585" s="56" t="str">
        <f t="shared" si="919"/>
        <v/>
      </c>
      <c r="AI1585" s="55"/>
      <c r="AJ1585" s="56" t="str">
        <f t="shared" si="920"/>
        <v/>
      </c>
      <c r="AK1585" s="55"/>
      <c r="AL1585" s="56" t="str">
        <f t="shared" si="921"/>
        <v/>
      </c>
      <c r="AM1585" s="55"/>
      <c r="AN1585" s="56" t="str">
        <f t="shared" si="922"/>
        <v/>
      </c>
      <c r="AO1585" s="55"/>
      <c r="AP1585" s="56" t="str">
        <f t="shared" si="923"/>
        <v/>
      </c>
      <c r="AQ1585" s="55"/>
      <c r="AR1585" s="56" t="str">
        <f t="shared" si="924"/>
        <v/>
      </c>
      <c r="AS1585" s="57"/>
      <c r="AT1585" s="58"/>
      <c r="AU1585" s="58"/>
      <c r="AV1585" s="59"/>
      <c r="AW1585" s="60" t="str">
        <f t="shared" si="925"/>
        <v/>
      </c>
      <c r="AX1585" s="61" t="str">
        <f t="shared" si="926"/>
        <v/>
      </c>
      <c r="AY1585" s="60" t="str">
        <f t="shared" si="927"/>
        <v/>
      </c>
      <c r="AZ1585" s="61" t="str">
        <f t="shared" si="928"/>
        <v/>
      </c>
    </row>
    <row r="1586" spans="1:52" s="3" customFormat="1" ht="15" hidden="1" thickBot="1" x14ac:dyDescent="0.4">
      <c r="A1586" s="85">
        <f t="shared" si="882"/>
        <v>2019</v>
      </c>
      <c r="B1586" s="85" t="str">
        <f t="shared" si="904"/>
        <v>Nov</v>
      </c>
      <c r="C1586" s="86">
        <f t="shared" si="905"/>
        <v>19</v>
      </c>
      <c r="D1586" s="87">
        <f t="shared" si="906"/>
        <v>10</v>
      </c>
      <c r="E1586" s="88">
        <f t="shared" si="883"/>
        <v>9</v>
      </c>
      <c r="F1586" s="89"/>
      <c r="G1586" s="90"/>
      <c r="H1586" s="68" t="str">
        <f t="shared" si="907"/>
        <v>Senbur0_20191119_10_00</v>
      </c>
      <c r="I1586" s="91">
        <f t="shared" ref="I1586:N1586" si="940">I1585</f>
        <v>1</v>
      </c>
      <c r="J1586" s="92" t="str">
        <f t="shared" si="940"/>
        <v>Senecio</v>
      </c>
      <c r="K1586" s="92" t="str">
        <f t="shared" si="940"/>
        <v>burtoni</v>
      </c>
      <c r="L1586" s="93">
        <f t="shared" si="940"/>
        <v>0</v>
      </c>
      <c r="M1586" s="93">
        <f t="shared" si="940"/>
        <v>7</v>
      </c>
      <c r="N1586" s="94">
        <f t="shared" si="940"/>
        <v>0</v>
      </c>
      <c r="O1586" s="95"/>
      <c r="P1586" s="96" t="str">
        <f t="shared" si="909"/>
        <v/>
      </c>
      <c r="Q1586" s="97" t="str">
        <f t="shared" si="910"/>
        <v/>
      </c>
      <c r="R1586" s="98" t="e">
        <f t="shared" si="911"/>
        <v>#VALUE!</v>
      </c>
      <c r="S1586" s="98" t="e">
        <f t="shared" si="912"/>
        <v>#VALUE!</v>
      </c>
      <c r="T1586" s="98" t="str">
        <f t="shared" si="913"/>
        <v/>
      </c>
      <c r="U1586" s="99"/>
      <c r="V1586" s="100"/>
      <c r="W1586" s="101" t="e">
        <f t="shared" si="914"/>
        <v>#VALUE!</v>
      </c>
      <c r="X1586" s="102"/>
      <c r="Y1586" s="122"/>
      <c r="Z1586" s="122"/>
      <c r="AA1586" s="47" t="e">
        <f>INDEX(VISITORS[INSECT ORDER], MATCH(X1586,VISITORS[NAME USED],0))</f>
        <v>#N/A</v>
      </c>
      <c r="AB1586" s="98" t="e">
        <f t="shared" si="915"/>
        <v>#N/A</v>
      </c>
      <c r="AC1586" s="53" t="e">
        <f t="shared" si="916"/>
        <v>#VALUE!</v>
      </c>
      <c r="AD1586" s="103" t="str">
        <f t="shared" si="917"/>
        <v/>
      </c>
      <c r="AE1586" s="103"/>
      <c r="AF1586" s="103"/>
      <c r="AG1586" s="104" t="str">
        <f t="shared" si="918"/>
        <v/>
      </c>
      <c r="AH1586" s="105" t="str">
        <f t="shared" si="919"/>
        <v/>
      </c>
      <c r="AI1586" s="104"/>
      <c r="AJ1586" s="105" t="str">
        <f t="shared" si="920"/>
        <v/>
      </c>
      <c r="AK1586" s="104"/>
      <c r="AL1586" s="105" t="str">
        <f t="shared" si="921"/>
        <v/>
      </c>
      <c r="AM1586" s="104"/>
      <c r="AN1586" s="105" t="str">
        <f t="shared" si="922"/>
        <v/>
      </c>
      <c r="AO1586" s="104"/>
      <c r="AP1586" s="105" t="str">
        <f t="shared" si="923"/>
        <v/>
      </c>
      <c r="AQ1586" s="104"/>
      <c r="AR1586" s="105" t="str">
        <f t="shared" si="924"/>
        <v/>
      </c>
      <c r="AS1586" s="106"/>
      <c r="AT1586" s="107"/>
      <c r="AU1586" s="107"/>
      <c r="AV1586" s="108"/>
      <c r="AW1586" s="109" t="str">
        <f t="shared" si="925"/>
        <v/>
      </c>
      <c r="AX1586" s="110" t="str">
        <f t="shared" si="926"/>
        <v/>
      </c>
      <c r="AY1586" s="109" t="str">
        <f t="shared" si="927"/>
        <v/>
      </c>
      <c r="AZ1586" s="110" t="str">
        <f t="shared" si="928"/>
        <v/>
      </c>
    </row>
    <row r="1587" spans="1:52" s="3" customFormat="1" ht="11.25" hidden="1" customHeight="1" x14ac:dyDescent="0.35">
      <c r="A1587" s="72">
        <f t="shared" si="882"/>
        <v>2019</v>
      </c>
      <c r="B1587" s="72" t="str">
        <f t="shared" si="904"/>
        <v>Nov</v>
      </c>
      <c r="C1587" s="73">
        <f t="shared" si="905"/>
        <v>19</v>
      </c>
      <c r="D1587" s="74">
        <f t="shared" si="906"/>
        <v>10</v>
      </c>
      <c r="E1587" s="75">
        <f t="shared" si="883"/>
        <v>10</v>
      </c>
      <c r="F1587" s="79"/>
      <c r="G1587" s="82"/>
      <c r="H1587" s="68" t="str">
        <f t="shared" si="907"/>
        <v>Senbur0_20191119_10_00</v>
      </c>
      <c r="I1587" s="69">
        <f t="shared" ref="I1587:N1587" si="941">I1586</f>
        <v>1</v>
      </c>
      <c r="J1587" s="76" t="str">
        <f t="shared" si="941"/>
        <v>Senecio</v>
      </c>
      <c r="K1587" s="76" t="str">
        <f t="shared" si="941"/>
        <v>burtoni</v>
      </c>
      <c r="L1587" s="77">
        <f t="shared" si="941"/>
        <v>0</v>
      </c>
      <c r="M1587" s="77">
        <f t="shared" si="941"/>
        <v>7</v>
      </c>
      <c r="N1587" s="71">
        <f t="shared" si="941"/>
        <v>0</v>
      </c>
      <c r="O1587" s="44"/>
      <c r="P1587" s="45" t="str">
        <f t="shared" si="909"/>
        <v/>
      </c>
      <c r="Q1587" s="46" t="str">
        <f t="shared" si="910"/>
        <v/>
      </c>
      <c r="R1587" s="47" t="e">
        <f t="shared" si="911"/>
        <v>#VALUE!</v>
      </c>
      <c r="S1587" s="48" t="e">
        <f t="shared" si="912"/>
        <v>#VALUE!</v>
      </c>
      <c r="T1587" s="47" t="str">
        <f t="shared" si="913"/>
        <v/>
      </c>
      <c r="U1587" s="49"/>
      <c r="V1587" s="50"/>
      <c r="W1587" s="51" t="e">
        <f t="shared" si="914"/>
        <v>#VALUE!</v>
      </c>
      <c r="X1587" s="52"/>
      <c r="Y1587" s="52"/>
      <c r="Z1587" s="52"/>
      <c r="AA1587" s="47" t="e">
        <f>INDEX(VISITORS[INSECT ORDER], MATCH(X1587,VISITORS[NAME USED],0))</f>
        <v>#N/A</v>
      </c>
      <c r="AB1587" s="47" t="e">
        <f t="shared" si="915"/>
        <v>#N/A</v>
      </c>
      <c r="AC1587" s="53" t="e">
        <f t="shared" si="916"/>
        <v>#VALUE!</v>
      </c>
      <c r="AD1587" s="54" t="str">
        <f t="shared" si="917"/>
        <v/>
      </c>
      <c r="AE1587" s="54"/>
      <c r="AF1587" s="54"/>
      <c r="AG1587" s="55" t="str">
        <f t="shared" si="918"/>
        <v/>
      </c>
      <c r="AH1587" s="56" t="str">
        <f t="shared" si="919"/>
        <v/>
      </c>
      <c r="AI1587" s="55"/>
      <c r="AJ1587" s="56" t="str">
        <f t="shared" si="920"/>
        <v/>
      </c>
      <c r="AK1587" s="55"/>
      <c r="AL1587" s="56" t="str">
        <f t="shared" si="921"/>
        <v/>
      </c>
      <c r="AM1587" s="55"/>
      <c r="AN1587" s="56" t="str">
        <f t="shared" si="922"/>
        <v/>
      </c>
      <c r="AO1587" s="55"/>
      <c r="AP1587" s="56" t="str">
        <f t="shared" si="923"/>
        <v/>
      </c>
      <c r="AQ1587" s="55"/>
      <c r="AR1587" s="56" t="str">
        <f t="shared" si="924"/>
        <v/>
      </c>
      <c r="AS1587" s="57"/>
      <c r="AT1587" s="58"/>
      <c r="AU1587" s="58"/>
      <c r="AV1587" s="59"/>
      <c r="AW1587" s="60" t="str">
        <f t="shared" si="925"/>
        <v/>
      </c>
      <c r="AX1587" s="61" t="str">
        <f t="shared" si="926"/>
        <v/>
      </c>
      <c r="AY1587" s="60" t="str">
        <f t="shared" si="927"/>
        <v/>
      </c>
      <c r="AZ1587" s="61" t="str">
        <f t="shared" si="928"/>
        <v/>
      </c>
    </row>
    <row r="1588" spans="1:52" s="3" customFormat="1" hidden="1" x14ac:dyDescent="0.35">
      <c r="A1588" s="72">
        <f t="shared" si="882"/>
        <v>2019</v>
      </c>
      <c r="B1588" s="72" t="str">
        <f t="shared" si="904"/>
        <v>Nov</v>
      </c>
      <c r="C1588" s="73">
        <f t="shared" si="905"/>
        <v>19</v>
      </c>
      <c r="D1588" s="74">
        <f t="shared" si="906"/>
        <v>10</v>
      </c>
      <c r="E1588" s="75">
        <f t="shared" si="883"/>
        <v>11</v>
      </c>
      <c r="F1588" s="79"/>
      <c r="G1588" s="82"/>
      <c r="H1588" s="68" t="str">
        <f t="shared" si="907"/>
        <v>Senbur0_20191119_10_00</v>
      </c>
      <c r="I1588" s="69">
        <f t="shared" ref="I1588:N1588" si="942">I1587</f>
        <v>1</v>
      </c>
      <c r="J1588" s="76" t="str">
        <f t="shared" si="942"/>
        <v>Senecio</v>
      </c>
      <c r="K1588" s="76" t="str">
        <f t="shared" si="942"/>
        <v>burtoni</v>
      </c>
      <c r="L1588" s="77">
        <f t="shared" si="942"/>
        <v>0</v>
      </c>
      <c r="M1588" s="77">
        <f t="shared" si="942"/>
        <v>7</v>
      </c>
      <c r="N1588" s="71">
        <f t="shared" si="942"/>
        <v>0</v>
      </c>
      <c r="O1588" s="44"/>
      <c r="P1588" s="45" t="str">
        <f t="shared" si="909"/>
        <v/>
      </c>
      <c r="Q1588" s="46" t="str">
        <f t="shared" si="910"/>
        <v/>
      </c>
      <c r="R1588" s="47" t="e">
        <f t="shared" si="911"/>
        <v>#VALUE!</v>
      </c>
      <c r="S1588" s="48" t="e">
        <f t="shared" si="912"/>
        <v>#VALUE!</v>
      </c>
      <c r="T1588" s="47" t="str">
        <f t="shared" si="913"/>
        <v/>
      </c>
      <c r="U1588" s="49"/>
      <c r="V1588" s="50"/>
      <c r="W1588" s="51" t="e">
        <f t="shared" si="914"/>
        <v>#VALUE!</v>
      </c>
      <c r="X1588" s="52"/>
      <c r="Y1588" s="52"/>
      <c r="Z1588" s="52"/>
      <c r="AA1588" s="47" t="e">
        <f>INDEX(VISITORS[INSECT ORDER], MATCH(X1588,VISITORS[NAME USED],0))</f>
        <v>#N/A</v>
      </c>
      <c r="AB1588" s="47" t="e">
        <f t="shared" si="915"/>
        <v>#N/A</v>
      </c>
      <c r="AC1588" s="53" t="e">
        <f t="shared" si="916"/>
        <v>#VALUE!</v>
      </c>
      <c r="AD1588" s="54" t="str">
        <f t="shared" si="917"/>
        <v/>
      </c>
      <c r="AE1588" s="54"/>
      <c r="AF1588" s="54"/>
      <c r="AG1588" s="55" t="str">
        <f t="shared" si="918"/>
        <v/>
      </c>
      <c r="AH1588" s="56" t="str">
        <f t="shared" si="919"/>
        <v/>
      </c>
      <c r="AI1588" s="55"/>
      <c r="AJ1588" s="56" t="str">
        <f t="shared" si="920"/>
        <v/>
      </c>
      <c r="AK1588" s="55"/>
      <c r="AL1588" s="56" t="str">
        <f t="shared" si="921"/>
        <v/>
      </c>
      <c r="AM1588" s="55"/>
      <c r="AN1588" s="56" t="str">
        <f t="shared" si="922"/>
        <v/>
      </c>
      <c r="AO1588" s="55"/>
      <c r="AP1588" s="56" t="str">
        <f t="shared" si="923"/>
        <v/>
      </c>
      <c r="AQ1588" s="55"/>
      <c r="AR1588" s="56" t="str">
        <f t="shared" si="924"/>
        <v/>
      </c>
      <c r="AS1588" s="57"/>
      <c r="AT1588" s="58"/>
      <c r="AU1588" s="58"/>
      <c r="AV1588" s="59"/>
      <c r="AW1588" s="60" t="str">
        <f t="shared" si="925"/>
        <v/>
      </c>
      <c r="AX1588" s="61" t="str">
        <f t="shared" si="926"/>
        <v/>
      </c>
      <c r="AY1588" s="60" t="str">
        <f t="shared" si="927"/>
        <v/>
      </c>
      <c r="AZ1588" s="61" t="str">
        <f t="shared" si="928"/>
        <v/>
      </c>
    </row>
    <row r="1589" spans="1:52" s="3" customFormat="1" ht="15" hidden="1" thickBot="1" x14ac:dyDescent="0.4">
      <c r="A1589" s="85">
        <f t="shared" si="882"/>
        <v>2019</v>
      </c>
      <c r="B1589" s="85" t="str">
        <f t="shared" si="904"/>
        <v>Nov</v>
      </c>
      <c r="C1589" s="86">
        <f t="shared" si="905"/>
        <v>19</v>
      </c>
      <c r="D1589" s="87">
        <f t="shared" si="906"/>
        <v>10</v>
      </c>
      <c r="E1589" s="88">
        <f t="shared" si="883"/>
        <v>12</v>
      </c>
      <c r="F1589" s="89"/>
      <c r="G1589" s="90"/>
      <c r="H1589" s="68" t="str">
        <f t="shared" si="907"/>
        <v>Senbur0_20191119_10_00</v>
      </c>
      <c r="I1589" s="91">
        <f t="shared" ref="I1589:N1589" si="943">I1588</f>
        <v>1</v>
      </c>
      <c r="J1589" s="92" t="str">
        <f t="shared" si="943"/>
        <v>Senecio</v>
      </c>
      <c r="K1589" s="92" t="str">
        <f t="shared" si="943"/>
        <v>burtoni</v>
      </c>
      <c r="L1589" s="93">
        <f t="shared" si="943"/>
        <v>0</v>
      </c>
      <c r="M1589" s="93">
        <f t="shared" si="943"/>
        <v>7</v>
      </c>
      <c r="N1589" s="94">
        <f t="shared" si="943"/>
        <v>0</v>
      </c>
      <c r="O1589" s="95"/>
      <c r="P1589" s="96" t="str">
        <f t="shared" si="909"/>
        <v/>
      </c>
      <c r="Q1589" s="97" t="str">
        <f t="shared" si="910"/>
        <v/>
      </c>
      <c r="R1589" s="98" t="e">
        <f t="shared" si="911"/>
        <v>#VALUE!</v>
      </c>
      <c r="S1589" s="98" t="e">
        <f t="shared" si="912"/>
        <v>#VALUE!</v>
      </c>
      <c r="T1589" s="98" t="str">
        <f t="shared" si="913"/>
        <v/>
      </c>
      <c r="U1589" s="99"/>
      <c r="V1589" s="100"/>
      <c r="W1589" s="101" t="e">
        <f t="shared" si="914"/>
        <v>#VALUE!</v>
      </c>
      <c r="X1589" s="102"/>
      <c r="Y1589" s="122"/>
      <c r="Z1589" s="122"/>
      <c r="AA1589" s="47" t="e">
        <f>INDEX(VISITORS[INSECT ORDER], MATCH(X1589,VISITORS[NAME USED],0))</f>
        <v>#N/A</v>
      </c>
      <c r="AB1589" s="98" t="e">
        <f t="shared" si="915"/>
        <v>#N/A</v>
      </c>
      <c r="AC1589" s="53" t="e">
        <f t="shared" si="916"/>
        <v>#VALUE!</v>
      </c>
      <c r="AD1589" s="103" t="str">
        <f t="shared" si="917"/>
        <v/>
      </c>
      <c r="AE1589" s="103"/>
      <c r="AF1589" s="103"/>
      <c r="AG1589" s="104" t="str">
        <f t="shared" si="918"/>
        <v/>
      </c>
      <c r="AH1589" s="105" t="str">
        <f t="shared" si="919"/>
        <v/>
      </c>
      <c r="AI1589" s="104"/>
      <c r="AJ1589" s="105" t="str">
        <f t="shared" si="920"/>
        <v/>
      </c>
      <c r="AK1589" s="104"/>
      <c r="AL1589" s="105" t="str">
        <f t="shared" si="921"/>
        <v/>
      </c>
      <c r="AM1589" s="104"/>
      <c r="AN1589" s="105" t="str">
        <f t="shared" si="922"/>
        <v/>
      </c>
      <c r="AO1589" s="104"/>
      <c r="AP1589" s="105" t="str">
        <f t="shared" si="923"/>
        <v/>
      </c>
      <c r="AQ1589" s="104"/>
      <c r="AR1589" s="105" t="str">
        <f t="shared" si="924"/>
        <v/>
      </c>
      <c r="AS1589" s="106"/>
      <c r="AT1589" s="107"/>
      <c r="AU1589" s="107"/>
      <c r="AV1589" s="108"/>
      <c r="AW1589" s="109" t="str">
        <f t="shared" si="925"/>
        <v/>
      </c>
      <c r="AX1589" s="110" t="str">
        <f t="shared" si="926"/>
        <v/>
      </c>
      <c r="AY1589" s="109" t="str">
        <f t="shared" si="927"/>
        <v/>
      </c>
      <c r="AZ1589" s="110" t="str">
        <f t="shared" si="928"/>
        <v/>
      </c>
    </row>
    <row r="1590" spans="1:52" s="3" customFormat="1" ht="11.25" hidden="1" customHeight="1" x14ac:dyDescent="0.35">
      <c r="A1590" s="72">
        <f t="shared" si="882"/>
        <v>2019</v>
      </c>
      <c r="B1590" s="72" t="str">
        <f t="shared" si="904"/>
        <v>Nov</v>
      </c>
      <c r="C1590" s="73">
        <f t="shared" si="905"/>
        <v>19</v>
      </c>
      <c r="D1590" s="74">
        <f t="shared" si="906"/>
        <v>10</v>
      </c>
      <c r="E1590" s="75">
        <f t="shared" si="883"/>
        <v>13</v>
      </c>
      <c r="F1590" s="79"/>
      <c r="G1590" s="82"/>
      <c r="H1590" s="68" t="str">
        <f t="shared" si="907"/>
        <v>Senbur0_20191119_10_00</v>
      </c>
      <c r="I1590" s="69">
        <f t="shared" ref="I1590:N1590" si="944">I1589</f>
        <v>1</v>
      </c>
      <c r="J1590" s="76" t="str">
        <f t="shared" si="944"/>
        <v>Senecio</v>
      </c>
      <c r="K1590" s="76" t="str">
        <f t="shared" si="944"/>
        <v>burtoni</v>
      </c>
      <c r="L1590" s="77">
        <f t="shared" si="944"/>
        <v>0</v>
      </c>
      <c r="M1590" s="77">
        <f t="shared" si="944"/>
        <v>7</v>
      </c>
      <c r="N1590" s="71">
        <f t="shared" si="944"/>
        <v>0</v>
      </c>
      <c r="O1590" s="44"/>
      <c r="P1590" s="45" t="str">
        <f t="shared" si="909"/>
        <v/>
      </c>
      <c r="Q1590" s="46" t="str">
        <f t="shared" si="910"/>
        <v/>
      </c>
      <c r="R1590" s="47" t="e">
        <f t="shared" si="911"/>
        <v>#VALUE!</v>
      </c>
      <c r="S1590" s="48" t="e">
        <f t="shared" si="912"/>
        <v>#VALUE!</v>
      </c>
      <c r="T1590" s="47" t="str">
        <f t="shared" si="913"/>
        <v/>
      </c>
      <c r="U1590" s="49"/>
      <c r="V1590" s="50"/>
      <c r="W1590" s="51" t="e">
        <f t="shared" si="914"/>
        <v>#VALUE!</v>
      </c>
      <c r="X1590" s="52"/>
      <c r="Y1590" s="52"/>
      <c r="Z1590" s="52"/>
      <c r="AA1590" s="47" t="e">
        <f>INDEX(VISITORS[INSECT ORDER], MATCH(X1590,VISITORS[NAME USED],0))</f>
        <v>#N/A</v>
      </c>
      <c r="AB1590" s="47" t="e">
        <f t="shared" si="915"/>
        <v>#N/A</v>
      </c>
      <c r="AC1590" s="53" t="e">
        <f t="shared" si="916"/>
        <v>#VALUE!</v>
      </c>
      <c r="AD1590" s="54" t="str">
        <f t="shared" si="917"/>
        <v/>
      </c>
      <c r="AE1590" s="54"/>
      <c r="AF1590" s="54"/>
      <c r="AG1590" s="55" t="str">
        <f t="shared" si="918"/>
        <v/>
      </c>
      <c r="AH1590" s="56" t="str">
        <f t="shared" si="919"/>
        <v/>
      </c>
      <c r="AI1590" s="55"/>
      <c r="AJ1590" s="56" t="str">
        <f t="shared" si="920"/>
        <v/>
      </c>
      <c r="AK1590" s="55"/>
      <c r="AL1590" s="56" t="str">
        <f t="shared" si="921"/>
        <v/>
      </c>
      <c r="AM1590" s="55"/>
      <c r="AN1590" s="56" t="str">
        <f t="shared" si="922"/>
        <v/>
      </c>
      <c r="AO1590" s="55"/>
      <c r="AP1590" s="56" t="str">
        <f t="shared" si="923"/>
        <v/>
      </c>
      <c r="AQ1590" s="55"/>
      <c r="AR1590" s="56" t="str">
        <f t="shared" si="924"/>
        <v/>
      </c>
      <c r="AS1590" s="57"/>
      <c r="AT1590" s="58"/>
      <c r="AU1590" s="58"/>
      <c r="AV1590" s="59"/>
      <c r="AW1590" s="60" t="str">
        <f t="shared" si="925"/>
        <v/>
      </c>
      <c r="AX1590" s="61" t="str">
        <f t="shared" si="926"/>
        <v/>
      </c>
      <c r="AY1590" s="60" t="str">
        <f t="shared" si="927"/>
        <v/>
      </c>
      <c r="AZ1590" s="61" t="str">
        <f t="shared" si="928"/>
        <v/>
      </c>
    </row>
    <row r="1591" spans="1:52" s="3" customFormat="1" hidden="1" x14ac:dyDescent="0.35">
      <c r="A1591" s="72">
        <f t="shared" si="882"/>
        <v>2019</v>
      </c>
      <c r="B1591" s="72" t="str">
        <f t="shared" si="904"/>
        <v>Nov</v>
      </c>
      <c r="C1591" s="73">
        <f t="shared" si="905"/>
        <v>19</v>
      </c>
      <c r="D1591" s="74">
        <f t="shared" si="906"/>
        <v>10</v>
      </c>
      <c r="E1591" s="75">
        <f t="shared" si="883"/>
        <v>14</v>
      </c>
      <c r="F1591" s="79"/>
      <c r="G1591" s="82"/>
      <c r="H1591" s="68" t="str">
        <f t="shared" si="907"/>
        <v>Senbur0_20191119_10_00</v>
      </c>
      <c r="I1591" s="69">
        <f t="shared" ref="I1591:N1591" si="945">I1590</f>
        <v>1</v>
      </c>
      <c r="J1591" s="76" t="str">
        <f t="shared" si="945"/>
        <v>Senecio</v>
      </c>
      <c r="K1591" s="76" t="str">
        <f t="shared" si="945"/>
        <v>burtoni</v>
      </c>
      <c r="L1591" s="77">
        <f t="shared" si="945"/>
        <v>0</v>
      </c>
      <c r="M1591" s="77">
        <f t="shared" si="945"/>
        <v>7</v>
      </c>
      <c r="N1591" s="71">
        <f t="shared" si="945"/>
        <v>0</v>
      </c>
      <c r="O1591" s="44"/>
      <c r="P1591" s="45" t="str">
        <f t="shared" si="909"/>
        <v/>
      </c>
      <c r="Q1591" s="46" t="str">
        <f t="shared" si="910"/>
        <v/>
      </c>
      <c r="R1591" s="47" t="e">
        <f t="shared" si="911"/>
        <v>#VALUE!</v>
      </c>
      <c r="S1591" s="48" t="e">
        <f t="shared" si="912"/>
        <v>#VALUE!</v>
      </c>
      <c r="T1591" s="47" t="str">
        <f t="shared" si="913"/>
        <v/>
      </c>
      <c r="U1591" s="49"/>
      <c r="V1591" s="50"/>
      <c r="W1591" s="51" t="e">
        <f t="shared" si="914"/>
        <v>#VALUE!</v>
      </c>
      <c r="X1591" s="52"/>
      <c r="Y1591" s="52"/>
      <c r="Z1591" s="52"/>
      <c r="AA1591" s="47" t="e">
        <f>INDEX(VISITORS[INSECT ORDER], MATCH(X1591,VISITORS[NAME USED],0))</f>
        <v>#N/A</v>
      </c>
      <c r="AB1591" s="47" t="e">
        <f t="shared" si="915"/>
        <v>#N/A</v>
      </c>
      <c r="AC1591" s="53" t="e">
        <f t="shared" si="916"/>
        <v>#VALUE!</v>
      </c>
      <c r="AD1591" s="54" t="str">
        <f t="shared" si="917"/>
        <v/>
      </c>
      <c r="AE1591" s="54"/>
      <c r="AF1591" s="54"/>
      <c r="AG1591" s="55" t="str">
        <f t="shared" si="918"/>
        <v/>
      </c>
      <c r="AH1591" s="56" t="str">
        <f t="shared" si="919"/>
        <v/>
      </c>
      <c r="AI1591" s="55"/>
      <c r="AJ1591" s="56" t="str">
        <f t="shared" si="920"/>
        <v/>
      </c>
      <c r="AK1591" s="55"/>
      <c r="AL1591" s="56" t="str">
        <f t="shared" si="921"/>
        <v/>
      </c>
      <c r="AM1591" s="55"/>
      <c r="AN1591" s="56" t="str">
        <f t="shared" si="922"/>
        <v/>
      </c>
      <c r="AO1591" s="55"/>
      <c r="AP1591" s="56" t="str">
        <f t="shared" si="923"/>
        <v/>
      </c>
      <c r="AQ1591" s="55"/>
      <c r="AR1591" s="56" t="str">
        <f t="shared" si="924"/>
        <v/>
      </c>
      <c r="AS1591" s="57"/>
      <c r="AT1591" s="58"/>
      <c r="AU1591" s="58"/>
      <c r="AV1591" s="59"/>
      <c r="AW1591" s="60" t="str">
        <f t="shared" si="925"/>
        <v/>
      </c>
      <c r="AX1591" s="61" t="str">
        <f t="shared" si="926"/>
        <v/>
      </c>
      <c r="AY1591" s="60" t="str">
        <f t="shared" si="927"/>
        <v/>
      </c>
      <c r="AZ1591" s="61" t="str">
        <f t="shared" si="928"/>
        <v/>
      </c>
    </row>
    <row r="1592" spans="1:52" s="3" customFormat="1" ht="15" hidden="1" thickBot="1" x14ac:dyDescent="0.4">
      <c r="A1592" s="85">
        <f t="shared" si="882"/>
        <v>2019</v>
      </c>
      <c r="B1592" s="85" t="str">
        <f t="shared" si="904"/>
        <v>Nov</v>
      </c>
      <c r="C1592" s="86">
        <f t="shared" si="905"/>
        <v>19</v>
      </c>
      <c r="D1592" s="87">
        <f t="shared" si="906"/>
        <v>10</v>
      </c>
      <c r="E1592" s="88">
        <f t="shared" si="883"/>
        <v>15</v>
      </c>
      <c r="F1592" s="89"/>
      <c r="G1592" s="90"/>
      <c r="H1592" s="68" t="str">
        <f t="shared" si="907"/>
        <v>Senbur0_20191119_10_00</v>
      </c>
      <c r="I1592" s="91">
        <f t="shared" ref="I1592:N1592" si="946">I1591</f>
        <v>1</v>
      </c>
      <c r="J1592" s="92" t="str">
        <f t="shared" si="946"/>
        <v>Senecio</v>
      </c>
      <c r="K1592" s="92" t="str">
        <f t="shared" si="946"/>
        <v>burtoni</v>
      </c>
      <c r="L1592" s="93">
        <f t="shared" si="946"/>
        <v>0</v>
      </c>
      <c r="M1592" s="93">
        <f t="shared" si="946"/>
        <v>7</v>
      </c>
      <c r="N1592" s="94">
        <f t="shared" si="946"/>
        <v>0</v>
      </c>
      <c r="O1592" s="95"/>
      <c r="P1592" s="96" t="str">
        <f t="shared" si="909"/>
        <v/>
      </c>
      <c r="Q1592" s="97" t="str">
        <f t="shared" si="910"/>
        <v/>
      </c>
      <c r="R1592" s="98" t="e">
        <f t="shared" si="911"/>
        <v>#VALUE!</v>
      </c>
      <c r="S1592" s="98" t="e">
        <f t="shared" si="912"/>
        <v>#VALUE!</v>
      </c>
      <c r="T1592" s="98" t="str">
        <f t="shared" si="913"/>
        <v/>
      </c>
      <c r="U1592" s="99"/>
      <c r="V1592" s="100"/>
      <c r="W1592" s="101" t="e">
        <f t="shared" si="914"/>
        <v>#VALUE!</v>
      </c>
      <c r="X1592" s="102"/>
      <c r="Y1592" s="122"/>
      <c r="Z1592" s="122"/>
      <c r="AA1592" s="47" t="e">
        <f>INDEX(VISITORS[INSECT ORDER], MATCH(X1592,VISITORS[NAME USED],0))</f>
        <v>#N/A</v>
      </c>
      <c r="AB1592" s="98" t="e">
        <f t="shared" si="915"/>
        <v>#N/A</v>
      </c>
      <c r="AC1592" s="53" t="e">
        <f t="shared" si="916"/>
        <v>#VALUE!</v>
      </c>
      <c r="AD1592" s="103" t="str">
        <f t="shared" si="917"/>
        <v/>
      </c>
      <c r="AE1592" s="103"/>
      <c r="AF1592" s="103"/>
      <c r="AG1592" s="104" t="str">
        <f t="shared" si="918"/>
        <v/>
      </c>
      <c r="AH1592" s="105" t="str">
        <f t="shared" si="919"/>
        <v/>
      </c>
      <c r="AI1592" s="104"/>
      <c r="AJ1592" s="105" t="str">
        <f t="shared" si="920"/>
        <v/>
      </c>
      <c r="AK1592" s="104"/>
      <c r="AL1592" s="105" t="str">
        <f t="shared" si="921"/>
        <v/>
      </c>
      <c r="AM1592" s="104"/>
      <c r="AN1592" s="105" t="str">
        <f t="shared" si="922"/>
        <v/>
      </c>
      <c r="AO1592" s="104"/>
      <c r="AP1592" s="105" t="str">
        <f t="shared" si="923"/>
        <v/>
      </c>
      <c r="AQ1592" s="104"/>
      <c r="AR1592" s="105" t="str">
        <f t="shared" si="924"/>
        <v/>
      </c>
      <c r="AS1592" s="106"/>
      <c r="AT1592" s="107"/>
      <c r="AU1592" s="107"/>
      <c r="AV1592" s="108"/>
      <c r="AW1592" s="109" t="str">
        <f t="shared" si="925"/>
        <v/>
      </c>
      <c r="AX1592" s="110" t="str">
        <f t="shared" si="926"/>
        <v/>
      </c>
      <c r="AY1592" s="109" t="str">
        <f t="shared" si="927"/>
        <v/>
      </c>
      <c r="AZ1592" s="110" t="str">
        <f t="shared" si="928"/>
        <v/>
      </c>
    </row>
    <row r="1593" spans="1:52" s="3" customFormat="1" ht="11.25" hidden="1" customHeight="1" x14ac:dyDescent="0.35">
      <c r="A1593" s="72">
        <f t="shared" si="882"/>
        <v>2019</v>
      </c>
      <c r="B1593" s="72" t="str">
        <f t="shared" si="904"/>
        <v>Nov</v>
      </c>
      <c r="C1593" s="73">
        <f t="shared" si="905"/>
        <v>19</v>
      </c>
      <c r="D1593" s="74">
        <f t="shared" si="906"/>
        <v>10</v>
      </c>
      <c r="E1593" s="75">
        <f t="shared" si="883"/>
        <v>16</v>
      </c>
      <c r="F1593" s="79"/>
      <c r="G1593" s="82"/>
      <c r="H1593" s="68" t="str">
        <f t="shared" si="907"/>
        <v>Senbur0_20191119_10_00</v>
      </c>
      <c r="I1593" s="69">
        <f t="shared" ref="I1593:N1593" si="947">I1592</f>
        <v>1</v>
      </c>
      <c r="J1593" s="76" t="str">
        <f t="shared" si="947"/>
        <v>Senecio</v>
      </c>
      <c r="K1593" s="76" t="str">
        <f t="shared" si="947"/>
        <v>burtoni</v>
      </c>
      <c r="L1593" s="77">
        <f t="shared" si="947"/>
        <v>0</v>
      </c>
      <c r="M1593" s="77">
        <f t="shared" si="947"/>
        <v>7</v>
      </c>
      <c r="N1593" s="71">
        <f t="shared" si="947"/>
        <v>0</v>
      </c>
      <c r="O1593" s="44"/>
      <c r="P1593" s="45" t="str">
        <f t="shared" si="909"/>
        <v/>
      </c>
      <c r="Q1593" s="46" t="str">
        <f t="shared" si="910"/>
        <v/>
      </c>
      <c r="R1593" s="47" t="e">
        <f t="shared" si="911"/>
        <v>#VALUE!</v>
      </c>
      <c r="S1593" s="48" t="e">
        <f t="shared" si="912"/>
        <v>#VALUE!</v>
      </c>
      <c r="T1593" s="47" t="str">
        <f t="shared" si="913"/>
        <v/>
      </c>
      <c r="U1593" s="49"/>
      <c r="V1593" s="50"/>
      <c r="W1593" s="51" t="e">
        <f t="shared" si="914"/>
        <v>#VALUE!</v>
      </c>
      <c r="X1593" s="52"/>
      <c r="Y1593" s="52"/>
      <c r="Z1593" s="52"/>
      <c r="AA1593" s="47" t="e">
        <f>INDEX(VISITORS[INSECT ORDER], MATCH(X1593,VISITORS[NAME USED],0))</f>
        <v>#N/A</v>
      </c>
      <c r="AB1593" s="47" t="e">
        <f t="shared" si="915"/>
        <v>#N/A</v>
      </c>
      <c r="AC1593" s="53" t="e">
        <f t="shared" si="916"/>
        <v>#VALUE!</v>
      </c>
      <c r="AD1593" s="54" t="str">
        <f t="shared" si="917"/>
        <v/>
      </c>
      <c r="AE1593" s="54"/>
      <c r="AF1593" s="54"/>
      <c r="AG1593" s="55" t="str">
        <f t="shared" si="918"/>
        <v/>
      </c>
      <c r="AH1593" s="56" t="str">
        <f t="shared" si="919"/>
        <v/>
      </c>
      <c r="AI1593" s="55"/>
      <c r="AJ1593" s="56" t="str">
        <f t="shared" si="920"/>
        <v/>
      </c>
      <c r="AK1593" s="55"/>
      <c r="AL1593" s="56" t="str">
        <f t="shared" si="921"/>
        <v/>
      </c>
      <c r="AM1593" s="55"/>
      <c r="AN1593" s="56" t="str">
        <f t="shared" si="922"/>
        <v/>
      </c>
      <c r="AO1593" s="55"/>
      <c r="AP1593" s="56" t="str">
        <f t="shared" si="923"/>
        <v/>
      </c>
      <c r="AQ1593" s="55"/>
      <c r="AR1593" s="56" t="str">
        <f t="shared" si="924"/>
        <v/>
      </c>
      <c r="AS1593" s="57"/>
      <c r="AT1593" s="58"/>
      <c r="AU1593" s="58"/>
      <c r="AV1593" s="59"/>
      <c r="AW1593" s="60" t="str">
        <f t="shared" si="925"/>
        <v/>
      </c>
      <c r="AX1593" s="61" t="str">
        <f t="shared" si="926"/>
        <v/>
      </c>
      <c r="AY1593" s="60" t="str">
        <f t="shared" si="927"/>
        <v/>
      </c>
      <c r="AZ1593" s="61" t="str">
        <f t="shared" si="928"/>
        <v/>
      </c>
    </row>
    <row r="1594" spans="1:52" s="3" customFormat="1" hidden="1" x14ac:dyDescent="0.35">
      <c r="A1594" s="72">
        <f t="shared" si="882"/>
        <v>2019</v>
      </c>
      <c r="B1594" s="72" t="str">
        <f t="shared" si="904"/>
        <v>Nov</v>
      </c>
      <c r="C1594" s="73">
        <f t="shared" si="905"/>
        <v>19</v>
      </c>
      <c r="D1594" s="74">
        <f t="shared" si="906"/>
        <v>10</v>
      </c>
      <c r="E1594" s="75">
        <f t="shared" si="883"/>
        <v>17</v>
      </c>
      <c r="F1594" s="79"/>
      <c r="G1594" s="82"/>
      <c r="H1594" s="68" t="str">
        <f t="shared" si="907"/>
        <v>Senbur0_20191119_10_00</v>
      </c>
      <c r="I1594" s="69">
        <f t="shared" ref="I1594:N1594" si="948">I1593</f>
        <v>1</v>
      </c>
      <c r="J1594" s="76" t="str">
        <f t="shared" si="948"/>
        <v>Senecio</v>
      </c>
      <c r="K1594" s="76" t="str">
        <f t="shared" si="948"/>
        <v>burtoni</v>
      </c>
      <c r="L1594" s="77">
        <f t="shared" si="948"/>
        <v>0</v>
      </c>
      <c r="M1594" s="77">
        <f t="shared" si="948"/>
        <v>7</v>
      </c>
      <c r="N1594" s="71">
        <f t="shared" si="948"/>
        <v>0</v>
      </c>
      <c r="O1594" s="44"/>
      <c r="P1594" s="45" t="str">
        <f t="shared" si="909"/>
        <v/>
      </c>
      <c r="Q1594" s="46" t="str">
        <f t="shared" si="910"/>
        <v/>
      </c>
      <c r="R1594" s="47" t="e">
        <f t="shared" si="911"/>
        <v>#VALUE!</v>
      </c>
      <c r="S1594" s="48" t="e">
        <f t="shared" si="912"/>
        <v>#VALUE!</v>
      </c>
      <c r="T1594" s="47" t="str">
        <f t="shared" si="913"/>
        <v/>
      </c>
      <c r="U1594" s="49"/>
      <c r="V1594" s="50"/>
      <c r="W1594" s="51" t="e">
        <f t="shared" si="914"/>
        <v>#VALUE!</v>
      </c>
      <c r="X1594" s="52"/>
      <c r="Y1594" s="52"/>
      <c r="Z1594" s="52"/>
      <c r="AA1594" s="47" t="e">
        <f>INDEX(VISITORS[INSECT ORDER], MATCH(X1594,VISITORS[NAME USED],0))</f>
        <v>#N/A</v>
      </c>
      <c r="AB1594" s="47" t="e">
        <f t="shared" si="915"/>
        <v>#N/A</v>
      </c>
      <c r="AC1594" s="53" t="e">
        <f t="shared" si="916"/>
        <v>#VALUE!</v>
      </c>
      <c r="AD1594" s="54" t="str">
        <f t="shared" si="917"/>
        <v/>
      </c>
      <c r="AE1594" s="54"/>
      <c r="AF1594" s="54"/>
      <c r="AG1594" s="55" t="str">
        <f t="shared" si="918"/>
        <v/>
      </c>
      <c r="AH1594" s="56" t="str">
        <f t="shared" si="919"/>
        <v/>
      </c>
      <c r="AI1594" s="55"/>
      <c r="AJ1594" s="56" t="str">
        <f t="shared" si="920"/>
        <v/>
      </c>
      <c r="AK1594" s="55"/>
      <c r="AL1594" s="56" t="str">
        <f t="shared" si="921"/>
        <v/>
      </c>
      <c r="AM1594" s="55"/>
      <c r="AN1594" s="56" t="str">
        <f t="shared" si="922"/>
        <v/>
      </c>
      <c r="AO1594" s="55"/>
      <c r="AP1594" s="56" t="str">
        <f t="shared" si="923"/>
        <v/>
      </c>
      <c r="AQ1594" s="55"/>
      <c r="AR1594" s="56" t="str">
        <f t="shared" si="924"/>
        <v/>
      </c>
      <c r="AS1594" s="57"/>
      <c r="AT1594" s="58"/>
      <c r="AU1594" s="58"/>
      <c r="AV1594" s="59"/>
      <c r="AW1594" s="60" t="str">
        <f t="shared" si="925"/>
        <v/>
      </c>
      <c r="AX1594" s="61" t="str">
        <f t="shared" si="926"/>
        <v/>
      </c>
      <c r="AY1594" s="60" t="str">
        <f t="shared" si="927"/>
        <v/>
      </c>
      <c r="AZ1594" s="61" t="str">
        <f t="shared" si="928"/>
        <v/>
      </c>
    </row>
    <row r="1595" spans="1:52" s="3" customFormat="1" ht="15" hidden="1" thickBot="1" x14ac:dyDescent="0.4">
      <c r="A1595" s="85">
        <f t="shared" si="882"/>
        <v>2019</v>
      </c>
      <c r="B1595" s="85" t="str">
        <f t="shared" si="904"/>
        <v>Nov</v>
      </c>
      <c r="C1595" s="86">
        <f t="shared" si="905"/>
        <v>19</v>
      </c>
      <c r="D1595" s="87">
        <f t="shared" si="906"/>
        <v>10</v>
      </c>
      <c r="E1595" s="88">
        <f t="shared" si="883"/>
        <v>18</v>
      </c>
      <c r="F1595" s="89"/>
      <c r="G1595" s="90"/>
      <c r="H1595" s="68" t="str">
        <f t="shared" si="907"/>
        <v>Senbur0_20191119_10_00</v>
      </c>
      <c r="I1595" s="91">
        <f t="shared" ref="I1595:N1595" si="949">I1594</f>
        <v>1</v>
      </c>
      <c r="J1595" s="92" t="str">
        <f t="shared" si="949"/>
        <v>Senecio</v>
      </c>
      <c r="K1595" s="92" t="str">
        <f t="shared" si="949"/>
        <v>burtoni</v>
      </c>
      <c r="L1595" s="93">
        <f t="shared" si="949"/>
        <v>0</v>
      </c>
      <c r="M1595" s="93">
        <f t="shared" si="949"/>
        <v>7</v>
      </c>
      <c r="N1595" s="94">
        <f t="shared" si="949"/>
        <v>0</v>
      </c>
      <c r="O1595" s="95"/>
      <c r="P1595" s="96" t="str">
        <f t="shared" si="909"/>
        <v/>
      </c>
      <c r="Q1595" s="97" t="str">
        <f t="shared" si="910"/>
        <v/>
      </c>
      <c r="R1595" s="98" t="e">
        <f t="shared" si="911"/>
        <v>#VALUE!</v>
      </c>
      <c r="S1595" s="98" t="e">
        <f t="shared" si="912"/>
        <v>#VALUE!</v>
      </c>
      <c r="T1595" s="98" t="str">
        <f t="shared" si="913"/>
        <v/>
      </c>
      <c r="U1595" s="99"/>
      <c r="V1595" s="100"/>
      <c r="W1595" s="101" t="e">
        <f t="shared" si="914"/>
        <v>#VALUE!</v>
      </c>
      <c r="X1595" s="102"/>
      <c r="Y1595" s="122"/>
      <c r="Z1595" s="122"/>
      <c r="AA1595" s="47" t="e">
        <f>INDEX(VISITORS[INSECT ORDER], MATCH(X1595,VISITORS[NAME USED],0))</f>
        <v>#N/A</v>
      </c>
      <c r="AB1595" s="98" t="e">
        <f t="shared" si="915"/>
        <v>#N/A</v>
      </c>
      <c r="AC1595" s="53" t="e">
        <f t="shared" si="916"/>
        <v>#VALUE!</v>
      </c>
      <c r="AD1595" s="103" t="str">
        <f t="shared" si="917"/>
        <v/>
      </c>
      <c r="AE1595" s="103"/>
      <c r="AF1595" s="103"/>
      <c r="AG1595" s="104" t="str">
        <f t="shared" si="918"/>
        <v/>
      </c>
      <c r="AH1595" s="105" t="str">
        <f t="shared" si="919"/>
        <v/>
      </c>
      <c r="AI1595" s="104"/>
      <c r="AJ1595" s="105" t="str">
        <f t="shared" si="920"/>
        <v/>
      </c>
      <c r="AK1595" s="104"/>
      <c r="AL1595" s="105" t="str">
        <f t="shared" si="921"/>
        <v/>
      </c>
      <c r="AM1595" s="104"/>
      <c r="AN1595" s="105" t="str">
        <f t="shared" si="922"/>
        <v/>
      </c>
      <c r="AO1595" s="104"/>
      <c r="AP1595" s="105" t="str">
        <f t="shared" si="923"/>
        <v/>
      </c>
      <c r="AQ1595" s="104"/>
      <c r="AR1595" s="105" t="str">
        <f t="shared" si="924"/>
        <v/>
      </c>
      <c r="AS1595" s="106"/>
      <c r="AT1595" s="107"/>
      <c r="AU1595" s="107"/>
      <c r="AV1595" s="108"/>
      <c r="AW1595" s="109" t="str">
        <f t="shared" si="925"/>
        <v/>
      </c>
      <c r="AX1595" s="110" t="str">
        <f t="shared" si="926"/>
        <v/>
      </c>
      <c r="AY1595" s="109" t="str">
        <f t="shared" si="927"/>
        <v/>
      </c>
      <c r="AZ1595" s="110" t="str">
        <f t="shared" si="928"/>
        <v/>
      </c>
    </row>
    <row r="1596" spans="1:52" s="3" customFormat="1" ht="11.25" hidden="1" customHeight="1" x14ac:dyDescent="0.35">
      <c r="A1596" s="72">
        <f t="shared" si="882"/>
        <v>2019</v>
      </c>
      <c r="B1596" s="72" t="str">
        <f t="shared" si="904"/>
        <v>Nov</v>
      </c>
      <c r="C1596" s="73">
        <f t="shared" si="905"/>
        <v>19</v>
      </c>
      <c r="D1596" s="74">
        <f t="shared" si="906"/>
        <v>10</v>
      </c>
      <c r="E1596" s="75">
        <f t="shared" si="883"/>
        <v>19</v>
      </c>
      <c r="F1596" s="79"/>
      <c r="G1596" s="82"/>
      <c r="H1596" s="68" t="str">
        <f t="shared" si="907"/>
        <v>Senbur0_20191119_10_00</v>
      </c>
      <c r="I1596" s="69">
        <f t="shared" ref="I1596:N1596" si="950">I1595</f>
        <v>1</v>
      </c>
      <c r="J1596" s="76" t="str">
        <f t="shared" si="950"/>
        <v>Senecio</v>
      </c>
      <c r="K1596" s="76" t="str">
        <f t="shared" si="950"/>
        <v>burtoni</v>
      </c>
      <c r="L1596" s="77">
        <f t="shared" si="950"/>
        <v>0</v>
      </c>
      <c r="M1596" s="77">
        <f t="shared" si="950"/>
        <v>7</v>
      </c>
      <c r="N1596" s="71">
        <f t="shared" si="950"/>
        <v>0</v>
      </c>
      <c r="O1596" s="44"/>
      <c r="P1596" s="45" t="str">
        <f t="shared" si="909"/>
        <v/>
      </c>
      <c r="Q1596" s="46" t="str">
        <f t="shared" si="910"/>
        <v/>
      </c>
      <c r="R1596" s="47" t="e">
        <f t="shared" si="911"/>
        <v>#VALUE!</v>
      </c>
      <c r="S1596" s="48" t="e">
        <f t="shared" si="912"/>
        <v>#VALUE!</v>
      </c>
      <c r="T1596" s="47" t="str">
        <f t="shared" si="913"/>
        <v/>
      </c>
      <c r="U1596" s="49"/>
      <c r="V1596" s="50"/>
      <c r="W1596" s="51" t="e">
        <f t="shared" si="914"/>
        <v>#VALUE!</v>
      </c>
      <c r="X1596" s="52"/>
      <c r="Y1596" s="52"/>
      <c r="Z1596" s="52"/>
      <c r="AA1596" s="47" t="e">
        <f>INDEX(VISITORS[INSECT ORDER], MATCH(X1596,VISITORS[NAME USED],0))</f>
        <v>#N/A</v>
      </c>
      <c r="AB1596" s="47" t="e">
        <f t="shared" si="915"/>
        <v>#N/A</v>
      </c>
      <c r="AC1596" s="53" t="e">
        <f t="shared" si="916"/>
        <v>#VALUE!</v>
      </c>
      <c r="AD1596" s="54" t="str">
        <f t="shared" si="917"/>
        <v/>
      </c>
      <c r="AE1596" s="54"/>
      <c r="AF1596" s="54"/>
      <c r="AG1596" s="55" t="str">
        <f t="shared" si="918"/>
        <v/>
      </c>
      <c r="AH1596" s="56" t="str">
        <f t="shared" si="919"/>
        <v/>
      </c>
      <c r="AI1596" s="55"/>
      <c r="AJ1596" s="56" t="str">
        <f t="shared" si="920"/>
        <v/>
      </c>
      <c r="AK1596" s="55"/>
      <c r="AL1596" s="56" t="str">
        <f t="shared" si="921"/>
        <v/>
      </c>
      <c r="AM1596" s="55"/>
      <c r="AN1596" s="56" t="str">
        <f t="shared" si="922"/>
        <v/>
      </c>
      <c r="AO1596" s="55"/>
      <c r="AP1596" s="56" t="str">
        <f t="shared" si="923"/>
        <v/>
      </c>
      <c r="AQ1596" s="55"/>
      <c r="AR1596" s="56" t="str">
        <f t="shared" si="924"/>
        <v/>
      </c>
      <c r="AS1596" s="57"/>
      <c r="AT1596" s="58"/>
      <c r="AU1596" s="58"/>
      <c r="AV1596" s="59"/>
      <c r="AW1596" s="60" t="str">
        <f t="shared" si="925"/>
        <v/>
      </c>
      <c r="AX1596" s="61" t="str">
        <f t="shared" si="926"/>
        <v/>
      </c>
      <c r="AY1596" s="60" t="str">
        <f t="shared" si="927"/>
        <v/>
      </c>
      <c r="AZ1596" s="61" t="str">
        <f t="shared" si="928"/>
        <v/>
      </c>
    </row>
    <row r="1597" spans="1:52" x14ac:dyDescent="0.35">
      <c r="Y1597" s="127"/>
      <c r="Z1597" s="127"/>
    </row>
  </sheetData>
  <sheetProtection formatCells="0" formatColumns="0" formatRows="0" sort="0" autoFilter="0"/>
  <protectedRanges>
    <protectedRange sqref="X3:Z3 AB3" name="Visitor ID_1"/>
    <protectedRange sqref="P3:P1596" name="Visitor arrival_1_1"/>
    <protectedRange sqref="W3:W1596"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97:P1048576" name="Visitor arrival_1"/>
    <protectedRange sqref="W1597:W1048576" name="Time of Departure"/>
    <protectedRange sqref="AA3:AA1048576" name="Visitor ID_2"/>
    <protectedRange sqref="AW1:AX1 AZ1:AZ1417 AW2:AY1417 AW1418:AZ1048576" name="Visitor behaviour_1_1"/>
  </protectedRanges>
  <autoFilter ref="A2:AZ1596" xr:uid="{00000000-0009-0000-0000-000000000000}">
    <filterColumn colId="12" showButton="0"/>
    <filterColumn colId="15">
      <customFilters>
        <customFilter operator="notEqual" val=" "/>
      </customFilters>
    </filterColumn>
    <filterColumn colId="19" showButton="0"/>
    <filterColumn colId="20" showButton="0"/>
    <filterColumn colId="26">
      <filters>
        <filter val="hymenoptera"/>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596 A2:M2">
    <cfRule type="beginsWith" dxfId="14" priority="39" operator="beginsWith" text="NA">
      <formula>LEFT(A1,LEN("NA"))="NA"</formula>
    </cfRule>
  </conditionalFormatting>
  <conditionalFormatting sqref="A3:O1596">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596">
    <cfRule type="containsBlanks" dxfId="11" priority="40">
      <formula>LEN(TRIM(I1))=0</formula>
    </cfRule>
  </conditionalFormatting>
  <conditionalFormatting sqref="P2:S1596">
    <cfRule type="beginsWith" dxfId="10" priority="12" operator="beginsWith" text="NA">
      <formula>LEFT(P2,LEN("NA"))="NA"</formula>
    </cfRule>
  </conditionalFormatting>
  <conditionalFormatting sqref="R2:R1596 W2:W1596">
    <cfRule type="containsErrors" dxfId="9" priority="29">
      <formula>ISERROR(R2)</formula>
    </cfRule>
  </conditionalFormatting>
  <conditionalFormatting sqref="S1:S1048576">
    <cfRule type="containsErrors" dxfId="8" priority="13">
      <formula>ISERROR(S1)</formula>
    </cfRule>
  </conditionalFormatting>
  <conditionalFormatting sqref="W2:AA1596">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596">
    <cfRule type="beginsWith" dxfId="4" priority="28" operator="beginsWith" text="NA">
      <formula>LEFT(AB3,LEN("NA"))="NA"</formula>
    </cfRule>
  </conditionalFormatting>
  <conditionalFormatting sqref="AC3:AC1596">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596">
    <cfRule type="beginsWith" dxfId="1" priority="3" operator="beginsWith" text="NA">
      <formula>LEFT(AI3,LEN("NA"))="NA"</formula>
    </cfRule>
  </conditionalFormatting>
  <conditionalFormatting sqref="AV1:AW1 AK2:AZ1596">
    <cfRule type="beginsWith" dxfId="0" priority="1" operator="beginsWith" text="NA">
      <formula>LEFT(AK1,LEN("NA"))="NA"</formula>
    </cfRule>
  </conditionalFormatting>
  <dataValidations count="1">
    <dataValidation type="whole" operator="equal" allowBlank="1" showInputMessage="1" showErrorMessage="1" sqref="I3:I1596"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SenBur07</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2023-09-12T05:33:53Z</dcterms:modified>
</cp:coreProperties>
</file>